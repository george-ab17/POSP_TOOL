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Chola/"/>
    </mc:Choice>
  </mc:AlternateContent>
  <xr:revisionPtr revIDLastSave="0" documentId="13_ncr:1_{EE718474-2ECA-45A6-BDAD-CEA2901A3455}" xr6:coauthVersionLast="47" xr6:coauthVersionMax="47" xr10:uidLastSave="{00000000-0000-0000-0000-000000000000}"/>
  <bookViews>
    <workbookView xWindow="-110" yWindow="-110" windowWidth="19420" windowHeight="10420" activeTab="4" xr2:uid="{0A624913-83F3-4112-99DA-507A9CB1019C}"/>
  </bookViews>
  <sheets>
    <sheet name="TW NOV-25" sheetId="10" r:id="rId1"/>
    <sheet name="Private car Nov-25 " sheetId="2" r:id="rId2"/>
    <sheet name="Private car AUG-25 " sheetId="5" state="hidden" r:id="rId3"/>
    <sheet name="PC DIFF" sheetId="6" state="hidden" r:id="rId4"/>
    <sheet name=" CV Nov-25" sheetId="4" r:id="rId5"/>
    <sheet name="CONDITIONS" sheetId="13" r:id="rId6"/>
    <sheet name="Sheet2" sheetId="11" state="hidden" r:id="rId7"/>
    <sheet name="Sheet3" sheetId="12" state="hidden" r:id="rId8"/>
    <sheet name=" CV AUG-25" sheetId="7" state="hidden" r:id="rId9"/>
    <sheet name="CV DIFF" sheetId="8" state="hidden" r:id="rId10"/>
    <sheet name="PROP TW AUG-25" sheetId="3" state="hidden" r:id="rId11"/>
    <sheet name="Sheet1" sheetId="1" state="hidden" r:id="rId12"/>
  </sheets>
  <definedNames>
    <definedName name="_xlnm._FilterDatabase" localSheetId="10" hidden="1">'PROP TW AUG-25'!$B$4:$AU$186</definedName>
    <definedName name="_xlnm._FilterDatabase" localSheetId="0" hidden="1">'TW NOV-25'!$B$4:$AU$161</definedName>
    <definedName name="_xlnm.Print_Titles" localSheetId="4">' CV Nov-25'!$B:$BK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2" l="1"/>
  <c r="H15" i="12"/>
  <c r="H14" i="12"/>
  <c r="H13" i="12"/>
  <c r="H12" i="12"/>
  <c r="H11" i="12"/>
  <c r="H10" i="12"/>
  <c r="H9" i="12"/>
  <c r="H8" i="12"/>
  <c r="H7" i="12"/>
  <c r="G16" i="11"/>
  <c r="G17" i="11"/>
  <c r="G18" i="11"/>
  <c r="G19" i="11"/>
  <c r="G20" i="11"/>
  <c r="G21" i="11"/>
  <c r="G22" i="11"/>
  <c r="G23" i="11"/>
  <c r="G24" i="11"/>
  <c r="G15" i="11"/>
  <c r="F16" i="11"/>
  <c r="F17" i="11"/>
  <c r="F18" i="11"/>
  <c r="F19" i="11"/>
  <c r="F20" i="11"/>
  <c r="F21" i="11"/>
  <c r="F22" i="11"/>
  <c r="F23" i="11"/>
  <c r="F24" i="11"/>
  <c r="F15" i="11"/>
  <c r="BI32" i="2"/>
  <c r="BI31" i="2"/>
  <c r="BI30" i="2"/>
  <c r="BI30" i="6" s="1"/>
  <c r="BI28" i="2"/>
  <c r="BI28" i="6" s="1"/>
  <c r="BI27" i="2"/>
  <c r="BI27" i="6" s="1"/>
  <c r="BI26" i="2"/>
  <c r="BI23" i="2"/>
  <c r="BI22" i="2"/>
  <c r="BI22" i="6" s="1"/>
  <c r="BI21" i="2"/>
  <c r="BF32" i="2"/>
  <c r="BF31" i="2"/>
  <c r="BF30" i="2"/>
  <c r="BF28" i="2"/>
  <c r="BF27" i="2"/>
  <c r="BF26" i="2"/>
  <c r="BF23" i="2"/>
  <c r="BF23" i="6" s="1"/>
  <c r="BF22" i="2"/>
  <c r="BF21" i="2"/>
  <c r="BC32" i="2"/>
  <c r="BC31" i="2"/>
  <c r="BC30" i="2"/>
  <c r="BC28" i="2"/>
  <c r="BC27" i="2"/>
  <c r="BC26" i="2"/>
  <c r="BC23" i="2"/>
  <c r="BC22" i="2"/>
  <c r="BC22" i="6" s="1"/>
  <c r="BC21" i="2"/>
  <c r="AZ32" i="2"/>
  <c r="AZ31" i="2"/>
  <c r="AZ31" i="6" s="1"/>
  <c r="AZ30" i="2"/>
  <c r="AZ28" i="2"/>
  <c r="AZ27" i="2"/>
  <c r="AZ26" i="2"/>
  <c r="AZ26" i="6" s="1"/>
  <c r="AZ23" i="2"/>
  <c r="AZ22" i="2"/>
  <c r="AZ22" i="6" s="1"/>
  <c r="AZ21" i="2"/>
  <c r="AT32" i="2"/>
  <c r="AT31" i="2"/>
  <c r="AT30" i="2"/>
  <c r="AT28" i="2"/>
  <c r="AT27" i="2"/>
  <c r="AT26" i="2"/>
  <c r="AT26" i="6" s="1"/>
  <c r="AT23" i="2"/>
  <c r="AT23" i="6" s="1"/>
  <c r="AT22" i="2"/>
  <c r="AT22" i="6" s="1"/>
  <c r="AT21" i="2"/>
  <c r="AN32" i="2"/>
  <c r="AN31" i="2"/>
  <c r="AN30" i="2"/>
  <c r="AN28" i="2"/>
  <c r="AN27" i="2"/>
  <c r="AN26" i="2"/>
  <c r="AN23" i="2"/>
  <c r="AN22" i="2"/>
  <c r="AN22" i="6" s="1"/>
  <c r="AN21" i="2"/>
  <c r="AK32" i="2"/>
  <c r="AK31" i="2"/>
  <c r="AK30" i="2"/>
  <c r="AK28" i="2"/>
  <c r="AK27" i="2"/>
  <c r="AK26" i="2"/>
  <c r="AK26" i="6" s="1"/>
  <c r="AK23" i="2"/>
  <c r="AK23" i="6" s="1"/>
  <c r="AK22" i="2"/>
  <c r="AK22" i="6" s="1"/>
  <c r="AK21" i="2"/>
  <c r="AE32" i="2"/>
  <c r="AE31" i="2"/>
  <c r="AE30" i="2"/>
  <c r="AE28" i="2"/>
  <c r="AE27" i="2"/>
  <c r="AE26" i="2"/>
  <c r="AE23" i="2"/>
  <c r="AE23" i="6" s="1"/>
  <c r="AE22" i="2"/>
  <c r="AE21" i="2"/>
  <c r="AB32" i="2"/>
  <c r="AB31" i="2"/>
  <c r="AB30" i="2"/>
  <c r="AB28" i="2"/>
  <c r="AB28" i="6" s="1"/>
  <c r="AB27" i="2"/>
  <c r="AB26" i="2"/>
  <c r="AB23" i="2"/>
  <c r="AB23" i="6" s="1"/>
  <c r="AB22" i="2"/>
  <c r="AB22" i="6" s="1"/>
  <c r="AB21" i="2"/>
  <c r="Y32" i="2"/>
  <c r="Y32" i="6" s="1"/>
  <c r="Y31" i="2"/>
  <c r="Y30" i="2"/>
  <c r="Y28" i="2"/>
  <c r="Y28" i="6" s="1"/>
  <c r="Y27" i="2"/>
  <c r="Y26" i="2"/>
  <c r="Y23" i="2"/>
  <c r="Y22" i="2"/>
  <c r="Y22" i="6" s="1"/>
  <c r="Y21" i="2"/>
  <c r="S32" i="2"/>
  <c r="S31" i="2"/>
  <c r="S30" i="2"/>
  <c r="S28" i="2"/>
  <c r="S28" i="6" s="1"/>
  <c r="S27" i="2"/>
  <c r="S27" i="6" s="1"/>
  <c r="S26" i="2"/>
  <c r="S26" i="6" s="1"/>
  <c r="S23" i="2"/>
  <c r="S23" i="6" s="1"/>
  <c r="S22" i="2"/>
  <c r="S22" i="6" s="1"/>
  <c r="S21" i="2"/>
  <c r="P32" i="2"/>
  <c r="P32" i="6" s="1"/>
  <c r="P31" i="2"/>
  <c r="P31" i="6" s="1"/>
  <c r="P30" i="2"/>
  <c r="P28" i="2"/>
  <c r="P27" i="2"/>
  <c r="P26" i="2"/>
  <c r="P23" i="2"/>
  <c r="P22" i="2"/>
  <c r="P21" i="2"/>
  <c r="M32" i="2"/>
  <c r="M32" i="6" s="1"/>
  <c r="M31" i="2"/>
  <c r="M30" i="2"/>
  <c r="M30" i="6" s="1"/>
  <c r="M28" i="2"/>
  <c r="M27" i="2"/>
  <c r="M26" i="2"/>
  <c r="M26" i="6" s="1"/>
  <c r="M23" i="2"/>
  <c r="M23" i="6" s="1"/>
  <c r="M22" i="2"/>
  <c r="M22" i="6" s="1"/>
  <c r="M21" i="2"/>
  <c r="J32" i="2"/>
  <c r="J31" i="2"/>
  <c r="J30" i="2"/>
  <c r="J28" i="2"/>
  <c r="J27" i="2"/>
  <c r="J27" i="6" s="1"/>
  <c r="J26" i="2"/>
  <c r="J23" i="2"/>
  <c r="J23" i="6" s="1"/>
  <c r="J22" i="2"/>
  <c r="J22" i="6" s="1"/>
  <c r="J21" i="2"/>
  <c r="G32" i="2"/>
  <c r="G31" i="2"/>
  <c r="G30" i="2"/>
  <c r="G28" i="2"/>
  <c r="G27" i="2"/>
  <c r="G26" i="2"/>
  <c r="G23" i="2"/>
  <c r="G22" i="2"/>
  <c r="G21" i="2"/>
  <c r="G21" i="6" s="1"/>
  <c r="BK35" i="8"/>
  <c r="BJ35" i="8"/>
  <c r="BI35" i="8"/>
  <c r="BH35" i="8"/>
  <c r="BG35" i="8"/>
  <c r="BF35" i="8"/>
  <c r="BD35" i="8"/>
  <c r="BC35" i="8"/>
  <c r="BA35" i="8"/>
  <c r="AZ35" i="8"/>
  <c r="AX35" i="8"/>
  <c r="AW35" i="8"/>
  <c r="AU35" i="8"/>
  <c r="AT35" i="8"/>
  <c r="AR35" i="8"/>
  <c r="AQ35" i="8"/>
  <c r="AO35" i="8"/>
  <c r="AN35" i="8"/>
  <c r="AL35" i="8"/>
  <c r="AK35" i="8"/>
  <c r="AI35" i="8"/>
  <c r="AH35" i="8"/>
  <c r="AF35" i="8"/>
  <c r="AE35" i="8"/>
  <c r="AC35" i="8"/>
  <c r="AB35" i="8"/>
  <c r="Z35" i="8"/>
  <c r="Y35" i="8"/>
  <c r="W35" i="8"/>
  <c r="V35" i="8"/>
  <c r="T35" i="8"/>
  <c r="S35" i="8"/>
  <c r="Q35" i="8"/>
  <c r="P35" i="8"/>
  <c r="N35" i="8"/>
  <c r="M35" i="8"/>
  <c r="K35" i="8"/>
  <c r="J35" i="8"/>
  <c r="H35" i="8"/>
  <c r="G35" i="8"/>
  <c r="BK34" i="8"/>
  <c r="BJ34" i="8"/>
  <c r="BI34" i="8"/>
  <c r="BH34" i="8"/>
  <c r="BG34" i="8"/>
  <c r="BF34" i="8"/>
  <c r="BD34" i="8"/>
  <c r="BC34" i="8"/>
  <c r="BA34" i="8"/>
  <c r="AZ34" i="8"/>
  <c r="AX34" i="8"/>
  <c r="AW34" i="8"/>
  <c r="AU34" i="8"/>
  <c r="AT34" i="8"/>
  <c r="AR34" i="8"/>
  <c r="AQ34" i="8"/>
  <c r="AO34" i="8"/>
  <c r="AN34" i="8"/>
  <c r="AL34" i="8"/>
  <c r="AK34" i="8"/>
  <c r="AI34" i="8"/>
  <c r="AH34" i="8"/>
  <c r="AF34" i="8"/>
  <c r="AE34" i="8"/>
  <c r="AC34" i="8"/>
  <c r="AB34" i="8"/>
  <c r="Z34" i="8"/>
  <c r="Y34" i="8"/>
  <c r="W34" i="8"/>
  <c r="V34" i="8"/>
  <c r="T34" i="8"/>
  <c r="S34" i="8"/>
  <c r="Q34" i="8"/>
  <c r="P34" i="8"/>
  <c r="N34" i="8"/>
  <c r="M34" i="8"/>
  <c r="K34" i="8"/>
  <c r="J34" i="8"/>
  <c r="H34" i="8"/>
  <c r="G34" i="8"/>
  <c r="BK33" i="8"/>
  <c r="BJ33" i="8"/>
  <c r="BI33" i="8"/>
  <c r="BH33" i="8"/>
  <c r="BG33" i="8"/>
  <c r="BF33" i="8"/>
  <c r="BD33" i="8"/>
  <c r="BC33" i="8"/>
  <c r="BA33" i="8"/>
  <c r="AZ33" i="8"/>
  <c r="AX33" i="8"/>
  <c r="AW33" i="8"/>
  <c r="AU33" i="8"/>
  <c r="AT33" i="8"/>
  <c r="AR33" i="8"/>
  <c r="AQ33" i="8"/>
  <c r="AO33" i="8"/>
  <c r="AN33" i="8"/>
  <c r="AL33" i="8"/>
  <c r="AK33" i="8"/>
  <c r="AI33" i="8"/>
  <c r="AH33" i="8"/>
  <c r="AF33" i="8"/>
  <c r="AE33" i="8"/>
  <c r="AC33" i="8"/>
  <c r="AB33" i="8"/>
  <c r="Z33" i="8"/>
  <c r="Y33" i="8"/>
  <c r="W33" i="8"/>
  <c r="V33" i="8"/>
  <c r="T33" i="8"/>
  <c r="S33" i="8"/>
  <c r="Q33" i="8"/>
  <c r="P33" i="8"/>
  <c r="N33" i="8"/>
  <c r="M33" i="8"/>
  <c r="K33" i="8"/>
  <c r="J33" i="8"/>
  <c r="H33" i="8"/>
  <c r="G33" i="8"/>
  <c r="BK32" i="8"/>
  <c r="BJ32" i="8"/>
  <c r="BI32" i="8"/>
  <c r="BH32" i="8"/>
  <c r="BG32" i="8"/>
  <c r="BF32" i="8"/>
  <c r="BD32" i="8"/>
  <c r="BC32" i="8"/>
  <c r="BA32" i="8"/>
  <c r="AZ32" i="8"/>
  <c r="AX32" i="8"/>
  <c r="AW32" i="8"/>
  <c r="AU32" i="8"/>
  <c r="AT32" i="8"/>
  <c r="AR32" i="8"/>
  <c r="AQ32" i="8"/>
  <c r="AO32" i="8"/>
  <c r="AN32" i="8"/>
  <c r="AL32" i="8"/>
  <c r="AK32" i="8"/>
  <c r="AI32" i="8"/>
  <c r="AH32" i="8"/>
  <c r="AF32" i="8"/>
  <c r="AE32" i="8"/>
  <c r="AC32" i="8"/>
  <c r="AB32" i="8"/>
  <c r="Z32" i="8"/>
  <c r="Y32" i="8"/>
  <c r="W32" i="8"/>
  <c r="V32" i="8"/>
  <c r="T32" i="8"/>
  <c r="S32" i="8"/>
  <c r="Q32" i="8"/>
  <c r="P32" i="8"/>
  <c r="N32" i="8"/>
  <c r="M32" i="8"/>
  <c r="K32" i="8"/>
  <c r="J32" i="8"/>
  <c r="H32" i="8"/>
  <c r="G32" i="8"/>
  <c r="BK31" i="8"/>
  <c r="BJ31" i="8"/>
  <c r="BI31" i="8"/>
  <c r="BH31" i="8"/>
  <c r="BG31" i="8"/>
  <c r="BF31" i="8"/>
  <c r="BD31" i="8"/>
  <c r="BC31" i="8"/>
  <c r="BA31" i="8"/>
  <c r="AZ31" i="8"/>
  <c r="AX31" i="8"/>
  <c r="AW31" i="8"/>
  <c r="AU31" i="8"/>
  <c r="AT31" i="8"/>
  <c r="AR31" i="8"/>
  <c r="AQ31" i="8"/>
  <c r="AO31" i="8"/>
  <c r="AN31" i="8"/>
  <c r="AL31" i="8"/>
  <c r="AK31" i="8"/>
  <c r="AI31" i="8"/>
  <c r="AH31" i="8"/>
  <c r="AF31" i="8"/>
  <c r="AE31" i="8"/>
  <c r="AC31" i="8"/>
  <c r="AB31" i="8"/>
  <c r="Z31" i="8"/>
  <c r="Y31" i="8"/>
  <c r="W31" i="8"/>
  <c r="V31" i="8"/>
  <c r="T31" i="8"/>
  <c r="S31" i="8"/>
  <c r="Q31" i="8"/>
  <c r="P31" i="8"/>
  <c r="N31" i="8"/>
  <c r="M31" i="8"/>
  <c r="K31" i="8"/>
  <c r="J31" i="8"/>
  <c r="H31" i="8"/>
  <c r="G31" i="8"/>
  <c r="BK29" i="8"/>
  <c r="BJ29" i="8"/>
  <c r="BI29" i="8"/>
  <c r="BH29" i="8"/>
  <c r="BG29" i="8"/>
  <c r="BF29" i="8"/>
  <c r="BD29" i="8"/>
  <c r="BC29" i="8"/>
  <c r="BA29" i="8"/>
  <c r="AZ29" i="8"/>
  <c r="AX29" i="8"/>
  <c r="AW29" i="8"/>
  <c r="AU29" i="8"/>
  <c r="AT29" i="8"/>
  <c r="AR29" i="8"/>
  <c r="AQ29" i="8"/>
  <c r="AO29" i="8"/>
  <c r="AN29" i="8"/>
  <c r="AL29" i="8"/>
  <c r="AK29" i="8"/>
  <c r="AI29" i="8"/>
  <c r="AH29" i="8"/>
  <c r="AF29" i="8"/>
  <c r="AE29" i="8"/>
  <c r="AC29" i="8"/>
  <c r="AB29" i="8"/>
  <c r="Z29" i="8"/>
  <c r="Y29" i="8"/>
  <c r="W29" i="8"/>
  <c r="V29" i="8"/>
  <c r="T29" i="8"/>
  <c r="S29" i="8"/>
  <c r="Q29" i="8"/>
  <c r="P29" i="8"/>
  <c r="N29" i="8"/>
  <c r="M29" i="8"/>
  <c r="K29" i="8"/>
  <c r="J29" i="8"/>
  <c r="H29" i="8"/>
  <c r="G29" i="8"/>
  <c r="BK28" i="8"/>
  <c r="BJ28" i="8"/>
  <c r="BI28" i="8"/>
  <c r="BH28" i="8"/>
  <c r="BG28" i="8"/>
  <c r="BF28" i="8"/>
  <c r="BD28" i="8"/>
  <c r="BC28" i="8"/>
  <c r="BA28" i="8"/>
  <c r="AZ28" i="8"/>
  <c r="AX28" i="8"/>
  <c r="AW28" i="8"/>
  <c r="AU28" i="8"/>
  <c r="AT28" i="8"/>
  <c r="AR28" i="8"/>
  <c r="AQ28" i="8"/>
  <c r="AO28" i="8"/>
  <c r="AN28" i="8"/>
  <c r="AL28" i="8"/>
  <c r="AK28" i="8"/>
  <c r="AI28" i="8"/>
  <c r="AH28" i="8"/>
  <c r="AF28" i="8"/>
  <c r="AE28" i="8"/>
  <c r="AC28" i="8"/>
  <c r="AB28" i="8"/>
  <c r="Z28" i="8"/>
  <c r="Y28" i="8"/>
  <c r="W28" i="8"/>
  <c r="V28" i="8"/>
  <c r="T28" i="8"/>
  <c r="S28" i="8"/>
  <c r="Q28" i="8"/>
  <c r="P28" i="8"/>
  <c r="N28" i="8"/>
  <c r="M28" i="8"/>
  <c r="K28" i="8"/>
  <c r="J28" i="8"/>
  <c r="H28" i="8"/>
  <c r="G28" i="8"/>
  <c r="BK27" i="8"/>
  <c r="BJ27" i="8"/>
  <c r="BI27" i="8"/>
  <c r="BH27" i="8"/>
  <c r="BG27" i="8"/>
  <c r="BF27" i="8"/>
  <c r="BD27" i="8"/>
  <c r="BC27" i="8"/>
  <c r="BA27" i="8"/>
  <c r="AZ27" i="8"/>
  <c r="AX27" i="8"/>
  <c r="AW27" i="8"/>
  <c r="AU27" i="8"/>
  <c r="AT27" i="8"/>
  <c r="AR27" i="8"/>
  <c r="AQ27" i="8"/>
  <c r="AO27" i="8"/>
  <c r="AN27" i="8"/>
  <c r="AL27" i="8"/>
  <c r="AK27" i="8"/>
  <c r="AI27" i="8"/>
  <c r="AH27" i="8"/>
  <c r="AF27" i="8"/>
  <c r="AE27" i="8"/>
  <c r="AC27" i="8"/>
  <c r="AB27" i="8"/>
  <c r="Z27" i="8"/>
  <c r="Y27" i="8"/>
  <c r="W27" i="8"/>
  <c r="V27" i="8"/>
  <c r="T27" i="8"/>
  <c r="S27" i="8"/>
  <c r="Q27" i="8"/>
  <c r="P27" i="8"/>
  <c r="N27" i="8"/>
  <c r="M27" i="8"/>
  <c r="K27" i="8"/>
  <c r="J27" i="8"/>
  <c r="H27" i="8"/>
  <c r="G27" i="8"/>
  <c r="BK26" i="8"/>
  <c r="BJ26" i="8"/>
  <c r="BI26" i="8"/>
  <c r="BH26" i="8"/>
  <c r="BG26" i="8"/>
  <c r="BF26" i="8"/>
  <c r="BD26" i="8"/>
  <c r="BC26" i="8"/>
  <c r="BA26" i="8"/>
  <c r="AZ26" i="8"/>
  <c r="AX26" i="8"/>
  <c r="AW26" i="8"/>
  <c r="AU26" i="8"/>
  <c r="AT26" i="8"/>
  <c r="AR26" i="8"/>
  <c r="AQ26" i="8"/>
  <c r="AO26" i="8"/>
  <c r="AN26" i="8"/>
  <c r="AL26" i="8"/>
  <c r="AK26" i="8"/>
  <c r="AI26" i="8"/>
  <c r="AH26" i="8"/>
  <c r="AF26" i="8"/>
  <c r="AE26" i="8"/>
  <c r="AC26" i="8"/>
  <c r="AB26" i="8"/>
  <c r="Z26" i="8"/>
  <c r="Y26" i="8"/>
  <c r="W26" i="8"/>
  <c r="V26" i="8"/>
  <c r="T26" i="8"/>
  <c r="S26" i="8"/>
  <c r="Q26" i="8"/>
  <c r="P26" i="8"/>
  <c r="N26" i="8"/>
  <c r="M26" i="8"/>
  <c r="K26" i="8"/>
  <c r="J26" i="8"/>
  <c r="H26" i="8"/>
  <c r="G26" i="8"/>
  <c r="BK25" i="8"/>
  <c r="BJ25" i="8"/>
  <c r="BI25" i="8"/>
  <c r="BH25" i="8"/>
  <c r="BG25" i="8"/>
  <c r="BF25" i="8"/>
  <c r="BD25" i="8"/>
  <c r="BC25" i="8"/>
  <c r="BA25" i="8"/>
  <c r="AZ25" i="8"/>
  <c r="AX25" i="8"/>
  <c r="AW25" i="8"/>
  <c r="AU25" i="8"/>
  <c r="AT25" i="8"/>
  <c r="AR25" i="8"/>
  <c r="AQ25" i="8"/>
  <c r="AO25" i="8"/>
  <c r="AN25" i="8"/>
  <c r="AL25" i="8"/>
  <c r="AK25" i="8"/>
  <c r="AI25" i="8"/>
  <c r="AH25" i="8"/>
  <c r="AF25" i="8"/>
  <c r="AE25" i="8"/>
  <c r="AC25" i="8"/>
  <c r="AB25" i="8"/>
  <c r="Z25" i="8"/>
  <c r="Y25" i="8"/>
  <c r="W25" i="8"/>
  <c r="V25" i="8"/>
  <c r="T25" i="8"/>
  <c r="S25" i="8"/>
  <c r="Q25" i="8"/>
  <c r="P25" i="8"/>
  <c r="N25" i="8"/>
  <c r="M25" i="8"/>
  <c r="K25" i="8"/>
  <c r="J25" i="8"/>
  <c r="H25" i="8"/>
  <c r="G25" i="8"/>
  <c r="BK23" i="8"/>
  <c r="BJ23" i="8"/>
  <c r="BI23" i="8"/>
  <c r="BH23" i="8"/>
  <c r="BG23" i="8"/>
  <c r="BF23" i="8"/>
  <c r="BD23" i="8"/>
  <c r="BC23" i="8"/>
  <c r="BA23" i="8"/>
  <c r="AZ23" i="8"/>
  <c r="AX23" i="8"/>
  <c r="AW23" i="8"/>
  <c r="AU23" i="8"/>
  <c r="AT23" i="8"/>
  <c r="AR23" i="8"/>
  <c r="AQ23" i="8"/>
  <c r="AO23" i="8"/>
  <c r="AN23" i="8"/>
  <c r="AL23" i="8"/>
  <c r="AK23" i="8"/>
  <c r="AI23" i="8"/>
  <c r="AH23" i="8"/>
  <c r="AF23" i="8"/>
  <c r="AE23" i="8"/>
  <c r="AC23" i="8"/>
  <c r="AB23" i="8"/>
  <c r="Z23" i="8"/>
  <c r="Y23" i="8"/>
  <c r="W23" i="8"/>
  <c r="V23" i="8"/>
  <c r="T23" i="8"/>
  <c r="S23" i="8"/>
  <c r="Q23" i="8"/>
  <c r="P23" i="8"/>
  <c r="N23" i="8"/>
  <c r="M23" i="8"/>
  <c r="K23" i="8"/>
  <c r="J23" i="8"/>
  <c r="H23" i="8"/>
  <c r="G23" i="8"/>
  <c r="BK22" i="8"/>
  <c r="BJ22" i="8"/>
  <c r="BI22" i="8"/>
  <c r="BH22" i="8"/>
  <c r="BG22" i="8"/>
  <c r="BF22" i="8"/>
  <c r="BD22" i="8"/>
  <c r="BC22" i="8"/>
  <c r="BA22" i="8"/>
  <c r="AZ22" i="8"/>
  <c r="AX22" i="8"/>
  <c r="AW22" i="8"/>
  <c r="AU22" i="8"/>
  <c r="AT22" i="8"/>
  <c r="AR22" i="8"/>
  <c r="AQ22" i="8"/>
  <c r="AO22" i="8"/>
  <c r="AN22" i="8"/>
  <c r="AL22" i="8"/>
  <c r="AK22" i="8"/>
  <c r="AI22" i="8"/>
  <c r="AH22" i="8"/>
  <c r="AF22" i="8"/>
  <c r="AE22" i="8"/>
  <c r="AC22" i="8"/>
  <c r="AB22" i="8"/>
  <c r="Z22" i="8"/>
  <c r="Y22" i="8"/>
  <c r="W22" i="8"/>
  <c r="V22" i="8"/>
  <c r="T22" i="8"/>
  <c r="S22" i="8"/>
  <c r="Q22" i="8"/>
  <c r="P22" i="8"/>
  <c r="N22" i="8"/>
  <c r="M22" i="8"/>
  <c r="K22" i="8"/>
  <c r="J22" i="8"/>
  <c r="H22" i="8"/>
  <c r="G22" i="8"/>
  <c r="BK21" i="8"/>
  <c r="BJ21" i="8"/>
  <c r="BI21" i="8"/>
  <c r="BH21" i="8"/>
  <c r="BG21" i="8"/>
  <c r="BF21" i="8"/>
  <c r="BD21" i="8"/>
  <c r="BC21" i="8"/>
  <c r="BA21" i="8"/>
  <c r="AZ21" i="8"/>
  <c r="AX21" i="8"/>
  <c r="AW21" i="8"/>
  <c r="AU21" i="8"/>
  <c r="AT21" i="8"/>
  <c r="AR21" i="8"/>
  <c r="AQ21" i="8"/>
  <c r="AO21" i="8"/>
  <c r="AN21" i="8"/>
  <c r="AL21" i="8"/>
  <c r="AK21" i="8"/>
  <c r="AI21" i="8"/>
  <c r="AH21" i="8"/>
  <c r="AF21" i="8"/>
  <c r="AE21" i="8"/>
  <c r="AC21" i="8"/>
  <c r="AB21" i="8"/>
  <c r="Z21" i="8"/>
  <c r="Y21" i="8"/>
  <c r="W21" i="8"/>
  <c r="V21" i="8"/>
  <c r="T21" i="8"/>
  <c r="S21" i="8"/>
  <c r="Q21" i="8"/>
  <c r="P21" i="8"/>
  <c r="N21" i="8"/>
  <c r="M21" i="8"/>
  <c r="K21" i="8"/>
  <c r="J21" i="8"/>
  <c r="H21" i="8"/>
  <c r="G21" i="8"/>
  <c r="BK20" i="8"/>
  <c r="BJ20" i="8"/>
  <c r="BI20" i="8"/>
  <c r="BH20" i="8"/>
  <c r="BG20" i="8"/>
  <c r="BF20" i="8"/>
  <c r="BD20" i="8"/>
  <c r="BC20" i="8"/>
  <c r="BA20" i="8"/>
  <c r="AZ20" i="8"/>
  <c r="AX20" i="8"/>
  <c r="AW20" i="8"/>
  <c r="AU20" i="8"/>
  <c r="AT20" i="8"/>
  <c r="AR20" i="8"/>
  <c r="AQ20" i="8"/>
  <c r="AO20" i="8"/>
  <c r="AN20" i="8"/>
  <c r="AL20" i="8"/>
  <c r="AK20" i="8"/>
  <c r="AI20" i="8"/>
  <c r="AH20" i="8"/>
  <c r="AF20" i="8"/>
  <c r="AE20" i="8"/>
  <c r="AC20" i="8"/>
  <c r="AB20" i="8"/>
  <c r="Z20" i="8"/>
  <c r="Y20" i="8"/>
  <c r="W20" i="8"/>
  <c r="V20" i="8"/>
  <c r="T20" i="8"/>
  <c r="S20" i="8"/>
  <c r="Q20" i="8"/>
  <c r="P20" i="8"/>
  <c r="N20" i="8"/>
  <c r="M20" i="8"/>
  <c r="K20" i="8"/>
  <c r="J20" i="8"/>
  <c r="H20" i="8"/>
  <c r="G20" i="8"/>
  <c r="BK18" i="8"/>
  <c r="BJ18" i="8"/>
  <c r="BK17" i="8"/>
  <c r="BJ17" i="8"/>
  <c r="BK16" i="8"/>
  <c r="BJ16" i="8"/>
  <c r="BK15" i="8"/>
  <c r="BJ15" i="8"/>
  <c r="BK14" i="8"/>
  <c r="BJ14" i="8"/>
  <c r="BK13" i="8"/>
  <c r="BJ13" i="8"/>
  <c r="BK12" i="8"/>
  <c r="BJ12" i="8"/>
  <c r="BK11" i="8"/>
  <c r="BJ11" i="8"/>
  <c r="BK10" i="8"/>
  <c r="BJ10" i="8"/>
  <c r="BK9" i="8"/>
  <c r="BJ9" i="8"/>
  <c r="BK8" i="8"/>
  <c r="BJ8" i="8"/>
  <c r="BK7" i="8"/>
  <c r="BJ7" i="8"/>
  <c r="BK6" i="8"/>
  <c r="BJ6" i="8"/>
  <c r="BI18" i="8"/>
  <c r="BH18" i="8"/>
  <c r="BI17" i="8"/>
  <c r="BH17" i="8"/>
  <c r="BI16" i="8"/>
  <c r="BH16" i="8"/>
  <c r="BI15" i="8"/>
  <c r="BH15" i="8"/>
  <c r="BI14" i="8"/>
  <c r="BH14" i="8"/>
  <c r="BI13" i="8"/>
  <c r="BH13" i="8"/>
  <c r="BI12" i="8"/>
  <c r="BH12" i="8"/>
  <c r="BI11" i="8"/>
  <c r="BH11" i="8"/>
  <c r="BI10" i="8"/>
  <c r="BH10" i="8"/>
  <c r="BI9" i="8"/>
  <c r="BH9" i="8"/>
  <c r="BI8" i="8"/>
  <c r="BH8" i="8"/>
  <c r="BI7" i="8"/>
  <c r="BH7" i="8"/>
  <c r="BI6" i="8"/>
  <c r="BH6" i="8"/>
  <c r="BG18" i="8"/>
  <c r="BF18" i="8"/>
  <c r="BG17" i="8"/>
  <c r="BF17" i="8"/>
  <c r="BG16" i="8"/>
  <c r="BF16" i="8"/>
  <c r="BG15" i="8"/>
  <c r="BF15" i="8"/>
  <c r="BG14" i="8"/>
  <c r="BF14" i="8"/>
  <c r="BG13" i="8"/>
  <c r="BF13" i="8"/>
  <c r="BG12" i="8"/>
  <c r="BF12" i="8"/>
  <c r="BG11" i="8"/>
  <c r="BF11" i="8"/>
  <c r="BG10" i="8"/>
  <c r="BF10" i="8"/>
  <c r="BG9" i="8"/>
  <c r="BF9" i="8"/>
  <c r="BG8" i="8"/>
  <c r="BF8" i="8"/>
  <c r="BG7" i="8"/>
  <c r="BF7" i="8"/>
  <c r="BG6" i="8"/>
  <c r="BF6" i="8"/>
  <c r="BD18" i="8"/>
  <c r="BC18" i="8"/>
  <c r="BD17" i="8"/>
  <c r="BC17" i="8"/>
  <c r="BD16" i="8"/>
  <c r="BC16" i="8"/>
  <c r="BD15" i="8"/>
  <c r="BC15" i="8"/>
  <c r="BD14" i="8"/>
  <c r="BC14" i="8"/>
  <c r="BD13" i="8"/>
  <c r="BC13" i="8"/>
  <c r="BD12" i="8"/>
  <c r="BC12" i="8"/>
  <c r="BD11" i="8"/>
  <c r="BC11" i="8"/>
  <c r="BD10" i="8"/>
  <c r="BC10" i="8"/>
  <c r="BD9" i="8"/>
  <c r="BC9" i="8"/>
  <c r="BD8" i="8"/>
  <c r="BC8" i="8"/>
  <c r="BD7" i="8"/>
  <c r="BC7" i="8"/>
  <c r="BD6" i="8"/>
  <c r="BC6" i="8"/>
  <c r="BA18" i="8"/>
  <c r="AZ18" i="8"/>
  <c r="BA17" i="8"/>
  <c r="AZ17" i="8"/>
  <c r="BA16" i="8"/>
  <c r="AZ16" i="8"/>
  <c r="BA15" i="8"/>
  <c r="AZ15" i="8"/>
  <c r="BA14" i="8"/>
  <c r="AZ14" i="8"/>
  <c r="BA13" i="8"/>
  <c r="AZ13" i="8"/>
  <c r="BA12" i="8"/>
  <c r="AZ12" i="8"/>
  <c r="BA11" i="8"/>
  <c r="AZ11" i="8"/>
  <c r="BA10" i="8"/>
  <c r="AZ10" i="8"/>
  <c r="BA9" i="8"/>
  <c r="AZ9" i="8"/>
  <c r="BA8" i="8"/>
  <c r="AZ8" i="8"/>
  <c r="BA7" i="8"/>
  <c r="AZ7" i="8"/>
  <c r="BA6" i="8"/>
  <c r="AZ6" i="8"/>
  <c r="AX18" i="8"/>
  <c r="AW18" i="8"/>
  <c r="AX17" i="8"/>
  <c r="AW17" i="8"/>
  <c r="AX16" i="8"/>
  <c r="AW16" i="8"/>
  <c r="AX15" i="8"/>
  <c r="AW15" i="8"/>
  <c r="AX14" i="8"/>
  <c r="AW14" i="8"/>
  <c r="AX13" i="8"/>
  <c r="AW13" i="8"/>
  <c r="AX12" i="8"/>
  <c r="AW12" i="8"/>
  <c r="AX11" i="8"/>
  <c r="AW11" i="8"/>
  <c r="AX10" i="8"/>
  <c r="AW10" i="8"/>
  <c r="AX9" i="8"/>
  <c r="AW9" i="8"/>
  <c r="AX8" i="8"/>
  <c r="AW8" i="8"/>
  <c r="AX7" i="8"/>
  <c r="AW7" i="8"/>
  <c r="AX6" i="8"/>
  <c r="AW6" i="8"/>
  <c r="AU18" i="8"/>
  <c r="AT18" i="8"/>
  <c r="AU17" i="8"/>
  <c r="AT17" i="8"/>
  <c r="AU16" i="8"/>
  <c r="AT16" i="8"/>
  <c r="AU15" i="8"/>
  <c r="AT15" i="8"/>
  <c r="AU14" i="8"/>
  <c r="AT14" i="8"/>
  <c r="AU13" i="8"/>
  <c r="AT13" i="8"/>
  <c r="AU12" i="8"/>
  <c r="AT12" i="8"/>
  <c r="AU11" i="8"/>
  <c r="AT11" i="8"/>
  <c r="AU10" i="8"/>
  <c r="AT10" i="8"/>
  <c r="AU9" i="8"/>
  <c r="AT9" i="8"/>
  <c r="AU8" i="8"/>
  <c r="AT8" i="8"/>
  <c r="AU7" i="8"/>
  <c r="AT7" i="8"/>
  <c r="AU6" i="8"/>
  <c r="AT6" i="8"/>
  <c r="AR18" i="8"/>
  <c r="AQ18" i="8"/>
  <c r="AR17" i="8"/>
  <c r="AQ17" i="8"/>
  <c r="AR16" i="8"/>
  <c r="AQ16" i="8"/>
  <c r="AR15" i="8"/>
  <c r="AQ15" i="8"/>
  <c r="AR14" i="8"/>
  <c r="AQ14" i="8"/>
  <c r="AR13" i="8"/>
  <c r="AQ13" i="8"/>
  <c r="AR12" i="8"/>
  <c r="AQ12" i="8"/>
  <c r="AR11" i="8"/>
  <c r="AQ11" i="8"/>
  <c r="AR10" i="8"/>
  <c r="AQ10" i="8"/>
  <c r="AR9" i="8"/>
  <c r="AQ9" i="8"/>
  <c r="AR8" i="8"/>
  <c r="AQ8" i="8"/>
  <c r="AR7" i="8"/>
  <c r="AQ7" i="8"/>
  <c r="AR6" i="8"/>
  <c r="AQ6" i="8"/>
  <c r="AO18" i="8"/>
  <c r="AN18" i="8"/>
  <c r="AO17" i="8"/>
  <c r="AN17" i="8"/>
  <c r="AO16" i="8"/>
  <c r="AN16" i="8"/>
  <c r="AO15" i="8"/>
  <c r="AN15" i="8"/>
  <c r="AO14" i="8"/>
  <c r="AN14" i="8"/>
  <c r="AO13" i="8"/>
  <c r="AN13" i="8"/>
  <c r="AO12" i="8"/>
  <c r="AN12" i="8"/>
  <c r="AO11" i="8"/>
  <c r="AN11" i="8"/>
  <c r="AO10" i="8"/>
  <c r="AN10" i="8"/>
  <c r="AO9" i="8"/>
  <c r="AN9" i="8"/>
  <c r="AO8" i="8"/>
  <c r="AN8" i="8"/>
  <c r="AO7" i="8"/>
  <c r="AN7" i="8"/>
  <c r="AO6" i="8"/>
  <c r="AN6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F18" i="8"/>
  <c r="AE18" i="8"/>
  <c r="AF17" i="8"/>
  <c r="AE17" i="8"/>
  <c r="AF16" i="8"/>
  <c r="AE16" i="8"/>
  <c r="AF15" i="8"/>
  <c r="AE15" i="8"/>
  <c r="AF14" i="8"/>
  <c r="AE14" i="8"/>
  <c r="AF13" i="8"/>
  <c r="AE13" i="8"/>
  <c r="AF12" i="8"/>
  <c r="AE12" i="8"/>
  <c r="AF11" i="8"/>
  <c r="AE11" i="8"/>
  <c r="AF10" i="8"/>
  <c r="AE10" i="8"/>
  <c r="AF9" i="8"/>
  <c r="AE9" i="8"/>
  <c r="AF8" i="8"/>
  <c r="AE8" i="8"/>
  <c r="AF7" i="8"/>
  <c r="AE7" i="8"/>
  <c r="AF6" i="8"/>
  <c r="AE6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Z18" i="8"/>
  <c r="Y18" i="8"/>
  <c r="Z17" i="8"/>
  <c r="Y17" i="8"/>
  <c r="Z16" i="8"/>
  <c r="Y16" i="8"/>
  <c r="Z15" i="8"/>
  <c r="Y15" i="8"/>
  <c r="Z14" i="8"/>
  <c r="Y14" i="8"/>
  <c r="Z13" i="8"/>
  <c r="Y13" i="8"/>
  <c r="Z12" i="8"/>
  <c r="Y12" i="8"/>
  <c r="Z11" i="8"/>
  <c r="Y11" i="8"/>
  <c r="Z10" i="8"/>
  <c r="Y10" i="8"/>
  <c r="Z9" i="8"/>
  <c r="Y9" i="8"/>
  <c r="Z8" i="8"/>
  <c r="Y8" i="8"/>
  <c r="Z7" i="8"/>
  <c r="Y7" i="8"/>
  <c r="Z6" i="8"/>
  <c r="Y6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V9" i="8"/>
  <c r="W8" i="8"/>
  <c r="V8" i="8"/>
  <c r="W7" i="8"/>
  <c r="V7" i="8"/>
  <c r="W6" i="8"/>
  <c r="V6" i="8"/>
  <c r="T18" i="8"/>
  <c r="S18" i="8"/>
  <c r="T17" i="8"/>
  <c r="S17" i="8"/>
  <c r="T16" i="8"/>
  <c r="S16" i="8"/>
  <c r="T15" i="8"/>
  <c r="S15" i="8"/>
  <c r="T14" i="8"/>
  <c r="S14" i="8"/>
  <c r="T13" i="8"/>
  <c r="S13" i="8"/>
  <c r="T12" i="8"/>
  <c r="S12" i="8"/>
  <c r="T11" i="8"/>
  <c r="S11" i="8"/>
  <c r="T10" i="8"/>
  <c r="S10" i="8"/>
  <c r="T9" i="8"/>
  <c r="S9" i="8"/>
  <c r="T8" i="8"/>
  <c r="S8" i="8"/>
  <c r="T7" i="8"/>
  <c r="S7" i="8"/>
  <c r="T6" i="8"/>
  <c r="S6" i="8"/>
  <c r="Q18" i="8"/>
  <c r="P18" i="8"/>
  <c r="Q17" i="8"/>
  <c r="P17" i="8"/>
  <c r="Q16" i="8"/>
  <c r="P16" i="8"/>
  <c r="Q15" i="8"/>
  <c r="P15" i="8"/>
  <c r="Q14" i="8"/>
  <c r="P14" i="8"/>
  <c r="Q13" i="8"/>
  <c r="P13" i="8"/>
  <c r="Q12" i="8"/>
  <c r="P12" i="8"/>
  <c r="Q11" i="8"/>
  <c r="P11" i="8"/>
  <c r="Q10" i="8"/>
  <c r="P10" i="8"/>
  <c r="Q9" i="8"/>
  <c r="P9" i="8"/>
  <c r="Q8" i="8"/>
  <c r="P8" i="8"/>
  <c r="Q7" i="8"/>
  <c r="P7" i="8"/>
  <c r="Q6" i="8"/>
  <c r="P6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H18" i="8"/>
  <c r="G18" i="8"/>
  <c r="H17" i="8"/>
  <c r="G17" i="8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BN32" i="6"/>
  <c r="BM32" i="6"/>
  <c r="BL32" i="6"/>
  <c r="BK32" i="6"/>
  <c r="BI32" i="6"/>
  <c r="BH32" i="6"/>
  <c r="BF32" i="6"/>
  <c r="BE32" i="6"/>
  <c r="BC32" i="6"/>
  <c r="BB32" i="6"/>
  <c r="AZ32" i="6"/>
  <c r="AY32" i="6"/>
  <c r="AW32" i="6"/>
  <c r="AV32" i="6"/>
  <c r="AT32" i="6"/>
  <c r="AS32" i="6"/>
  <c r="AQ32" i="6"/>
  <c r="AP32" i="6"/>
  <c r="AN32" i="6"/>
  <c r="AM32" i="6"/>
  <c r="AK32" i="6"/>
  <c r="AJ32" i="6"/>
  <c r="AH32" i="6"/>
  <c r="AG32" i="6"/>
  <c r="AE32" i="6"/>
  <c r="AD32" i="6"/>
  <c r="AB32" i="6"/>
  <c r="AA32" i="6"/>
  <c r="X32" i="6"/>
  <c r="V32" i="6"/>
  <c r="U32" i="6"/>
  <c r="S32" i="6"/>
  <c r="R32" i="6"/>
  <c r="O32" i="6"/>
  <c r="L32" i="6"/>
  <c r="J32" i="6"/>
  <c r="I32" i="6"/>
  <c r="G32" i="6"/>
  <c r="F32" i="6"/>
  <c r="BN31" i="6"/>
  <c r="BM31" i="6"/>
  <c r="BL31" i="6"/>
  <c r="BK31" i="6"/>
  <c r="BI31" i="6"/>
  <c r="BH31" i="6"/>
  <c r="BF31" i="6"/>
  <c r="BE31" i="6"/>
  <c r="BC31" i="6"/>
  <c r="BB31" i="6"/>
  <c r="AY31" i="6"/>
  <c r="AW31" i="6"/>
  <c r="AV31" i="6"/>
  <c r="AT31" i="6"/>
  <c r="AS31" i="6"/>
  <c r="AQ31" i="6"/>
  <c r="AP31" i="6"/>
  <c r="AN31" i="6"/>
  <c r="AM31" i="6"/>
  <c r="AK31" i="6"/>
  <c r="AJ31" i="6"/>
  <c r="AH31" i="6"/>
  <c r="AG31" i="6"/>
  <c r="AE31" i="6"/>
  <c r="AD31" i="6"/>
  <c r="AB31" i="6"/>
  <c r="AA31" i="6"/>
  <c r="Y31" i="6"/>
  <c r="X31" i="6"/>
  <c r="V31" i="6"/>
  <c r="U31" i="6"/>
  <c r="S31" i="6"/>
  <c r="R31" i="6"/>
  <c r="O31" i="6"/>
  <c r="M31" i="6"/>
  <c r="L31" i="6"/>
  <c r="J31" i="6"/>
  <c r="I31" i="6"/>
  <c r="G31" i="6"/>
  <c r="F31" i="6"/>
  <c r="BN30" i="6"/>
  <c r="BM30" i="6"/>
  <c r="BL30" i="6"/>
  <c r="BK30" i="6"/>
  <c r="BH30" i="6"/>
  <c r="BF30" i="6"/>
  <c r="BE30" i="6"/>
  <c r="BC30" i="6"/>
  <c r="BB30" i="6"/>
  <c r="AZ30" i="6"/>
  <c r="AY30" i="6"/>
  <c r="AW30" i="6"/>
  <c r="AV30" i="6"/>
  <c r="AT30" i="6"/>
  <c r="AS30" i="6"/>
  <c r="AQ30" i="6"/>
  <c r="AP30" i="6"/>
  <c r="AN30" i="6"/>
  <c r="AM30" i="6"/>
  <c r="AK30" i="6"/>
  <c r="AJ30" i="6"/>
  <c r="AH30" i="6"/>
  <c r="AG30" i="6"/>
  <c r="AE30" i="6"/>
  <c r="AD30" i="6"/>
  <c r="AB30" i="6"/>
  <c r="AA30" i="6"/>
  <c r="Y30" i="6"/>
  <c r="X30" i="6"/>
  <c r="V30" i="6"/>
  <c r="U30" i="6"/>
  <c r="S30" i="6"/>
  <c r="R30" i="6"/>
  <c r="P30" i="6"/>
  <c r="O30" i="6"/>
  <c r="L30" i="6"/>
  <c r="J30" i="6"/>
  <c r="I30" i="6"/>
  <c r="G30" i="6"/>
  <c r="F30" i="6"/>
  <c r="BN28" i="6"/>
  <c r="BM28" i="6"/>
  <c r="BL28" i="6"/>
  <c r="BK28" i="6"/>
  <c r="BH28" i="6"/>
  <c r="BF28" i="6"/>
  <c r="BE28" i="6"/>
  <c r="BC28" i="6"/>
  <c r="BB28" i="6"/>
  <c r="AZ28" i="6"/>
  <c r="AY28" i="6"/>
  <c r="AW28" i="6"/>
  <c r="AV28" i="6"/>
  <c r="AT28" i="6"/>
  <c r="AS28" i="6"/>
  <c r="AQ28" i="6"/>
  <c r="AP28" i="6"/>
  <c r="AN28" i="6"/>
  <c r="AM28" i="6"/>
  <c r="AK28" i="6"/>
  <c r="AJ28" i="6"/>
  <c r="AH28" i="6"/>
  <c r="AG28" i="6"/>
  <c r="AE28" i="6"/>
  <c r="AD28" i="6"/>
  <c r="AA28" i="6"/>
  <c r="X28" i="6"/>
  <c r="V28" i="6"/>
  <c r="U28" i="6"/>
  <c r="R28" i="6"/>
  <c r="P28" i="6"/>
  <c r="O28" i="6"/>
  <c r="M28" i="6"/>
  <c r="L28" i="6"/>
  <c r="J28" i="6"/>
  <c r="I28" i="6"/>
  <c r="G28" i="6"/>
  <c r="F28" i="6"/>
  <c r="BN27" i="6"/>
  <c r="BM27" i="6"/>
  <c r="BL27" i="6"/>
  <c r="BK27" i="6"/>
  <c r="BH27" i="6"/>
  <c r="BF27" i="6"/>
  <c r="BE27" i="6"/>
  <c r="BC27" i="6"/>
  <c r="BB27" i="6"/>
  <c r="AZ27" i="6"/>
  <c r="AY27" i="6"/>
  <c r="AW27" i="6"/>
  <c r="AV27" i="6"/>
  <c r="AT27" i="6"/>
  <c r="AS27" i="6"/>
  <c r="AQ27" i="6"/>
  <c r="AP27" i="6"/>
  <c r="AN27" i="6"/>
  <c r="AM27" i="6"/>
  <c r="AK27" i="6"/>
  <c r="AJ27" i="6"/>
  <c r="AH27" i="6"/>
  <c r="AG27" i="6"/>
  <c r="AE27" i="6"/>
  <c r="AD27" i="6"/>
  <c r="AB27" i="6"/>
  <c r="AA27" i="6"/>
  <c r="Y27" i="6"/>
  <c r="X27" i="6"/>
  <c r="V27" i="6"/>
  <c r="U27" i="6"/>
  <c r="R27" i="6"/>
  <c r="P27" i="6"/>
  <c r="O27" i="6"/>
  <c r="M27" i="6"/>
  <c r="L27" i="6"/>
  <c r="I27" i="6"/>
  <c r="G27" i="6"/>
  <c r="F27" i="6"/>
  <c r="BN26" i="6"/>
  <c r="BM26" i="6"/>
  <c r="BL26" i="6"/>
  <c r="BK26" i="6"/>
  <c r="BI26" i="6"/>
  <c r="BH26" i="6"/>
  <c r="BF26" i="6"/>
  <c r="BE26" i="6"/>
  <c r="BC26" i="6"/>
  <c r="BB26" i="6"/>
  <c r="AY26" i="6"/>
  <c r="AW26" i="6"/>
  <c r="AV26" i="6"/>
  <c r="AS26" i="6"/>
  <c r="AQ26" i="6"/>
  <c r="AP26" i="6"/>
  <c r="AN26" i="6"/>
  <c r="AM26" i="6"/>
  <c r="AJ26" i="6"/>
  <c r="AH26" i="6"/>
  <c r="AG26" i="6"/>
  <c r="AE26" i="6"/>
  <c r="AD26" i="6"/>
  <c r="AB26" i="6"/>
  <c r="AA26" i="6"/>
  <c r="Y26" i="6"/>
  <c r="X26" i="6"/>
  <c r="V26" i="6"/>
  <c r="U26" i="6"/>
  <c r="R26" i="6"/>
  <c r="P26" i="6"/>
  <c r="O26" i="6"/>
  <c r="L26" i="6"/>
  <c r="J26" i="6"/>
  <c r="I26" i="6"/>
  <c r="G26" i="6"/>
  <c r="F26" i="6"/>
  <c r="BN23" i="6"/>
  <c r="BM23" i="6"/>
  <c r="BL23" i="6"/>
  <c r="BK23" i="6"/>
  <c r="BI23" i="6"/>
  <c r="BH23" i="6"/>
  <c r="BE23" i="6"/>
  <c r="BC23" i="6"/>
  <c r="BB23" i="6"/>
  <c r="AZ23" i="6"/>
  <c r="AY23" i="6"/>
  <c r="AW23" i="6"/>
  <c r="AV23" i="6"/>
  <c r="AS23" i="6"/>
  <c r="AQ23" i="6"/>
  <c r="AP23" i="6"/>
  <c r="AN23" i="6"/>
  <c r="AM23" i="6"/>
  <c r="AJ23" i="6"/>
  <c r="AH23" i="6"/>
  <c r="AG23" i="6"/>
  <c r="AD23" i="6"/>
  <c r="AA23" i="6"/>
  <c r="Y23" i="6"/>
  <c r="X23" i="6"/>
  <c r="V23" i="6"/>
  <c r="U23" i="6"/>
  <c r="R23" i="6"/>
  <c r="P23" i="6"/>
  <c r="O23" i="6"/>
  <c r="L23" i="6"/>
  <c r="I23" i="6"/>
  <c r="G23" i="6"/>
  <c r="F23" i="6"/>
  <c r="BN22" i="6"/>
  <c r="BM22" i="6"/>
  <c r="BL22" i="6"/>
  <c r="BK22" i="6"/>
  <c r="BH22" i="6"/>
  <c r="BF22" i="6"/>
  <c r="BE22" i="6"/>
  <c r="BB22" i="6"/>
  <c r="AY22" i="6"/>
  <c r="AW22" i="6"/>
  <c r="AV22" i="6"/>
  <c r="AS22" i="6"/>
  <c r="AQ22" i="6"/>
  <c r="AP22" i="6"/>
  <c r="AM22" i="6"/>
  <c r="AJ22" i="6"/>
  <c r="AH22" i="6"/>
  <c r="AG22" i="6"/>
  <c r="AE22" i="6"/>
  <c r="AD22" i="6"/>
  <c r="AA22" i="6"/>
  <c r="X22" i="6"/>
  <c r="V22" i="6"/>
  <c r="U22" i="6"/>
  <c r="R22" i="6"/>
  <c r="P22" i="6"/>
  <c r="O22" i="6"/>
  <c r="L22" i="6"/>
  <c r="I22" i="6"/>
  <c r="G22" i="6"/>
  <c r="F22" i="6"/>
  <c r="BN21" i="6"/>
  <c r="BM21" i="6"/>
  <c r="BL21" i="6"/>
  <c r="BK21" i="6"/>
  <c r="BI21" i="6"/>
  <c r="BH21" i="6"/>
  <c r="BF21" i="6"/>
  <c r="BE21" i="6"/>
  <c r="BC21" i="6"/>
  <c r="BB21" i="6"/>
  <c r="AZ21" i="6"/>
  <c r="AY21" i="6"/>
  <c r="AW21" i="6"/>
  <c r="AV21" i="6"/>
  <c r="AT21" i="6"/>
  <c r="AS21" i="6"/>
  <c r="AQ21" i="6"/>
  <c r="AP21" i="6"/>
  <c r="AN21" i="6"/>
  <c r="AM21" i="6"/>
  <c r="AK21" i="6"/>
  <c r="AJ21" i="6"/>
  <c r="AH21" i="6"/>
  <c r="AG21" i="6"/>
  <c r="AE21" i="6"/>
  <c r="AD21" i="6"/>
  <c r="AB21" i="6"/>
  <c r="AA21" i="6"/>
  <c r="Y21" i="6"/>
  <c r="X21" i="6"/>
  <c r="V21" i="6"/>
  <c r="U21" i="6"/>
  <c r="S21" i="6"/>
  <c r="R21" i="6"/>
  <c r="P21" i="6"/>
  <c r="O21" i="6"/>
  <c r="M21" i="6"/>
  <c r="L21" i="6"/>
  <c r="J21" i="6"/>
  <c r="I21" i="6"/>
  <c r="F21" i="6"/>
  <c r="BN18" i="6"/>
  <c r="BM18" i="6"/>
  <c r="BL18" i="6"/>
  <c r="BK18" i="6"/>
  <c r="BI18" i="6"/>
  <c r="BH18" i="6"/>
  <c r="BF18" i="6"/>
  <c r="BE18" i="6"/>
  <c r="BC18" i="6"/>
  <c r="BB18" i="6"/>
  <c r="AZ18" i="6"/>
  <c r="AY18" i="6"/>
  <c r="AW18" i="6"/>
  <c r="AV18" i="6"/>
  <c r="AT18" i="6"/>
  <c r="AS18" i="6"/>
  <c r="AQ18" i="6"/>
  <c r="AP18" i="6"/>
  <c r="AN18" i="6"/>
  <c r="AM18" i="6"/>
  <c r="AK18" i="6"/>
  <c r="AJ18" i="6"/>
  <c r="AH18" i="6"/>
  <c r="AG18" i="6"/>
  <c r="AE18" i="6"/>
  <c r="AD18" i="6"/>
  <c r="AB18" i="6"/>
  <c r="AA18" i="6"/>
  <c r="Y18" i="6"/>
  <c r="X18" i="6"/>
  <c r="V18" i="6"/>
  <c r="U18" i="6"/>
  <c r="S18" i="6"/>
  <c r="R18" i="6"/>
  <c r="P18" i="6"/>
  <c r="O18" i="6"/>
  <c r="M18" i="6"/>
  <c r="L18" i="6"/>
  <c r="J18" i="6"/>
  <c r="I18" i="6"/>
  <c r="G18" i="6"/>
  <c r="F18" i="6"/>
  <c r="BN17" i="6"/>
  <c r="BM17" i="6"/>
  <c r="BL17" i="6"/>
  <c r="BK17" i="6"/>
  <c r="BI17" i="6"/>
  <c r="BH17" i="6"/>
  <c r="BF17" i="6"/>
  <c r="BE17" i="6"/>
  <c r="BC17" i="6"/>
  <c r="BB17" i="6"/>
  <c r="AZ17" i="6"/>
  <c r="AY17" i="6"/>
  <c r="AW17" i="6"/>
  <c r="AV17" i="6"/>
  <c r="AT17" i="6"/>
  <c r="AS17" i="6"/>
  <c r="AQ17" i="6"/>
  <c r="AP17" i="6"/>
  <c r="AN17" i="6"/>
  <c r="AM17" i="6"/>
  <c r="AK17" i="6"/>
  <c r="AJ17" i="6"/>
  <c r="AH17" i="6"/>
  <c r="AG17" i="6"/>
  <c r="AE17" i="6"/>
  <c r="AD17" i="6"/>
  <c r="AB17" i="6"/>
  <c r="AA17" i="6"/>
  <c r="Y17" i="6"/>
  <c r="X17" i="6"/>
  <c r="V17" i="6"/>
  <c r="U17" i="6"/>
  <c r="S17" i="6"/>
  <c r="R17" i="6"/>
  <c r="P17" i="6"/>
  <c r="O17" i="6"/>
  <c r="M17" i="6"/>
  <c r="L17" i="6"/>
  <c r="J17" i="6"/>
  <c r="I17" i="6"/>
  <c r="G17" i="6"/>
  <c r="F17" i="6"/>
  <c r="BN16" i="6"/>
  <c r="BM16" i="6"/>
  <c r="BL16" i="6"/>
  <c r="BK16" i="6"/>
  <c r="BI16" i="6"/>
  <c r="BH16" i="6"/>
  <c r="BF16" i="6"/>
  <c r="BE16" i="6"/>
  <c r="BC16" i="6"/>
  <c r="BB16" i="6"/>
  <c r="AZ16" i="6"/>
  <c r="AY16" i="6"/>
  <c r="AW16" i="6"/>
  <c r="AV16" i="6"/>
  <c r="AT16" i="6"/>
  <c r="AS16" i="6"/>
  <c r="AQ16" i="6"/>
  <c r="AP16" i="6"/>
  <c r="AN16" i="6"/>
  <c r="AM16" i="6"/>
  <c r="AK16" i="6"/>
  <c r="AJ16" i="6"/>
  <c r="AH16" i="6"/>
  <c r="AG16" i="6"/>
  <c r="AE16" i="6"/>
  <c r="AD16" i="6"/>
  <c r="AB16" i="6"/>
  <c r="AA16" i="6"/>
  <c r="Y16" i="6"/>
  <c r="X16" i="6"/>
  <c r="V16" i="6"/>
  <c r="U16" i="6"/>
  <c r="S16" i="6"/>
  <c r="R16" i="6"/>
  <c r="P16" i="6"/>
  <c r="O16" i="6"/>
  <c r="M16" i="6"/>
  <c r="L16" i="6"/>
  <c r="J16" i="6"/>
  <c r="I16" i="6"/>
  <c r="G16" i="6"/>
  <c r="F16" i="6"/>
  <c r="BN14" i="6"/>
  <c r="BM14" i="6"/>
  <c r="BL14" i="6"/>
  <c r="BK14" i="6"/>
  <c r="BI14" i="6"/>
  <c r="BH14" i="6"/>
  <c r="BF14" i="6"/>
  <c r="BE14" i="6"/>
  <c r="BC14" i="6"/>
  <c r="BB14" i="6"/>
  <c r="AZ14" i="6"/>
  <c r="AY14" i="6"/>
  <c r="AW14" i="6"/>
  <c r="AV14" i="6"/>
  <c r="AT14" i="6"/>
  <c r="AS14" i="6"/>
  <c r="AQ14" i="6"/>
  <c r="AP14" i="6"/>
  <c r="AN14" i="6"/>
  <c r="AM14" i="6"/>
  <c r="AK14" i="6"/>
  <c r="AJ14" i="6"/>
  <c r="AH14" i="6"/>
  <c r="AG14" i="6"/>
  <c r="AE14" i="6"/>
  <c r="AD14" i="6"/>
  <c r="AB14" i="6"/>
  <c r="AA14" i="6"/>
  <c r="Y14" i="6"/>
  <c r="X14" i="6"/>
  <c r="V14" i="6"/>
  <c r="U14" i="6"/>
  <c r="S14" i="6"/>
  <c r="R14" i="6"/>
  <c r="P14" i="6"/>
  <c r="O14" i="6"/>
  <c r="M14" i="6"/>
  <c r="L14" i="6"/>
  <c r="J14" i="6"/>
  <c r="I14" i="6"/>
  <c r="G14" i="6"/>
  <c r="F14" i="6"/>
  <c r="BN13" i="6"/>
  <c r="BM13" i="6"/>
  <c r="BL13" i="6"/>
  <c r="BK13" i="6"/>
  <c r="BI13" i="6"/>
  <c r="BH13" i="6"/>
  <c r="BF13" i="6"/>
  <c r="BE13" i="6"/>
  <c r="BC13" i="6"/>
  <c r="BB13" i="6"/>
  <c r="AZ13" i="6"/>
  <c r="AY13" i="6"/>
  <c r="AW13" i="6"/>
  <c r="AV13" i="6"/>
  <c r="AT13" i="6"/>
  <c r="AS13" i="6"/>
  <c r="AQ13" i="6"/>
  <c r="AP13" i="6"/>
  <c r="AN13" i="6"/>
  <c r="AM13" i="6"/>
  <c r="AK13" i="6"/>
  <c r="AJ13" i="6"/>
  <c r="AH13" i="6"/>
  <c r="AG13" i="6"/>
  <c r="AE13" i="6"/>
  <c r="AD13" i="6"/>
  <c r="AB13" i="6"/>
  <c r="AA13" i="6"/>
  <c r="Y13" i="6"/>
  <c r="X13" i="6"/>
  <c r="V13" i="6"/>
  <c r="U13" i="6"/>
  <c r="S13" i="6"/>
  <c r="R13" i="6"/>
  <c r="P13" i="6"/>
  <c r="O13" i="6"/>
  <c r="M13" i="6"/>
  <c r="L13" i="6"/>
  <c r="J13" i="6"/>
  <c r="I13" i="6"/>
  <c r="G13" i="6"/>
  <c r="F13" i="6"/>
  <c r="BN12" i="6"/>
  <c r="BM12" i="6"/>
  <c r="BL12" i="6"/>
  <c r="BK12" i="6"/>
  <c r="BI12" i="6"/>
  <c r="BH12" i="6"/>
  <c r="BF12" i="6"/>
  <c r="BE12" i="6"/>
  <c r="BC12" i="6"/>
  <c r="BB12" i="6"/>
  <c r="AZ12" i="6"/>
  <c r="AY12" i="6"/>
  <c r="AW12" i="6"/>
  <c r="AV12" i="6"/>
  <c r="AT12" i="6"/>
  <c r="AS12" i="6"/>
  <c r="AQ12" i="6"/>
  <c r="AP12" i="6"/>
  <c r="AN12" i="6"/>
  <c r="AM12" i="6"/>
  <c r="AK12" i="6"/>
  <c r="AJ12" i="6"/>
  <c r="AH12" i="6"/>
  <c r="AG12" i="6"/>
  <c r="AE12" i="6"/>
  <c r="AD12" i="6"/>
  <c r="AB12" i="6"/>
  <c r="AA12" i="6"/>
  <c r="Y12" i="6"/>
  <c r="X12" i="6"/>
  <c r="V12" i="6"/>
  <c r="U12" i="6"/>
  <c r="S12" i="6"/>
  <c r="R12" i="6"/>
  <c r="P12" i="6"/>
  <c r="O12" i="6"/>
  <c r="M12" i="6"/>
  <c r="L12" i="6"/>
  <c r="J12" i="6"/>
  <c r="I12" i="6"/>
  <c r="G12" i="6"/>
  <c r="F12" i="6"/>
  <c r="BN9" i="6"/>
  <c r="BM9" i="6"/>
  <c r="BN8" i="6"/>
  <c r="BM8" i="6"/>
  <c r="BN7" i="6"/>
  <c r="BM7" i="6"/>
  <c r="BL9" i="6"/>
  <c r="BK9" i="6"/>
  <c r="BL8" i="6"/>
  <c r="BK8" i="6"/>
  <c r="BL7" i="6"/>
  <c r="BK7" i="6"/>
  <c r="BI9" i="6"/>
  <c r="BH9" i="6"/>
  <c r="BI8" i="6"/>
  <c r="BH8" i="6"/>
  <c r="BI7" i="6"/>
  <c r="BH7" i="6"/>
  <c r="BF9" i="6"/>
  <c r="BE9" i="6"/>
  <c r="BF8" i="6"/>
  <c r="BE8" i="6"/>
  <c r="BF7" i="6"/>
  <c r="BE7" i="6"/>
  <c r="BC9" i="6"/>
  <c r="BB9" i="6"/>
  <c r="BC8" i="6"/>
  <c r="BB8" i="6"/>
  <c r="BC7" i="6"/>
  <c r="BB7" i="6"/>
  <c r="AZ9" i="6"/>
  <c r="AY9" i="6"/>
  <c r="AZ8" i="6"/>
  <c r="AY8" i="6"/>
  <c r="AZ7" i="6"/>
  <c r="AY7" i="6"/>
  <c r="AW9" i="6"/>
  <c r="AV9" i="6"/>
  <c r="AW8" i="6"/>
  <c r="AV8" i="6"/>
  <c r="AW7" i="6"/>
  <c r="AV7" i="6"/>
  <c r="AT9" i="6"/>
  <c r="AS9" i="6"/>
  <c r="AT8" i="6"/>
  <c r="AS8" i="6"/>
  <c r="AT7" i="6"/>
  <c r="AS7" i="6"/>
  <c r="AQ9" i="6"/>
  <c r="AP9" i="6"/>
  <c r="AQ8" i="6"/>
  <c r="AP8" i="6"/>
  <c r="AQ7" i="6"/>
  <c r="AP7" i="6"/>
  <c r="AN9" i="6"/>
  <c r="AM9" i="6"/>
  <c r="AN8" i="6"/>
  <c r="AM8" i="6"/>
  <c r="AN7" i="6"/>
  <c r="AM7" i="6"/>
  <c r="AK9" i="6"/>
  <c r="AJ9" i="6"/>
  <c r="AK8" i="6"/>
  <c r="AJ8" i="6"/>
  <c r="AK7" i="6"/>
  <c r="AJ7" i="6"/>
  <c r="AH9" i="6"/>
  <c r="AG9" i="6"/>
  <c r="AH8" i="6"/>
  <c r="AG8" i="6"/>
  <c r="AH7" i="6"/>
  <c r="AG7" i="6"/>
  <c r="AE9" i="6"/>
  <c r="AD9" i="6"/>
  <c r="AE8" i="6"/>
  <c r="AD8" i="6"/>
  <c r="AE7" i="6"/>
  <c r="AD7" i="6"/>
  <c r="AB9" i="6"/>
  <c r="AA9" i="6"/>
  <c r="AB8" i="6"/>
  <c r="AA8" i="6"/>
  <c r="AB7" i="6"/>
  <c r="AA7" i="6"/>
  <c r="Y9" i="6"/>
  <c r="X9" i="6"/>
  <c r="Y8" i="6"/>
  <c r="X8" i="6"/>
  <c r="Y7" i="6"/>
  <c r="X7" i="6"/>
  <c r="V9" i="6"/>
  <c r="U9" i="6"/>
  <c r="V8" i="6"/>
  <c r="U8" i="6"/>
  <c r="V7" i="6"/>
  <c r="U7" i="6"/>
  <c r="S9" i="6"/>
  <c r="R9" i="6"/>
  <c r="S8" i="6"/>
  <c r="R8" i="6"/>
  <c r="S7" i="6"/>
  <c r="R7" i="6"/>
  <c r="P9" i="6"/>
  <c r="O9" i="6"/>
  <c r="P8" i="6"/>
  <c r="O8" i="6"/>
  <c r="P7" i="6"/>
  <c r="O7" i="6"/>
  <c r="M9" i="6"/>
  <c r="L9" i="6"/>
  <c r="M8" i="6"/>
  <c r="L8" i="6"/>
  <c r="M7" i="6"/>
  <c r="L7" i="6"/>
  <c r="J9" i="6"/>
  <c r="I9" i="6"/>
  <c r="J8" i="6"/>
  <c r="I8" i="6"/>
  <c r="J7" i="6"/>
  <c r="I7" i="6"/>
  <c r="G9" i="6"/>
  <c r="F9" i="6"/>
  <c r="G8" i="6"/>
  <c r="F8" i="6"/>
  <c r="G7" i="6"/>
  <c r="F7" i="6"/>
</calcChain>
</file>

<file path=xl/sharedStrings.xml><?xml version="1.0" encoding="utf-8"?>
<sst xmlns="http://schemas.openxmlformats.org/spreadsheetml/2006/main" count="1444" uniqueCount="183">
  <si>
    <t>PROD</t>
  </si>
  <si>
    <t>SUBCLASS</t>
  </si>
  <si>
    <t>AP/TS</t>
  </si>
  <si>
    <t>TN</t>
  </si>
  <si>
    <t>KA</t>
  </si>
  <si>
    <t>MH/GA</t>
  </si>
  <si>
    <t>GJ</t>
  </si>
  <si>
    <t>BH</t>
  </si>
  <si>
    <t>JH</t>
  </si>
  <si>
    <t>OD</t>
  </si>
  <si>
    <t>WB</t>
  </si>
  <si>
    <t>CG</t>
  </si>
  <si>
    <t>AS/ML/TR/AR/NL</t>
  </si>
  <si>
    <t>DL</t>
  </si>
  <si>
    <t>PB</t>
  </si>
  <si>
    <t>HP</t>
  </si>
  <si>
    <t>JK</t>
  </si>
  <si>
    <t>UP- East</t>
  </si>
  <si>
    <t>UP</t>
  </si>
  <si>
    <t>UK</t>
  </si>
  <si>
    <t>AN</t>
  </si>
  <si>
    <t>RJ</t>
  </si>
  <si>
    <t>MP</t>
  </si>
  <si>
    <t>ACT</t>
  </si>
  <si>
    <t>PACK</t>
  </si>
  <si>
    <t xml:space="preserve">PC
[PACK]
</t>
  </si>
  <si>
    <t>UPTO 1000 CC</t>
  </si>
  <si>
    <t>1000 TO 1500 CC</t>
  </si>
  <si>
    <t>ABOVE 1500 CC</t>
  </si>
  <si>
    <t xml:space="preserve">PC
[SOD]
</t>
  </si>
  <si>
    <t>UPTO 1000 CC[P]</t>
  </si>
  <si>
    <t>1000 TO 1500 CC[P]</t>
  </si>
  <si>
    <t>ABOVE 1500 CC[P]</t>
  </si>
  <si>
    <t>UPTO 1000 CC[D]</t>
  </si>
  <si>
    <t>1000 TO 1500 CC[D]</t>
  </si>
  <si>
    <t>ABOVE 1500 CC[D]</t>
  </si>
  <si>
    <t xml:space="preserve">** Please note that the above pay-out grid </t>
  </si>
  <si>
    <t>-  For Private Car Package policy pay-out  is on OD Cover Premium and Private Car Liability policy  Pay-out is on TP/PA Premium</t>
  </si>
  <si>
    <t>-  For Private Car Package &amp; Liability policy CPA should be collected for individual Name Mandatorily</t>
  </si>
  <si>
    <t>-  For Private Car Electric Vehicle or LPG/CNG pay-out grid is same as Private Car Petrol grid</t>
  </si>
  <si>
    <t>if CPA is not collected for individual name then 1.5% of OD Pay-out will be deducted</t>
  </si>
  <si>
    <t>Please refer the terms below</t>
  </si>
  <si>
    <t xml:space="preserve">TW Electric </t>
  </si>
  <si>
    <t>State
(RTO)</t>
  </si>
  <si>
    <t>Type</t>
  </si>
  <si>
    <t>Hero OEM</t>
  </si>
  <si>
    <t>TVS OEM</t>
  </si>
  <si>
    <t>Suzuki OEM</t>
  </si>
  <si>
    <t>Yamaha OEM</t>
  </si>
  <si>
    <t>RE OEM</t>
  </si>
  <si>
    <t>Honda</t>
  </si>
  <si>
    <t>Bajaj</t>
  </si>
  <si>
    <t>Others</t>
  </si>
  <si>
    <t>State</t>
  </si>
  <si>
    <t>All Electric Make</t>
  </si>
  <si>
    <t>Hero vs Bajaj</t>
  </si>
  <si>
    <t>150cc</t>
  </si>
  <si>
    <t>SCOOTER</t>
  </si>
  <si>
    <t>150_350cc</t>
  </si>
  <si>
    <t>350cc</t>
  </si>
  <si>
    <t>7 KW Bike</t>
  </si>
  <si>
    <t>7 KW SCOOTER</t>
  </si>
  <si>
    <t>7 KW - 16 KW</t>
  </si>
  <si>
    <t>&gt; 16 KW</t>
  </si>
  <si>
    <t>AP</t>
  </si>
  <si>
    <t>NEW(100-500 NOP)</t>
  </si>
  <si>
    <t>NEW(30-100 NOP)</t>
  </si>
  <si>
    <t>NEW(UPTO 30 NOP)</t>
  </si>
  <si>
    <t>SOD</t>
  </si>
  <si>
    <t>ANNUAL</t>
  </si>
  <si>
    <t>TS</t>
  </si>
  <si>
    <t>TN/ROK</t>
  </si>
  <si>
    <t>KA
(Bangalore)</t>
  </si>
  <si>
    <t>KL/LD</t>
  </si>
  <si>
    <t>KL</t>
  </si>
  <si>
    <t>PY</t>
  </si>
  <si>
    <t>MH</t>
  </si>
  <si>
    <t>GJ/DN/DD</t>
  </si>
  <si>
    <t>GA</t>
  </si>
  <si>
    <t>BR</t>
  </si>
  <si>
    <t>AS/ML/TR/
AR/NL</t>
  </si>
  <si>
    <t>NE</t>
  </si>
  <si>
    <t>HR</t>
  </si>
  <si>
    <t>JK/LD</t>
  </si>
  <si>
    <t xml:space="preserve"> East UP</t>
  </si>
  <si>
    <t xml:space="preserve">** Please note that the above payout grid </t>
  </si>
  <si>
    <t>-  For TW Package policy is on Net Premium &amp; TW Liability policy is on TP/PA Premium</t>
  </si>
  <si>
    <t>-  For TWPackage &amp; Liability policy CPA should be collected for individual 0me Mandatorily</t>
  </si>
  <si>
    <t xml:space="preserve">-  If Policy the source through OEM Program and Payout is Not available a Minimum Payout of 22.5% to be given </t>
  </si>
  <si>
    <t>-  The Percentage is inclusive of the Brokerage paid to OEM Broker</t>
  </si>
  <si>
    <t>Payout in Two wheeler will be on the First Year Premium only both on OD ,TP and PA</t>
  </si>
  <si>
    <t>if CPA is not collected for individual 0me then 1.5% of Net Payout will be deducted</t>
  </si>
  <si>
    <t>MAKE</t>
  </si>
  <si>
    <t>MODEL</t>
  </si>
  <si>
    <t>BH/JH</t>
  </si>
  <si>
    <t>GCCV</t>
  </si>
  <si>
    <t>1_GCCV_3W</t>
  </si>
  <si>
    <t>1_GCCV_3W[Electric]</t>
  </si>
  <si>
    <t>2_UPTO_3.5T</t>
  </si>
  <si>
    <t>TATA/
Maruti/
Mahindra</t>
  </si>
  <si>
    <t>Ace, Super Ace, Yodha, Xenon, Magic, Intra, Super Carry, Mahindra Jeeto,Tractor ,Supro</t>
  </si>
  <si>
    <t>All Other Make/Models</t>
  </si>
  <si>
    <t>2_UPTO_3.5T[Electric]</t>
  </si>
  <si>
    <t>3_3.5T_TO_7.5T</t>
  </si>
  <si>
    <t>4_7.5T_TO_12T</t>
  </si>
  <si>
    <t>5_12T_TO_16T</t>
  </si>
  <si>
    <t>6_16T_TO_20T</t>
  </si>
  <si>
    <t>7_20T_TO_40T</t>
  </si>
  <si>
    <t>8_40T_TO_43T</t>
  </si>
  <si>
    <t>PCCV&lt;6</t>
  </si>
  <si>
    <t>1_3W_AUTO</t>
  </si>
  <si>
    <t>1_3W_AUTO[Electric]</t>
  </si>
  <si>
    <t>2_4W_LT_1500CC</t>
  </si>
  <si>
    <t>3_4W_GT_1500CC</t>
  </si>
  <si>
    <t>PCCV&gt;6</t>
  </si>
  <si>
    <t>1_SCHOOL_BUS</t>
  </si>
  <si>
    <t>2_STAFF_BUS</t>
  </si>
  <si>
    <t>3_BIG_TAXIS</t>
  </si>
  <si>
    <t>4_MAXI_CAB</t>
  </si>
  <si>
    <t>5_BUS</t>
  </si>
  <si>
    <t>MSV</t>
  </si>
  <si>
    <t xml:space="preserve">1_TRAC[NEW] </t>
  </si>
  <si>
    <t xml:space="preserve">1_TRAC[RENEWAL] </t>
  </si>
  <si>
    <t>2_EXCAVATOR</t>
  </si>
  <si>
    <t>Loader, Excavators/Earth Movers, Crane, Bulldozers/Bullgraders, Road Rollers, Fork Lift Trucks</t>
  </si>
  <si>
    <t>3_HARVESTOR</t>
  </si>
  <si>
    <t>4_OTHERS</t>
  </si>
  <si>
    <t>-  For Commercial Vehicle Package/Liability policy is on Net Premium</t>
  </si>
  <si>
    <t>-  For CV Package &amp; Liability policy CPA should be collected for individual Name Mandatorily</t>
  </si>
  <si>
    <t>if CPA is not collected for individual name then 1.5% of Net Payout will be deducted</t>
  </si>
  <si>
    <t>-  GCCV EV Exceeding 3.5 Tonnage &amp; Passanger Carrying EV (except eAUTO) is declined</t>
  </si>
  <si>
    <t>UPTO 1000 CC[ NCB GT 25%]</t>
  </si>
  <si>
    <t>1000 TO 1500 CC[ NCB GT 25%]</t>
  </si>
  <si>
    <t>ABOVE 1500 CC[ NCB GT 25%]</t>
  </si>
  <si>
    <t>UPTO 1000 CC[P] [ NCB GT 25%]</t>
  </si>
  <si>
    <t>1000 TO 1500 CC[P] [ NCB GT 25%]</t>
  </si>
  <si>
    <t>ABOVE 1500 CC[P] [ NCB GT 25%]</t>
  </si>
  <si>
    <t>UPTO 1000 CC[D] [ NCB GT 25%]</t>
  </si>
  <si>
    <t>1000 TO 1500 CC[D] [ NCB GT 25%]</t>
  </si>
  <si>
    <t>ABOVE 1500 CC[D] [ NCB GT 25%]</t>
  </si>
  <si>
    <t xml:space="preserve"> Private Car Grid for the month of AUG 25</t>
  </si>
  <si>
    <t xml:space="preserve"> Commercial Vehicles Grid for the month of AUG 25</t>
  </si>
  <si>
    <t>10_ABOVE_47.5T</t>
  </si>
  <si>
    <t>9_43T_TO_47.5T</t>
  </si>
  <si>
    <t>TW Make Grid for the month of AUG 25</t>
  </si>
  <si>
    <t xml:space="preserve"> Private Car Grid for the month of Jun 25</t>
  </si>
  <si>
    <t xml:space="preserve"> Commercial Vehicles Grid for the month of Jun 25</t>
  </si>
  <si>
    <t>9_43T_TO_47T</t>
  </si>
  <si>
    <t>10_ABOVE_47T</t>
  </si>
  <si>
    <t>Proposed</t>
  </si>
  <si>
    <t>ROM</t>
  </si>
  <si>
    <t>Mumbai/GA</t>
  </si>
  <si>
    <t>ROMG</t>
  </si>
  <si>
    <t>Gujarat</t>
  </si>
  <si>
    <t>GVW</t>
  </si>
  <si>
    <t>Kar</t>
  </si>
  <si>
    <t>12-20</t>
  </si>
  <si>
    <t>2-3.5</t>
  </si>
  <si>
    <t>20-40</t>
  </si>
  <si>
    <t>KAR</t>
  </si>
  <si>
    <t>40-43</t>
  </si>
  <si>
    <t>Curr (Exclusive Partners)-RB</t>
  </si>
  <si>
    <t>Curr (Agency +Small Brokers)</t>
  </si>
  <si>
    <t>Diff(Exc Partners)-RB</t>
  </si>
  <si>
    <t>Diff (Agency +Small Brokers)</t>
  </si>
  <si>
    <t>Current Vs Proposed</t>
  </si>
  <si>
    <t>Curr (Agency )</t>
  </si>
  <si>
    <t>Diff (Agency )</t>
  </si>
  <si>
    <t xml:space="preserve"> Commercial Vehicles Grid for the month of  Nov25</t>
  </si>
  <si>
    <t xml:space="preserve"> Private Car Grid for the month of  Nov  25</t>
  </si>
  <si>
    <t>TW Make Grid for the month of Nov  25</t>
  </si>
  <si>
    <t>-  For Private Car Package,SAOD &amp; Liability policy CPA should be collected for individual Name Mandatorily</t>
  </si>
  <si>
    <t>-  For TWPackage &amp; Liability policy CPA should be collected for individual name Mandatorily</t>
  </si>
  <si>
    <t>if CPA is not collected for individual NAME then 1.5% of Net Payout will be deducted</t>
  </si>
  <si>
    <t>SAOD TW wont have any payouts,it will be blocked in system</t>
  </si>
  <si>
    <t>ELECTRIC PVT CAR- PO SLAB CRITERIA</t>
  </si>
  <si>
    <t>CC</t>
  </si>
  <si>
    <t>KW</t>
  </si>
  <si>
    <t>30 KW</t>
  </si>
  <si>
    <t xml:space="preserve">1000-1500 CC </t>
  </si>
  <si>
    <t>&gt;30KW-65KW</t>
  </si>
  <si>
    <t>&gt;65 KW</t>
  </si>
  <si>
    <t>10_ABOVE_47.5T -56T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</si>
</sst>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sz val="10"/>
      <color theme="5" tint="-0.249977111117893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5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theme="5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theme="5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theme="5" tint="0.79998168889431442"/>
      </patternFill>
    </fill>
    <fill>
      <patternFill patternType="solid">
        <fgColor theme="5" tint="-0.249977111117893"/>
        <bgColor theme="5" tint="0.79998168889431442"/>
      </patternFill>
    </fill>
    <fill>
      <patternFill patternType="solid">
        <fgColor rgb="FF99FF33"/>
        <bgColor indexed="64"/>
      </patternFill>
    </fill>
    <fill>
      <patternFill patternType="solid">
        <fgColor rgb="FF99FF33"/>
        <bgColor theme="5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6" fillId="3" borderId="2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vertical="center"/>
    </xf>
    <xf numFmtId="164" fontId="7" fillId="9" borderId="2" xfId="1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4" fontId="7" fillId="3" borderId="0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7" fillId="3" borderId="2" xfId="1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3" borderId="5" xfId="1" applyNumberFormat="1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11" borderId="10" xfId="0" applyFont="1" applyFill="1" applyBorder="1" applyAlignment="1">
      <alignment horizontal="left" vertical="center"/>
    </xf>
    <xf numFmtId="0" fontId="8" fillId="11" borderId="11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left" vertical="center"/>
    </xf>
    <xf numFmtId="0" fontId="8" fillId="11" borderId="12" xfId="0" applyFont="1" applyFill="1" applyBorder="1" applyAlignment="1">
      <alignment horizontal="center" vertical="center"/>
    </xf>
    <xf numFmtId="0" fontId="9" fillId="11" borderId="13" xfId="0" quotePrefix="1" applyFont="1" applyFill="1" applyBorder="1" applyAlignment="1">
      <alignment horizontal="left" vertical="center" indent="2"/>
    </xf>
    <xf numFmtId="0" fontId="8" fillId="11" borderId="0" xfId="0" applyFont="1" applyFill="1" applyAlignment="1">
      <alignment horizontal="center" vertical="center"/>
    </xf>
    <xf numFmtId="0" fontId="9" fillId="11" borderId="0" xfId="0" quotePrefix="1" applyFont="1" applyFill="1" applyAlignment="1">
      <alignment horizontal="left" vertical="center" indent="2"/>
    </xf>
    <xf numFmtId="0" fontId="8" fillId="11" borderId="14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10" fillId="11" borderId="15" xfId="0" quotePrefix="1" applyFont="1" applyFill="1" applyBorder="1" applyAlignment="1">
      <alignment horizontal="left" vertical="center" indent="2"/>
    </xf>
    <xf numFmtId="0" fontId="8" fillId="11" borderId="16" xfId="0" applyFont="1" applyFill="1" applyBorder="1" applyAlignment="1">
      <alignment horizontal="center" vertical="center"/>
    </xf>
    <xf numFmtId="0" fontId="9" fillId="11" borderId="16" xfId="0" quotePrefix="1" applyFont="1" applyFill="1" applyBorder="1" applyAlignment="1">
      <alignment horizontal="left" vertical="center" indent="2"/>
    </xf>
    <xf numFmtId="0" fontId="8" fillId="11" borderId="17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 textRotation="90"/>
    </xf>
    <xf numFmtId="0" fontId="3" fillId="16" borderId="0" xfId="0" applyFont="1" applyFill="1" applyAlignment="1">
      <alignment horizontal="center" vertical="center" textRotation="90"/>
    </xf>
    <xf numFmtId="0" fontId="2" fillId="13" borderId="2" xfId="0" applyFont="1" applyFill="1" applyBorder="1" applyAlignment="1">
      <alignment horizontal="center" vertical="center" textRotation="90"/>
    </xf>
    <xf numFmtId="164" fontId="7" fillId="17" borderId="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9" fillId="11" borderId="15" xfId="0" quotePrefix="1" applyFont="1" applyFill="1" applyBorder="1" applyAlignment="1">
      <alignment horizontal="left" vertical="center" indent="2"/>
    </xf>
    <xf numFmtId="0" fontId="0" fillId="0" borderId="17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64" fontId="15" fillId="9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7" fillId="20" borderId="2" xfId="1" applyNumberFormat="1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64" fontId="7" fillId="20" borderId="2" xfId="0" applyNumberFormat="1" applyFont="1" applyFill="1" applyBorder="1" applyAlignment="1">
      <alignment horizontal="center" vertical="center"/>
    </xf>
    <xf numFmtId="164" fontId="7" fillId="23" borderId="0" xfId="1" applyNumberFormat="1" applyFont="1" applyFill="1" applyBorder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164" fontId="7" fillId="23" borderId="0" xfId="0" applyNumberFormat="1" applyFont="1" applyFill="1" applyAlignment="1">
      <alignment horizontal="center" vertical="center"/>
    </xf>
    <xf numFmtId="0" fontId="16" fillId="16" borderId="10" xfId="0" applyFont="1" applyFill="1" applyBorder="1" applyAlignment="1">
      <alignment horizontal="left" vertical="center" indent="1"/>
    </xf>
    <xf numFmtId="0" fontId="17" fillId="16" borderId="11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7" fillId="16" borderId="12" xfId="0" applyFont="1" applyFill="1" applyBorder="1" applyAlignment="1">
      <alignment horizontal="center" vertical="center"/>
    </xf>
    <xf numFmtId="0" fontId="16" fillId="16" borderId="13" xfId="0" quotePrefix="1" applyFont="1" applyFill="1" applyBorder="1" applyAlignment="1">
      <alignment horizontal="left" vertical="center" indent="1"/>
    </xf>
    <xf numFmtId="0" fontId="17" fillId="16" borderId="0" xfId="0" applyFont="1" applyFill="1" applyAlignment="1">
      <alignment horizontal="center" vertical="center"/>
    </xf>
    <xf numFmtId="0" fontId="16" fillId="16" borderId="0" xfId="0" quotePrefix="1" applyFont="1" applyFill="1" applyAlignment="1">
      <alignment horizontal="center" vertical="center"/>
    </xf>
    <xf numFmtId="0" fontId="17" fillId="16" borderId="14" xfId="0" applyFont="1" applyFill="1" applyBorder="1" applyAlignment="1">
      <alignment horizontal="center" vertical="center"/>
    </xf>
    <xf numFmtId="0" fontId="17" fillId="16" borderId="0" xfId="0" applyFont="1" applyFill="1" applyAlignment="1">
      <alignment horizontal="left" vertical="center"/>
    </xf>
    <xf numFmtId="0" fontId="16" fillId="16" borderId="15" xfId="0" quotePrefix="1" applyFont="1" applyFill="1" applyBorder="1" applyAlignment="1">
      <alignment horizontal="left" vertical="center" indent="1"/>
    </xf>
    <xf numFmtId="0" fontId="16" fillId="16" borderId="15" xfId="0" quotePrefix="1" applyFont="1" applyFill="1" applyBorder="1" applyAlignment="1">
      <alignment horizontal="center" vertical="center"/>
    </xf>
    <xf numFmtId="0" fontId="16" fillId="16" borderId="16" xfId="0" quotePrefix="1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17" fillId="16" borderId="17" xfId="0" applyFont="1" applyFill="1" applyBorder="1" applyAlignment="1">
      <alignment horizontal="center" vertical="center"/>
    </xf>
    <xf numFmtId="164" fontId="15" fillId="5" borderId="2" xfId="0" applyNumberFormat="1" applyFont="1" applyFill="1" applyBorder="1" applyAlignment="1">
      <alignment horizontal="center" vertical="center"/>
    </xf>
    <xf numFmtId="164" fontId="7" fillId="9" borderId="7" xfId="0" applyNumberFormat="1" applyFont="1" applyFill="1" applyBorder="1" applyAlignment="1">
      <alignment vertical="center"/>
    </xf>
    <xf numFmtId="164" fontId="7" fillId="9" borderId="7" xfId="1" applyNumberFormat="1" applyFont="1" applyFill="1" applyBorder="1" applyAlignment="1">
      <alignment vertical="center"/>
    </xf>
    <xf numFmtId="164" fontId="7" fillId="5" borderId="7" xfId="0" applyNumberFormat="1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6" fillId="25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/>
    <xf numFmtId="0" fontId="3" fillId="0" borderId="2" xfId="0" applyFont="1" applyBorder="1"/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7" fontId="3" fillId="0" borderId="2" xfId="0" quotePrefix="1" applyNumberFormat="1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19" fillId="25" borderId="18" xfId="0" applyFont="1" applyFill="1" applyBorder="1" applyAlignment="1">
      <alignment horizontal="center"/>
    </xf>
    <xf numFmtId="164" fontId="6" fillId="26" borderId="2" xfId="0" applyNumberFormat="1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left" vertical="center"/>
    </xf>
    <xf numFmtId="0" fontId="20" fillId="11" borderId="11" xfId="0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horizontal="left" vertical="center"/>
    </xf>
    <xf numFmtId="0" fontId="7" fillId="11" borderId="13" xfId="0" quotePrefix="1" applyFont="1" applyFill="1" applyBorder="1" applyAlignment="1">
      <alignment horizontal="left" vertical="center" indent="2"/>
    </xf>
    <xf numFmtId="0" fontId="20" fillId="11" borderId="0" xfId="0" applyFont="1" applyFill="1" applyAlignment="1">
      <alignment horizontal="center" vertical="center"/>
    </xf>
    <xf numFmtId="0" fontId="7" fillId="11" borderId="0" xfId="0" quotePrefix="1" applyFont="1" applyFill="1" applyAlignment="1">
      <alignment horizontal="left" vertical="center" indent="2"/>
    </xf>
    <xf numFmtId="0" fontId="20" fillId="27" borderId="0" xfId="0" applyFont="1" applyFill="1" applyAlignment="1">
      <alignment horizontal="center" vertical="center"/>
    </xf>
    <xf numFmtId="0" fontId="7" fillId="27" borderId="0" xfId="0" quotePrefix="1" applyFont="1" applyFill="1" applyAlignment="1">
      <alignment horizontal="left" vertical="center" indent="2"/>
    </xf>
    <xf numFmtId="0" fontId="21" fillId="27" borderId="0" xfId="0" applyFont="1" applyFill="1" applyAlignment="1">
      <alignment horizontal="left" vertical="center"/>
    </xf>
    <xf numFmtId="0" fontId="22" fillId="27" borderId="0" xfId="0" applyFont="1" applyFill="1" applyAlignment="1">
      <alignment horizontal="center" vertical="center"/>
    </xf>
    <xf numFmtId="0" fontId="21" fillId="27" borderId="0" xfId="0" quotePrefix="1" applyFont="1" applyFill="1" applyAlignment="1">
      <alignment horizontal="left" vertical="center" indent="2"/>
    </xf>
    <xf numFmtId="0" fontId="23" fillId="11" borderId="15" xfId="0" quotePrefix="1" applyFont="1" applyFill="1" applyBorder="1" applyAlignment="1">
      <alignment horizontal="left" vertical="center" indent="2"/>
    </xf>
    <xf numFmtId="0" fontId="20" fillId="11" borderId="16" xfId="0" applyFont="1" applyFill="1" applyBorder="1" applyAlignment="1">
      <alignment horizontal="center" vertical="center"/>
    </xf>
    <xf numFmtId="0" fontId="7" fillId="11" borderId="16" xfId="0" quotePrefix="1" applyFont="1" applyFill="1" applyBorder="1" applyAlignment="1">
      <alignment horizontal="left" vertical="center" indent="2"/>
    </xf>
    <xf numFmtId="0" fontId="7" fillId="16" borderId="13" xfId="0" quotePrefix="1" applyFont="1" applyFill="1" applyBorder="1" applyAlignment="1">
      <alignment horizontal="left" vertical="center" indent="1"/>
    </xf>
    <xf numFmtId="0" fontId="20" fillId="16" borderId="0" xfId="0" applyFont="1" applyFill="1" applyAlignment="1">
      <alignment horizontal="center" vertical="center"/>
    </xf>
    <xf numFmtId="0" fontId="7" fillId="16" borderId="0" xfId="0" quotePrefix="1" applyFont="1" applyFill="1" applyAlignment="1">
      <alignment horizontal="center" vertical="center"/>
    </xf>
    <xf numFmtId="0" fontId="20" fillId="0" borderId="0" xfId="0" applyFont="1"/>
    <xf numFmtId="0" fontId="20" fillId="16" borderId="0" xfId="0" applyFont="1" applyFill="1" applyAlignment="1">
      <alignment horizontal="left" vertical="center"/>
    </xf>
    <xf numFmtId="0" fontId="7" fillId="16" borderId="15" xfId="0" quotePrefix="1" applyFont="1" applyFill="1" applyBorder="1" applyAlignment="1">
      <alignment horizontal="left" vertical="center" indent="1"/>
    </xf>
    <xf numFmtId="0" fontId="7" fillId="16" borderId="15" xfId="0" quotePrefix="1" applyFont="1" applyFill="1" applyBorder="1" applyAlignment="1">
      <alignment horizontal="center" vertical="center"/>
    </xf>
    <xf numFmtId="0" fontId="7" fillId="16" borderId="16" xfId="0" quotePrefix="1" applyFont="1" applyFill="1" applyBorder="1" applyAlignment="1">
      <alignment horizontal="center" vertical="center"/>
    </xf>
    <xf numFmtId="0" fontId="20" fillId="16" borderId="1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0" fontId="4" fillId="12" borderId="0" xfId="0" applyNumberFormat="1" applyFont="1" applyFill="1" applyAlignment="1">
      <alignment horizontal="center" vertical="center"/>
    </xf>
    <xf numFmtId="10" fontId="4" fillId="1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14" fillId="18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0" fontId="4" fillId="2" borderId="18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left" vertical="center"/>
    </xf>
    <xf numFmtId="0" fontId="24" fillId="5" borderId="21" xfId="0" applyFont="1" applyFill="1" applyBorder="1" applyAlignment="1">
      <alignment horizontal="center"/>
    </xf>
    <xf numFmtId="0" fontId="24" fillId="5" borderId="22" xfId="0" applyFont="1" applyFill="1" applyBorder="1" applyAlignment="1">
      <alignment horizontal="center"/>
    </xf>
    <xf numFmtId="0" fontId="3" fillId="0" borderId="2" xfId="0" quotePrefix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9" fillId="25" borderId="1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3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285750</xdr:colOff>
      <xdr:row>12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03D9F48-5B19-10E8-858F-CB5F80F92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33750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CA05-FAAA-4EC0-B6A1-5BF0DD65D7F2}">
  <sheetPr>
    <tabColor theme="9" tint="-0.499984740745262"/>
  </sheetPr>
  <dimension ref="A1:BE164"/>
  <sheetViews>
    <sheetView showGridLines="0" zoomScale="80" zoomScaleNormal="80" workbookViewId="0">
      <pane xSplit="3" ySplit="5" topLeftCell="D6" activePane="bottomRight" state="frozen"/>
      <selection activeCell="W9" sqref="W9"/>
      <selection pane="topRight" activeCell="W9" sqref="W9"/>
      <selection pane="bottomLeft" activeCell="W9" sqref="W9"/>
      <selection pane="bottomRight" activeCell="E13" sqref="E13"/>
    </sheetView>
  </sheetViews>
  <sheetFormatPr defaultColWidth="9.1796875" defaultRowHeight="14.5" x14ac:dyDescent="0.35"/>
  <cols>
    <col min="1" max="1" width="0.26953125" style="2" customWidth="1"/>
    <col min="2" max="2" width="10.7265625" style="2" bestFit="1" customWidth="1"/>
    <col min="3" max="3" width="20.453125" style="2" customWidth="1"/>
    <col min="4" max="7" width="6.453125" style="2" customWidth="1"/>
    <col min="8" max="8" width="0.7265625" style="2" customWidth="1"/>
    <col min="9" max="12" width="6.453125" style="2" customWidth="1"/>
    <col min="13" max="13" width="0.7265625" style="2" customWidth="1"/>
    <col min="14" max="17" width="6.453125" style="2" customWidth="1"/>
    <col min="18" max="18" width="0.7265625" style="2" customWidth="1"/>
    <col min="19" max="22" width="6.453125" style="2" customWidth="1"/>
    <col min="23" max="23" width="0.7265625" style="2" customWidth="1"/>
    <col min="24" max="25" width="6.453125" style="2" customWidth="1"/>
    <col min="26" max="26" width="0.7265625" style="2" customWidth="1"/>
    <col min="27" max="30" width="6.453125" style="2" customWidth="1"/>
    <col min="31" max="31" width="0.7265625" style="2" customWidth="1"/>
    <col min="32" max="35" width="6.453125" style="2" customWidth="1"/>
    <col min="36" max="36" width="0.7265625" style="2" customWidth="1"/>
    <col min="37" max="40" width="6.453125" style="2" customWidth="1"/>
    <col min="41" max="41" width="0.7265625" style="2" customWidth="1"/>
    <col min="42" max="42" width="9.1796875" style="2" customWidth="1"/>
    <col min="43" max="43" width="17.26953125" style="2" bestFit="1" customWidth="1"/>
    <col min="44" max="47" width="6.453125" style="2" customWidth="1"/>
    <col min="48" max="48" width="0.7265625" style="2" customWidth="1"/>
    <col min="49" max="49" width="9.1796875" style="2" customWidth="1"/>
    <col min="50" max="53" width="0" style="2" hidden="1" customWidth="1"/>
    <col min="54" max="57" width="6.453125" style="2" hidden="1" customWidth="1"/>
    <col min="58" max="16384" width="9.1796875" style="2"/>
  </cols>
  <sheetData>
    <row r="1" spans="1:57" ht="4.5" customHeight="1" x14ac:dyDescent="0.35"/>
    <row r="2" spans="1:57" ht="17.5" customHeight="1" x14ac:dyDescent="0.35">
      <c r="C2" s="3">
        <v>0.05</v>
      </c>
      <c r="E2" s="40" t="s">
        <v>41</v>
      </c>
      <c r="AB2" s="3">
        <v>2.5000000000000001E-2</v>
      </c>
    </row>
    <row r="3" spans="1:57" ht="23.5" x14ac:dyDescent="0.35">
      <c r="A3" s="123" t="s">
        <v>170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4" t="s">
        <v>42</v>
      </c>
      <c r="AP3" s="124"/>
      <c r="AQ3" s="124"/>
      <c r="AR3" s="124"/>
      <c r="AS3" s="124"/>
      <c r="AT3" s="124"/>
      <c r="AU3" s="124"/>
      <c r="AV3" s="124"/>
    </row>
    <row r="4" spans="1:57" ht="18.5" x14ac:dyDescent="0.35">
      <c r="A4" s="5"/>
      <c r="B4" s="125" t="s">
        <v>43</v>
      </c>
      <c r="C4" s="126" t="s">
        <v>44</v>
      </c>
      <c r="D4" s="127" t="s">
        <v>45</v>
      </c>
      <c r="E4" s="127"/>
      <c r="F4" s="127"/>
      <c r="G4" s="127"/>
      <c r="H4" s="41"/>
      <c r="I4" s="127" t="s">
        <v>46</v>
      </c>
      <c r="J4" s="127"/>
      <c r="K4" s="127"/>
      <c r="L4" s="127"/>
      <c r="M4" s="41"/>
      <c r="N4" s="127" t="s">
        <v>47</v>
      </c>
      <c r="O4" s="127"/>
      <c r="P4" s="127"/>
      <c r="Q4" s="127"/>
      <c r="R4" s="41"/>
      <c r="S4" s="127" t="s">
        <v>48</v>
      </c>
      <c r="T4" s="127"/>
      <c r="U4" s="127"/>
      <c r="V4" s="127"/>
      <c r="W4" s="41"/>
      <c r="X4" s="127" t="s">
        <v>49</v>
      </c>
      <c r="Y4" s="127"/>
      <c r="Z4" s="41"/>
      <c r="AA4" s="128" t="s">
        <v>50</v>
      </c>
      <c r="AB4" s="128"/>
      <c r="AC4" s="128"/>
      <c r="AD4" s="128"/>
      <c r="AE4" s="41"/>
      <c r="AF4" s="128" t="s">
        <v>51</v>
      </c>
      <c r="AG4" s="128"/>
      <c r="AH4" s="128"/>
      <c r="AI4" s="128"/>
      <c r="AJ4" s="41"/>
      <c r="AK4" s="128" t="s">
        <v>52</v>
      </c>
      <c r="AL4" s="128"/>
      <c r="AM4" s="128"/>
      <c r="AN4" s="128"/>
      <c r="AO4" s="41"/>
      <c r="AP4" s="133" t="s">
        <v>53</v>
      </c>
      <c r="AQ4" s="133" t="s">
        <v>44</v>
      </c>
      <c r="AR4" s="134" t="s">
        <v>54</v>
      </c>
      <c r="AS4" s="134"/>
      <c r="AT4" s="134"/>
      <c r="AU4" s="134"/>
      <c r="AV4" s="41"/>
      <c r="AX4" s="128" t="s">
        <v>55</v>
      </c>
      <c r="AY4" s="128"/>
      <c r="AZ4" s="128"/>
      <c r="BB4" s="128" t="s">
        <v>51</v>
      </c>
      <c r="BC4" s="128"/>
      <c r="BD4" s="128"/>
      <c r="BE4" s="128"/>
    </row>
    <row r="5" spans="1:57" ht="74.5" x14ac:dyDescent="0.35">
      <c r="A5" s="8"/>
      <c r="B5" s="126"/>
      <c r="C5" s="126" t="s">
        <v>44</v>
      </c>
      <c r="D5" s="42" t="s">
        <v>56</v>
      </c>
      <c r="E5" s="42" t="s">
        <v>57</v>
      </c>
      <c r="F5" s="42" t="s">
        <v>58</v>
      </c>
      <c r="G5" s="42" t="s">
        <v>59</v>
      </c>
      <c r="H5" s="41"/>
      <c r="I5" s="42" t="s">
        <v>56</v>
      </c>
      <c r="J5" s="42" t="s">
        <v>57</v>
      </c>
      <c r="K5" s="42" t="s">
        <v>58</v>
      </c>
      <c r="L5" s="42" t="s">
        <v>59</v>
      </c>
      <c r="M5" s="41"/>
      <c r="N5" s="42" t="s">
        <v>56</v>
      </c>
      <c r="O5" s="42" t="s">
        <v>57</v>
      </c>
      <c r="P5" s="42" t="s">
        <v>58</v>
      </c>
      <c r="Q5" s="42" t="s">
        <v>59</v>
      </c>
      <c r="R5" s="41"/>
      <c r="S5" s="42" t="s">
        <v>56</v>
      </c>
      <c r="T5" s="42" t="s">
        <v>57</v>
      </c>
      <c r="U5" s="42" t="s">
        <v>58</v>
      </c>
      <c r="V5" s="42" t="s">
        <v>59</v>
      </c>
      <c r="W5" s="41"/>
      <c r="X5" s="42" t="s">
        <v>58</v>
      </c>
      <c r="Y5" s="42" t="s">
        <v>59</v>
      </c>
      <c r="Z5" s="41"/>
      <c r="AA5" s="43" t="s">
        <v>56</v>
      </c>
      <c r="AB5" s="43" t="s">
        <v>57</v>
      </c>
      <c r="AC5" s="43" t="s">
        <v>58</v>
      </c>
      <c r="AD5" s="43" t="s">
        <v>59</v>
      </c>
      <c r="AE5" s="41"/>
      <c r="AF5" s="43" t="s">
        <v>56</v>
      </c>
      <c r="AG5" s="43" t="s">
        <v>57</v>
      </c>
      <c r="AH5" s="43" t="s">
        <v>58</v>
      </c>
      <c r="AI5" s="43" t="s">
        <v>59</v>
      </c>
      <c r="AJ5" s="41"/>
      <c r="AK5" s="43" t="s">
        <v>56</v>
      </c>
      <c r="AL5" s="43" t="s">
        <v>57</v>
      </c>
      <c r="AM5" s="43" t="s">
        <v>58</v>
      </c>
      <c r="AN5" s="43" t="s">
        <v>59</v>
      </c>
      <c r="AO5" s="41"/>
      <c r="AP5" s="133"/>
      <c r="AQ5" s="133" t="s">
        <v>44</v>
      </c>
      <c r="AR5" s="44" t="s">
        <v>60</v>
      </c>
      <c r="AS5" s="44" t="s">
        <v>61</v>
      </c>
      <c r="AT5" s="44" t="s">
        <v>62</v>
      </c>
      <c r="AU5" s="44" t="s">
        <v>63</v>
      </c>
      <c r="AV5" s="41"/>
      <c r="AX5" s="43" t="s">
        <v>56</v>
      </c>
      <c r="AY5" s="43" t="s">
        <v>57</v>
      </c>
      <c r="AZ5" s="43" t="s">
        <v>58</v>
      </c>
      <c r="BB5" s="43" t="s">
        <v>56</v>
      </c>
      <c r="BC5" s="43" t="s">
        <v>57</v>
      </c>
      <c r="BD5" s="43" t="s">
        <v>58</v>
      </c>
      <c r="BE5" s="43" t="s">
        <v>59</v>
      </c>
    </row>
    <row r="6" spans="1:57" ht="14.5" customHeight="1" x14ac:dyDescent="0.35">
      <c r="A6" s="6"/>
      <c r="B6" s="129" t="s">
        <v>64</v>
      </c>
      <c r="C6" s="11" t="s">
        <v>65</v>
      </c>
      <c r="D6" s="13">
        <v>0.42499999999999999</v>
      </c>
      <c r="E6" s="13">
        <v>0.42499999999999999</v>
      </c>
      <c r="F6" s="13">
        <v>0.42499999999999999</v>
      </c>
      <c r="G6" s="45">
        <v>0</v>
      </c>
      <c r="H6" s="41"/>
      <c r="I6" s="13">
        <v>0.35</v>
      </c>
      <c r="J6" s="13">
        <v>0.5</v>
      </c>
      <c r="K6" s="13">
        <v>0.3</v>
      </c>
      <c r="L6" s="45">
        <v>0</v>
      </c>
      <c r="M6" s="41"/>
      <c r="N6" s="13">
        <v>0.45</v>
      </c>
      <c r="O6" s="13">
        <v>0.45</v>
      </c>
      <c r="P6" s="13">
        <v>0.45</v>
      </c>
      <c r="Q6" s="45">
        <v>0</v>
      </c>
      <c r="R6" s="41"/>
      <c r="S6" s="13">
        <v>0.35</v>
      </c>
      <c r="T6" s="13">
        <v>0.4</v>
      </c>
      <c r="U6" s="13">
        <v>0.35</v>
      </c>
      <c r="V6" s="45">
        <v>0</v>
      </c>
      <c r="W6" s="41"/>
      <c r="X6" s="13">
        <v>0.15</v>
      </c>
      <c r="Y6" s="13">
        <v>0.15</v>
      </c>
      <c r="Z6" s="41"/>
      <c r="AA6" s="13">
        <v>0.35000000000000003</v>
      </c>
      <c r="AB6" s="13">
        <v>0.47499999999999998</v>
      </c>
      <c r="AC6" s="13">
        <v>0.35000000000000003</v>
      </c>
      <c r="AD6" s="45">
        <v>0</v>
      </c>
      <c r="AE6" s="41"/>
      <c r="AF6" s="13">
        <v>0.16999999999999998</v>
      </c>
      <c r="AG6" s="13">
        <v>0.34499999999999997</v>
      </c>
      <c r="AH6" s="13">
        <v>0.16999999999999998</v>
      </c>
      <c r="AI6" s="45">
        <v>0</v>
      </c>
      <c r="AJ6" s="41"/>
      <c r="AK6" s="13">
        <v>0.16999999999999998</v>
      </c>
      <c r="AL6" s="13">
        <v>0.39499999999999996</v>
      </c>
      <c r="AM6" s="45">
        <v>0</v>
      </c>
      <c r="AN6" s="45">
        <v>0</v>
      </c>
      <c r="AO6" s="41"/>
      <c r="AP6" s="129" t="s">
        <v>64</v>
      </c>
      <c r="AQ6" s="11" t="s">
        <v>65</v>
      </c>
      <c r="AR6" s="13">
        <v>0.16999999999999998</v>
      </c>
      <c r="AS6" s="13">
        <v>0.32</v>
      </c>
      <c r="AT6" s="45">
        <v>0</v>
      </c>
      <c r="AU6" s="45">
        <v>0</v>
      </c>
      <c r="AV6" s="41"/>
      <c r="AX6" s="46">
        <v>-0.20499999999999999</v>
      </c>
      <c r="AY6" s="46">
        <v>-5.4999999999999993E-2</v>
      </c>
      <c r="AZ6" s="46">
        <v>-0.20499999999999999</v>
      </c>
      <c r="BB6" s="13">
        <v>0.22</v>
      </c>
      <c r="BC6" s="13">
        <v>0.37</v>
      </c>
      <c r="BD6" s="13">
        <v>0.22</v>
      </c>
      <c r="BE6" s="45">
        <v>0</v>
      </c>
    </row>
    <row r="7" spans="1:57" ht="14.5" customHeight="1" x14ac:dyDescent="0.35">
      <c r="A7" s="6"/>
      <c r="B7" s="130"/>
      <c r="C7" s="11" t="s">
        <v>66</v>
      </c>
      <c r="D7" s="13">
        <v>0.40499999999999997</v>
      </c>
      <c r="E7" s="13">
        <v>0.40499999999999997</v>
      </c>
      <c r="F7" s="13">
        <v>0.40499999999999997</v>
      </c>
      <c r="G7" s="13">
        <v>0</v>
      </c>
      <c r="H7" s="41"/>
      <c r="I7" s="13">
        <v>0.3</v>
      </c>
      <c r="J7" s="13">
        <v>0.4</v>
      </c>
      <c r="K7" s="13">
        <v>0.3</v>
      </c>
      <c r="L7" s="13">
        <v>0</v>
      </c>
      <c r="M7" s="41"/>
      <c r="N7" s="13">
        <v>0.45</v>
      </c>
      <c r="O7" s="13">
        <v>0.45</v>
      </c>
      <c r="P7" s="13">
        <v>0.45</v>
      </c>
      <c r="Q7" s="13">
        <v>0</v>
      </c>
      <c r="R7" s="41"/>
      <c r="S7" s="13">
        <v>0.32999999999999996</v>
      </c>
      <c r="T7" s="13">
        <v>0.38</v>
      </c>
      <c r="U7" s="13">
        <v>0.32999999999999996</v>
      </c>
      <c r="V7" s="13">
        <v>0</v>
      </c>
      <c r="W7" s="41"/>
      <c r="X7" s="13">
        <v>0.13</v>
      </c>
      <c r="Y7" s="13">
        <v>0.13</v>
      </c>
      <c r="Z7" s="41"/>
      <c r="AA7" s="13">
        <v>0.3</v>
      </c>
      <c r="AB7" s="13">
        <v>0.375</v>
      </c>
      <c r="AC7" s="13">
        <v>0.3</v>
      </c>
      <c r="AD7" s="13">
        <v>0</v>
      </c>
      <c r="AE7" s="41"/>
      <c r="AF7" s="13">
        <v>0.15000000000000002</v>
      </c>
      <c r="AG7" s="13">
        <v>0.32499999999999996</v>
      </c>
      <c r="AH7" s="13">
        <v>0.15000000000000002</v>
      </c>
      <c r="AI7" s="13">
        <v>0</v>
      </c>
      <c r="AJ7" s="41"/>
      <c r="AK7" s="13">
        <v>0.16999999999999998</v>
      </c>
      <c r="AL7" s="13">
        <v>0.39499999999999996</v>
      </c>
      <c r="AM7" s="13">
        <v>0</v>
      </c>
      <c r="AN7" s="13">
        <v>0</v>
      </c>
      <c r="AO7" s="41"/>
      <c r="AP7" s="130"/>
      <c r="AQ7" s="11" t="s">
        <v>66</v>
      </c>
      <c r="AR7" s="13">
        <v>0.16999999999999998</v>
      </c>
      <c r="AS7" s="13">
        <v>0.32</v>
      </c>
      <c r="AT7" s="45">
        <v>0</v>
      </c>
      <c r="AU7" s="45">
        <v>0</v>
      </c>
      <c r="AV7" s="41"/>
      <c r="AX7" s="46"/>
      <c r="AY7" s="46"/>
      <c r="AZ7" s="46"/>
      <c r="BB7" s="13"/>
      <c r="BC7" s="13"/>
      <c r="BD7" s="13"/>
      <c r="BE7" s="45"/>
    </row>
    <row r="8" spans="1:57" ht="14.5" customHeight="1" x14ac:dyDescent="0.35">
      <c r="A8" s="6"/>
      <c r="B8" s="130"/>
      <c r="C8" s="11" t="s">
        <v>67</v>
      </c>
      <c r="D8" s="13">
        <v>0.38499999999999995</v>
      </c>
      <c r="E8" s="13">
        <v>0.38499999999999995</v>
      </c>
      <c r="F8" s="13">
        <v>0.38499999999999995</v>
      </c>
      <c r="G8" s="13">
        <v>0</v>
      </c>
      <c r="H8" s="41"/>
      <c r="I8" s="13">
        <v>0.27</v>
      </c>
      <c r="J8" s="13">
        <v>0.37</v>
      </c>
      <c r="K8" s="13">
        <v>0.27</v>
      </c>
      <c r="L8" s="13">
        <v>0</v>
      </c>
      <c r="M8" s="41"/>
      <c r="N8" s="13">
        <v>0.4</v>
      </c>
      <c r="O8" s="13">
        <v>0.4</v>
      </c>
      <c r="P8" s="13">
        <v>0.4</v>
      </c>
      <c r="Q8" s="13">
        <v>0</v>
      </c>
      <c r="R8" s="41"/>
      <c r="S8" s="13">
        <v>0.30999999999999994</v>
      </c>
      <c r="T8" s="13">
        <v>0.36</v>
      </c>
      <c r="U8" s="13">
        <v>0.30999999999999994</v>
      </c>
      <c r="V8" s="13">
        <v>0</v>
      </c>
      <c r="W8" s="41"/>
      <c r="X8" s="13">
        <v>0.11</v>
      </c>
      <c r="Y8" s="13">
        <v>0.11</v>
      </c>
      <c r="Z8" s="41"/>
      <c r="AA8" s="13">
        <v>0.16999999999999998</v>
      </c>
      <c r="AB8" s="13">
        <v>0.34499999999999997</v>
      </c>
      <c r="AC8" s="13">
        <v>0.16999999999999998</v>
      </c>
      <c r="AD8" s="13">
        <v>0</v>
      </c>
      <c r="AE8" s="41"/>
      <c r="AF8" s="13">
        <v>0.13</v>
      </c>
      <c r="AG8" s="13">
        <v>0.30499999999999994</v>
      </c>
      <c r="AH8" s="13">
        <v>0.13</v>
      </c>
      <c r="AI8" s="13">
        <v>0</v>
      </c>
      <c r="AJ8" s="41"/>
      <c r="AK8" s="13">
        <v>0.16999999999999998</v>
      </c>
      <c r="AL8" s="13">
        <v>0.39499999999999996</v>
      </c>
      <c r="AM8" s="13">
        <v>0</v>
      </c>
      <c r="AN8" s="13">
        <v>0</v>
      </c>
      <c r="AO8" s="41"/>
      <c r="AP8" s="130"/>
      <c r="AQ8" s="11" t="s">
        <v>67</v>
      </c>
      <c r="AR8" s="13">
        <v>0.16999999999999998</v>
      </c>
      <c r="AS8" s="13">
        <v>0.32</v>
      </c>
      <c r="AT8" s="45">
        <v>0</v>
      </c>
      <c r="AU8" s="45">
        <v>0</v>
      </c>
      <c r="AV8" s="41"/>
      <c r="AX8" s="46"/>
      <c r="AY8" s="46"/>
      <c r="AZ8" s="46"/>
      <c r="BB8" s="13"/>
      <c r="BC8" s="13"/>
      <c r="BD8" s="13"/>
      <c r="BE8" s="45"/>
    </row>
    <row r="9" spans="1:57" ht="18.5" x14ac:dyDescent="0.35">
      <c r="A9" s="6"/>
      <c r="B9" s="131"/>
      <c r="C9" s="11" t="s">
        <v>69</v>
      </c>
      <c r="D9" s="13">
        <v>0.1</v>
      </c>
      <c r="E9" s="13">
        <v>0.4</v>
      </c>
      <c r="F9" s="13">
        <v>0.1</v>
      </c>
      <c r="G9" s="45">
        <v>0</v>
      </c>
      <c r="H9" s="41"/>
      <c r="I9" s="13">
        <v>0.1</v>
      </c>
      <c r="J9" s="13">
        <v>0.4</v>
      </c>
      <c r="K9" s="13">
        <v>0.1</v>
      </c>
      <c r="L9" s="45">
        <v>0</v>
      </c>
      <c r="M9" s="41"/>
      <c r="N9" s="13">
        <v>0.1</v>
      </c>
      <c r="O9" s="13">
        <v>0.4</v>
      </c>
      <c r="P9" s="13">
        <v>0.1</v>
      </c>
      <c r="Q9" s="45">
        <v>0</v>
      </c>
      <c r="R9" s="41"/>
      <c r="S9" s="13">
        <v>0.06</v>
      </c>
      <c r="T9" s="13">
        <v>0.4</v>
      </c>
      <c r="U9" s="13">
        <v>0.06</v>
      </c>
      <c r="V9" s="45">
        <v>0</v>
      </c>
      <c r="W9" s="41"/>
      <c r="X9" s="13">
        <v>0</v>
      </c>
      <c r="Y9" s="13">
        <v>0</v>
      </c>
      <c r="Z9" s="41"/>
      <c r="AA9" s="13">
        <v>0.05</v>
      </c>
      <c r="AB9" s="13">
        <v>0.375</v>
      </c>
      <c r="AC9" s="13">
        <v>0.05</v>
      </c>
      <c r="AD9" s="45">
        <v>0</v>
      </c>
      <c r="AE9" s="41"/>
      <c r="AF9" s="13">
        <v>0</v>
      </c>
      <c r="AG9" s="13">
        <v>0.375</v>
      </c>
      <c r="AH9" s="13">
        <v>0</v>
      </c>
      <c r="AI9" s="45">
        <v>0</v>
      </c>
      <c r="AJ9" s="41"/>
      <c r="AK9" s="13">
        <v>0.05</v>
      </c>
      <c r="AL9" s="13">
        <v>0.375</v>
      </c>
      <c r="AM9" s="45">
        <v>0</v>
      </c>
      <c r="AN9" s="45">
        <v>0</v>
      </c>
      <c r="AO9" s="41"/>
      <c r="AP9" s="131"/>
      <c r="AQ9" s="11" t="s">
        <v>69</v>
      </c>
      <c r="AR9" s="45">
        <v>0</v>
      </c>
      <c r="AS9" s="45">
        <v>0</v>
      </c>
      <c r="AT9" s="45">
        <v>0</v>
      </c>
      <c r="AU9" s="45">
        <v>0</v>
      </c>
      <c r="AV9" s="41"/>
      <c r="AX9" s="46">
        <v>-0.3</v>
      </c>
      <c r="AY9" s="46">
        <v>0</v>
      </c>
      <c r="AZ9" s="46">
        <v>-0.3</v>
      </c>
      <c r="BB9" s="13">
        <v>0.22</v>
      </c>
      <c r="BC9" s="13">
        <v>0.37</v>
      </c>
      <c r="BD9" s="13">
        <v>0.22</v>
      </c>
      <c r="BE9" s="45">
        <v>0</v>
      </c>
    </row>
    <row r="10" spans="1:57" ht="18.5" x14ac:dyDescent="0.35">
      <c r="A10" s="6"/>
      <c r="B10" s="132"/>
      <c r="C10" s="11" t="s">
        <v>23</v>
      </c>
      <c r="D10" s="45">
        <v>0</v>
      </c>
      <c r="E10" s="13">
        <v>0.3</v>
      </c>
      <c r="F10" s="45">
        <v>0</v>
      </c>
      <c r="G10" s="45">
        <v>0</v>
      </c>
      <c r="H10" s="41"/>
      <c r="I10" s="45">
        <v>0</v>
      </c>
      <c r="J10" s="13">
        <v>0.3</v>
      </c>
      <c r="K10" s="45">
        <v>0</v>
      </c>
      <c r="L10" s="45">
        <v>0</v>
      </c>
      <c r="M10" s="41"/>
      <c r="N10" s="45">
        <v>0</v>
      </c>
      <c r="O10" s="13">
        <v>0.3</v>
      </c>
      <c r="P10" s="45">
        <v>0</v>
      </c>
      <c r="Q10" s="45">
        <v>0</v>
      </c>
      <c r="R10" s="41"/>
      <c r="S10" s="45">
        <v>0</v>
      </c>
      <c r="T10" s="13">
        <v>0.3</v>
      </c>
      <c r="U10" s="45">
        <v>0</v>
      </c>
      <c r="V10" s="45">
        <v>0</v>
      </c>
      <c r="W10" s="41"/>
      <c r="X10" s="45">
        <v>0</v>
      </c>
      <c r="Y10" s="45">
        <v>0</v>
      </c>
      <c r="Z10" s="41"/>
      <c r="AA10" s="45">
        <v>0</v>
      </c>
      <c r="AB10" s="13">
        <v>0.27499999999999997</v>
      </c>
      <c r="AC10" s="45">
        <v>0</v>
      </c>
      <c r="AD10" s="45">
        <v>0</v>
      </c>
      <c r="AE10" s="41"/>
      <c r="AF10" s="45">
        <v>0</v>
      </c>
      <c r="AG10" s="13">
        <v>0.27499999999999997</v>
      </c>
      <c r="AH10" s="45">
        <v>0</v>
      </c>
      <c r="AI10" s="45">
        <v>0</v>
      </c>
      <c r="AJ10" s="41"/>
      <c r="AK10" s="45">
        <v>0</v>
      </c>
      <c r="AL10" s="13">
        <v>0.27499999999999997</v>
      </c>
      <c r="AM10" s="45">
        <v>0</v>
      </c>
      <c r="AN10" s="45">
        <v>0</v>
      </c>
      <c r="AO10" s="41"/>
      <c r="AP10" s="132"/>
      <c r="AQ10" s="11" t="s">
        <v>23</v>
      </c>
      <c r="AR10" s="45">
        <v>0</v>
      </c>
      <c r="AS10" s="45">
        <v>0</v>
      </c>
      <c r="AT10" s="45">
        <v>0</v>
      </c>
      <c r="AU10" s="45">
        <v>0</v>
      </c>
      <c r="AV10" s="41"/>
      <c r="AX10" s="46"/>
      <c r="AY10" s="46">
        <v>0</v>
      </c>
      <c r="AZ10" s="46"/>
      <c r="BB10" s="45">
        <v>0</v>
      </c>
      <c r="BC10" s="13">
        <v>0.3</v>
      </c>
      <c r="BD10" s="45">
        <v>0</v>
      </c>
      <c r="BE10" s="45">
        <v>0</v>
      </c>
    </row>
    <row r="11" spans="1:57" customFormat="1" ht="4.5" customHeight="1" x14ac:dyDescent="0.35">
      <c r="A11" s="6"/>
      <c r="B11" s="6"/>
      <c r="C11" s="6"/>
      <c r="D11" s="6"/>
      <c r="E11" s="6"/>
      <c r="F11" s="6"/>
      <c r="G11" s="6"/>
      <c r="H11" s="41"/>
      <c r="I11" s="6"/>
      <c r="J11" s="6"/>
      <c r="K11" s="6"/>
      <c r="L11" s="6"/>
      <c r="M11" s="41"/>
      <c r="N11" s="6"/>
      <c r="O11" s="6"/>
      <c r="P11" s="6"/>
      <c r="Q11" s="6"/>
      <c r="R11" s="41"/>
      <c r="S11" s="6"/>
      <c r="T11" s="6"/>
      <c r="U11" s="6"/>
      <c r="V11" s="6"/>
      <c r="W11" s="41"/>
      <c r="X11" s="6"/>
      <c r="Y11" s="6"/>
      <c r="Z11" s="41"/>
      <c r="AA11" s="6"/>
      <c r="AB11" s="6"/>
      <c r="AC11" s="6"/>
      <c r="AD11" s="6"/>
      <c r="AE11" s="41"/>
      <c r="AF11" s="6"/>
      <c r="AG11" s="6"/>
      <c r="AH11" s="6"/>
      <c r="AI11" s="6"/>
      <c r="AJ11" s="41"/>
      <c r="AK11" s="6"/>
      <c r="AL11" s="6"/>
      <c r="AM11" s="6"/>
      <c r="AN11" s="6"/>
      <c r="AO11" s="41"/>
      <c r="AP11" s="6"/>
      <c r="AQ11" s="6"/>
      <c r="AR11" s="6"/>
      <c r="AS11" s="6"/>
      <c r="AT11" s="6"/>
      <c r="AU11" s="6"/>
      <c r="AV11" s="41"/>
      <c r="BB11" s="6"/>
      <c r="BC11" s="6"/>
      <c r="BD11" s="6"/>
      <c r="BE11" s="6"/>
    </row>
    <row r="12" spans="1:57" ht="14.5" customHeight="1" x14ac:dyDescent="0.35">
      <c r="A12" s="6"/>
      <c r="B12" s="129" t="s">
        <v>70</v>
      </c>
      <c r="C12" s="11" t="s">
        <v>65</v>
      </c>
      <c r="D12" s="13">
        <v>0.42</v>
      </c>
      <c r="E12" s="13">
        <v>0.42</v>
      </c>
      <c r="F12" s="13">
        <v>0.42</v>
      </c>
      <c r="G12" s="45">
        <v>0</v>
      </c>
      <c r="H12" s="41"/>
      <c r="I12" s="13">
        <v>0.35</v>
      </c>
      <c r="J12" s="13">
        <v>0.5</v>
      </c>
      <c r="K12" s="13">
        <v>0.3</v>
      </c>
      <c r="L12" s="45">
        <v>0</v>
      </c>
      <c r="M12" s="41"/>
      <c r="N12" s="13">
        <v>0.45</v>
      </c>
      <c r="O12" s="13">
        <v>0.45</v>
      </c>
      <c r="P12" s="13">
        <v>0.45</v>
      </c>
      <c r="Q12" s="45">
        <v>0</v>
      </c>
      <c r="R12" s="41"/>
      <c r="S12" s="13">
        <v>0.43</v>
      </c>
      <c r="T12" s="13">
        <v>0.43</v>
      </c>
      <c r="U12" s="13">
        <v>0.43</v>
      </c>
      <c r="V12" s="45">
        <v>0</v>
      </c>
      <c r="W12" s="41"/>
      <c r="X12" s="13">
        <v>0.22500000000000001</v>
      </c>
      <c r="Y12" s="13">
        <v>0.22500000000000001</v>
      </c>
      <c r="Z12" s="41"/>
      <c r="AA12" s="13">
        <v>0.35000000000000003</v>
      </c>
      <c r="AB12" s="13">
        <v>0.47499999999999998</v>
      </c>
      <c r="AC12" s="13">
        <v>0.35000000000000003</v>
      </c>
      <c r="AD12" s="45">
        <v>0</v>
      </c>
      <c r="AE12" s="41"/>
      <c r="AF12" s="13">
        <v>0.16999999999999998</v>
      </c>
      <c r="AG12" s="13">
        <v>0.34499999999999997</v>
      </c>
      <c r="AH12" s="13">
        <v>0.16999999999999998</v>
      </c>
      <c r="AI12" s="45">
        <v>0</v>
      </c>
      <c r="AJ12" s="41"/>
      <c r="AK12" s="13">
        <v>0.16999999999999998</v>
      </c>
      <c r="AL12" s="13">
        <v>0.39499999999999996</v>
      </c>
      <c r="AM12" s="45">
        <v>0</v>
      </c>
      <c r="AN12" s="45">
        <v>0</v>
      </c>
      <c r="AO12" s="41"/>
      <c r="AP12" s="129" t="s">
        <v>70</v>
      </c>
      <c r="AQ12" s="11" t="s">
        <v>65</v>
      </c>
      <c r="AR12" s="13">
        <v>0.16999999999999998</v>
      </c>
      <c r="AS12" s="13">
        <v>0.32</v>
      </c>
      <c r="AT12" s="45">
        <v>0</v>
      </c>
      <c r="AU12" s="45">
        <v>0</v>
      </c>
      <c r="AV12" s="41"/>
      <c r="AX12" s="46">
        <v>-0.19999999999999998</v>
      </c>
      <c r="AY12" s="46">
        <v>-4.9999999999999989E-2</v>
      </c>
      <c r="AZ12" s="46">
        <v>-0.19999999999999998</v>
      </c>
      <c r="BB12" s="13">
        <v>0.22</v>
      </c>
      <c r="BC12" s="13">
        <v>0.37</v>
      </c>
      <c r="BD12" s="13">
        <v>0.22</v>
      </c>
      <c r="BE12" s="45">
        <v>0</v>
      </c>
    </row>
    <row r="13" spans="1:57" ht="14.5" customHeight="1" x14ac:dyDescent="0.35">
      <c r="A13" s="6"/>
      <c r="B13" s="130"/>
      <c r="C13" s="11" t="s">
        <v>66</v>
      </c>
      <c r="D13" s="13">
        <v>0.39999999999999997</v>
      </c>
      <c r="E13" s="13">
        <v>0.39999999999999997</v>
      </c>
      <c r="F13" s="13">
        <v>0.39999999999999997</v>
      </c>
      <c r="G13" s="13">
        <v>0</v>
      </c>
      <c r="H13" s="41"/>
      <c r="I13" s="13">
        <v>0.3</v>
      </c>
      <c r="J13" s="13">
        <v>0.4</v>
      </c>
      <c r="K13" s="13">
        <v>0.3</v>
      </c>
      <c r="L13" s="13">
        <v>0</v>
      </c>
      <c r="M13" s="41"/>
      <c r="N13" s="13">
        <v>0.45</v>
      </c>
      <c r="O13" s="13">
        <v>0.45</v>
      </c>
      <c r="P13" s="13">
        <v>0.45</v>
      </c>
      <c r="Q13" s="13">
        <v>0</v>
      </c>
      <c r="R13" s="41"/>
      <c r="S13" s="13">
        <v>0.41</v>
      </c>
      <c r="T13" s="13">
        <v>0.41</v>
      </c>
      <c r="U13" s="13">
        <v>0.41</v>
      </c>
      <c r="V13" s="13">
        <v>0</v>
      </c>
      <c r="W13" s="41"/>
      <c r="X13" s="13">
        <v>0.20500000000000002</v>
      </c>
      <c r="Y13" s="13">
        <v>0.20500000000000002</v>
      </c>
      <c r="Z13" s="41"/>
      <c r="AA13" s="13">
        <v>0.3</v>
      </c>
      <c r="AB13" s="13">
        <v>0.375</v>
      </c>
      <c r="AC13" s="13">
        <v>0.3</v>
      </c>
      <c r="AD13" s="13">
        <v>0</v>
      </c>
      <c r="AE13" s="41"/>
      <c r="AF13" s="13">
        <v>0.15000000000000002</v>
      </c>
      <c r="AG13" s="13">
        <v>0.32499999999999996</v>
      </c>
      <c r="AH13" s="13">
        <v>0.15000000000000002</v>
      </c>
      <c r="AI13" s="13">
        <v>0</v>
      </c>
      <c r="AJ13" s="41"/>
      <c r="AK13" s="13">
        <v>0.16999999999999998</v>
      </c>
      <c r="AL13" s="13">
        <v>0.39499999999999996</v>
      </c>
      <c r="AM13" s="13">
        <v>0</v>
      </c>
      <c r="AN13" s="13">
        <v>0</v>
      </c>
      <c r="AO13" s="41"/>
      <c r="AP13" s="130"/>
      <c r="AQ13" s="11" t="s">
        <v>66</v>
      </c>
      <c r="AR13" s="13">
        <v>0.16999999999999998</v>
      </c>
      <c r="AS13" s="13">
        <v>0.32</v>
      </c>
      <c r="AT13" s="45">
        <v>0</v>
      </c>
      <c r="AU13" s="45">
        <v>0</v>
      </c>
      <c r="AV13" s="41"/>
      <c r="AX13" s="46"/>
      <c r="AY13" s="46"/>
      <c r="AZ13" s="46"/>
      <c r="BB13" s="13"/>
      <c r="BC13" s="13"/>
      <c r="BD13" s="13"/>
      <c r="BE13" s="45"/>
    </row>
    <row r="14" spans="1:57" ht="14.5" customHeight="1" x14ac:dyDescent="0.35">
      <c r="A14" s="6"/>
      <c r="B14" s="130"/>
      <c r="C14" s="11" t="s">
        <v>67</v>
      </c>
      <c r="D14" s="13">
        <v>0.37999999999999995</v>
      </c>
      <c r="E14" s="13">
        <v>0.37999999999999995</v>
      </c>
      <c r="F14" s="13">
        <v>0.37999999999999995</v>
      </c>
      <c r="G14" s="13">
        <v>0</v>
      </c>
      <c r="H14" s="41"/>
      <c r="I14" s="13">
        <v>0.27</v>
      </c>
      <c r="J14" s="13">
        <v>0.37</v>
      </c>
      <c r="K14" s="13">
        <v>0.27</v>
      </c>
      <c r="L14" s="13">
        <v>0</v>
      </c>
      <c r="M14" s="41"/>
      <c r="N14" s="13">
        <v>0.4</v>
      </c>
      <c r="O14" s="13">
        <v>0.4</v>
      </c>
      <c r="P14" s="13">
        <v>0.4</v>
      </c>
      <c r="Q14" s="13">
        <v>0</v>
      </c>
      <c r="R14" s="41"/>
      <c r="S14" s="13">
        <v>0.38999999999999996</v>
      </c>
      <c r="T14" s="13">
        <v>0.38999999999999996</v>
      </c>
      <c r="U14" s="13">
        <v>0.38999999999999996</v>
      </c>
      <c r="V14" s="13">
        <v>0</v>
      </c>
      <c r="W14" s="41"/>
      <c r="X14" s="13">
        <v>0.18500000000000003</v>
      </c>
      <c r="Y14" s="13">
        <v>0.18500000000000003</v>
      </c>
      <c r="Z14" s="41"/>
      <c r="AA14" s="13">
        <v>0.16999999999999998</v>
      </c>
      <c r="AB14" s="13">
        <v>0.34499999999999997</v>
      </c>
      <c r="AC14" s="13">
        <v>0.16999999999999998</v>
      </c>
      <c r="AD14" s="13">
        <v>0</v>
      </c>
      <c r="AE14" s="41"/>
      <c r="AF14" s="13">
        <v>0.13</v>
      </c>
      <c r="AG14" s="13">
        <v>0.30499999999999994</v>
      </c>
      <c r="AH14" s="13">
        <v>0.13</v>
      </c>
      <c r="AI14" s="13">
        <v>0</v>
      </c>
      <c r="AJ14" s="41"/>
      <c r="AK14" s="13">
        <v>0.16999999999999998</v>
      </c>
      <c r="AL14" s="13">
        <v>0.39499999999999996</v>
      </c>
      <c r="AM14" s="13">
        <v>0</v>
      </c>
      <c r="AN14" s="13">
        <v>0</v>
      </c>
      <c r="AO14" s="41"/>
      <c r="AP14" s="130"/>
      <c r="AQ14" s="11" t="s">
        <v>67</v>
      </c>
      <c r="AR14" s="13">
        <v>0.16999999999999998</v>
      </c>
      <c r="AS14" s="13">
        <v>0.32</v>
      </c>
      <c r="AT14" s="45">
        <v>0</v>
      </c>
      <c r="AU14" s="45">
        <v>0</v>
      </c>
      <c r="AV14" s="41"/>
      <c r="AX14" s="46"/>
      <c r="AY14" s="46"/>
      <c r="AZ14" s="46"/>
      <c r="BB14" s="13"/>
      <c r="BC14" s="13"/>
      <c r="BD14" s="13"/>
      <c r="BE14" s="45"/>
    </row>
    <row r="15" spans="1:57" ht="18.5" x14ac:dyDescent="0.35">
      <c r="A15" s="6"/>
      <c r="B15" s="131"/>
      <c r="C15" s="11" t="s">
        <v>69</v>
      </c>
      <c r="D15" s="13">
        <v>0.1</v>
      </c>
      <c r="E15" s="13">
        <v>0.4</v>
      </c>
      <c r="F15" s="13">
        <v>0.3</v>
      </c>
      <c r="G15" s="45">
        <v>0</v>
      </c>
      <c r="H15" s="41"/>
      <c r="I15" s="13">
        <v>0.1</v>
      </c>
      <c r="J15" s="13">
        <v>0.4</v>
      </c>
      <c r="K15" s="13">
        <v>0.1</v>
      </c>
      <c r="L15" s="45">
        <v>0</v>
      </c>
      <c r="M15" s="41"/>
      <c r="N15" s="13">
        <v>0.1</v>
      </c>
      <c r="O15" s="13">
        <v>0.4</v>
      </c>
      <c r="P15" s="13">
        <v>0.1</v>
      </c>
      <c r="Q15" s="45">
        <v>0</v>
      </c>
      <c r="R15" s="41"/>
      <c r="S15" s="13">
        <v>0.06</v>
      </c>
      <c r="T15" s="13">
        <v>0.4</v>
      </c>
      <c r="U15" s="13">
        <v>0.06</v>
      </c>
      <c r="V15" s="45">
        <v>0</v>
      </c>
      <c r="W15" s="41"/>
      <c r="X15" s="13">
        <v>0</v>
      </c>
      <c r="Y15" s="13">
        <v>0</v>
      </c>
      <c r="Z15" s="41"/>
      <c r="AA15" s="13">
        <v>0.05</v>
      </c>
      <c r="AB15" s="13">
        <v>0.375</v>
      </c>
      <c r="AC15" s="13">
        <v>0.05</v>
      </c>
      <c r="AD15" s="45">
        <v>0</v>
      </c>
      <c r="AE15" s="41"/>
      <c r="AF15" s="13">
        <v>0</v>
      </c>
      <c r="AG15" s="13">
        <v>0.375</v>
      </c>
      <c r="AH15" s="13">
        <v>0</v>
      </c>
      <c r="AI15" s="45">
        <v>0</v>
      </c>
      <c r="AJ15" s="41"/>
      <c r="AK15" s="13">
        <v>0.05</v>
      </c>
      <c r="AL15" s="13">
        <v>0.375</v>
      </c>
      <c r="AM15" s="45">
        <v>0</v>
      </c>
      <c r="AN15" s="45">
        <v>0</v>
      </c>
      <c r="AO15" s="41"/>
      <c r="AP15" s="131"/>
      <c r="AQ15" s="11" t="s">
        <v>69</v>
      </c>
      <c r="AR15" s="45">
        <v>0</v>
      </c>
      <c r="AS15" s="45">
        <v>0</v>
      </c>
      <c r="AT15" s="45">
        <v>0</v>
      </c>
      <c r="AU15" s="45">
        <v>0</v>
      </c>
      <c r="AV15" s="41"/>
      <c r="AX15" s="46">
        <v>-0.3</v>
      </c>
      <c r="AY15" s="46">
        <v>0</v>
      </c>
      <c r="AZ15" s="46">
        <v>-0.3</v>
      </c>
      <c r="BB15" s="13">
        <v>0.22</v>
      </c>
      <c r="BC15" s="13">
        <v>0.37</v>
      </c>
      <c r="BD15" s="13">
        <v>0.22</v>
      </c>
      <c r="BE15" s="45">
        <v>0</v>
      </c>
    </row>
    <row r="16" spans="1:57" ht="18.5" x14ac:dyDescent="0.35">
      <c r="A16" s="6"/>
      <c r="B16" s="132"/>
      <c r="C16" s="11" t="s">
        <v>23</v>
      </c>
      <c r="D16" s="45">
        <v>0</v>
      </c>
      <c r="E16" s="13">
        <v>0.3</v>
      </c>
      <c r="F16" s="45">
        <v>0</v>
      </c>
      <c r="G16" s="45">
        <v>0</v>
      </c>
      <c r="H16" s="41"/>
      <c r="I16" s="45">
        <v>0</v>
      </c>
      <c r="J16" s="13">
        <v>0.3</v>
      </c>
      <c r="K16" s="45">
        <v>0</v>
      </c>
      <c r="L16" s="45">
        <v>0</v>
      </c>
      <c r="M16" s="41"/>
      <c r="N16" s="45">
        <v>0</v>
      </c>
      <c r="O16" s="13">
        <v>0.3</v>
      </c>
      <c r="P16" s="45">
        <v>0</v>
      </c>
      <c r="Q16" s="45">
        <v>0</v>
      </c>
      <c r="R16" s="41"/>
      <c r="S16" s="45">
        <v>0</v>
      </c>
      <c r="T16" s="13">
        <v>0.3</v>
      </c>
      <c r="U16" s="45">
        <v>0</v>
      </c>
      <c r="V16" s="45">
        <v>0</v>
      </c>
      <c r="W16" s="41"/>
      <c r="X16" s="45">
        <v>0</v>
      </c>
      <c r="Y16" s="45">
        <v>0</v>
      </c>
      <c r="Z16" s="41"/>
      <c r="AA16" s="45">
        <v>0</v>
      </c>
      <c r="AB16" s="13">
        <v>0.27499999999999997</v>
      </c>
      <c r="AC16" s="45">
        <v>0</v>
      </c>
      <c r="AD16" s="45">
        <v>0</v>
      </c>
      <c r="AE16" s="41"/>
      <c r="AF16" s="45">
        <v>0</v>
      </c>
      <c r="AG16" s="13">
        <v>0.27499999999999997</v>
      </c>
      <c r="AH16" s="45">
        <v>0</v>
      </c>
      <c r="AI16" s="45">
        <v>0</v>
      </c>
      <c r="AJ16" s="41"/>
      <c r="AK16" s="45">
        <v>0</v>
      </c>
      <c r="AL16" s="13">
        <v>0.27499999999999997</v>
      </c>
      <c r="AM16" s="45">
        <v>0</v>
      </c>
      <c r="AN16" s="45">
        <v>0</v>
      </c>
      <c r="AO16" s="41"/>
      <c r="AP16" s="132"/>
      <c r="AQ16" s="11" t="s">
        <v>23</v>
      </c>
      <c r="AR16" s="45">
        <v>0</v>
      </c>
      <c r="AS16" s="45">
        <v>0</v>
      </c>
      <c r="AT16" s="45">
        <v>0</v>
      </c>
      <c r="AU16" s="45">
        <v>0</v>
      </c>
      <c r="AV16" s="41"/>
      <c r="AX16" s="46"/>
      <c r="AY16" s="46">
        <v>0</v>
      </c>
      <c r="AZ16" s="46"/>
      <c r="BB16" s="45">
        <v>0</v>
      </c>
      <c r="BC16" s="13">
        <v>0.3</v>
      </c>
      <c r="BD16" s="45">
        <v>0</v>
      </c>
      <c r="BE16" s="45">
        <v>0</v>
      </c>
    </row>
    <row r="17" spans="1:57" customFormat="1" ht="4.5" customHeight="1" x14ac:dyDescent="0.35">
      <c r="A17" s="6"/>
      <c r="B17" s="6"/>
      <c r="C17" s="6"/>
      <c r="D17" s="6"/>
      <c r="E17" s="6"/>
      <c r="F17" s="6"/>
      <c r="G17" s="6"/>
      <c r="H17" s="41"/>
      <c r="I17" s="6"/>
      <c r="J17" s="6"/>
      <c r="K17" s="6"/>
      <c r="L17" s="6"/>
      <c r="M17" s="41"/>
      <c r="N17" s="6"/>
      <c r="O17" s="6"/>
      <c r="P17" s="6"/>
      <c r="Q17" s="6"/>
      <c r="R17" s="41"/>
      <c r="S17" s="6"/>
      <c r="T17" s="6"/>
      <c r="U17" s="6"/>
      <c r="V17" s="6"/>
      <c r="W17" s="41"/>
      <c r="X17" s="6"/>
      <c r="Y17" s="6"/>
      <c r="Z17" s="41"/>
      <c r="AA17" s="6"/>
      <c r="AB17" s="6"/>
      <c r="AC17" s="6"/>
      <c r="AD17" s="6"/>
      <c r="AE17" s="41"/>
      <c r="AF17" s="6"/>
      <c r="AG17" s="6"/>
      <c r="AH17" s="6"/>
      <c r="AI17" s="6"/>
      <c r="AJ17" s="41"/>
      <c r="AK17" s="6"/>
      <c r="AL17" s="6"/>
      <c r="AM17" s="6"/>
      <c r="AN17" s="6"/>
      <c r="AO17" s="41"/>
      <c r="AP17" s="6"/>
      <c r="AQ17" s="6"/>
      <c r="AR17" s="6"/>
      <c r="AS17" s="6"/>
      <c r="AT17" s="6"/>
      <c r="AU17" s="6"/>
      <c r="AV17" s="41"/>
      <c r="BB17" s="6"/>
      <c r="BC17" s="6"/>
      <c r="BD17" s="6"/>
      <c r="BE17" s="6"/>
    </row>
    <row r="18" spans="1:57" ht="14.5" customHeight="1" x14ac:dyDescent="0.35">
      <c r="A18" s="6"/>
      <c r="B18" s="129" t="s">
        <v>71</v>
      </c>
      <c r="C18" s="11" t="s">
        <v>65</v>
      </c>
      <c r="D18" s="13">
        <v>0.1</v>
      </c>
      <c r="E18" s="13">
        <v>0.1</v>
      </c>
      <c r="F18" s="13">
        <v>0.1</v>
      </c>
      <c r="G18" s="45">
        <v>0</v>
      </c>
      <c r="H18" s="41"/>
      <c r="I18" s="13">
        <v>0.15</v>
      </c>
      <c r="J18" s="13">
        <v>0.42</v>
      </c>
      <c r="K18" s="13">
        <v>0.08</v>
      </c>
      <c r="L18" s="45">
        <v>0</v>
      </c>
      <c r="M18" s="41"/>
      <c r="N18" s="13">
        <v>0.45</v>
      </c>
      <c r="O18" s="13">
        <v>0.45</v>
      </c>
      <c r="P18" s="13">
        <v>0.45</v>
      </c>
      <c r="Q18" s="45">
        <v>0</v>
      </c>
      <c r="R18" s="41"/>
      <c r="S18" s="13">
        <v>0.1</v>
      </c>
      <c r="T18" s="13">
        <v>0.1</v>
      </c>
      <c r="U18" s="13">
        <v>0.1</v>
      </c>
      <c r="V18" s="45">
        <v>0</v>
      </c>
      <c r="W18" s="41"/>
      <c r="X18" s="13">
        <v>7.4999999999999997E-2</v>
      </c>
      <c r="Y18" s="13">
        <v>7.4999999999999997E-2</v>
      </c>
      <c r="Z18" s="41"/>
      <c r="AA18" s="13">
        <v>9.9999999999999992E-2</v>
      </c>
      <c r="AB18" s="13">
        <v>0.39499999999999996</v>
      </c>
      <c r="AC18" s="13">
        <v>9.9999999999999992E-2</v>
      </c>
      <c r="AD18" s="45">
        <v>0</v>
      </c>
      <c r="AE18" s="41"/>
      <c r="AF18" s="13">
        <v>2.4999999999999994E-2</v>
      </c>
      <c r="AG18" s="13">
        <v>0.29499999999999998</v>
      </c>
      <c r="AH18" s="13">
        <v>2.4999999999999994E-2</v>
      </c>
      <c r="AI18" s="45">
        <v>0</v>
      </c>
      <c r="AJ18" s="41"/>
      <c r="AK18" s="13">
        <v>2.4999999999999994E-2</v>
      </c>
      <c r="AL18" s="13">
        <v>0.39499999999999996</v>
      </c>
      <c r="AM18" s="45">
        <v>0</v>
      </c>
      <c r="AN18" s="45">
        <v>0</v>
      </c>
      <c r="AO18" s="41"/>
      <c r="AP18" s="129" t="s">
        <v>3</v>
      </c>
      <c r="AQ18" s="11" t="s">
        <v>65</v>
      </c>
      <c r="AR18" s="13">
        <v>2.4999999999999994E-2</v>
      </c>
      <c r="AS18" s="13">
        <v>0.27</v>
      </c>
      <c r="AT18" s="45">
        <v>0</v>
      </c>
      <c r="AU18" s="45">
        <v>0</v>
      </c>
      <c r="AV18" s="41"/>
      <c r="AX18" s="46">
        <v>-2.5000000000000008E-2</v>
      </c>
      <c r="AY18" s="46">
        <v>0.22</v>
      </c>
      <c r="AZ18" s="46">
        <v>-2.5000000000000008E-2</v>
      </c>
      <c r="BB18" s="13">
        <v>7.4999999999999997E-2</v>
      </c>
      <c r="BC18" s="13">
        <v>0.32</v>
      </c>
      <c r="BD18" s="13">
        <v>7.4999999999999997E-2</v>
      </c>
      <c r="BE18" s="45">
        <v>0</v>
      </c>
    </row>
    <row r="19" spans="1:57" ht="14.5" customHeight="1" x14ac:dyDescent="0.35">
      <c r="A19" s="6"/>
      <c r="B19" s="130"/>
      <c r="C19" s="11" t="s">
        <v>66</v>
      </c>
      <c r="D19" s="13">
        <v>0.08</v>
      </c>
      <c r="E19" s="13">
        <v>0.08</v>
      </c>
      <c r="F19" s="13">
        <v>0.08</v>
      </c>
      <c r="G19" s="13">
        <v>0</v>
      </c>
      <c r="H19" s="41"/>
      <c r="I19" s="13">
        <v>0.1</v>
      </c>
      <c r="J19" s="13">
        <v>0.375</v>
      </c>
      <c r="K19" s="13">
        <v>0.08</v>
      </c>
      <c r="L19" s="13">
        <v>0</v>
      </c>
      <c r="M19" s="41"/>
      <c r="N19" s="13">
        <v>0.45</v>
      </c>
      <c r="O19" s="13">
        <v>0.45</v>
      </c>
      <c r="P19" s="13">
        <v>0.45</v>
      </c>
      <c r="Q19" s="13">
        <v>0</v>
      </c>
      <c r="R19" s="41"/>
      <c r="S19" s="13">
        <v>0.08</v>
      </c>
      <c r="T19" s="13">
        <v>0.08</v>
      </c>
      <c r="U19" s="13">
        <v>0.08</v>
      </c>
      <c r="V19" s="13">
        <v>0</v>
      </c>
      <c r="W19" s="41"/>
      <c r="X19" s="13">
        <v>7.4999999999999997E-2</v>
      </c>
      <c r="Y19" s="13">
        <v>7.4999999999999997E-2</v>
      </c>
      <c r="Z19" s="41"/>
      <c r="AA19" s="13">
        <v>0.05</v>
      </c>
      <c r="AB19" s="13">
        <v>0.34499999999999997</v>
      </c>
      <c r="AC19" s="13">
        <v>0.05</v>
      </c>
      <c r="AD19" s="13">
        <v>0</v>
      </c>
      <c r="AE19" s="41"/>
      <c r="AF19" s="13">
        <v>0</v>
      </c>
      <c r="AG19" s="13">
        <v>0.27499999999999997</v>
      </c>
      <c r="AH19" s="13">
        <v>9.999999999999995E-3</v>
      </c>
      <c r="AI19" s="13">
        <v>0</v>
      </c>
      <c r="AJ19" s="41"/>
      <c r="AK19" s="13">
        <v>2.4999999999999994E-2</v>
      </c>
      <c r="AL19" s="13">
        <v>0.39499999999999996</v>
      </c>
      <c r="AM19" s="13">
        <v>0</v>
      </c>
      <c r="AN19" s="13">
        <v>0</v>
      </c>
      <c r="AO19" s="41"/>
      <c r="AP19" s="130"/>
      <c r="AQ19" s="11" t="s">
        <v>66</v>
      </c>
      <c r="AR19" s="13">
        <v>2.4999999999999994E-2</v>
      </c>
      <c r="AS19" s="13">
        <v>0.27</v>
      </c>
      <c r="AT19" s="45">
        <v>0</v>
      </c>
      <c r="AU19" s="45">
        <v>0</v>
      </c>
      <c r="AV19" s="41"/>
      <c r="AX19" s="46"/>
      <c r="AY19" s="46"/>
      <c r="AZ19" s="46"/>
      <c r="BB19" s="13"/>
      <c r="BC19" s="13"/>
      <c r="BD19" s="13"/>
      <c r="BE19" s="45"/>
    </row>
    <row r="20" spans="1:57" ht="14.5" customHeight="1" x14ac:dyDescent="0.35">
      <c r="A20" s="6"/>
      <c r="B20" s="130"/>
      <c r="C20" s="11" t="s">
        <v>67</v>
      </c>
      <c r="D20" s="13">
        <v>0.06</v>
      </c>
      <c r="E20" s="13">
        <v>0.06</v>
      </c>
      <c r="F20" s="13">
        <v>0.06</v>
      </c>
      <c r="G20" s="13">
        <v>0</v>
      </c>
      <c r="H20" s="41"/>
      <c r="I20" s="13">
        <v>0.08</v>
      </c>
      <c r="J20" s="13">
        <v>0.32500000000000001</v>
      </c>
      <c r="K20" s="13">
        <v>0.08</v>
      </c>
      <c r="L20" s="13">
        <v>0</v>
      </c>
      <c r="M20" s="41"/>
      <c r="N20" s="13">
        <v>0.4</v>
      </c>
      <c r="O20" s="13">
        <v>0.4</v>
      </c>
      <c r="P20" s="13">
        <v>0.4</v>
      </c>
      <c r="Q20" s="13">
        <v>0</v>
      </c>
      <c r="R20" s="41"/>
      <c r="S20" s="13">
        <v>0.06</v>
      </c>
      <c r="T20" s="13">
        <v>0.06</v>
      </c>
      <c r="U20" s="13">
        <v>0.06</v>
      </c>
      <c r="V20" s="13">
        <v>0</v>
      </c>
      <c r="W20" s="41"/>
      <c r="X20" s="13">
        <v>7.4999999999999997E-2</v>
      </c>
      <c r="Y20" s="13">
        <v>7.4999999999999997E-2</v>
      </c>
      <c r="Z20" s="41"/>
      <c r="AA20" s="13">
        <v>0.03</v>
      </c>
      <c r="AB20" s="13">
        <v>0.29499999999999998</v>
      </c>
      <c r="AC20" s="13">
        <v>0.03</v>
      </c>
      <c r="AD20" s="13">
        <v>0</v>
      </c>
      <c r="AE20" s="41"/>
      <c r="AF20" s="13">
        <v>0</v>
      </c>
      <c r="AG20" s="13">
        <v>0.25499999999999995</v>
      </c>
      <c r="AH20" s="13">
        <v>9.999999999999995E-3</v>
      </c>
      <c r="AI20" s="13">
        <v>0</v>
      </c>
      <c r="AJ20" s="41"/>
      <c r="AK20" s="13">
        <v>2.4999999999999994E-2</v>
      </c>
      <c r="AL20" s="13">
        <v>0.39499999999999996</v>
      </c>
      <c r="AM20" s="13">
        <v>0</v>
      </c>
      <c r="AN20" s="13">
        <v>0</v>
      </c>
      <c r="AO20" s="41"/>
      <c r="AP20" s="130"/>
      <c r="AQ20" s="11" t="s">
        <v>67</v>
      </c>
      <c r="AR20" s="13">
        <v>2.4999999999999994E-2</v>
      </c>
      <c r="AS20" s="13">
        <v>0.27</v>
      </c>
      <c r="AT20" s="45">
        <v>0</v>
      </c>
      <c r="AU20" s="45">
        <v>0</v>
      </c>
      <c r="AV20" s="41"/>
      <c r="AX20" s="46"/>
      <c r="AY20" s="46"/>
      <c r="AZ20" s="46"/>
      <c r="BB20" s="13"/>
      <c r="BC20" s="13"/>
      <c r="BD20" s="13"/>
      <c r="BE20" s="45"/>
    </row>
    <row r="21" spans="1:57" ht="18.5" x14ac:dyDescent="0.35">
      <c r="A21" s="6"/>
      <c r="B21" s="131"/>
      <c r="C21" s="11" t="s">
        <v>69</v>
      </c>
      <c r="D21" s="13">
        <v>7.4999999999999997E-2</v>
      </c>
      <c r="E21" s="13">
        <v>0.4</v>
      </c>
      <c r="F21" s="13">
        <v>7.4999999999999997E-2</v>
      </c>
      <c r="G21" s="45">
        <v>0</v>
      </c>
      <c r="H21" s="41"/>
      <c r="I21" s="13">
        <v>7.4999999999999997E-2</v>
      </c>
      <c r="J21" s="13">
        <v>0.4</v>
      </c>
      <c r="K21" s="13">
        <v>7.4999999999999997E-2</v>
      </c>
      <c r="L21" s="45">
        <v>0</v>
      </c>
      <c r="M21" s="41"/>
      <c r="N21" s="13">
        <v>0.1</v>
      </c>
      <c r="O21" s="13">
        <v>0.4</v>
      </c>
      <c r="P21" s="13">
        <v>0.1</v>
      </c>
      <c r="Q21" s="45">
        <v>0</v>
      </c>
      <c r="R21" s="41"/>
      <c r="S21" s="13">
        <v>7.4999999999999997E-2</v>
      </c>
      <c r="T21" s="13">
        <v>0.4</v>
      </c>
      <c r="U21" s="13">
        <v>7.4999999999999997E-2</v>
      </c>
      <c r="V21" s="45">
        <v>0</v>
      </c>
      <c r="W21" s="41"/>
      <c r="X21" s="13">
        <v>7.4999999999999997E-2</v>
      </c>
      <c r="Y21" s="13">
        <v>7.4999999999999997E-2</v>
      </c>
      <c r="Z21" s="41"/>
      <c r="AA21" s="13">
        <v>0.03</v>
      </c>
      <c r="AB21" s="13">
        <v>0.375</v>
      </c>
      <c r="AC21" s="13">
        <v>0.03</v>
      </c>
      <c r="AD21" s="45">
        <v>0</v>
      </c>
      <c r="AE21" s="41"/>
      <c r="AF21" s="13">
        <v>2.4999999999999994E-2</v>
      </c>
      <c r="AG21" s="13">
        <v>0.375</v>
      </c>
      <c r="AH21" s="13">
        <v>2.4999999999999994E-2</v>
      </c>
      <c r="AI21" s="45">
        <v>0</v>
      </c>
      <c r="AJ21" s="41"/>
      <c r="AK21" s="13">
        <v>2.4999999999999994E-2</v>
      </c>
      <c r="AL21" s="13">
        <v>0.375</v>
      </c>
      <c r="AM21" s="45">
        <v>0</v>
      </c>
      <c r="AN21" s="45">
        <v>0</v>
      </c>
      <c r="AO21" s="41"/>
      <c r="AP21" s="131"/>
      <c r="AQ21" s="11" t="s">
        <v>69</v>
      </c>
      <c r="AR21" s="45">
        <v>0</v>
      </c>
      <c r="AS21" s="45">
        <v>0</v>
      </c>
      <c r="AT21" s="45">
        <v>0</v>
      </c>
      <c r="AU21" s="45">
        <v>0</v>
      </c>
      <c r="AV21" s="41"/>
      <c r="AX21" s="46">
        <v>0</v>
      </c>
      <c r="AY21" s="46">
        <v>0</v>
      </c>
      <c r="AZ21" s="46">
        <v>0</v>
      </c>
      <c r="BB21" s="13">
        <v>7.4999999999999997E-2</v>
      </c>
      <c r="BC21" s="13">
        <v>0.32</v>
      </c>
      <c r="BD21" s="13">
        <v>7.4999999999999997E-2</v>
      </c>
      <c r="BE21" s="45">
        <v>0</v>
      </c>
    </row>
    <row r="22" spans="1:57" ht="18.5" x14ac:dyDescent="0.35">
      <c r="A22" s="6"/>
      <c r="B22" s="132"/>
      <c r="C22" s="11" t="s">
        <v>23</v>
      </c>
      <c r="D22" s="45">
        <v>0</v>
      </c>
      <c r="E22" s="13">
        <v>0.3</v>
      </c>
      <c r="F22" s="45">
        <v>0</v>
      </c>
      <c r="G22" s="45">
        <v>0</v>
      </c>
      <c r="H22" s="41"/>
      <c r="I22" s="45">
        <v>0</v>
      </c>
      <c r="J22" s="13">
        <v>0.3</v>
      </c>
      <c r="K22" s="45">
        <v>0</v>
      </c>
      <c r="L22" s="45">
        <v>0</v>
      </c>
      <c r="M22" s="41"/>
      <c r="N22" s="45">
        <v>0</v>
      </c>
      <c r="O22" s="13">
        <v>0.3</v>
      </c>
      <c r="P22" s="45">
        <v>0</v>
      </c>
      <c r="Q22" s="45">
        <v>0</v>
      </c>
      <c r="R22" s="41"/>
      <c r="S22" s="45">
        <v>0</v>
      </c>
      <c r="T22" s="13">
        <v>0.3</v>
      </c>
      <c r="U22" s="45">
        <v>0</v>
      </c>
      <c r="V22" s="45">
        <v>0</v>
      </c>
      <c r="W22" s="41"/>
      <c r="X22" s="45">
        <v>0</v>
      </c>
      <c r="Y22" s="45">
        <v>0</v>
      </c>
      <c r="Z22" s="41"/>
      <c r="AA22" s="45">
        <v>0</v>
      </c>
      <c r="AB22" s="13">
        <v>0.27499999999999997</v>
      </c>
      <c r="AC22" s="45">
        <v>0</v>
      </c>
      <c r="AD22" s="45">
        <v>0</v>
      </c>
      <c r="AE22" s="41"/>
      <c r="AF22" s="45">
        <v>0</v>
      </c>
      <c r="AG22" s="13">
        <v>0.27499999999999997</v>
      </c>
      <c r="AH22" s="45">
        <v>0</v>
      </c>
      <c r="AI22" s="45">
        <v>0</v>
      </c>
      <c r="AJ22" s="41"/>
      <c r="AK22" s="45">
        <v>0</v>
      </c>
      <c r="AL22" s="13">
        <v>0.27499999999999997</v>
      </c>
      <c r="AM22" s="45">
        <v>0</v>
      </c>
      <c r="AN22" s="45">
        <v>0</v>
      </c>
      <c r="AO22" s="41"/>
      <c r="AP22" s="132"/>
      <c r="AQ22" s="11" t="s">
        <v>23</v>
      </c>
      <c r="AR22" s="45">
        <v>0</v>
      </c>
      <c r="AS22" s="45">
        <v>0</v>
      </c>
      <c r="AT22" s="45">
        <v>0</v>
      </c>
      <c r="AU22" s="45">
        <v>0</v>
      </c>
      <c r="AV22" s="41"/>
      <c r="AX22" s="46"/>
      <c r="AY22" s="46">
        <v>0</v>
      </c>
      <c r="AZ22" s="46"/>
      <c r="BB22" s="45">
        <v>0</v>
      </c>
      <c r="BC22" s="13">
        <v>0.3</v>
      </c>
      <c r="BD22" s="45">
        <v>0</v>
      </c>
      <c r="BE22" s="45">
        <v>0</v>
      </c>
    </row>
    <row r="23" spans="1:57" customFormat="1" ht="4.5" customHeight="1" x14ac:dyDescent="0.35">
      <c r="A23" s="6"/>
      <c r="B23" s="6"/>
      <c r="C23" s="6"/>
      <c r="D23" s="6"/>
      <c r="E23" s="6"/>
      <c r="F23" s="6"/>
      <c r="G23" s="6"/>
      <c r="H23" s="41"/>
      <c r="I23" s="6"/>
      <c r="J23" s="6"/>
      <c r="K23" s="6"/>
      <c r="L23" s="6"/>
      <c r="M23" s="41"/>
      <c r="N23" s="6"/>
      <c r="O23" s="6"/>
      <c r="P23" s="6"/>
      <c r="Q23" s="6"/>
      <c r="R23" s="41"/>
      <c r="S23" s="6"/>
      <c r="T23" s="6"/>
      <c r="U23" s="6"/>
      <c r="V23" s="6"/>
      <c r="W23" s="41"/>
      <c r="X23" s="6"/>
      <c r="Y23" s="6"/>
      <c r="Z23" s="41"/>
      <c r="AA23" s="6"/>
      <c r="AB23" s="6"/>
      <c r="AC23" s="6"/>
      <c r="AD23" s="6"/>
      <c r="AE23" s="41"/>
      <c r="AF23" s="6"/>
      <c r="AG23" s="6"/>
      <c r="AH23" s="6"/>
      <c r="AI23" s="6"/>
      <c r="AJ23" s="41"/>
      <c r="AK23" s="6"/>
      <c r="AL23" s="6"/>
      <c r="AM23" s="6"/>
      <c r="AN23" s="6"/>
      <c r="AO23" s="41"/>
      <c r="AP23" s="6"/>
      <c r="AQ23" s="6"/>
      <c r="AR23" s="6"/>
      <c r="AS23" s="6"/>
      <c r="AT23" s="6"/>
      <c r="AU23" s="6"/>
      <c r="AV23" s="41"/>
      <c r="BB23" s="6"/>
      <c r="BC23" s="6"/>
      <c r="BD23" s="6"/>
      <c r="BE23" s="6"/>
    </row>
    <row r="24" spans="1:57" ht="14.5" customHeight="1" x14ac:dyDescent="0.35">
      <c r="A24" s="6"/>
      <c r="B24" s="135" t="s">
        <v>72</v>
      </c>
      <c r="C24" s="11" t="s">
        <v>65</v>
      </c>
      <c r="D24" s="13">
        <v>0.125</v>
      </c>
      <c r="E24" s="13">
        <v>0.125</v>
      </c>
      <c r="F24" s="13">
        <v>0.125</v>
      </c>
      <c r="G24" s="45">
        <v>0</v>
      </c>
      <c r="H24" s="41"/>
      <c r="I24" s="13">
        <v>0.15</v>
      </c>
      <c r="J24" s="13">
        <v>0.42</v>
      </c>
      <c r="K24" s="13">
        <v>0.08</v>
      </c>
      <c r="L24" s="45">
        <v>0</v>
      </c>
      <c r="M24" s="41"/>
      <c r="N24" s="13">
        <v>0.45</v>
      </c>
      <c r="O24" s="13">
        <v>0.45</v>
      </c>
      <c r="P24" s="13">
        <v>0.45</v>
      </c>
      <c r="Q24" s="45">
        <v>0</v>
      </c>
      <c r="R24" s="41"/>
      <c r="S24" s="13">
        <v>0.1</v>
      </c>
      <c r="T24" s="13">
        <v>0.32</v>
      </c>
      <c r="U24" s="13">
        <v>0.1</v>
      </c>
      <c r="V24" s="45">
        <v>0</v>
      </c>
      <c r="W24" s="41"/>
      <c r="X24" s="13">
        <v>7.4999999999999997E-2</v>
      </c>
      <c r="Y24" s="13">
        <v>7.4999999999999997E-2</v>
      </c>
      <c r="Z24" s="41"/>
      <c r="AA24" s="13">
        <v>9.9999999999999992E-2</v>
      </c>
      <c r="AB24" s="13">
        <v>0.39499999999999996</v>
      </c>
      <c r="AC24" s="13">
        <v>9.9999999999999992E-2</v>
      </c>
      <c r="AD24" s="45">
        <v>0</v>
      </c>
      <c r="AE24" s="41"/>
      <c r="AF24" s="13">
        <v>0.05</v>
      </c>
      <c r="AG24" s="13">
        <v>0.29499999999999998</v>
      </c>
      <c r="AH24" s="13">
        <v>0.05</v>
      </c>
      <c r="AI24" s="45">
        <v>0</v>
      </c>
      <c r="AJ24" s="41"/>
      <c r="AK24" s="13">
        <v>0.05</v>
      </c>
      <c r="AL24" s="13">
        <v>0.39499999999999996</v>
      </c>
      <c r="AM24" s="45">
        <v>0</v>
      </c>
      <c r="AN24" s="45">
        <v>0</v>
      </c>
      <c r="AO24" s="41"/>
      <c r="AP24" s="129" t="s">
        <v>4</v>
      </c>
      <c r="AQ24" s="11" t="s">
        <v>65</v>
      </c>
      <c r="AR24" s="13">
        <v>0.05</v>
      </c>
      <c r="AS24" s="13">
        <v>0.27</v>
      </c>
      <c r="AT24" s="45">
        <v>0</v>
      </c>
      <c r="AU24" s="45">
        <v>0</v>
      </c>
      <c r="AV24" s="41"/>
      <c r="AX24" s="46">
        <v>-2.4999999999999994E-2</v>
      </c>
      <c r="AY24" s="46">
        <v>0.19500000000000001</v>
      </c>
      <c r="AZ24" s="46">
        <v>-2.4999999999999994E-2</v>
      </c>
      <c r="BB24" s="13">
        <v>0.1</v>
      </c>
      <c r="BC24" s="13">
        <v>0.32</v>
      </c>
      <c r="BD24" s="13">
        <v>0.1</v>
      </c>
      <c r="BE24" s="45">
        <v>0</v>
      </c>
    </row>
    <row r="25" spans="1:57" ht="14.5" customHeight="1" x14ac:dyDescent="0.35">
      <c r="A25" s="6"/>
      <c r="B25" s="136"/>
      <c r="C25" s="11" t="s">
        <v>66</v>
      </c>
      <c r="D25" s="13">
        <v>0.105</v>
      </c>
      <c r="E25" s="13">
        <v>0.105</v>
      </c>
      <c r="F25" s="13">
        <v>0.105</v>
      </c>
      <c r="G25" s="13">
        <v>0</v>
      </c>
      <c r="H25" s="41"/>
      <c r="I25" s="13">
        <v>0.1</v>
      </c>
      <c r="J25" s="13">
        <v>0.375</v>
      </c>
      <c r="K25" s="13">
        <v>0.08</v>
      </c>
      <c r="L25" s="13">
        <v>0</v>
      </c>
      <c r="M25" s="41"/>
      <c r="N25" s="13">
        <v>0.45</v>
      </c>
      <c r="O25" s="13">
        <v>0.45</v>
      </c>
      <c r="P25" s="13">
        <v>0.45</v>
      </c>
      <c r="Q25" s="13">
        <v>0</v>
      </c>
      <c r="R25" s="41"/>
      <c r="S25" s="13">
        <v>0.08</v>
      </c>
      <c r="T25" s="13">
        <v>0.3</v>
      </c>
      <c r="U25" s="13">
        <v>0.08</v>
      </c>
      <c r="V25" s="13">
        <v>0</v>
      </c>
      <c r="W25" s="41"/>
      <c r="X25" s="13">
        <v>7.4999999999999997E-2</v>
      </c>
      <c r="Y25" s="13">
        <v>7.4999999999999997E-2</v>
      </c>
      <c r="Z25" s="41"/>
      <c r="AA25" s="13">
        <v>0.05</v>
      </c>
      <c r="AB25" s="13">
        <v>0.34499999999999997</v>
      </c>
      <c r="AC25" s="13">
        <v>0.05</v>
      </c>
      <c r="AD25" s="13">
        <v>0</v>
      </c>
      <c r="AE25" s="41"/>
      <c r="AF25" s="13">
        <v>0.03</v>
      </c>
      <c r="AG25" s="13">
        <v>0.27499999999999997</v>
      </c>
      <c r="AH25" s="13">
        <v>0.03</v>
      </c>
      <c r="AI25" s="13">
        <v>0</v>
      </c>
      <c r="AJ25" s="41"/>
      <c r="AK25" s="13">
        <v>0.05</v>
      </c>
      <c r="AL25" s="13">
        <v>0.39499999999999996</v>
      </c>
      <c r="AM25" s="13">
        <v>0</v>
      </c>
      <c r="AN25" s="13">
        <v>0</v>
      </c>
      <c r="AO25" s="41"/>
      <c r="AP25" s="130"/>
      <c r="AQ25" s="11" t="s">
        <v>66</v>
      </c>
      <c r="AR25" s="13">
        <v>0.05</v>
      </c>
      <c r="AS25" s="13">
        <v>0.27</v>
      </c>
      <c r="AT25" s="45">
        <v>0</v>
      </c>
      <c r="AU25" s="45">
        <v>0</v>
      </c>
      <c r="AV25" s="41"/>
      <c r="AX25" s="46"/>
      <c r="AY25" s="46"/>
      <c r="AZ25" s="46"/>
      <c r="BB25" s="13"/>
      <c r="BC25" s="13"/>
      <c r="BD25" s="13"/>
      <c r="BE25" s="45"/>
    </row>
    <row r="26" spans="1:57" ht="14.5" customHeight="1" x14ac:dyDescent="0.35">
      <c r="A26" s="6"/>
      <c r="B26" s="136"/>
      <c r="C26" s="11" t="s">
        <v>67</v>
      </c>
      <c r="D26" s="13">
        <v>8.4999999999999992E-2</v>
      </c>
      <c r="E26" s="13">
        <v>8.4999999999999992E-2</v>
      </c>
      <c r="F26" s="13">
        <v>8.4999999999999992E-2</v>
      </c>
      <c r="G26" s="13">
        <v>0</v>
      </c>
      <c r="H26" s="41"/>
      <c r="I26" s="13">
        <v>0.08</v>
      </c>
      <c r="J26" s="13">
        <v>0.32500000000000001</v>
      </c>
      <c r="K26" s="13">
        <v>0.08</v>
      </c>
      <c r="L26" s="13">
        <v>0</v>
      </c>
      <c r="M26" s="41"/>
      <c r="N26" s="13">
        <v>0.4</v>
      </c>
      <c r="O26" s="13">
        <v>0.4</v>
      </c>
      <c r="P26" s="13">
        <v>0.4</v>
      </c>
      <c r="Q26" s="13">
        <v>0</v>
      </c>
      <c r="R26" s="41"/>
      <c r="S26" s="13">
        <v>0.06</v>
      </c>
      <c r="T26" s="13">
        <v>0.27999999999999997</v>
      </c>
      <c r="U26" s="13">
        <v>0.06</v>
      </c>
      <c r="V26" s="13">
        <v>0</v>
      </c>
      <c r="W26" s="41"/>
      <c r="X26" s="13">
        <v>7.4999999999999997E-2</v>
      </c>
      <c r="Y26" s="13">
        <v>7.4999999999999997E-2</v>
      </c>
      <c r="Z26" s="41"/>
      <c r="AA26" s="13">
        <v>0.03</v>
      </c>
      <c r="AB26" s="13">
        <v>0.29499999999999998</v>
      </c>
      <c r="AC26" s="13">
        <v>0.03</v>
      </c>
      <c r="AD26" s="13">
        <v>0</v>
      </c>
      <c r="AE26" s="41"/>
      <c r="AF26" s="13">
        <v>9.999999999999995E-3</v>
      </c>
      <c r="AG26" s="13">
        <v>0.25499999999999995</v>
      </c>
      <c r="AH26" s="13">
        <v>9.999999999999995E-3</v>
      </c>
      <c r="AI26" s="13">
        <v>0</v>
      </c>
      <c r="AJ26" s="41"/>
      <c r="AK26" s="13">
        <v>0.05</v>
      </c>
      <c r="AL26" s="13">
        <v>0.39499999999999996</v>
      </c>
      <c r="AM26" s="13">
        <v>0</v>
      </c>
      <c r="AN26" s="13">
        <v>0</v>
      </c>
      <c r="AO26" s="41"/>
      <c r="AP26" s="130"/>
      <c r="AQ26" s="11" t="s">
        <v>67</v>
      </c>
      <c r="AR26" s="13">
        <v>0.05</v>
      </c>
      <c r="AS26" s="13">
        <v>0.27</v>
      </c>
      <c r="AT26" s="45">
        <v>0</v>
      </c>
      <c r="AU26" s="45">
        <v>0</v>
      </c>
      <c r="AV26" s="41"/>
      <c r="AX26" s="46"/>
      <c r="AY26" s="46"/>
      <c r="AZ26" s="46"/>
      <c r="BB26" s="13"/>
      <c r="BC26" s="13"/>
      <c r="BD26" s="13"/>
      <c r="BE26" s="45"/>
    </row>
    <row r="27" spans="1:57" ht="18.5" x14ac:dyDescent="0.35">
      <c r="A27" s="6"/>
      <c r="B27" s="131"/>
      <c r="C27" s="11" t="s">
        <v>69</v>
      </c>
      <c r="D27" s="13">
        <v>7.4999999999999997E-2</v>
      </c>
      <c r="E27" s="13">
        <v>0.4</v>
      </c>
      <c r="F27" s="13">
        <v>7.4999999999999997E-2</v>
      </c>
      <c r="G27" s="45">
        <v>0</v>
      </c>
      <c r="H27" s="41"/>
      <c r="I27" s="13">
        <v>7.4999999999999997E-2</v>
      </c>
      <c r="J27" s="13">
        <v>0.4</v>
      </c>
      <c r="K27" s="13">
        <v>7.4999999999999997E-2</v>
      </c>
      <c r="L27" s="45">
        <v>0</v>
      </c>
      <c r="M27" s="41"/>
      <c r="N27" s="13">
        <v>0.1</v>
      </c>
      <c r="O27" s="13">
        <v>0.4</v>
      </c>
      <c r="P27" s="13">
        <v>0.1</v>
      </c>
      <c r="Q27" s="45">
        <v>0</v>
      </c>
      <c r="R27" s="41"/>
      <c r="S27" s="13">
        <v>7.4999999999999997E-2</v>
      </c>
      <c r="T27" s="13">
        <v>0.4</v>
      </c>
      <c r="U27" s="13">
        <v>7.4999999999999997E-2</v>
      </c>
      <c r="V27" s="45">
        <v>0</v>
      </c>
      <c r="W27" s="41"/>
      <c r="X27" s="13">
        <v>7.4999999999999997E-2</v>
      </c>
      <c r="Y27" s="13">
        <v>7.4999999999999997E-2</v>
      </c>
      <c r="Z27" s="41"/>
      <c r="AA27" s="13">
        <v>0.03</v>
      </c>
      <c r="AB27" s="13">
        <v>0.375</v>
      </c>
      <c r="AC27" s="13">
        <v>0.03</v>
      </c>
      <c r="AD27" s="45">
        <v>0</v>
      </c>
      <c r="AE27" s="41"/>
      <c r="AF27" s="13">
        <v>2.4999999999999994E-2</v>
      </c>
      <c r="AG27" s="13">
        <v>0.375</v>
      </c>
      <c r="AH27" s="13">
        <v>2.4999999999999994E-2</v>
      </c>
      <c r="AI27" s="45">
        <v>0</v>
      </c>
      <c r="AJ27" s="41"/>
      <c r="AK27" s="13">
        <v>0.05</v>
      </c>
      <c r="AL27" s="13">
        <v>0.375</v>
      </c>
      <c r="AM27" s="45">
        <v>0</v>
      </c>
      <c r="AN27" s="45">
        <v>0</v>
      </c>
      <c r="AO27" s="41"/>
      <c r="AP27" s="131"/>
      <c r="AQ27" s="11" t="s">
        <v>69</v>
      </c>
      <c r="AR27" s="45">
        <v>0</v>
      </c>
      <c r="AS27" s="45">
        <v>0</v>
      </c>
      <c r="AT27" s="45">
        <v>0</v>
      </c>
      <c r="AU27" s="45">
        <v>0</v>
      </c>
      <c r="AV27" s="41"/>
      <c r="AX27" s="46">
        <v>0</v>
      </c>
      <c r="AY27" s="46">
        <v>0</v>
      </c>
      <c r="AZ27" s="46">
        <v>0</v>
      </c>
      <c r="BB27" s="13">
        <v>0.1</v>
      </c>
      <c r="BC27" s="13">
        <v>0.32</v>
      </c>
      <c r="BD27" s="13">
        <v>0.1</v>
      </c>
      <c r="BE27" s="45">
        <v>0</v>
      </c>
    </row>
    <row r="28" spans="1:57" ht="18.5" x14ac:dyDescent="0.35">
      <c r="A28" s="6"/>
      <c r="B28" s="132"/>
      <c r="C28" s="11" t="s">
        <v>23</v>
      </c>
      <c r="D28" s="45">
        <v>0</v>
      </c>
      <c r="E28" s="13">
        <v>7.4999999999999997E-2</v>
      </c>
      <c r="F28" s="45">
        <v>0</v>
      </c>
      <c r="G28" s="45">
        <v>0</v>
      </c>
      <c r="H28" s="41"/>
      <c r="I28" s="45">
        <v>0</v>
      </c>
      <c r="J28" s="13">
        <v>7.4999999999999997E-2</v>
      </c>
      <c r="K28" s="45">
        <v>0</v>
      </c>
      <c r="L28" s="45">
        <v>0</v>
      </c>
      <c r="M28" s="41"/>
      <c r="N28" s="45">
        <v>0</v>
      </c>
      <c r="O28" s="13">
        <v>7.4999999999999997E-2</v>
      </c>
      <c r="P28" s="45">
        <v>0</v>
      </c>
      <c r="Q28" s="45">
        <v>0</v>
      </c>
      <c r="R28" s="41"/>
      <c r="S28" s="45">
        <v>0</v>
      </c>
      <c r="T28" s="13">
        <v>7.4999999999999997E-2</v>
      </c>
      <c r="U28" s="45">
        <v>0</v>
      </c>
      <c r="V28" s="45">
        <v>0</v>
      </c>
      <c r="W28" s="41"/>
      <c r="X28" s="45">
        <v>0</v>
      </c>
      <c r="Y28" s="45">
        <v>0</v>
      </c>
      <c r="Z28" s="41"/>
      <c r="AA28" s="45">
        <v>0</v>
      </c>
      <c r="AB28" s="13">
        <v>4.9999999999999996E-2</v>
      </c>
      <c r="AC28" s="45">
        <v>0</v>
      </c>
      <c r="AD28" s="45">
        <v>0</v>
      </c>
      <c r="AE28" s="41"/>
      <c r="AF28" s="45">
        <v>0</v>
      </c>
      <c r="AG28" s="13">
        <v>4.9999999999999996E-2</v>
      </c>
      <c r="AH28" s="45">
        <v>0</v>
      </c>
      <c r="AI28" s="45">
        <v>0</v>
      </c>
      <c r="AJ28" s="41"/>
      <c r="AK28" s="13">
        <v>0</v>
      </c>
      <c r="AL28" s="13">
        <v>4.9999999999999996E-2</v>
      </c>
      <c r="AM28" s="45">
        <v>0</v>
      </c>
      <c r="AN28" s="45">
        <v>0</v>
      </c>
      <c r="AO28" s="41"/>
      <c r="AP28" s="132"/>
      <c r="AQ28" s="11" t="s">
        <v>23</v>
      </c>
      <c r="AR28" s="45">
        <v>0</v>
      </c>
      <c r="AS28" s="45">
        <v>0</v>
      </c>
      <c r="AT28" s="45">
        <v>0</v>
      </c>
      <c r="AU28" s="45">
        <v>0</v>
      </c>
      <c r="AV28" s="41"/>
      <c r="AX28" s="46"/>
      <c r="AY28" s="46">
        <v>0</v>
      </c>
      <c r="AZ28" s="46"/>
      <c r="BB28" s="45">
        <v>0</v>
      </c>
      <c r="BC28" s="13">
        <v>7.4999999999999997E-2</v>
      </c>
      <c r="BD28" s="45">
        <v>0</v>
      </c>
      <c r="BE28" s="45">
        <v>0</v>
      </c>
    </row>
    <row r="29" spans="1:57" customFormat="1" ht="4.5" customHeight="1" x14ac:dyDescent="0.35">
      <c r="A29" s="6"/>
      <c r="B29" s="6"/>
      <c r="C29" s="6"/>
      <c r="D29" s="6"/>
      <c r="E29" s="6"/>
      <c r="F29" s="6"/>
      <c r="G29" s="6"/>
      <c r="H29" s="41"/>
      <c r="I29" s="6"/>
      <c r="J29" s="6"/>
      <c r="K29" s="6"/>
      <c r="L29" s="6"/>
      <c r="M29" s="41"/>
      <c r="N29" s="6"/>
      <c r="O29" s="6"/>
      <c r="P29" s="6"/>
      <c r="Q29" s="6"/>
      <c r="R29" s="41"/>
      <c r="S29" s="6"/>
      <c r="T29" s="6"/>
      <c r="U29" s="6"/>
      <c r="V29" s="6"/>
      <c r="W29" s="41"/>
      <c r="X29" s="6"/>
      <c r="Y29" s="6"/>
      <c r="Z29" s="41"/>
      <c r="AA29" s="6"/>
      <c r="AB29" s="6"/>
      <c r="AC29" s="6"/>
      <c r="AD29" s="6"/>
      <c r="AE29" s="41"/>
      <c r="AF29" s="6"/>
      <c r="AG29" s="6"/>
      <c r="AH29" s="6"/>
      <c r="AI29" s="6"/>
      <c r="AJ29" s="41"/>
      <c r="AK29" s="6"/>
      <c r="AL29" s="6"/>
      <c r="AM29" s="6"/>
      <c r="AN29" s="6"/>
      <c r="AO29" s="41"/>
      <c r="AP29" s="6"/>
      <c r="AQ29" s="6"/>
      <c r="AR29" s="6"/>
      <c r="AS29" s="6"/>
      <c r="AT29" s="6"/>
      <c r="AU29" s="6"/>
      <c r="AV29" s="41"/>
      <c r="BB29" s="6"/>
      <c r="BC29" s="6"/>
      <c r="BD29" s="6"/>
      <c r="BE29" s="6"/>
    </row>
    <row r="30" spans="1:57" ht="14.5" customHeight="1" x14ac:dyDescent="0.35">
      <c r="A30" s="6"/>
      <c r="B30" s="129" t="s">
        <v>73</v>
      </c>
      <c r="C30" s="11" t="s">
        <v>65</v>
      </c>
      <c r="D30" s="13">
        <v>0</v>
      </c>
      <c r="E30" s="13">
        <v>0</v>
      </c>
      <c r="F30" s="13">
        <v>0</v>
      </c>
      <c r="G30" s="45">
        <v>0</v>
      </c>
      <c r="H30" s="41"/>
      <c r="I30" s="13">
        <v>0.05</v>
      </c>
      <c r="J30" s="13">
        <v>0.1</v>
      </c>
      <c r="K30" s="13">
        <v>0.05</v>
      </c>
      <c r="L30" s="45">
        <v>0</v>
      </c>
      <c r="M30" s="41"/>
      <c r="N30" s="13">
        <v>7.4999999999999997E-2</v>
      </c>
      <c r="O30" s="13">
        <v>7.4999999999999997E-2</v>
      </c>
      <c r="P30" s="13">
        <v>7.4999999999999997E-2</v>
      </c>
      <c r="Q30" s="45">
        <v>0</v>
      </c>
      <c r="R30" s="41"/>
      <c r="S30" s="13">
        <v>0</v>
      </c>
      <c r="T30" s="13">
        <v>0</v>
      </c>
      <c r="U30" s="13">
        <v>0</v>
      </c>
      <c r="V30" s="45">
        <v>0</v>
      </c>
      <c r="W30" s="41"/>
      <c r="X30" s="13">
        <v>0</v>
      </c>
      <c r="Y30" s="13">
        <v>0</v>
      </c>
      <c r="Z30" s="41"/>
      <c r="AA30" s="13">
        <v>0</v>
      </c>
      <c r="AB30" s="13">
        <v>0</v>
      </c>
      <c r="AC30" s="13">
        <v>0</v>
      </c>
      <c r="AD30" s="45">
        <v>0</v>
      </c>
      <c r="AE30" s="41"/>
      <c r="AF30" s="13">
        <v>0</v>
      </c>
      <c r="AG30" s="13">
        <v>0</v>
      </c>
      <c r="AH30" s="13">
        <v>0</v>
      </c>
      <c r="AI30" s="45">
        <v>0</v>
      </c>
      <c r="AJ30" s="41"/>
      <c r="AK30" s="13">
        <v>0</v>
      </c>
      <c r="AL30" s="13">
        <v>4.9999999999999996E-2</v>
      </c>
      <c r="AM30" s="13">
        <v>0</v>
      </c>
      <c r="AN30" s="13">
        <v>0</v>
      </c>
      <c r="AO30" s="41"/>
      <c r="AP30" s="129" t="s">
        <v>74</v>
      </c>
      <c r="AQ30" s="11" t="s">
        <v>65</v>
      </c>
      <c r="AR30" s="45">
        <v>0</v>
      </c>
      <c r="AS30" s="45">
        <v>0</v>
      </c>
      <c r="AT30" s="45">
        <v>0</v>
      </c>
      <c r="AU30" s="45">
        <v>0</v>
      </c>
      <c r="AV30" s="41"/>
      <c r="AX30" s="46">
        <v>0</v>
      </c>
      <c r="AY30" s="46">
        <v>0</v>
      </c>
      <c r="AZ30" s="46">
        <v>0</v>
      </c>
      <c r="BB30" s="13">
        <v>0</v>
      </c>
      <c r="BC30" s="13">
        <v>0</v>
      </c>
      <c r="BD30" s="13">
        <v>0</v>
      </c>
      <c r="BE30" s="45">
        <v>0</v>
      </c>
    </row>
    <row r="31" spans="1:57" ht="14.5" customHeight="1" x14ac:dyDescent="0.35">
      <c r="A31" s="6"/>
      <c r="B31" s="130"/>
      <c r="C31" s="11" t="s">
        <v>66</v>
      </c>
      <c r="D31" s="13">
        <v>0</v>
      </c>
      <c r="E31" s="13">
        <v>0</v>
      </c>
      <c r="F31" s="13">
        <v>0</v>
      </c>
      <c r="G31" s="13">
        <v>0</v>
      </c>
      <c r="H31" s="41"/>
      <c r="I31" s="13">
        <v>0.05</v>
      </c>
      <c r="J31" s="13">
        <v>0.1</v>
      </c>
      <c r="K31" s="13">
        <v>0.05</v>
      </c>
      <c r="L31" s="13">
        <v>0</v>
      </c>
      <c r="M31" s="41"/>
      <c r="N31" s="13">
        <v>7.4999999999999997E-2</v>
      </c>
      <c r="O31" s="13">
        <v>7.4999999999999997E-2</v>
      </c>
      <c r="P31" s="13">
        <v>7.4999999999999997E-2</v>
      </c>
      <c r="Q31" s="13">
        <v>0</v>
      </c>
      <c r="R31" s="41"/>
      <c r="S31" s="13">
        <v>0</v>
      </c>
      <c r="T31" s="13">
        <v>0</v>
      </c>
      <c r="U31" s="13">
        <v>0</v>
      </c>
      <c r="V31" s="13">
        <v>0</v>
      </c>
      <c r="W31" s="41"/>
      <c r="X31" s="13">
        <v>0</v>
      </c>
      <c r="Y31" s="13">
        <v>0</v>
      </c>
      <c r="Z31" s="41"/>
      <c r="AA31" s="13">
        <v>0</v>
      </c>
      <c r="AB31" s="13">
        <v>0</v>
      </c>
      <c r="AC31" s="13">
        <v>0</v>
      </c>
      <c r="AD31" s="13">
        <v>0</v>
      </c>
      <c r="AE31" s="41"/>
      <c r="AF31" s="13">
        <v>0</v>
      </c>
      <c r="AG31" s="13">
        <v>0</v>
      </c>
      <c r="AH31" s="13">
        <v>0</v>
      </c>
      <c r="AI31" s="13">
        <v>0</v>
      </c>
      <c r="AJ31" s="41"/>
      <c r="AK31" s="13">
        <v>0</v>
      </c>
      <c r="AL31" s="13">
        <v>4.9999999999999996E-2</v>
      </c>
      <c r="AM31" s="13">
        <v>0</v>
      </c>
      <c r="AN31" s="13">
        <v>0</v>
      </c>
      <c r="AO31" s="41"/>
      <c r="AP31" s="130"/>
      <c r="AQ31" s="11" t="s">
        <v>66</v>
      </c>
      <c r="AR31" s="13">
        <v>0</v>
      </c>
      <c r="AS31" s="13">
        <v>0</v>
      </c>
      <c r="AT31" s="45">
        <v>0</v>
      </c>
      <c r="AU31" s="45">
        <v>0</v>
      </c>
      <c r="AV31" s="41"/>
      <c r="AX31" s="46"/>
      <c r="AY31" s="46"/>
      <c r="AZ31" s="46"/>
      <c r="BB31" s="13"/>
      <c r="BC31" s="13"/>
      <c r="BD31" s="13"/>
      <c r="BE31" s="45"/>
    </row>
    <row r="32" spans="1:57" ht="14.5" customHeight="1" x14ac:dyDescent="0.35">
      <c r="A32" s="6"/>
      <c r="B32" s="130"/>
      <c r="C32" s="11" t="s">
        <v>67</v>
      </c>
      <c r="D32" s="13">
        <v>0</v>
      </c>
      <c r="E32" s="13">
        <v>0</v>
      </c>
      <c r="F32" s="13">
        <v>0</v>
      </c>
      <c r="G32" s="13">
        <v>0</v>
      </c>
      <c r="H32" s="41"/>
      <c r="I32" s="13">
        <v>0.05</v>
      </c>
      <c r="J32" s="13">
        <v>0.1</v>
      </c>
      <c r="K32" s="13">
        <v>0.05</v>
      </c>
      <c r="L32" s="13">
        <v>0</v>
      </c>
      <c r="M32" s="41"/>
      <c r="N32" s="13">
        <v>7.4999999999999997E-2</v>
      </c>
      <c r="O32" s="13">
        <v>7.4999999999999997E-2</v>
      </c>
      <c r="P32" s="13">
        <v>7.4999999999999997E-2</v>
      </c>
      <c r="Q32" s="13">
        <v>0</v>
      </c>
      <c r="R32" s="41"/>
      <c r="S32" s="13">
        <v>0</v>
      </c>
      <c r="T32" s="13">
        <v>0</v>
      </c>
      <c r="U32" s="13">
        <v>0</v>
      </c>
      <c r="V32" s="13">
        <v>0</v>
      </c>
      <c r="W32" s="41"/>
      <c r="X32" s="13">
        <v>0</v>
      </c>
      <c r="Y32" s="13">
        <v>0</v>
      </c>
      <c r="Z32" s="41"/>
      <c r="AA32" s="13">
        <v>0</v>
      </c>
      <c r="AB32" s="13">
        <v>0</v>
      </c>
      <c r="AC32" s="13">
        <v>0</v>
      </c>
      <c r="AD32" s="13">
        <v>0</v>
      </c>
      <c r="AE32" s="41"/>
      <c r="AF32" s="13">
        <v>0</v>
      </c>
      <c r="AG32" s="13">
        <v>0</v>
      </c>
      <c r="AH32" s="13">
        <v>0</v>
      </c>
      <c r="AI32" s="13">
        <v>0</v>
      </c>
      <c r="AJ32" s="41"/>
      <c r="AK32" s="13">
        <v>0</v>
      </c>
      <c r="AL32" s="13">
        <v>4.9999999999999996E-2</v>
      </c>
      <c r="AM32" s="13">
        <v>0</v>
      </c>
      <c r="AN32" s="13">
        <v>0</v>
      </c>
      <c r="AO32" s="41"/>
      <c r="AP32" s="130"/>
      <c r="AQ32" s="11" t="s">
        <v>67</v>
      </c>
      <c r="AR32" s="13">
        <v>0</v>
      </c>
      <c r="AS32" s="13">
        <v>0</v>
      </c>
      <c r="AT32" s="45">
        <v>0</v>
      </c>
      <c r="AU32" s="45">
        <v>0</v>
      </c>
      <c r="AV32" s="41"/>
      <c r="AX32" s="46"/>
      <c r="AY32" s="46"/>
      <c r="AZ32" s="46"/>
      <c r="BB32" s="13"/>
      <c r="BC32" s="13"/>
      <c r="BD32" s="13"/>
      <c r="BE32" s="45"/>
    </row>
    <row r="33" spans="1:57" ht="18.5" x14ac:dyDescent="0.35">
      <c r="A33" s="6"/>
      <c r="B33" s="131"/>
      <c r="C33" s="11" t="s">
        <v>69</v>
      </c>
      <c r="D33" s="13">
        <v>0</v>
      </c>
      <c r="E33" s="13">
        <v>0</v>
      </c>
      <c r="F33" s="13">
        <v>0</v>
      </c>
      <c r="G33" s="45">
        <v>0</v>
      </c>
      <c r="H33" s="41"/>
      <c r="I33" s="13">
        <v>0.05</v>
      </c>
      <c r="J33" s="13">
        <v>0</v>
      </c>
      <c r="K33" s="13">
        <v>0.05</v>
      </c>
      <c r="L33" s="45">
        <v>0</v>
      </c>
      <c r="M33" s="41"/>
      <c r="N33" s="13">
        <v>0.05</v>
      </c>
      <c r="O33" s="13">
        <v>0</v>
      </c>
      <c r="P33" s="13">
        <v>0.05</v>
      </c>
      <c r="Q33" s="45">
        <v>0</v>
      </c>
      <c r="R33" s="41"/>
      <c r="S33" s="13">
        <v>0</v>
      </c>
      <c r="T33" s="13">
        <v>0</v>
      </c>
      <c r="U33" s="13">
        <v>0</v>
      </c>
      <c r="V33" s="45">
        <v>0</v>
      </c>
      <c r="W33" s="41"/>
      <c r="X33" s="13">
        <v>0</v>
      </c>
      <c r="Y33" s="13">
        <v>0</v>
      </c>
      <c r="Z33" s="41"/>
      <c r="AA33" s="13">
        <v>0</v>
      </c>
      <c r="AB33" s="13">
        <v>0</v>
      </c>
      <c r="AC33" s="13">
        <v>0</v>
      </c>
      <c r="AD33" s="45">
        <v>0</v>
      </c>
      <c r="AE33" s="41"/>
      <c r="AF33" s="13">
        <v>0</v>
      </c>
      <c r="AG33" s="13">
        <v>0</v>
      </c>
      <c r="AH33" s="13">
        <v>0</v>
      </c>
      <c r="AI33" s="45">
        <v>0</v>
      </c>
      <c r="AJ33" s="41"/>
      <c r="AK33" s="13">
        <v>0</v>
      </c>
      <c r="AL33" s="13">
        <v>0</v>
      </c>
      <c r="AM33" s="13">
        <v>0</v>
      </c>
      <c r="AN33" s="13">
        <v>0</v>
      </c>
      <c r="AO33" s="41"/>
      <c r="AP33" s="131"/>
      <c r="AQ33" s="11" t="s">
        <v>69</v>
      </c>
      <c r="AR33" s="45">
        <v>0</v>
      </c>
      <c r="AS33" s="45">
        <v>0</v>
      </c>
      <c r="AT33" s="45">
        <v>0</v>
      </c>
      <c r="AU33" s="45">
        <v>0</v>
      </c>
      <c r="AV33" s="41"/>
      <c r="AX33" s="46">
        <v>0</v>
      </c>
      <c r="AY33" s="46">
        <v>0</v>
      </c>
      <c r="AZ33" s="46">
        <v>0</v>
      </c>
      <c r="BB33" s="13">
        <v>0</v>
      </c>
      <c r="BC33" s="13">
        <v>0</v>
      </c>
      <c r="BD33" s="13">
        <v>0</v>
      </c>
      <c r="BE33" s="45">
        <v>0</v>
      </c>
    </row>
    <row r="34" spans="1:57" ht="18.5" x14ac:dyDescent="0.35">
      <c r="A34" s="6"/>
      <c r="B34" s="132"/>
      <c r="C34" s="11" t="s">
        <v>23</v>
      </c>
      <c r="D34" s="45">
        <v>0</v>
      </c>
      <c r="E34" s="13">
        <v>0</v>
      </c>
      <c r="F34" s="45">
        <v>0</v>
      </c>
      <c r="G34" s="45">
        <v>0</v>
      </c>
      <c r="H34" s="41"/>
      <c r="I34" s="45">
        <v>0</v>
      </c>
      <c r="J34" s="13">
        <v>0</v>
      </c>
      <c r="K34" s="45">
        <v>0</v>
      </c>
      <c r="L34" s="45">
        <v>0</v>
      </c>
      <c r="M34" s="41"/>
      <c r="N34" s="45">
        <v>0</v>
      </c>
      <c r="O34" s="13">
        <v>0</v>
      </c>
      <c r="P34" s="45">
        <v>0</v>
      </c>
      <c r="Q34" s="45">
        <v>0</v>
      </c>
      <c r="R34" s="41"/>
      <c r="S34" s="13">
        <v>0</v>
      </c>
      <c r="T34" s="13">
        <v>0</v>
      </c>
      <c r="U34" s="13">
        <v>0</v>
      </c>
      <c r="V34" s="45">
        <v>0</v>
      </c>
      <c r="W34" s="41"/>
      <c r="X34" s="45">
        <v>0</v>
      </c>
      <c r="Y34" s="45">
        <v>0</v>
      </c>
      <c r="Z34" s="41"/>
      <c r="AA34" s="45">
        <v>0</v>
      </c>
      <c r="AB34" s="13">
        <v>0</v>
      </c>
      <c r="AC34" s="45">
        <v>0</v>
      </c>
      <c r="AD34" s="45">
        <v>0</v>
      </c>
      <c r="AE34" s="41"/>
      <c r="AF34" s="45">
        <v>0</v>
      </c>
      <c r="AG34" s="13">
        <v>0</v>
      </c>
      <c r="AH34" s="45">
        <v>0</v>
      </c>
      <c r="AI34" s="45">
        <v>0</v>
      </c>
      <c r="AJ34" s="41"/>
      <c r="AK34" s="13">
        <v>0</v>
      </c>
      <c r="AL34" s="13">
        <v>0</v>
      </c>
      <c r="AM34" s="13">
        <v>0</v>
      </c>
      <c r="AN34" s="13">
        <v>0</v>
      </c>
      <c r="AO34" s="41"/>
      <c r="AP34" s="132"/>
      <c r="AQ34" s="11" t="s">
        <v>23</v>
      </c>
      <c r="AR34" s="45">
        <v>0</v>
      </c>
      <c r="AS34" s="45">
        <v>0</v>
      </c>
      <c r="AT34" s="45">
        <v>0</v>
      </c>
      <c r="AU34" s="45">
        <v>0</v>
      </c>
      <c r="AV34" s="41"/>
      <c r="AX34" s="46"/>
      <c r="AY34" s="46">
        <v>0</v>
      </c>
      <c r="AZ34" s="46"/>
      <c r="BB34" s="45">
        <v>0</v>
      </c>
      <c r="BC34" s="13">
        <v>0</v>
      </c>
      <c r="BD34" s="45">
        <v>0</v>
      </c>
      <c r="BE34" s="45">
        <v>0</v>
      </c>
    </row>
    <row r="35" spans="1:57" customFormat="1" ht="4.5" customHeight="1" x14ac:dyDescent="0.35">
      <c r="A35" s="6"/>
      <c r="B35" s="6"/>
      <c r="C35" s="6"/>
      <c r="D35" s="6"/>
      <c r="E35" s="6"/>
      <c r="F35" s="6"/>
      <c r="G35" s="6"/>
      <c r="H35" s="41"/>
      <c r="I35" s="6"/>
      <c r="J35" s="6"/>
      <c r="K35" s="6"/>
      <c r="L35" s="6"/>
      <c r="M35" s="41"/>
      <c r="N35" s="6"/>
      <c r="O35" s="6"/>
      <c r="P35" s="6"/>
      <c r="Q35" s="6"/>
      <c r="R35" s="41"/>
      <c r="S35" s="6"/>
      <c r="T35" s="6"/>
      <c r="U35" s="6"/>
      <c r="V35" s="6"/>
      <c r="W35" s="41"/>
      <c r="X35" s="6"/>
      <c r="Y35" s="6"/>
      <c r="Z35" s="41"/>
      <c r="AA35" s="6"/>
      <c r="AB35" s="6"/>
      <c r="AC35" s="6"/>
      <c r="AD35" s="6"/>
      <c r="AE35" s="41"/>
      <c r="AF35" s="6"/>
      <c r="AG35" s="6"/>
      <c r="AH35" s="6"/>
      <c r="AI35" s="6"/>
      <c r="AJ35" s="41"/>
      <c r="AK35" s="6"/>
      <c r="AL35" s="6"/>
      <c r="AM35" s="6"/>
      <c r="AN35" s="6"/>
      <c r="AO35" s="41"/>
      <c r="AP35" s="6"/>
      <c r="AQ35" s="6"/>
      <c r="AR35" s="6"/>
      <c r="AS35" s="6"/>
      <c r="AT35" s="6"/>
      <c r="AU35" s="6"/>
      <c r="AV35" s="41"/>
      <c r="BB35" s="6"/>
      <c r="BC35" s="6"/>
      <c r="BD35" s="6"/>
      <c r="BE35" s="6"/>
    </row>
    <row r="36" spans="1:57" ht="14.5" customHeight="1" x14ac:dyDescent="0.35">
      <c r="A36" s="6"/>
      <c r="B36" s="129" t="s">
        <v>75</v>
      </c>
      <c r="C36" s="11" t="s">
        <v>65</v>
      </c>
      <c r="D36" s="13">
        <v>0</v>
      </c>
      <c r="E36" s="13">
        <v>0</v>
      </c>
      <c r="F36" s="13">
        <v>0</v>
      </c>
      <c r="G36" s="45">
        <v>0</v>
      </c>
      <c r="H36" s="41"/>
      <c r="I36" s="13">
        <v>0</v>
      </c>
      <c r="J36" s="13">
        <v>0</v>
      </c>
      <c r="K36" s="13">
        <v>0</v>
      </c>
      <c r="L36" s="45">
        <v>0</v>
      </c>
      <c r="M36" s="41"/>
      <c r="N36" s="13">
        <v>0</v>
      </c>
      <c r="O36" s="13">
        <v>0</v>
      </c>
      <c r="P36" s="13">
        <v>0</v>
      </c>
      <c r="Q36" s="45">
        <v>0</v>
      </c>
      <c r="R36" s="41"/>
      <c r="S36" s="13">
        <v>0</v>
      </c>
      <c r="T36" s="13">
        <v>0</v>
      </c>
      <c r="U36" s="13">
        <v>0</v>
      </c>
      <c r="V36" s="45">
        <v>0</v>
      </c>
      <c r="W36" s="41"/>
      <c r="X36" s="13">
        <v>0</v>
      </c>
      <c r="Y36" s="13">
        <v>0</v>
      </c>
      <c r="Z36" s="41"/>
      <c r="AA36" s="13">
        <v>0</v>
      </c>
      <c r="AB36" s="13">
        <v>0</v>
      </c>
      <c r="AC36" s="13">
        <v>0</v>
      </c>
      <c r="AD36" s="45">
        <v>0</v>
      </c>
      <c r="AE36" s="41"/>
      <c r="AF36" s="13">
        <v>0</v>
      </c>
      <c r="AG36" s="13">
        <v>0</v>
      </c>
      <c r="AH36" s="13">
        <v>0</v>
      </c>
      <c r="AI36" s="45">
        <v>0</v>
      </c>
      <c r="AJ36" s="41"/>
      <c r="AK36" s="13">
        <v>0</v>
      </c>
      <c r="AL36" s="13">
        <v>0</v>
      </c>
      <c r="AM36" s="45">
        <v>0</v>
      </c>
      <c r="AN36" s="45">
        <v>0</v>
      </c>
      <c r="AO36" s="41"/>
      <c r="AP36" s="129" t="s">
        <v>75</v>
      </c>
      <c r="AQ36" s="11" t="s">
        <v>65</v>
      </c>
      <c r="AR36" s="45">
        <v>0</v>
      </c>
      <c r="AS36" s="45">
        <v>0</v>
      </c>
      <c r="AT36" s="45">
        <v>0</v>
      </c>
      <c r="AU36" s="45">
        <v>0</v>
      </c>
      <c r="AV36" s="41"/>
      <c r="AX36" s="46">
        <v>0</v>
      </c>
      <c r="AY36" s="46">
        <v>0</v>
      </c>
      <c r="AZ36" s="46">
        <v>0</v>
      </c>
      <c r="BB36" s="13">
        <v>0</v>
      </c>
      <c r="BC36" s="13">
        <v>0</v>
      </c>
      <c r="BD36" s="13">
        <v>0</v>
      </c>
      <c r="BE36" s="45">
        <v>0</v>
      </c>
    </row>
    <row r="37" spans="1:57" ht="14.5" customHeight="1" x14ac:dyDescent="0.35">
      <c r="A37" s="6"/>
      <c r="B37" s="130"/>
      <c r="C37" s="11" t="s">
        <v>66</v>
      </c>
      <c r="D37" s="13">
        <v>0</v>
      </c>
      <c r="E37" s="13">
        <v>0</v>
      </c>
      <c r="F37" s="13">
        <v>0</v>
      </c>
      <c r="G37" s="13">
        <v>0</v>
      </c>
      <c r="H37" s="41"/>
      <c r="I37" s="13">
        <v>0</v>
      </c>
      <c r="J37" s="13">
        <v>0</v>
      </c>
      <c r="K37" s="13">
        <v>0</v>
      </c>
      <c r="L37" s="13">
        <v>0</v>
      </c>
      <c r="M37" s="41"/>
      <c r="N37" s="13">
        <v>0</v>
      </c>
      <c r="O37" s="13">
        <v>0</v>
      </c>
      <c r="P37" s="13">
        <v>0</v>
      </c>
      <c r="Q37" s="13">
        <v>0</v>
      </c>
      <c r="R37" s="41"/>
      <c r="S37" s="13">
        <v>0</v>
      </c>
      <c r="T37" s="13">
        <v>0</v>
      </c>
      <c r="U37" s="13">
        <v>0</v>
      </c>
      <c r="V37" s="13">
        <v>0</v>
      </c>
      <c r="W37" s="41"/>
      <c r="X37" s="13">
        <v>0</v>
      </c>
      <c r="Y37" s="13">
        <v>0</v>
      </c>
      <c r="Z37" s="41"/>
      <c r="AA37" s="13">
        <v>0</v>
      </c>
      <c r="AB37" s="13">
        <v>0</v>
      </c>
      <c r="AC37" s="13">
        <v>0</v>
      </c>
      <c r="AD37" s="13">
        <v>0</v>
      </c>
      <c r="AE37" s="41"/>
      <c r="AF37" s="13">
        <v>0</v>
      </c>
      <c r="AG37" s="13">
        <v>0</v>
      </c>
      <c r="AH37" s="13">
        <v>0</v>
      </c>
      <c r="AI37" s="13">
        <v>0</v>
      </c>
      <c r="AJ37" s="41"/>
      <c r="AK37" s="13">
        <v>0</v>
      </c>
      <c r="AL37" s="13">
        <v>0</v>
      </c>
      <c r="AM37" s="13">
        <v>0</v>
      </c>
      <c r="AN37" s="13">
        <v>0</v>
      </c>
      <c r="AO37" s="41"/>
      <c r="AP37" s="130"/>
      <c r="AQ37" s="11" t="s">
        <v>66</v>
      </c>
      <c r="AR37" s="13">
        <v>0</v>
      </c>
      <c r="AS37" s="13">
        <v>0</v>
      </c>
      <c r="AT37" s="45">
        <v>0</v>
      </c>
      <c r="AU37" s="45">
        <v>0</v>
      </c>
      <c r="AV37" s="41"/>
      <c r="AX37" s="46"/>
      <c r="AY37" s="46"/>
      <c r="AZ37" s="46"/>
      <c r="BB37" s="13"/>
      <c r="BC37" s="13"/>
      <c r="BD37" s="13"/>
      <c r="BE37" s="45"/>
    </row>
    <row r="38" spans="1:57" ht="14.5" customHeight="1" x14ac:dyDescent="0.35">
      <c r="A38" s="6"/>
      <c r="B38" s="130"/>
      <c r="C38" s="11" t="s">
        <v>67</v>
      </c>
      <c r="D38" s="13">
        <v>0</v>
      </c>
      <c r="E38" s="13">
        <v>0</v>
      </c>
      <c r="F38" s="13">
        <v>0</v>
      </c>
      <c r="G38" s="13">
        <v>0</v>
      </c>
      <c r="H38" s="41"/>
      <c r="I38" s="13">
        <v>0</v>
      </c>
      <c r="J38" s="13">
        <v>0</v>
      </c>
      <c r="K38" s="13">
        <v>0</v>
      </c>
      <c r="L38" s="13">
        <v>0</v>
      </c>
      <c r="M38" s="41"/>
      <c r="N38" s="13">
        <v>0</v>
      </c>
      <c r="O38" s="13">
        <v>0</v>
      </c>
      <c r="P38" s="13">
        <v>0</v>
      </c>
      <c r="Q38" s="13">
        <v>0</v>
      </c>
      <c r="R38" s="41"/>
      <c r="S38" s="13">
        <v>0</v>
      </c>
      <c r="T38" s="13">
        <v>0</v>
      </c>
      <c r="U38" s="13">
        <v>0</v>
      </c>
      <c r="V38" s="13">
        <v>0</v>
      </c>
      <c r="W38" s="41"/>
      <c r="X38" s="13">
        <v>0</v>
      </c>
      <c r="Y38" s="13">
        <v>0</v>
      </c>
      <c r="Z38" s="41"/>
      <c r="AA38" s="13">
        <v>0</v>
      </c>
      <c r="AB38" s="13">
        <v>0</v>
      </c>
      <c r="AC38" s="13">
        <v>0</v>
      </c>
      <c r="AD38" s="13">
        <v>0</v>
      </c>
      <c r="AE38" s="41"/>
      <c r="AF38" s="13">
        <v>0</v>
      </c>
      <c r="AG38" s="13">
        <v>0</v>
      </c>
      <c r="AH38" s="13">
        <v>0</v>
      </c>
      <c r="AI38" s="13">
        <v>0</v>
      </c>
      <c r="AJ38" s="41"/>
      <c r="AK38" s="13">
        <v>0</v>
      </c>
      <c r="AL38" s="13">
        <v>0</v>
      </c>
      <c r="AM38" s="13">
        <v>0</v>
      </c>
      <c r="AN38" s="13">
        <v>0</v>
      </c>
      <c r="AO38" s="41"/>
      <c r="AP38" s="130"/>
      <c r="AQ38" s="11" t="s">
        <v>67</v>
      </c>
      <c r="AR38" s="13">
        <v>0</v>
      </c>
      <c r="AS38" s="13">
        <v>0</v>
      </c>
      <c r="AT38" s="45">
        <v>0</v>
      </c>
      <c r="AU38" s="45">
        <v>0</v>
      </c>
      <c r="AV38" s="41"/>
      <c r="AX38" s="46"/>
      <c r="AY38" s="46"/>
      <c r="AZ38" s="46"/>
      <c r="BB38" s="13"/>
      <c r="BC38" s="13"/>
      <c r="BD38" s="13"/>
      <c r="BE38" s="45"/>
    </row>
    <row r="39" spans="1:57" ht="18.5" x14ac:dyDescent="0.35">
      <c r="A39" s="6"/>
      <c r="B39" s="131"/>
      <c r="C39" s="11" t="s">
        <v>69</v>
      </c>
      <c r="D39" s="13">
        <v>0</v>
      </c>
      <c r="E39" s="13">
        <v>0</v>
      </c>
      <c r="F39" s="13">
        <v>0</v>
      </c>
      <c r="G39" s="45">
        <v>0</v>
      </c>
      <c r="H39" s="41"/>
      <c r="I39" s="13">
        <v>0</v>
      </c>
      <c r="J39" s="13">
        <v>0</v>
      </c>
      <c r="K39" s="13">
        <v>0</v>
      </c>
      <c r="L39" s="45">
        <v>0</v>
      </c>
      <c r="M39" s="41"/>
      <c r="N39" s="13">
        <v>0</v>
      </c>
      <c r="O39" s="13">
        <v>0</v>
      </c>
      <c r="P39" s="13">
        <v>0</v>
      </c>
      <c r="Q39" s="45">
        <v>0</v>
      </c>
      <c r="R39" s="41"/>
      <c r="S39" s="13">
        <v>0</v>
      </c>
      <c r="T39" s="13">
        <v>0</v>
      </c>
      <c r="U39" s="13">
        <v>0</v>
      </c>
      <c r="V39" s="45">
        <v>0</v>
      </c>
      <c r="W39" s="41"/>
      <c r="X39" s="13">
        <v>0</v>
      </c>
      <c r="Y39" s="13">
        <v>0</v>
      </c>
      <c r="Z39" s="41"/>
      <c r="AA39" s="13">
        <v>0</v>
      </c>
      <c r="AB39" s="13">
        <v>0</v>
      </c>
      <c r="AC39" s="13">
        <v>0</v>
      </c>
      <c r="AD39" s="45">
        <v>0</v>
      </c>
      <c r="AE39" s="41"/>
      <c r="AF39" s="13">
        <v>0</v>
      </c>
      <c r="AG39" s="13">
        <v>0</v>
      </c>
      <c r="AH39" s="13">
        <v>0</v>
      </c>
      <c r="AI39" s="45">
        <v>0</v>
      </c>
      <c r="AJ39" s="41"/>
      <c r="AK39" s="13">
        <v>0</v>
      </c>
      <c r="AL39" s="13">
        <v>0</v>
      </c>
      <c r="AM39" s="45">
        <v>0</v>
      </c>
      <c r="AN39" s="45">
        <v>0</v>
      </c>
      <c r="AO39" s="41"/>
      <c r="AP39" s="131"/>
      <c r="AQ39" s="11" t="s">
        <v>69</v>
      </c>
      <c r="AR39" s="45">
        <v>0</v>
      </c>
      <c r="AS39" s="45">
        <v>0</v>
      </c>
      <c r="AT39" s="45">
        <v>0</v>
      </c>
      <c r="AU39" s="45">
        <v>0</v>
      </c>
      <c r="AV39" s="41"/>
      <c r="AX39" s="46">
        <v>0</v>
      </c>
      <c r="AY39" s="46">
        <v>0</v>
      </c>
      <c r="AZ39" s="46">
        <v>0</v>
      </c>
      <c r="BB39" s="13">
        <v>0</v>
      </c>
      <c r="BC39" s="13">
        <v>0</v>
      </c>
      <c r="BD39" s="13">
        <v>0</v>
      </c>
      <c r="BE39" s="45">
        <v>0</v>
      </c>
    </row>
    <row r="40" spans="1:57" ht="18.5" x14ac:dyDescent="0.35">
      <c r="A40" s="6"/>
      <c r="B40" s="132"/>
      <c r="C40" s="11" t="s">
        <v>23</v>
      </c>
      <c r="D40" s="13">
        <v>0</v>
      </c>
      <c r="E40" s="13">
        <v>0</v>
      </c>
      <c r="F40" s="13">
        <v>0</v>
      </c>
      <c r="G40" s="45">
        <v>0</v>
      </c>
      <c r="H40" s="41"/>
      <c r="I40" s="13">
        <v>0</v>
      </c>
      <c r="J40" s="13">
        <v>0</v>
      </c>
      <c r="K40" s="13">
        <v>0</v>
      </c>
      <c r="L40" s="45">
        <v>0</v>
      </c>
      <c r="M40" s="41"/>
      <c r="N40" s="13">
        <v>0</v>
      </c>
      <c r="O40" s="13">
        <v>0</v>
      </c>
      <c r="P40" s="13">
        <v>0</v>
      </c>
      <c r="Q40" s="45">
        <v>0</v>
      </c>
      <c r="R40" s="41"/>
      <c r="S40" s="13">
        <v>0</v>
      </c>
      <c r="T40" s="13">
        <v>0</v>
      </c>
      <c r="U40" s="13">
        <v>0</v>
      </c>
      <c r="V40" s="45">
        <v>0</v>
      </c>
      <c r="W40" s="41"/>
      <c r="X40" s="45">
        <v>0</v>
      </c>
      <c r="Y40" s="45">
        <v>0</v>
      </c>
      <c r="Z40" s="41"/>
      <c r="AA40" s="13">
        <v>0</v>
      </c>
      <c r="AB40" s="13">
        <v>0</v>
      </c>
      <c r="AC40" s="13">
        <v>0</v>
      </c>
      <c r="AD40" s="45">
        <v>0</v>
      </c>
      <c r="AE40" s="41"/>
      <c r="AF40" s="45">
        <v>0</v>
      </c>
      <c r="AG40" s="13">
        <v>0</v>
      </c>
      <c r="AH40" s="45">
        <v>0</v>
      </c>
      <c r="AI40" s="45">
        <v>0</v>
      </c>
      <c r="AJ40" s="41"/>
      <c r="AK40" s="13">
        <v>0</v>
      </c>
      <c r="AL40" s="13">
        <v>0</v>
      </c>
      <c r="AM40" s="45">
        <v>0</v>
      </c>
      <c r="AN40" s="45">
        <v>0</v>
      </c>
      <c r="AO40" s="41"/>
      <c r="AP40" s="132"/>
      <c r="AQ40" s="11" t="s">
        <v>23</v>
      </c>
      <c r="AR40" s="45">
        <v>0</v>
      </c>
      <c r="AS40" s="45">
        <v>0</v>
      </c>
      <c r="AT40" s="45">
        <v>0</v>
      </c>
      <c r="AU40" s="45">
        <v>0</v>
      </c>
      <c r="AV40" s="41"/>
      <c r="AX40" s="46"/>
      <c r="AY40" s="46">
        <v>0</v>
      </c>
      <c r="AZ40" s="46"/>
      <c r="BB40" s="45">
        <v>0</v>
      </c>
      <c r="BC40" s="13">
        <v>0</v>
      </c>
      <c r="BD40" s="45">
        <v>0</v>
      </c>
      <c r="BE40" s="45">
        <v>0</v>
      </c>
    </row>
    <row r="41" spans="1:57" customFormat="1" ht="4.5" customHeight="1" x14ac:dyDescent="0.35">
      <c r="A41" s="6"/>
      <c r="B41" s="6"/>
      <c r="C41" s="6"/>
      <c r="D41" s="6"/>
      <c r="E41" s="6"/>
      <c r="F41" s="6"/>
      <c r="G41" s="6"/>
      <c r="H41" s="41"/>
      <c r="I41" s="6"/>
      <c r="J41" s="6"/>
      <c r="K41" s="6"/>
      <c r="L41" s="6"/>
      <c r="M41" s="41"/>
      <c r="N41" s="6"/>
      <c r="O41" s="6"/>
      <c r="P41" s="6"/>
      <c r="Q41" s="6"/>
      <c r="R41" s="41"/>
      <c r="S41" s="6"/>
      <c r="T41" s="6"/>
      <c r="U41" s="6"/>
      <c r="V41" s="6"/>
      <c r="W41" s="41"/>
      <c r="X41" s="6"/>
      <c r="Y41" s="6"/>
      <c r="Z41" s="41"/>
      <c r="AA41" s="6"/>
      <c r="AB41" s="6"/>
      <c r="AC41" s="6"/>
      <c r="AD41" s="6"/>
      <c r="AE41" s="41"/>
      <c r="AF41" s="6"/>
      <c r="AG41" s="6"/>
      <c r="AH41" s="6"/>
      <c r="AI41" s="6"/>
      <c r="AJ41" s="41"/>
      <c r="AK41" s="6"/>
      <c r="AL41" s="6"/>
      <c r="AM41" s="6"/>
      <c r="AN41" s="6"/>
      <c r="AO41" s="41"/>
      <c r="AP41" s="6"/>
      <c r="AQ41" s="6"/>
      <c r="AR41" s="6"/>
      <c r="AS41" s="6"/>
      <c r="AT41" s="6"/>
      <c r="AU41" s="6"/>
      <c r="AV41" s="41"/>
      <c r="BB41" s="6"/>
      <c r="BC41" s="6"/>
      <c r="BD41" s="6"/>
      <c r="BE41" s="6"/>
    </row>
    <row r="42" spans="1:57" ht="14.5" customHeight="1" x14ac:dyDescent="0.35">
      <c r="A42" s="6"/>
      <c r="B42" s="129" t="s">
        <v>76</v>
      </c>
      <c r="C42" s="11" t="s">
        <v>65</v>
      </c>
      <c r="D42" s="16">
        <v>0.35</v>
      </c>
      <c r="E42" s="13">
        <v>0.4</v>
      </c>
      <c r="F42" s="13">
        <v>0.4</v>
      </c>
      <c r="G42" s="45">
        <v>0</v>
      </c>
      <c r="H42" s="41"/>
      <c r="I42" s="16">
        <v>0.25</v>
      </c>
      <c r="J42" s="13">
        <v>0.45</v>
      </c>
      <c r="K42" s="13">
        <v>0.25</v>
      </c>
      <c r="L42" s="45">
        <v>0</v>
      </c>
      <c r="M42" s="41"/>
      <c r="N42" s="13">
        <v>0.45</v>
      </c>
      <c r="O42" s="13">
        <v>0.45</v>
      </c>
      <c r="P42" s="13">
        <v>0.45</v>
      </c>
      <c r="Q42" s="45">
        <v>0</v>
      </c>
      <c r="R42" s="41"/>
      <c r="S42" s="16">
        <v>0.35</v>
      </c>
      <c r="T42" s="13">
        <v>0.4</v>
      </c>
      <c r="U42" s="16">
        <v>0.35</v>
      </c>
      <c r="V42" s="45">
        <v>0</v>
      </c>
      <c r="W42" s="41"/>
      <c r="X42" s="13">
        <v>0.22500000000000001</v>
      </c>
      <c r="Y42" s="13">
        <v>0.22500000000000001</v>
      </c>
      <c r="Z42" s="41"/>
      <c r="AA42" s="16">
        <v>0.35</v>
      </c>
      <c r="AB42" s="13">
        <v>0.52500000000000002</v>
      </c>
      <c r="AC42" s="16">
        <v>0.35</v>
      </c>
      <c r="AD42" s="45">
        <v>0</v>
      </c>
      <c r="AE42" s="41"/>
      <c r="AF42" s="16">
        <v>0</v>
      </c>
      <c r="AG42" s="13">
        <v>0.32499999999999996</v>
      </c>
      <c r="AH42" s="16">
        <v>0</v>
      </c>
      <c r="AI42" s="45">
        <v>0</v>
      </c>
      <c r="AJ42" s="41"/>
      <c r="AK42" s="16">
        <v>0</v>
      </c>
      <c r="AL42" s="13">
        <v>0.39499999999999996</v>
      </c>
      <c r="AM42" s="45">
        <v>0</v>
      </c>
      <c r="AN42" s="45">
        <v>0</v>
      </c>
      <c r="AO42" s="41"/>
      <c r="AP42" s="129" t="s">
        <v>76</v>
      </c>
      <c r="AQ42" s="11" t="s">
        <v>65</v>
      </c>
      <c r="AR42" s="13">
        <v>0.16999999999999998</v>
      </c>
      <c r="AS42" s="13">
        <v>0.3</v>
      </c>
      <c r="AT42" s="45">
        <v>0</v>
      </c>
      <c r="AU42" s="45">
        <v>0</v>
      </c>
      <c r="AV42" s="41"/>
      <c r="AX42" s="46">
        <v>-0.18000000000000002</v>
      </c>
      <c r="AY42" s="46">
        <v>-5.0000000000000044E-2</v>
      </c>
      <c r="AZ42" s="46">
        <v>-0.18000000000000002</v>
      </c>
      <c r="BB42" s="13">
        <v>0.22</v>
      </c>
      <c r="BC42" s="13">
        <v>0.35</v>
      </c>
      <c r="BD42" s="13">
        <v>0.22</v>
      </c>
      <c r="BE42" s="45">
        <v>0</v>
      </c>
    </row>
    <row r="43" spans="1:57" ht="14.5" customHeight="1" x14ac:dyDescent="0.35">
      <c r="A43" s="6"/>
      <c r="B43" s="130"/>
      <c r="C43" s="11" t="s">
        <v>66</v>
      </c>
      <c r="D43" s="16">
        <v>0.3</v>
      </c>
      <c r="E43" s="16">
        <v>0.35</v>
      </c>
      <c r="F43" s="16">
        <v>0.35</v>
      </c>
      <c r="G43" s="13">
        <v>0</v>
      </c>
      <c r="H43" s="41"/>
      <c r="I43" s="16">
        <v>0.2</v>
      </c>
      <c r="J43" s="13">
        <v>0.4</v>
      </c>
      <c r="K43" s="13">
        <v>0.2</v>
      </c>
      <c r="L43" s="13">
        <v>0</v>
      </c>
      <c r="M43" s="41"/>
      <c r="N43" s="13">
        <v>0.45</v>
      </c>
      <c r="O43" s="13">
        <v>0.45</v>
      </c>
      <c r="P43" s="13">
        <v>0.45</v>
      </c>
      <c r="Q43" s="13">
        <v>0</v>
      </c>
      <c r="R43" s="41"/>
      <c r="S43" s="16">
        <v>0.33</v>
      </c>
      <c r="T43" s="13">
        <v>0.38</v>
      </c>
      <c r="U43" s="16">
        <v>0.33</v>
      </c>
      <c r="V43" s="13">
        <v>0</v>
      </c>
      <c r="W43" s="41"/>
      <c r="X43" s="13">
        <v>0.20500000000000002</v>
      </c>
      <c r="Y43" s="13">
        <v>0.20500000000000002</v>
      </c>
      <c r="Z43" s="41"/>
      <c r="AA43" s="16">
        <v>0.2</v>
      </c>
      <c r="AB43" s="13">
        <v>0.375</v>
      </c>
      <c r="AC43" s="16">
        <v>0.2</v>
      </c>
      <c r="AD43" s="13">
        <v>0</v>
      </c>
      <c r="AE43" s="41"/>
      <c r="AF43" s="16">
        <v>0</v>
      </c>
      <c r="AG43" s="13">
        <v>0.30499999999999994</v>
      </c>
      <c r="AH43" s="16">
        <v>0</v>
      </c>
      <c r="AI43" s="13">
        <v>0</v>
      </c>
      <c r="AJ43" s="41"/>
      <c r="AK43" s="16">
        <v>0</v>
      </c>
      <c r="AL43" s="13">
        <v>0.39499999999999996</v>
      </c>
      <c r="AM43" s="13">
        <v>0</v>
      </c>
      <c r="AN43" s="13">
        <v>0</v>
      </c>
      <c r="AO43" s="41"/>
      <c r="AP43" s="130"/>
      <c r="AQ43" s="11" t="s">
        <v>66</v>
      </c>
      <c r="AR43" s="13">
        <v>0.16999999999999998</v>
      </c>
      <c r="AS43" s="13">
        <v>0.3</v>
      </c>
      <c r="AT43" s="45">
        <v>0</v>
      </c>
      <c r="AU43" s="45">
        <v>0</v>
      </c>
      <c r="AV43" s="41"/>
      <c r="AX43" s="46"/>
      <c r="AY43" s="46"/>
      <c r="AZ43" s="46"/>
      <c r="BB43" s="13"/>
      <c r="BC43" s="13"/>
      <c r="BD43" s="13"/>
      <c r="BE43" s="45"/>
    </row>
    <row r="44" spans="1:57" ht="14.5" customHeight="1" x14ac:dyDescent="0.35">
      <c r="A44" s="6"/>
      <c r="B44" s="130"/>
      <c r="C44" s="11" t="s">
        <v>67</v>
      </c>
      <c r="D44" s="16">
        <v>0.25</v>
      </c>
      <c r="E44" s="16">
        <v>0.3</v>
      </c>
      <c r="F44" s="16">
        <v>0.3</v>
      </c>
      <c r="G44" s="13">
        <v>0</v>
      </c>
      <c r="H44" s="41"/>
      <c r="I44" s="16">
        <v>0.15</v>
      </c>
      <c r="J44" s="13">
        <v>0.375</v>
      </c>
      <c r="K44" s="13">
        <v>0.17</v>
      </c>
      <c r="L44" s="13">
        <v>0</v>
      </c>
      <c r="M44" s="41"/>
      <c r="N44" s="13">
        <v>0.4</v>
      </c>
      <c r="O44" s="13">
        <v>0.4</v>
      </c>
      <c r="P44" s="13">
        <v>0.4</v>
      </c>
      <c r="Q44" s="13">
        <v>0</v>
      </c>
      <c r="R44" s="41"/>
      <c r="S44" s="16">
        <v>0.3</v>
      </c>
      <c r="T44" s="13">
        <v>0.36</v>
      </c>
      <c r="U44" s="16">
        <v>0.3</v>
      </c>
      <c r="V44" s="13">
        <v>0</v>
      </c>
      <c r="W44" s="41"/>
      <c r="X44" s="13">
        <v>0.18500000000000003</v>
      </c>
      <c r="Y44" s="13">
        <v>0.18500000000000003</v>
      </c>
      <c r="Z44" s="41"/>
      <c r="AA44" s="16">
        <v>0.15</v>
      </c>
      <c r="AB44" s="13">
        <v>0.34499999999999997</v>
      </c>
      <c r="AC44" s="16">
        <v>0.15</v>
      </c>
      <c r="AD44" s="13">
        <v>0</v>
      </c>
      <c r="AE44" s="41"/>
      <c r="AF44" s="16">
        <v>0</v>
      </c>
      <c r="AG44" s="13">
        <v>0.28499999999999992</v>
      </c>
      <c r="AH44" s="16">
        <v>0</v>
      </c>
      <c r="AI44" s="13">
        <v>0</v>
      </c>
      <c r="AJ44" s="41"/>
      <c r="AK44" s="16">
        <v>0</v>
      </c>
      <c r="AL44" s="13">
        <v>0.39499999999999996</v>
      </c>
      <c r="AM44" s="13">
        <v>0</v>
      </c>
      <c r="AN44" s="13">
        <v>0</v>
      </c>
      <c r="AO44" s="41"/>
      <c r="AP44" s="130"/>
      <c r="AQ44" s="11" t="s">
        <v>67</v>
      </c>
      <c r="AR44" s="13">
        <v>0.16999999999999998</v>
      </c>
      <c r="AS44" s="13">
        <v>0.3</v>
      </c>
      <c r="AT44" s="45">
        <v>0</v>
      </c>
      <c r="AU44" s="45">
        <v>0</v>
      </c>
      <c r="AV44" s="41"/>
      <c r="AX44" s="46"/>
      <c r="AY44" s="46"/>
      <c r="AZ44" s="46"/>
      <c r="BB44" s="13"/>
      <c r="BC44" s="13"/>
      <c r="BD44" s="13"/>
      <c r="BE44" s="45"/>
    </row>
    <row r="45" spans="1:57" ht="18.5" x14ac:dyDescent="0.35">
      <c r="A45" s="6"/>
      <c r="B45" s="131"/>
      <c r="C45" s="11" t="s">
        <v>69</v>
      </c>
      <c r="D45" s="13">
        <v>0.1</v>
      </c>
      <c r="E45" s="13">
        <v>0.45</v>
      </c>
      <c r="F45" s="13">
        <v>0.1</v>
      </c>
      <c r="G45" s="45">
        <v>0</v>
      </c>
      <c r="H45" s="41"/>
      <c r="I45" s="13">
        <v>0.1</v>
      </c>
      <c r="J45" s="13">
        <v>0.45</v>
      </c>
      <c r="K45" s="13">
        <v>0.1</v>
      </c>
      <c r="L45" s="45">
        <v>0</v>
      </c>
      <c r="M45" s="41"/>
      <c r="N45" s="13">
        <v>0.1</v>
      </c>
      <c r="O45" s="13">
        <v>0.45</v>
      </c>
      <c r="P45" s="13">
        <v>0.1</v>
      </c>
      <c r="Q45" s="45">
        <v>0</v>
      </c>
      <c r="R45" s="41"/>
      <c r="S45" s="13">
        <v>0.1</v>
      </c>
      <c r="T45" s="13">
        <v>0.45</v>
      </c>
      <c r="U45" s="13">
        <v>0.1</v>
      </c>
      <c r="V45" s="45">
        <v>0</v>
      </c>
      <c r="W45" s="41"/>
      <c r="X45" s="13">
        <v>0</v>
      </c>
      <c r="Y45" s="13">
        <v>0</v>
      </c>
      <c r="Z45" s="41"/>
      <c r="AA45" s="13">
        <v>0.05</v>
      </c>
      <c r="AB45" s="13">
        <v>0.42499999999999999</v>
      </c>
      <c r="AC45" s="13">
        <v>0.05</v>
      </c>
      <c r="AD45" s="45">
        <v>0</v>
      </c>
      <c r="AE45" s="41"/>
      <c r="AF45" s="13">
        <v>0.05</v>
      </c>
      <c r="AG45" s="13">
        <v>0.42499999999999999</v>
      </c>
      <c r="AH45" s="13">
        <v>0.05</v>
      </c>
      <c r="AI45" s="45">
        <v>0</v>
      </c>
      <c r="AJ45" s="41"/>
      <c r="AK45" s="13">
        <v>0.05</v>
      </c>
      <c r="AL45" s="13">
        <v>0.42499999999999999</v>
      </c>
      <c r="AM45" s="45">
        <v>0</v>
      </c>
      <c r="AN45" s="45">
        <v>0</v>
      </c>
      <c r="AO45" s="41"/>
      <c r="AP45" s="131"/>
      <c r="AQ45" s="11" t="s">
        <v>69</v>
      </c>
      <c r="AR45" s="45">
        <v>0</v>
      </c>
      <c r="AS45" s="45">
        <v>0</v>
      </c>
      <c r="AT45" s="45">
        <v>0</v>
      </c>
      <c r="AU45" s="45">
        <v>0</v>
      </c>
      <c r="AV45" s="41"/>
      <c r="AX45" s="46">
        <v>7.0000000000000007E-2</v>
      </c>
      <c r="AY45" s="46">
        <v>0</v>
      </c>
      <c r="AZ45" s="46">
        <v>7.0000000000000007E-2</v>
      </c>
      <c r="BB45" s="13">
        <v>0.22</v>
      </c>
      <c r="BC45" s="13">
        <v>0.35</v>
      </c>
      <c r="BD45" s="13">
        <v>0.22</v>
      </c>
      <c r="BE45" s="45">
        <v>0</v>
      </c>
    </row>
    <row r="46" spans="1:57" ht="18.5" x14ac:dyDescent="0.35">
      <c r="A46" s="6"/>
      <c r="B46" s="132"/>
      <c r="C46" s="11" t="s">
        <v>23</v>
      </c>
      <c r="D46" s="13">
        <v>0</v>
      </c>
      <c r="E46" s="13">
        <v>0.25</v>
      </c>
      <c r="F46" s="13">
        <v>0</v>
      </c>
      <c r="G46" s="45">
        <v>0</v>
      </c>
      <c r="H46" s="41"/>
      <c r="I46" s="13">
        <v>0</v>
      </c>
      <c r="J46" s="13">
        <v>0.25</v>
      </c>
      <c r="K46" s="13">
        <v>0</v>
      </c>
      <c r="L46" s="45">
        <v>0</v>
      </c>
      <c r="M46" s="41"/>
      <c r="N46" s="13">
        <v>0</v>
      </c>
      <c r="O46" s="13">
        <v>0.25</v>
      </c>
      <c r="P46" s="13">
        <v>0</v>
      </c>
      <c r="Q46" s="45">
        <v>0</v>
      </c>
      <c r="R46" s="41"/>
      <c r="S46" s="13">
        <v>0</v>
      </c>
      <c r="T46" s="13">
        <v>0.25</v>
      </c>
      <c r="U46" s="13">
        <v>0</v>
      </c>
      <c r="V46" s="45">
        <v>0</v>
      </c>
      <c r="W46" s="41"/>
      <c r="X46" s="13">
        <v>0</v>
      </c>
      <c r="Y46" s="13">
        <v>0</v>
      </c>
      <c r="Z46" s="41"/>
      <c r="AA46" s="13">
        <v>0</v>
      </c>
      <c r="AB46" s="13">
        <v>0.22500000000000001</v>
      </c>
      <c r="AC46" s="13">
        <v>0</v>
      </c>
      <c r="AD46" s="45">
        <v>0</v>
      </c>
      <c r="AE46" s="41"/>
      <c r="AF46" s="13">
        <v>0</v>
      </c>
      <c r="AG46" s="13">
        <v>0.22500000000000001</v>
      </c>
      <c r="AH46" s="13">
        <v>0</v>
      </c>
      <c r="AI46" s="45">
        <v>0</v>
      </c>
      <c r="AJ46" s="41"/>
      <c r="AK46" s="13">
        <v>0</v>
      </c>
      <c r="AL46" s="13">
        <v>0.22500000000000001</v>
      </c>
      <c r="AM46" s="45">
        <v>0</v>
      </c>
      <c r="AN46" s="45">
        <v>0</v>
      </c>
      <c r="AO46" s="41"/>
      <c r="AP46" s="132"/>
      <c r="AQ46" s="11" t="s">
        <v>23</v>
      </c>
      <c r="AR46" s="45">
        <v>0</v>
      </c>
      <c r="AS46" s="45">
        <v>0</v>
      </c>
      <c r="AT46" s="45">
        <v>0</v>
      </c>
      <c r="AU46" s="45">
        <v>0</v>
      </c>
      <c r="AV46" s="41"/>
      <c r="AX46" s="46"/>
      <c r="AY46" s="46">
        <v>0</v>
      </c>
      <c r="AZ46" s="46"/>
      <c r="BB46" s="45">
        <v>0</v>
      </c>
      <c r="BC46" s="13">
        <v>0.25</v>
      </c>
      <c r="BD46" s="45">
        <v>0</v>
      </c>
      <c r="BE46" s="45">
        <v>0</v>
      </c>
    </row>
    <row r="47" spans="1:57" customFormat="1" ht="4.5" customHeight="1" x14ac:dyDescent="0.35">
      <c r="A47" s="6"/>
      <c r="B47" s="6"/>
      <c r="C47" s="6"/>
      <c r="D47" s="6"/>
      <c r="E47" s="6"/>
      <c r="F47" s="6"/>
      <c r="G47" s="6"/>
      <c r="H47" s="41"/>
      <c r="I47" s="6"/>
      <c r="J47" s="6"/>
      <c r="K47" s="6"/>
      <c r="L47" s="6"/>
      <c r="M47" s="41"/>
      <c r="N47" s="6"/>
      <c r="O47" s="6"/>
      <c r="P47" s="6"/>
      <c r="Q47" s="6"/>
      <c r="R47" s="41"/>
      <c r="S47" s="6"/>
      <c r="T47" s="6"/>
      <c r="U47" s="6"/>
      <c r="V47" s="6"/>
      <c r="W47" s="41"/>
      <c r="X47" s="6"/>
      <c r="Y47" s="6"/>
      <c r="Z47" s="41"/>
      <c r="AA47" s="6"/>
      <c r="AB47" s="6"/>
      <c r="AC47" s="6"/>
      <c r="AD47" s="6"/>
      <c r="AE47" s="41"/>
      <c r="AF47" s="6"/>
      <c r="AG47" s="6"/>
      <c r="AH47" s="6"/>
      <c r="AI47" s="6"/>
      <c r="AJ47" s="41"/>
      <c r="AK47" s="6"/>
      <c r="AL47" s="6"/>
      <c r="AM47" s="6"/>
      <c r="AN47" s="6"/>
      <c r="AO47" s="41"/>
      <c r="AP47" s="6"/>
      <c r="AQ47" s="6"/>
      <c r="AR47" s="6"/>
      <c r="AS47" s="6"/>
      <c r="AT47" s="6"/>
      <c r="AU47" s="6"/>
      <c r="AV47" s="41"/>
      <c r="BB47" s="6"/>
      <c r="BC47" s="6"/>
      <c r="BD47" s="6"/>
      <c r="BE47" s="6"/>
    </row>
    <row r="48" spans="1:57" ht="14.5" customHeight="1" x14ac:dyDescent="0.35">
      <c r="A48" s="6"/>
      <c r="B48" s="129" t="s">
        <v>77</v>
      </c>
      <c r="C48" s="11" t="s">
        <v>65</v>
      </c>
      <c r="D48" s="13">
        <v>0.4</v>
      </c>
      <c r="E48" s="13">
        <v>0.4</v>
      </c>
      <c r="F48" s="13">
        <v>0.4</v>
      </c>
      <c r="G48" s="45">
        <v>0</v>
      </c>
      <c r="H48" s="41"/>
      <c r="I48" s="13">
        <v>0.1</v>
      </c>
      <c r="J48" s="13">
        <v>0.5</v>
      </c>
      <c r="K48" s="13">
        <v>0.1</v>
      </c>
      <c r="L48" s="45">
        <v>0</v>
      </c>
      <c r="M48" s="41"/>
      <c r="N48" s="13">
        <v>0.45</v>
      </c>
      <c r="O48" s="13">
        <v>0.45</v>
      </c>
      <c r="P48" s="13">
        <v>0.45</v>
      </c>
      <c r="Q48" s="45">
        <v>0</v>
      </c>
      <c r="R48" s="41"/>
      <c r="S48" s="13">
        <v>7.4999999999999997E-2</v>
      </c>
      <c r="T48" s="13">
        <v>0.3</v>
      </c>
      <c r="U48" s="13">
        <v>7.4999999999999997E-2</v>
      </c>
      <c r="V48" s="45">
        <v>0</v>
      </c>
      <c r="W48" s="41"/>
      <c r="X48" s="13">
        <v>0.15</v>
      </c>
      <c r="Y48" s="13">
        <v>0.15</v>
      </c>
      <c r="Z48" s="41"/>
      <c r="AA48" s="13">
        <v>0.16999999999999998</v>
      </c>
      <c r="AB48" s="13">
        <v>0.47499999999999998</v>
      </c>
      <c r="AC48" s="13">
        <v>0.16999999999999998</v>
      </c>
      <c r="AD48" s="45">
        <v>0</v>
      </c>
      <c r="AE48" s="41"/>
      <c r="AF48" s="13">
        <v>2.4999999999999994E-2</v>
      </c>
      <c r="AG48" s="13">
        <v>0.27499999999999997</v>
      </c>
      <c r="AH48" s="13">
        <v>2.4999999999999994E-2</v>
      </c>
      <c r="AI48" s="45">
        <v>0</v>
      </c>
      <c r="AJ48" s="41"/>
      <c r="AK48" s="13">
        <v>0.16999999999999998</v>
      </c>
      <c r="AL48" s="13">
        <v>0.39499999999999996</v>
      </c>
      <c r="AM48" s="45">
        <v>0</v>
      </c>
      <c r="AN48" s="45">
        <v>0</v>
      </c>
      <c r="AO48" s="41"/>
      <c r="AP48" s="129" t="s">
        <v>6</v>
      </c>
      <c r="AQ48" s="11" t="s">
        <v>65</v>
      </c>
      <c r="AR48" s="13">
        <v>0.16999999999999998</v>
      </c>
      <c r="AS48" s="13">
        <v>0.3</v>
      </c>
      <c r="AT48" s="45">
        <v>0</v>
      </c>
      <c r="AU48" s="45">
        <v>0</v>
      </c>
      <c r="AV48" s="41"/>
      <c r="AX48" s="46">
        <v>-0.32500000000000001</v>
      </c>
      <c r="AY48" s="46">
        <v>-0.10000000000000003</v>
      </c>
      <c r="AZ48" s="46">
        <v>-0.32500000000000001</v>
      </c>
      <c r="BB48" s="13">
        <v>0.22</v>
      </c>
      <c r="BC48" s="13">
        <v>0.35</v>
      </c>
      <c r="BD48" s="13">
        <v>0.22</v>
      </c>
      <c r="BE48" s="45">
        <v>0</v>
      </c>
    </row>
    <row r="49" spans="1:57" ht="14.5" customHeight="1" x14ac:dyDescent="0.35">
      <c r="A49" s="6"/>
      <c r="B49" s="130"/>
      <c r="C49" s="11" t="s">
        <v>66</v>
      </c>
      <c r="D49" s="13">
        <v>0.38</v>
      </c>
      <c r="E49" s="13">
        <v>0.38</v>
      </c>
      <c r="F49" s="13">
        <v>0.38</v>
      </c>
      <c r="G49" s="13">
        <v>0</v>
      </c>
      <c r="H49" s="41"/>
      <c r="I49" s="13">
        <v>0.1</v>
      </c>
      <c r="J49" s="13">
        <v>0.45</v>
      </c>
      <c r="K49" s="13">
        <v>0.1</v>
      </c>
      <c r="L49" s="13">
        <v>0</v>
      </c>
      <c r="M49" s="41"/>
      <c r="N49" s="13">
        <v>0.45</v>
      </c>
      <c r="O49" s="13">
        <v>0.45</v>
      </c>
      <c r="P49" s="13">
        <v>0.45</v>
      </c>
      <c r="Q49" s="13">
        <v>0</v>
      </c>
      <c r="R49" s="41"/>
      <c r="S49" s="13">
        <v>0.06</v>
      </c>
      <c r="T49" s="13">
        <v>0.27999999999999997</v>
      </c>
      <c r="U49" s="13">
        <v>0.06</v>
      </c>
      <c r="V49" s="13">
        <v>0</v>
      </c>
      <c r="W49" s="41"/>
      <c r="X49" s="13">
        <v>0.13</v>
      </c>
      <c r="Y49" s="13">
        <v>0.13</v>
      </c>
      <c r="Z49" s="41"/>
      <c r="AA49" s="13">
        <v>0.16999999999999998</v>
      </c>
      <c r="AB49" s="13">
        <v>0.42499999999999999</v>
      </c>
      <c r="AC49" s="13">
        <v>0.16999999999999998</v>
      </c>
      <c r="AD49" s="13">
        <v>0</v>
      </c>
      <c r="AE49" s="41"/>
      <c r="AF49" s="13">
        <v>0</v>
      </c>
      <c r="AG49" s="13">
        <v>0.25499999999999995</v>
      </c>
      <c r="AH49" s="13">
        <v>9.999999999999995E-3</v>
      </c>
      <c r="AI49" s="13">
        <v>0</v>
      </c>
      <c r="AJ49" s="41"/>
      <c r="AK49" s="13">
        <v>0.16999999999999998</v>
      </c>
      <c r="AL49" s="13">
        <v>0.39499999999999996</v>
      </c>
      <c r="AM49" s="13">
        <v>0</v>
      </c>
      <c r="AN49" s="13">
        <v>0</v>
      </c>
      <c r="AO49" s="41"/>
      <c r="AP49" s="130"/>
      <c r="AQ49" s="11" t="s">
        <v>66</v>
      </c>
      <c r="AR49" s="13">
        <v>0.16999999999999998</v>
      </c>
      <c r="AS49" s="13">
        <v>0.3</v>
      </c>
      <c r="AT49" s="45">
        <v>0</v>
      </c>
      <c r="AU49" s="45">
        <v>0</v>
      </c>
      <c r="AV49" s="41"/>
      <c r="AX49" s="46"/>
      <c r="AY49" s="46"/>
      <c r="AZ49" s="46"/>
      <c r="BB49" s="13"/>
      <c r="BC49" s="13"/>
      <c r="BD49" s="13"/>
      <c r="BE49" s="45"/>
    </row>
    <row r="50" spans="1:57" ht="14.5" customHeight="1" x14ac:dyDescent="0.35">
      <c r="A50" s="6"/>
      <c r="B50" s="130"/>
      <c r="C50" s="11" t="s">
        <v>67</v>
      </c>
      <c r="D50" s="13">
        <v>0.36</v>
      </c>
      <c r="E50" s="13">
        <v>0.36</v>
      </c>
      <c r="F50" s="13">
        <v>0.36</v>
      </c>
      <c r="G50" s="13">
        <v>0</v>
      </c>
      <c r="H50" s="41"/>
      <c r="I50" s="13">
        <v>0.1</v>
      </c>
      <c r="J50" s="13">
        <v>0.4</v>
      </c>
      <c r="K50" s="13">
        <v>0.1</v>
      </c>
      <c r="L50" s="13">
        <v>0</v>
      </c>
      <c r="M50" s="41"/>
      <c r="N50" s="13">
        <v>0.4</v>
      </c>
      <c r="O50" s="13">
        <v>0.4</v>
      </c>
      <c r="P50" s="13">
        <v>0.4</v>
      </c>
      <c r="Q50" s="13">
        <v>0</v>
      </c>
      <c r="R50" s="41"/>
      <c r="S50" s="13">
        <v>0.06</v>
      </c>
      <c r="T50" s="13">
        <v>0.25999999999999995</v>
      </c>
      <c r="U50" s="13">
        <v>0.06</v>
      </c>
      <c r="V50" s="13">
        <v>0</v>
      </c>
      <c r="W50" s="41"/>
      <c r="X50" s="13">
        <v>0.11</v>
      </c>
      <c r="Y50" s="13">
        <v>0.11</v>
      </c>
      <c r="Z50" s="41"/>
      <c r="AA50" s="13">
        <v>0.16999999999999998</v>
      </c>
      <c r="AB50" s="13">
        <v>0.34499999999999997</v>
      </c>
      <c r="AC50" s="13">
        <v>0.16999999999999998</v>
      </c>
      <c r="AD50" s="13">
        <v>0</v>
      </c>
      <c r="AE50" s="41"/>
      <c r="AF50" s="13">
        <v>0</v>
      </c>
      <c r="AG50" s="13">
        <v>0.23499999999999996</v>
      </c>
      <c r="AH50" s="13">
        <v>9.999999999999995E-3</v>
      </c>
      <c r="AI50" s="13">
        <v>0</v>
      </c>
      <c r="AJ50" s="41"/>
      <c r="AK50" s="13">
        <v>0.16999999999999998</v>
      </c>
      <c r="AL50" s="13">
        <v>0.39499999999999996</v>
      </c>
      <c r="AM50" s="13">
        <v>0</v>
      </c>
      <c r="AN50" s="13">
        <v>0</v>
      </c>
      <c r="AO50" s="41"/>
      <c r="AP50" s="130"/>
      <c r="AQ50" s="11" t="s">
        <v>67</v>
      </c>
      <c r="AR50" s="13">
        <v>0.16999999999999998</v>
      </c>
      <c r="AS50" s="13">
        <v>0.3</v>
      </c>
      <c r="AT50" s="45">
        <v>0</v>
      </c>
      <c r="AU50" s="45">
        <v>0</v>
      </c>
      <c r="AV50" s="41"/>
      <c r="AX50" s="46"/>
      <c r="AY50" s="46"/>
      <c r="AZ50" s="46"/>
      <c r="BB50" s="13"/>
      <c r="BC50" s="13"/>
      <c r="BD50" s="13"/>
      <c r="BE50" s="45"/>
    </row>
    <row r="51" spans="1:57" ht="18.5" x14ac:dyDescent="0.35">
      <c r="A51" s="6"/>
      <c r="B51" s="131"/>
      <c r="C51" s="11" t="s">
        <v>69</v>
      </c>
      <c r="D51" s="13">
        <v>0.1</v>
      </c>
      <c r="E51" s="13">
        <v>0.45</v>
      </c>
      <c r="F51" s="13">
        <v>0.1</v>
      </c>
      <c r="G51" s="45">
        <v>0</v>
      </c>
      <c r="H51" s="41"/>
      <c r="I51" s="13">
        <v>0.1</v>
      </c>
      <c r="J51" s="13">
        <v>0.45</v>
      </c>
      <c r="K51" s="13">
        <v>0.1</v>
      </c>
      <c r="L51" s="45">
        <v>0</v>
      </c>
      <c r="M51" s="41"/>
      <c r="N51" s="13">
        <v>0.1</v>
      </c>
      <c r="O51" s="13">
        <v>0.45</v>
      </c>
      <c r="P51" s="13">
        <v>0.1</v>
      </c>
      <c r="Q51" s="45">
        <v>0</v>
      </c>
      <c r="R51" s="41"/>
      <c r="S51" s="13">
        <v>7.4999999999999997E-2</v>
      </c>
      <c r="T51" s="13">
        <v>0.45</v>
      </c>
      <c r="U51" s="13">
        <v>7.4999999999999997E-2</v>
      </c>
      <c r="V51" s="45">
        <v>0</v>
      </c>
      <c r="W51" s="41"/>
      <c r="X51" s="13">
        <v>0</v>
      </c>
      <c r="Y51" s="13">
        <v>0</v>
      </c>
      <c r="Z51" s="41"/>
      <c r="AA51" s="13">
        <v>0.05</v>
      </c>
      <c r="AB51" s="13">
        <v>0.42499999999999999</v>
      </c>
      <c r="AC51" s="13">
        <v>0.05</v>
      </c>
      <c r="AD51" s="45">
        <v>0</v>
      </c>
      <c r="AE51" s="41"/>
      <c r="AF51" s="13">
        <v>2.4999999999999994E-2</v>
      </c>
      <c r="AG51" s="13">
        <v>0.42499999999999999</v>
      </c>
      <c r="AH51" s="13">
        <v>2.4999999999999994E-2</v>
      </c>
      <c r="AI51" s="45">
        <v>0</v>
      </c>
      <c r="AJ51" s="41"/>
      <c r="AK51" s="13">
        <v>0.05</v>
      </c>
      <c r="AL51" s="13">
        <v>0.42499999999999999</v>
      </c>
      <c r="AM51" s="45">
        <v>0</v>
      </c>
      <c r="AN51" s="45">
        <v>0</v>
      </c>
      <c r="AO51" s="41"/>
      <c r="AP51" s="131"/>
      <c r="AQ51" s="11" t="s">
        <v>69</v>
      </c>
      <c r="AR51" s="45">
        <v>0</v>
      </c>
      <c r="AS51" s="45">
        <v>0</v>
      </c>
      <c r="AT51" s="45">
        <v>0</v>
      </c>
      <c r="AU51" s="45">
        <v>0</v>
      </c>
      <c r="AV51" s="41"/>
      <c r="AX51" s="46">
        <v>-7.4999999999999997E-2</v>
      </c>
      <c r="AY51" s="46">
        <v>0</v>
      </c>
      <c r="AZ51" s="46">
        <v>-7.4999999999999997E-2</v>
      </c>
      <c r="BB51" s="13">
        <v>0.22</v>
      </c>
      <c r="BC51" s="13">
        <v>0.35</v>
      </c>
      <c r="BD51" s="13">
        <v>0.22</v>
      </c>
      <c r="BE51" s="45">
        <v>0</v>
      </c>
    </row>
    <row r="52" spans="1:57" ht="18.5" x14ac:dyDescent="0.35">
      <c r="A52" s="6"/>
      <c r="B52" s="132"/>
      <c r="C52" s="11" t="s">
        <v>23</v>
      </c>
      <c r="D52" s="13">
        <v>0</v>
      </c>
      <c r="E52" s="13">
        <v>0.25</v>
      </c>
      <c r="F52" s="13">
        <v>0</v>
      </c>
      <c r="G52" s="45">
        <v>0</v>
      </c>
      <c r="H52" s="41"/>
      <c r="I52" s="13">
        <v>0</v>
      </c>
      <c r="J52" s="13">
        <v>0.25</v>
      </c>
      <c r="K52" s="13">
        <v>0</v>
      </c>
      <c r="L52" s="45">
        <v>0</v>
      </c>
      <c r="M52" s="41"/>
      <c r="N52" s="13">
        <v>0</v>
      </c>
      <c r="O52" s="13">
        <v>0.25</v>
      </c>
      <c r="P52" s="13">
        <v>0</v>
      </c>
      <c r="Q52" s="45">
        <v>0</v>
      </c>
      <c r="R52" s="41"/>
      <c r="S52" s="13">
        <v>0</v>
      </c>
      <c r="T52" s="13">
        <v>0.25</v>
      </c>
      <c r="U52" s="13">
        <v>0</v>
      </c>
      <c r="V52" s="45">
        <v>0</v>
      </c>
      <c r="W52" s="41"/>
      <c r="X52" s="13">
        <v>0</v>
      </c>
      <c r="Y52" s="13">
        <v>0</v>
      </c>
      <c r="Z52" s="41"/>
      <c r="AA52" s="13">
        <v>0</v>
      </c>
      <c r="AB52" s="13">
        <v>0.22500000000000001</v>
      </c>
      <c r="AC52" s="13">
        <v>0</v>
      </c>
      <c r="AD52" s="45">
        <v>0</v>
      </c>
      <c r="AE52" s="41"/>
      <c r="AF52" s="13">
        <v>0</v>
      </c>
      <c r="AG52" s="13">
        <v>0.22500000000000001</v>
      </c>
      <c r="AH52" s="13">
        <v>0</v>
      </c>
      <c r="AI52" s="45">
        <v>0</v>
      </c>
      <c r="AJ52" s="41"/>
      <c r="AK52" s="13">
        <v>0</v>
      </c>
      <c r="AL52" s="13">
        <v>0.22500000000000001</v>
      </c>
      <c r="AM52" s="45">
        <v>0</v>
      </c>
      <c r="AN52" s="45">
        <v>0</v>
      </c>
      <c r="AO52" s="41"/>
      <c r="AP52" s="132"/>
      <c r="AQ52" s="11" t="s">
        <v>23</v>
      </c>
      <c r="AR52" s="45">
        <v>0</v>
      </c>
      <c r="AS52" s="45">
        <v>0</v>
      </c>
      <c r="AT52" s="45">
        <v>0</v>
      </c>
      <c r="AU52" s="45">
        <v>0</v>
      </c>
      <c r="AV52" s="41"/>
      <c r="AX52" s="46"/>
      <c r="AY52" s="46">
        <v>0</v>
      </c>
      <c r="AZ52" s="46"/>
      <c r="BB52" s="45">
        <v>0</v>
      </c>
      <c r="BC52" s="13">
        <v>0.25</v>
      </c>
      <c r="BD52" s="45">
        <v>0</v>
      </c>
      <c r="BE52" s="45">
        <v>0</v>
      </c>
    </row>
    <row r="53" spans="1:57" customFormat="1" ht="4.5" customHeight="1" x14ac:dyDescent="0.35">
      <c r="A53" s="6"/>
      <c r="B53" s="6"/>
      <c r="C53" s="6"/>
      <c r="D53" s="6"/>
      <c r="E53" s="6"/>
      <c r="F53" s="6"/>
      <c r="G53" s="6"/>
      <c r="H53" s="41"/>
      <c r="I53" s="6"/>
      <c r="J53" s="6"/>
      <c r="K53" s="6"/>
      <c r="L53" s="6"/>
      <c r="M53" s="41"/>
      <c r="N53" s="6"/>
      <c r="O53" s="6"/>
      <c r="P53" s="6"/>
      <c r="Q53" s="6"/>
      <c r="R53" s="41"/>
      <c r="S53" s="6"/>
      <c r="T53" s="6"/>
      <c r="U53" s="6"/>
      <c r="V53" s="6"/>
      <c r="W53" s="41"/>
      <c r="X53" s="6"/>
      <c r="Y53" s="6"/>
      <c r="Z53" s="41"/>
      <c r="AA53" s="6"/>
      <c r="AB53" s="6"/>
      <c r="AC53" s="6"/>
      <c r="AD53" s="6"/>
      <c r="AE53" s="41"/>
      <c r="AF53" s="6"/>
      <c r="AG53" s="6"/>
      <c r="AH53" s="6"/>
      <c r="AI53" s="6"/>
      <c r="AJ53" s="41"/>
      <c r="AK53" s="6"/>
      <c r="AL53" s="6"/>
      <c r="AM53" s="6"/>
      <c r="AN53" s="6"/>
      <c r="AO53" s="41"/>
      <c r="AP53" s="6"/>
      <c r="AQ53" s="6"/>
      <c r="AR53" s="6"/>
      <c r="AS53" s="6"/>
      <c r="AT53" s="6"/>
      <c r="AU53" s="6"/>
      <c r="AV53" s="41"/>
      <c r="BB53" s="6"/>
      <c r="BC53" s="6"/>
      <c r="BD53" s="6"/>
      <c r="BE53" s="6"/>
    </row>
    <row r="54" spans="1:57" ht="14.5" customHeight="1" x14ac:dyDescent="0.35">
      <c r="A54" s="6"/>
      <c r="B54" s="129" t="s">
        <v>78</v>
      </c>
      <c r="C54" s="11" t="s">
        <v>65</v>
      </c>
      <c r="D54" s="13">
        <v>0.4</v>
      </c>
      <c r="E54" s="13">
        <v>0.4</v>
      </c>
      <c r="F54" s="13">
        <v>0.4</v>
      </c>
      <c r="G54" s="45">
        <v>0</v>
      </c>
      <c r="H54" s="41"/>
      <c r="I54" s="13">
        <v>0.2</v>
      </c>
      <c r="J54" s="13">
        <v>0.45</v>
      </c>
      <c r="K54" s="13">
        <v>0.2</v>
      </c>
      <c r="L54" s="45">
        <v>0</v>
      </c>
      <c r="M54" s="41"/>
      <c r="N54" s="13">
        <v>0.45</v>
      </c>
      <c r="O54" s="13">
        <v>0.45</v>
      </c>
      <c r="P54" s="13">
        <v>0.45</v>
      </c>
      <c r="Q54" s="45">
        <v>0</v>
      </c>
      <c r="R54" s="41"/>
      <c r="S54" s="13">
        <v>0.4</v>
      </c>
      <c r="T54" s="13">
        <v>0.4</v>
      </c>
      <c r="U54" s="13">
        <v>0.4</v>
      </c>
      <c r="V54" s="45">
        <v>0</v>
      </c>
      <c r="W54" s="41"/>
      <c r="X54" s="13">
        <v>0.22500000000000001</v>
      </c>
      <c r="Y54" s="13">
        <v>0.22500000000000001</v>
      </c>
      <c r="Z54" s="41"/>
      <c r="AA54" s="13">
        <v>0.4</v>
      </c>
      <c r="AB54" s="13">
        <v>0.52500000000000002</v>
      </c>
      <c r="AC54" s="13">
        <v>0.4</v>
      </c>
      <c r="AD54" s="45">
        <v>0</v>
      </c>
      <c r="AE54" s="41"/>
      <c r="AF54" s="13">
        <v>0.16999999999999998</v>
      </c>
      <c r="AG54" s="13">
        <v>0.32499999999999996</v>
      </c>
      <c r="AH54" s="13">
        <v>0.16999999999999998</v>
      </c>
      <c r="AI54" s="45">
        <v>0</v>
      </c>
      <c r="AJ54" s="41"/>
      <c r="AK54" s="13">
        <v>0.16999999999999998</v>
      </c>
      <c r="AL54" s="13">
        <v>0.39499999999999996</v>
      </c>
      <c r="AM54" s="45">
        <v>0</v>
      </c>
      <c r="AN54" s="45">
        <v>0</v>
      </c>
      <c r="AO54" s="41"/>
      <c r="AP54" s="129" t="s">
        <v>78</v>
      </c>
      <c r="AQ54" s="11" t="s">
        <v>65</v>
      </c>
      <c r="AR54" s="13">
        <v>0.16999999999999998</v>
      </c>
      <c r="AS54" s="13">
        <v>0.3</v>
      </c>
      <c r="AT54" s="45">
        <v>0</v>
      </c>
      <c r="AU54" s="45">
        <v>0</v>
      </c>
      <c r="AV54" s="41"/>
      <c r="AX54" s="46">
        <v>-0.18000000000000002</v>
      </c>
      <c r="AY54" s="46">
        <v>-5.0000000000000044E-2</v>
      </c>
      <c r="AZ54" s="46">
        <v>-0.18000000000000002</v>
      </c>
      <c r="BB54" s="13">
        <v>0.22</v>
      </c>
      <c r="BC54" s="13">
        <v>0.35</v>
      </c>
      <c r="BD54" s="13">
        <v>0.22</v>
      </c>
      <c r="BE54" s="45">
        <v>0</v>
      </c>
    </row>
    <row r="55" spans="1:57" ht="14.5" customHeight="1" x14ac:dyDescent="0.35">
      <c r="A55" s="6"/>
      <c r="B55" s="130"/>
      <c r="C55" s="11" t="s">
        <v>66</v>
      </c>
      <c r="D55" s="13">
        <v>0.38</v>
      </c>
      <c r="E55" s="13">
        <v>0.38</v>
      </c>
      <c r="F55" s="13">
        <v>0.38</v>
      </c>
      <c r="G55" s="13">
        <v>0</v>
      </c>
      <c r="H55" s="41"/>
      <c r="I55" s="13">
        <v>0.2</v>
      </c>
      <c r="J55" s="13">
        <v>0.45</v>
      </c>
      <c r="K55" s="13">
        <v>0.2</v>
      </c>
      <c r="L55" s="13">
        <v>0</v>
      </c>
      <c r="M55" s="41"/>
      <c r="N55" s="13">
        <v>0.45</v>
      </c>
      <c r="O55" s="13">
        <v>0.45</v>
      </c>
      <c r="P55" s="13">
        <v>0.45</v>
      </c>
      <c r="Q55" s="13">
        <v>0</v>
      </c>
      <c r="R55" s="41"/>
      <c r="S55" s="13">
        <v>0.38</v>
      </c>
      <c r="T55" s="13">
        <v>0.38</v>
      </c>
      <c r="U55" s="13">
        <v>0.38</v>
      </c>
      <c r="V55" s="13">
        <v>0</v>
      </c>
      <c r="W55" s="41"/>
      <c r="X55" s="13">
        <v>0.20500000000000002</v>
      </c>
      <c r="Y55" s="13">
        <v>0.20500000000000002</v>
      </c>
      <c r="Z55" s="41"/>
      <c r="AA55" s="13">
        <v>0.25</v>
      </c>
      <c r="AB55" s="13">
        <v>0.375</v>
      </c>
      <c r="AC55" s="13">
        <v>0.25</v>
      </c>
      <c r="AD55" s="13">
        <v>0</v>
      </c>
      <c r="AE55" s="41"/>
      <c r="AF55" s="13">
        <v>0.15000000000000002</v>
      </c>
      <c r="AG55" s="13">
        <v>0.30499999999999994</v>
      </c>
      <c r="AH55" s="13">
        <v>0.15000000000000002</v>
      </c>
      <c r="AI55" s="13">
        <v>0</v>
      </c>
      <c r="AJ55" s="41"/>
      <c r="AK55" s="13">
        <v>0.16999999999999998</v>
      </c>
      <c r="AL55" s="13">
        <v>0.39499999999999996</v>
      </c>
      <c r="AM55" s="13">
        <v>0</v>
      </c>
      <c r="AN55" s="13">
        <v>0</v>
      </c>
      <c r="AO55" s="41"/>
      <c r="AP55" s="130"/>
      <c r="AQ55" s="11" t="s">
        <v>66</v>
      </c>
      <c r="AR55" s="13">
        <v>0.16999999999999998</v>
      </c>
      <c r="AS55" s="13">
        <v>0.3</v>
      </c>
      <c r="AT55" s="45">
        <v>0</v>
      </c>
      <c r="AU55" s="45">
        <v>0</v>
      </c>
      <c r="AV55" s="41"/>
      <c r="AX55" s="46"/>
      <c r="AY55" s="46"/>
      <c r="AZ55" s="46"/>
      <c r="BB55" s="13"/>
      <c r="BC55" s="13"/>
      <c r="BD55" s="13"/>
      <c r="BE55" s="45"/>
    </row>
    <row r="56" spans="1:57" ht="14.5" customHeight="1" x14ac:dyDescent="0.35">
      <c r="A56" s="6"/>
      <c r="B56" s="130"/>
      <c r="C56" s="11" t="s">
        <v>67</v>
      </c>
      <c r="D56" s="13">
        <v>0.36</v>
      </c>
      <c r="E56" s="13">
        <v>0.36</v>
      </c>
      <c r="F56" s="13">
        <v>0.36</v>
      </c>
      <c r="G56" s="13">
        <v>0</v>
      </c>
      <c r="H56" s="41"/>
      <c r="I56" s="13">
        <v>0.2</v>
      </c>
      <c r="J56" s="13">
        <v>0.45</v>
      </c>
      <c r="K56" s="13">
        <v>0.2</v>
      </c>
      <c r="L56" s="13">
        <v>0</v>
      </c>
      <c r="M56" s="41"/>
      <c r="N56" s="13">
        <v>0.4</v>
      </c>
      <c r="O56" s="13">
        <v>0.4</v>
      </c>
      <c r="P56" s="13">
        <v>0.4</v>
      </c>
      <c r="Q56" s="13">
        <v>0</v>
      </c>
      <c r="R56" s="41"/>
      <c r="S56" s="13">
        <v>0.36</v>
      </c>
      <c r="T56" s="13">
        <v>0.36</v>
      </c>
      <c r="U56" s="13">
        <v>0.36</v>
      </c>
      <c r="V56" s="13">
        <v>0</v>
      </c>
      <c r="W56" s="41"/>
      <c r="X56" s="13">
        <v>0.18500000000000003</v>
      </c>
      <c r="Y56" s="13">
        <v>0.18500000000000003</v>
      </c>
      <c r="Z56" s="41"/>
      <c r="AA56" s="13">
        <v>0.16999999999999998</v>
      </c>
      <c r="AB56" s="13">
        <v>0.34499999999999997</v>
      </c>
      <c r="AC56" s="13">
        <v>0.16999999999999998</v>
      </c>
      <c r="AD56" s="13">
        <v>0</v>
      </c>
      <c r="AE56" s="41"/>
      <c r="AF56" s="13">
        <v>0.13</v>
      </c>
      <c r="AG56" s="13">
        <v>0.28499999999999992</v>
      </c>
      <c r="AH56" s="13">
        <v>0.13</v>
      </c>
      <c r="AI56" s="13">
        <v>0</v>
      </c>
      <c r="AJ56" s="41"/>
      <c r="AK56" s="13">
        <v>0.16999999999999998</v>
      </c>
      <c r="AL56" s="13">
        <v>0.39499999999999996</v>
      </c>
      <c r="AM56" s="13">
        <v>0</v>
      </c>
      <c r="AN56" s="13">
        <v>0</v>
      </c>
      <c r="AO56" s="41"/>
      <c r="AP56" s="130"/>
      <c r="AQ56" s="11" t="s">
        <v>67</v>
      </c>
      <c r="AR56" s="13">
        <v>0.16999999999999998</v>
      </c>
      <c r="AS56" s="13">
        <v>0.3</v>
      </c>
      <c r="AT56" s="45">
        <v>0</v>
      </c>
      <c r="AU56" s="45">
        <v>0</v>
      </c>
      <c r="AV56" s="41"/>
      <c r="AX56" s="46"/>
      <c r="AY56" s="46"/>
      <c r="AZ56" s="46"/>
      <c r="BB56" s="13"/>
      <c r="BC56" s="13"/>
      <c r="BD56" s="13"/>
      <c r="BE56" s="45"/>
    </row>
    <row r="57" spans="1:57" ht="18.5" x14ac:dyDescent="0.35">
      <c r="A57" s="6"/>
      <c r="B57" s="131"/>
      <c r="C57" s="11" t="s">
        <v>69</v>
      </c>
      <c r="D57" s="13">
        <v>0.1</v>
      </c>
      <c r="E57" s="13">
        <v>0.45</v>
      </c>
      <c r="F57" s="13">
        <v>0.1</v>
      </c>
      <c r="G57" s="45">
        <v>0</v>
      </c>
      <c r="H57" s="41"/>
      <c r="I57" s="13">
        <v>0.1</v>
      </c>
      <c r="J57" s="13">
        <v>0.45</v>
      </c>
      <c r="K57" s="13">
        <v>0.1</v>
      </c>
      <c r="L57" s="45">
        <v>0</v>
      </c>
      <c r="M57" s="41"/>
      <c r="N57" s="13">
        <v>0.1</v>
      </c>
      <c r="O57" s="13">
        <v>0.45</v>
      </c>
      <c r="P57" s="13">
        <v>0.1</v>
      </c>
      <c r="Q57" s="45">
        <v>0</v>
      </c>
      <c r="R57" s="41"/>
      <c r="S57" s="13">
        <v>0.1</v>
      </c>
      <c r="T57" s="13">
        <v>0.45</v>
      </c>
      <c r="U57" s="13">
        <v>0.1</v>
      </c>
      <c r="V57" s="45">
        <v>0</v>
      </c>
      <c r="W57" s="41"/>
      <c r="X57" s="13">
        <v>0</v>
      </c>
      <c r="Y57" s="13">
        <v>0</v>
      </c>
      <c r="Z57" s="41"/>
      <c r="AA57" s="13">
        <v>0.05</v>
      </c>
      <c r="AB57" s="13">
        <v>0.42499999999999999</v>
      </c>
      <c r="AC57" s="13">
        <v>0.05</v>
      </c>
      <c r="AD57" s="45">
        <v>0</v>
      </c>
      <c r="AE57" s="41"/>
      <c r="AF57" s="13">
        <v>0.05</v>
      </c>
      <c r="AG57" s="13">
        <v>0.42499999999999999</v>
      </c>
      <c r="AH57" s="13">
        <v>0.05</v>
      </c>
      <c r="AI57" s="45">
        <v>0</v>
      </c>
      <c r="AJ57" s="41"/>
      <c r="AK57" s="13">
        <v>0.05</v>
      </c>
      <c r="AL57" s="13">
        <v>0.42499999999999999</v>
      </c>
      <c r="AM57" s="45">
        <v>0</v>
      </c>
      <c r="AN57" s="45">
        <v>0</v>
      </c>
      <c r="AO57" s="41"/>
      <c r="AP57" s="131"/>
      <c r="AQ57" s="11" t="s">
        <v>69</v>
      </c>
      <c r="AR57" s="45">
        <v>0</v>
      </c>
      <c r="AS57" s="45">
        <v>0</v>
      </c>
      <c r="AT57" s="45">
        <v>0</v>
      </c>
      <c r="AU57" s="45">
        <v>0</v>
      </c>
      <c r="AV57" s="41"/>
      <c r="AX57" s="46">
        <v>7.0000000000000007E-2</v>
      </c>
      <c r="AY57" s="46">
        <v>0</v>
      </c>
      <c r="AZ57" s="46">
        <v>7.0000000000000007E-2</v>
      </c>
      <c r="BB57" s="13">
        <v>0.22</v>
      </c>
      <c r="BC57" s="13">
        <v>0.35</v>
      </c>
      <c r="BD57" s="13">
        <v>0.22</v>
      </c>
      <c r="BE57" s="45">
        <v>0</v>
      </c>
    </row>
    <row r="58" spans="1:57" ht="18.5" x14ac:dyDescent="0.35">
      <c r="A58" s="6"/>
      <c r="B58" s="132"/>
      <c r="C58" s="11" t="s">
        <v>23</v>
      </c>
      <c r="D58" s="13">
        <v>0</v>
      </c>
      <c r="E58" s="13">
        <v>0.25</v>
      </c>
      <c r="F58" s="13">
        <v>0</v>
      </c>
      <c r="G58" s="45">
        <v>0</v>
      </c>
      <c r="H58" s="41"/>
      <c r="I58" s="13">
        <v>0</v>
      </c>
      <c r="J58" s="13">
        <v>0.25</v>
      </c>
      <c r="K58" s="13">
        <v>0</v>
      </c>
      <c r="L58" s="45">
        <v>0</v>
      </c>
      <c r="M58" s="41"/>
      <c r="N58" s="13">
        <v>0</v>
      </c>
      <c r="O58" s="13">
        <v>0.25</v>
      </c>
      <c r="P58" s="13">
        <v>0</v>
      </c>
      <c r="Q58" s="45">
        <v>0</v>
      </c>
      <c r="R58" s="41"/>
      <c r="S58" s="13">
        <v>0</v>
      </c>
      <c r="T58" s="13">
        <v>0.25</v>
      </c>
      <c r="U58" s="13">
        <v>0</v>
      </c>
      <c r="V58" s="45">
        <v>0</v>
      </c>
      <c r="W58" s="41"/>
      <c r="X58" s="13">
        <v>0</v>
      </c>
      <c r="Y58" s="13">
        <v>0</v>
      </c>
      <c r="Z58" s="41"/>
      <c r="AA58" s="13">
        <v>0</v>
      </c>
      <c r="AB58" s="13">
        <v>0.22500000000000001</v>
      </c>
      <c r="AC58" s="13">
        <v>0</v>
      </c>
      <c r="AD58" s="45">
        <v>0</v>
      </c>
      <c r="AE58" s="41"/>
      <c r="AF58" s="13">
        <v>0</v>
      </c>
      <c r="AG58" s="13">
        <v>0.22500000000000001</v>
      </c>
      <c r="AH58" s="13">
        <v>0</v>
      </c>
      <c r="AI58" s="45">
        <v>0</v>
      </c>
      <c r="AJ58" s="41"/>
      <c r="AK58" s="13">
        <v>0</v>
      </c>
      <c r="AL58" s="13">
        <v>0.22500000000000001</v>
      </c>
      <c r="AM58" s="45">
        <v>0</v>
      </c>
      <c r="AN58" s="45">
        <v>0</v>
      </c>
      <c r="AO58" s="41"/>
      <c r="AP58" s="132"/>
      <c r="AQ58" s="11" t="s">
        <v>23</v>
      </c>
      <c r="AR58" s="45">
        <v>0</v>
      </c>
      <c r="AS58" s="45">
        <v>0</v>
      </c>
      <c r="AT58" s="45">
        <v>0</v>
      </c>
      <c r="AU58" s="45">
        <v>0</v>
      </c>
      <c r="AV58" s="41"/>
      <c r="AX58" s="46"/>
      <c r="AY58" s="46">
        <v>0</v>
      </c>
      <c r="AZ58" s="46"/>
      <c r="BB58" s="45">
        <v>0</v>
      </c>
      <c r="BC58" s="13">
        <v>0.25</v>
      </c>
      <c r="BD58" s="45">
        <v>0</v>
      </c>
      <c r="BE58" s="45">
        <v>0</v>
      </c>
    </row>
    <row r="59" spans="1:57" customFormat="1" ht="4.5" customHeight="1" x14ac:dyDescent="0.35">
      <c r="A59" s="6"/>
      <c r="B59" s="6"/>
      <c r="C59" s="6"/>
      <c r="D59" s="6"/>
      <c r="E59" s="6"/>
      <c r="F59" s="6"/>
      <c r="G59" s="6"/>
      <c r="H59" s="41"/>
      <c r="I59" s="6"/>
      <c r="J59" s="6"/>
      <c r="K59" s="6"/>
      <c r="L59" s="6"/>
      <c r="M59" s="41"/>
      <c r="N59" s="6"/>
      <c r="O59" s="6"/>
      <c r="P59" s="6"/>
      <c r="Q59" s="6"/>
      <c r="R59" s="41"/>
      <c r="S59" s="6"/>
      <c r="T59" s="6"/>
      <c r="U59" s="6"/>
      <c r="V59" s="6"/>
      <c r="W59" s="41"/>
      <c r="X59" s="6"/>
      <c r="Y59" s="6"/>
      <c r="Z59" s="41"/>
      <c r="AA59" s="6"/>
      <c r="AB59" s="6"/>
      <c r="AC59" s="6"/>
      <c r="AD59" s="6"/>
      <c r="AE59" s="41"/>
      <c r="AF59" s="6"/>
      <c r="AG59" s="6"/>
      <c r="AH59" s="6"/>
      <c r="AI59" s="6"/>
      <c r="AJ59" s="41"/>
      <c r="AK59" s="6"/>
      <c r="AL59" s="6"/>
      <c r="AM59" s="6"/>
      <c r="AN59" s="6"/>
      <c r="AO59" s="41"/>
      <c r="AP59" s="6"/>
      <c r="AQ59" s="6"/>
      <c r="AR59" s="6"/>
      <c r="AS59" s="6"/>
      <c r="AT59" s="6"/>
      <c r="AU59" s="6"/>
      <c r="AV59" s="41"/>
      <c r="BB59" s="6"/>
      <c r="BC59" s="6"/>
      <c r="BD59" s="6"/>
      <c r="BE59" s="6"/>
    </row>
    <row r="60" spans="1:57" ht="14.5" customHeight="1" x14ac:dyDescent="0.35">
      <c r="A60" s="6"/>
      <c r="B60" s="129" t="s">
        <v>79</v>
      </c>
      <c r="C60" s="11" t="s">
        <v>65</v>
      </c>
      <c r="D60" s="13">
        <v>0.4</v>
      </c>
      <c r="E60" s="13">
        <v>0.4</v>
      </c>
      <c r="F60" s="13">
        <v>0.4</v>
      </c>
      <c r="G60" s="45">
        <v>0</v>
      </c>
      <c r="H60" s="41"/>
      <c r="I60" s="13">
        <v>0.35</v>
      </c>
      <c r="J60" s="13">
        <v>0.5</v>
      </c>
      <c r="K60" s="13">
        <v>0.3</v>
      </c>
      <c r="L60" s="45">
        <v>0</v>
      </c>
      <c r="M60" s="41"/>
      <c r="N60" s="13">
        <v>0.45</v>
      </c>
      <c r="O60" s="13">
        <v>0.45</v>
      </c>
      <c r="P60" s="13">
        <v>0.45</v>
      </c>
      <c r="Q60" s="45">
        <v>0</v>
      </c>
      <c r="R60" s="41"/>
      <c r="S60" s="13">
        <v>0.15</v>
      </c>
      <c r="T60" s="13">
        <v>0.32</v>
      </c>
      <c r="U60" s="13">
        <v>0.15</v>
      </c>
      <c r="V60" s="45">
        <v>0</v>
      </c>
      <c r="W60" s="41"/>
      <c r="X60" s="13">
        <v>0.1</v>
      </c>
      <c r="Y60" s="13">
        <v>0.1</v>
      </c>
      <c r="Z60" s="41"/>
      <c r="AA60" s="13">
        <v>0.35000000000000003</v>
      </c>
      <c r="AB60" s="13">
        <v>0.47499999999999998</v>
      </c>
      <c r="AC60" s="13">
        <v>0.35000000000000003</v>
      </c>
      <c r="AD60" s="45">
        <v>0</v>
      </c>
      <c r="AE60" s="41"/>
      <c r="AF60" s="13">
        <v>9.9999999999999992E-2</v>
      </c>
      <c r="AG60" s="13">
        <v>0.29499999999999998</v>
      </c>
      <c r="AH60" s="13">
        <v>9.9999999999999992E-2</v>
      </c>
      <c r="AI60" s="45">
        <v>0</v>
      </c>
      <c r="AJ60" s="41"/>
      <c r="AK60" s="13">
        <v>0.23000000000000004</v>
      </c>
      <c r="AL60" s="13">
        <v>0.39499999999999996</v>
      </c>
      <c r="AM60" s="45">
        <v>0</v>
      </c>
      <c r="AN60" s="45">
        <v>0</v>
      </c>
      <c r="AO60" s="41"/>
      <c r="AP60" s="129" t="s">
        <v>79</v>
      </c>
      <c r="AQ60" s="11" t="s">
        <v>65</v>
      </c>
      <c r="AR60" s="13">
        <v>0.23000000000000004</v>
      </c>
      <c r="AS60" s="13">
        <v>0.3</v>
      </c>
      <c r="AT60" s="45">
        <v>0</v>
      </c>
      <c r="AU60" s="45">
        <v>0</v>
      </c>
      <c r="AV60" s="41"/>
      <c r="AX60" s="46">
        <v>-0.25</v>
      </c>
      <c r="AY60" s="46">
        <v>-8.0000000000000016E-2</v>
      </c>
      <c r="AZ60" s="46">
        <v>-0.25</v>
      </c>
      <c r="BB60" s="13">
        <v>0.28000000000000003</v>
      </c>
      <c r="BC60" s="13">
        <v>0.35</v>
      </c>
      <c r="BD60" s="13">
        <v>0.28000000000000003</v>
      </c>
      <c r="BE60" s="45">
        <v>0</v>
      </c>
    </row>
    <row r="61" spans="1:57" ht="14.5" customHeight="1" x14ac:dyDescent="0.35">
      <c r="A61" s="6"/>
      <c r="B61" s="130"/>
      <c r="C61" s="11" t="s">
        <v>66</v>
      </c>
      <c r="D61" s="13">
        <v>0.38</v>
      </c>
      <c r="E61" s="13">
        <v>0.38</v>
      </c>
      <c r="F61" s="13">
        <v>0.38</v>
      </c>
      <c r="G61" s="13">
        <v>0</v>
      </c>
      <c r="H61" s="41"/>
      <c r="I61" s="13">
        <v>0.3</v>
      </c>
      <c r="J61" s="13">
        <v>0.4</v>
      </c>
      <c r="K61" s="13">
        <v>0.3</v>
      </c>
      <c r="L61" s="13">
        <v>0</v>
      </c>
      <c r="M61" s="41"/>
      <c r="N61" s="13">
        <v>0.45</v>
      </c>
      <c r="O61" s="13">
        <v>0.45</v>
      </c>
      <c r="P61" s="13">
        <v>0.45</v>
      </c>
      <c r="Q61" s="13">
        <v>0</v>
      </c>
      <c r="R61" s="41"/>
      <c r="S61" s="13">
        <v>0.13</v>
      </c>
      <c r="T61" s="13">
        <v>0.3</v>
      </c>
      <c r="U61" s="13">
        <v>0.13</v>
      </c>
      <c r="V61" s="13">
        <v>0</v>
      </c>
      <c r="W61" s="41"/>
      <c r="X61" s="13">
        <v>0.08</v>
      </c>
      <c r="Y61" s="13">
        <v>0.08</v>
      </c>
      <c r="Z61" s="41"/>
      <c r="AA61" s="13">
        <v>0.3</v>
      </c>
      <c r="AB61" s="13">
        <v>0.375</v>
      </c>
      <c r="AC61" s="13">
        <v>0.3</v>
      </c>
      <c r="AD61" s="13">
        <v>0</v>
      </c>
      <c r="AE61" s="41"/>
      <c r="AF61" s="13">
        <v>0.08</v>
      </c>
      <c r="AG61" s="13">
        <v>0.27499999999999997</v>
      </c>
      <c r="AH61" s="13">
        <v>0.08</v>
      </c>
      <c r="AI61" s="13">
        <v>0</v>
      </c>
      <c r="AJ61" s="41"/>
      <c r="AK61" s="13">
        <v>0.23000000000000004</v>
      </c>
      <c r="AL61" s="13">
        <v>0.39499999999999996</v>
      </c>
      <c r="AM61" s="13">
        <v>0</v>
      </c>
      <c r="AN61" s="13">
        <v>0</v>
      </c>
      <c r="AO61" s="41"/>
      <c r="AP61" s="130"/>
      <c r="AQ61" s="11" t="s">
        <v>66</v>
      </c>
      <c r="AR61" s="13">
        <v>0.23000000000000004</v>
      </c>
      <c r="AS61" s="13">
        <v>0.3</v>
      </c>
      <c r="AT61" s="45">
        <v>0</v>
      </c>
      <c r="AU61" s="45">
        <v>0</v>
      </c>
      <c r="AV61" s="41"/>
      <c r="AX61" s="46"/>
      <c r="AY61" s="46"/>
      <c r="AZ61" s="46"/>
      <c r="BB61" s="13"/>
      <c r="BC61" s="13"/>
      <c r="BD61" s="13"/>
      <c r="BE61" s="45"/>
    </row>
    <row r="62" spans="1:57" ht="14.5" customHeight="1" x14ac:dyDescent="0.35">
      <c r="A62" s="6"/>
      <c r="B62" s="130"/>
      <c r="C62" s="11" t="s">
        <v>67</v>
      </c>
      <c r="D62" s="13">
        <v>0.36</v>
      </c>
      <c r="E62" s="13">
        <v>0.36</v>
      </c>
      <c r="F62" s="13">
        <v>0.36</v>
      </c>
      <c r="G62" s="13">
        <v>0</v>
      </c>
      <c r="H62" s="41"/>
      <c r="I62" s="13">
        <v>0.27</v>
      </c>
      <c r="J62" s="13">
        <v>0.37</v>
      </c>
      <c r="K62" s="13">
        <v>0.27</v>
      </c>
      <c r="L62" s="13">
        <v>0</v>
      </c>
      <c r="M62" s="41"/>
      <c r="N62" s="13">
        <v>0.4</v>
      </c>
      <c r="O62" s="13">
        <v>0.4</v>
      </c>
      <c r="P62" s="13">
        <v>0.4</v>
      </c>
      <c r="Q62" s="13">
        <v>0</v>
      </c>
      <c r="R62" s="41"/>
      <c r="S62" s="13">
        <v>0.11</v>
      </c>
      <c r="T62" s="13">
        <v>0.27999999999999997</v>
      </c>
      <c r="U62" s="13">
        <v>0.11</v>
      </c>
      <c r="V62" s="13">
        <v>0</v>
      </c>
      <c r="W62" s="41"/>
      <c r="X62" s="13">
        <v>0.06</v>
      </c>
      <c r="Y62" s="13">
        <v>0.06</v>
      </c>
      <c r="Z62" s="41"/>
      <c r="AA62" s="13">
        <v>0.23000000000000004</v>
      </c>
      <c r="AB62" s="13">
        <v>0.34499999999999997</v>
      </c>
      <c r="AC62" s="13">
        <v>0.23000000000000004</v>
      </c>
      <c r="AD62" s="13">
        <v>0</v>
      </c>
      <c r="AE62" s="41"/>
      <c r="AF62" s="13">
        <v>0.06</v>
      </c>
      <c r="AG62" s="13">
        <v>0.25499999999999995</v>
      </c>
      <c r="AH62" s="13">
        <v>0.06</v>
      </c>
      <c r="AI62" s="13">
        <v>0</v>
      </c>
      <c r="AJ62" s="41"/>
      <c r="AK62" s="13">
        <v>0.23000000000000004</v>
      </c>
      <c r="AL62" s="13">
        <v>0.39499999999999996</v>
      </c>
      <c r="AM62" s="13">
        <v>0</v>
      </c>
      <c r="AN62" s="13">
        <v>0</v>
      </c>
      <c r="AO62" s="41"/>
      <c r="AP62" s="130"/>
      <c r="AQ62" s="11" t="s">
        <v>67</v>
      </c>
      <c r="AR62" s="13">
        <v>0.23000000000000004</v>
      </c>
      <c r="AS62" s="13">
        <v>0.3</v>
      </c>
      <c r="AT62" s="45">
        <v>0</v>
      </c>
      <c r="AU62" s="45">
        <v>0</v>
      </c>
      <c r="AV62" s="41"/>
      <c r="AX62" s="46"/>
      <c r="AY62" s="46"/>
      <c r="AZ62" s="46"/>
      <c r="BB62" s="13"/>
      <c r="BC62" s="13"/>
      <c r="BD62" s="13"/>
      <c r="BE62" s="45"/>
    </row>
    <row r="63" spans="1:57" ht="18.5" x14ac:dyDescent="0.35">
      <c r="A63" s="6"/>
      <c r="B63" s="131"/>
      <c r="C63" s="11" t="s">
        <v>69</v>
      </c>
      <c r="D63" s="13">
        <v>0.1</v>
      </c>
      <c r="E63" s="13">
        <v>0.4</v>
      </c>
      <c r="F63" s="13">
        <v>0.1</v>
      </c>
      <c r="G63" s="45">
        <v>0</v>
      </c>
      <c r="H63" s="41"/>
      <c r="I63" s="13">
        <v>0.1</v>
      </c>
      <c r="J63" s="13">
        <v>0.4</v>
      </c>
      <c r="K63" s="13">
        <v>0.1</v>
      </c>
      <c r="L63" s="45">
        <v>0</v>
      </c>
      <c r="M63" s="41"/>
      <c r="N63" s="13">
        <v>0.1</v>
      </c>
      <c r="O63" s="13">
        <v>0.4</v>
      </c>
      <c r="P63" s="13">
        <v>0.1</v>
      </c>
      <c r="Q63" s="45">
        <v>0</v>
      </c>
      <c r="R63" s="41"/>
      <c r="S63" s="13">
        <v>6.5000000000000002E-2</v>
      </c>
      <c r="T63" s="13">
        <v>0.4</v>
      </c>
      <c r="U63" s="13">
        <v>6.5000000000000002E-2</v>
      </c>
      <c r="V63" s="45">
        <v>0</v>
      </c>
      <c r="W63" s="41"/>
      <c r="X63" s="13">
        <v>0.1</v>
      </c>
      <c r="Y63" s="13">
        <v>0.1</v>
      </c>
      <c r="Z63" s="41"/>
      <c r="AA63" s="13">
        <v>0.05</v>
      </c>
      <c r="AB63" s="13">
        <v>0.375</v>
      </c>
      <c r="AC63" s="13">
        <v>0.05</v>
      </c>
      <c r="AD63" s="45">
        <v>0</v>
      </c>
      <c r="AE63" s="41"/>
      <c r="AF63" s="13">
        <v>0.05</v>
      </c>
      <c r="AG63" s="13">
        <v>0.375</v>
      </c>
      <c r="AH63" s="13">
        <v>0.05</v>
      </c>
      <c r="AI63" s="45">
        <v>0</v>
      </c>
      <c r="AJ63" s="41"/>
      <c r="AK63" s="13">
        <v>0.05</v>
      </c>
      <c r="AL63" s="13">
        <v>0.375</v>
      </c>
      <c r="AM63" s="45">
        <v>0</v>
      </c>
      <c r="AN63" s="45">
        <v>0</v>
      </c>
      <c r="AO63" s="41"/>
      <c r="AP63" s="131"/>
      <c r="AQ63" s="11" t="s">
        <v>69</v>
      </c>
      <c r="AR63" s="45">
        <v>0</v>
      </c>
      <c r="AS63" s="45">
        <v>0</v>
      </c>
      <c r="AT63" s="45">
        <v>0</v>
      </c>
      <c r="AU63" s="45">
        <v>0</v>
      </c>
      <c r="AV63" s="41"/>
      <c r="AX63" s="46">
        <v>0</v>
      </c>
      <c r="AY63" s="46">
        <v>0</v>
      </c>
      <c r="AZ63" s="46">
        <v>0</v>
      </c>
      <c r="BB63" s="13">
        <v>0.28000000000000003</v>
      </c>
      <c r="BC63" s="13">
        <v>0.35</v>
      </c>
      <c r="BD63" s="13">
        <v>0.28000000000000003</v>
      </c>
      <c r="BE63" s="45">
        <v>0</v>
      </c>
    </row>
    <row r="64" spans="1:57" ht="18.5" x14ac:dyDescent="0.35">
      <c r="A64" s="6"/>
      <c r="B64" s="132"/>
      <c r="C64" s="11" t="s">
        <v>23</v>
      </c>
      <c r="D64" s="13">
        <v>0</v>
      </c>
      <c r="E64" s="13">
        <v>0.125</v>
      </c>
      <c r="F64" s="13">
        <v>0</v>
      </c>
      <c r="G64" s="45">
        <v>0</v>
      </c>
      <c r="H64" s="41"/>
      <c r="I64" s="13">
        <v>0</v>
      </c>
      <c r="J64" s="13">
        <v>0.125</v>
      </c>
      <c r="K64" s="13">
        <v>0</v>
      </c>
      <c r="L64" s="45">
        <v>0</v>
      </c>
      <c r="M64" s="41"/>
      <c r="N64" s="13">
        <v>0</v>
      </c>
      <c r="O64" s="13">
        <v>0.125</v>
      </c>
      <c r="P64" s="13">
        <v>0</v>
      </c>
      <c r="Q64" s="45">
        <v>0</v>
      </c>
      <c r="R64" s="41"/>
      <c r="S64" s="13">
        <v>0</v>
      </c>
      <c r="T64" s="13">
        <v>0.125</v>
      </c>
      <c r="U64" s="13">
        <v>0</v>
      </c>
      <c r="V64" s="45">
        <v>0</v>
      </c>
      <c r="W64" s="41"/>
      <c r="X64" s="13">
        <v>0</v>
      </c>
      <c r="Y64" s="13">
        <v>0</v>
      </c>
      <c r="Z64" s="41"/>
      <c r="AA64" s="13">
        <v>0</v>
      </c>
      <c r="AB64" s="13">
        <v>0.1</v>
      </c>
      <c r="AC64" s="13">
        <v>0</v>
      </c>
      <c r="AD64" s="45">
        <v>0</v>
      </c>
      <c r="AE64" s="41"/>
      <c r="AF64" s="13">
        <v>0</v>
      </c>
      <c r="AG64" s="13">
        <v>0.1</v>
      </c>
      <c r="AH64" s="13">
        <v>0</v>
      </c>
      <c r="AI64" s="45">
        <v>0</v>
      </c>
      <c r="AJ64" s="41"/>
      <c r="AK64" s="13">
        <v>0</v>
      </c>
      <c r="AL64" s="13">
        <v>0.1</v>
      </c>
      <c r="AM64" s="45">
        <v>0</v>
      </c>
      <c r="AN64" s="45">
        <v>0</v>
      </c>
      <c r="AO64" s="41"/>
      <c r="AP64" s="132"/>
      <c r="AQ64" s="11" t="s">
        <v>23</v>
      </c>
      <c r="AR64" s="45">
        <v>0</v>
      </c>
      <c r="AS64" s="45">
        <v>0</v>
      </c>
      <c r="AT64" s="45">
        <v>0</v>
      </c>
      <c r="AU64" s="45">
        <v>0</v>
      </c>
      <c r="AV64" s="41"/>
      <c r="AX64" s="46"/>
      <c r="AY64" s="46">
        <v>0</v>
      </c>
      <c r="AZ64" s="46"/>
      <c r="BB64" s="45">
        <v>0</v>
      </c>
      <c r="BC64" s="13">
        <v>0.125</v>
      </c>
      <c r="BD64" s="45">
        <v>0</v>
      </c>
      <c r="BE64" s="45">
        <v>0</v>
      </c>
    </row>
    <row r="65" spans="1:57" customFormat="1" ht="4.5" customHeight="1" x14ac:dyDescent="0.35">
      <c r="A65" s="6"/>
      <c r="B65" s="6"/>
      <c r="C65" s="6"/>
      <c r="D65" s="6"/>
      <c r="E65" s="6"/>
      <c r="F65" s="6"/>
      <c r="G65" s="6"/>
      <c r="H65" s="41"/>
      <c r="I65" s="6"/>
      <c r="J65" s="6"/>
      <c r="K65" s="6"/>
      <c r="L65" s="6"/>
      <c r="M65" s="41"/>
      <c r="N65" s="6"/>
      <c r="O65" s="6"/>
      <c r="P65" s="6"/>
      <c r="Q65" s="6"/>
      <c r="R65" s="41"/>
      <c r="S65" s="6"/>
      <c r="T65" s="6"/>
      <c r="U65" s="6"/>
      <c r="V65" s="6"/>
      <c r="W65" s="41"/>
      <c r="X65" s="6"/>
      <c r="Y65" s="6"/>
      <c r="Z65" s="41"/>
      <c r="AA65" s="6"/>
      <c r="AB65" s="6"/>
      <c r="AC65" s="6"/>
      <c r="AD65" s="6"/>
      <c r="AE65" s="41"/>
      <c r="AF65" s="6"/>
      <c r="AG65" s="6"/>
      <c r="AH65" s="6"/>
      <c r="AI65" s="6"/>
      <c r="AJ65" s="41"/>
      <c r="AK65" s="6"/>
      <c r="AL65" s="6"/>
      <c r="AM65" s="6"/>
      <c r="AN65" s="6"/>
      <c r="AO65" s="41"/>
      <c r="AP65" s="6"/>
      <c r="AQ65" s="6"/>
      <c r="AR65" s="6"/>
      <c r="AS65" s="6"/>
      <c r="AT65" s="6"/>
      <c r="AU65" s="6"/>
      <c r="AV65" s="41"/>
      <c r="BB65" s="6"/>
      <c r="BC65" s="6"/>
      <c r="BD65" s="6"/>
      <c r="BE65" s="6"/>
    </row>
    <row r="66" spans="1:57" ht="14.5" customHeight="1" x14ac:dyDescent="0.35">
      <c r="A66" s="6"/>
      <c r="B66" s="129" t="s">
        <v>8</v>
      </c>
      <c r="C66" s="11" t="s">
        <v>65</v>
      </c>
      <c r="D66" s="13">
        <v>0.4</v>
      </c>
      <c r="E66" s="13">
        <v>0.4</v>
      </c>
      <c r="F66" s="13">
        <v>0.4</v>
      </c>
      <c r="G66" s="45">
        <v>0</v>
      </c>
      <c r="H66" s="41"/>
      <c r="I66" s="13">
        <v>0.35</v>
      </c>
      <c r="J66" s="13">
        <v>0.5</v>
      </c>
      <c r="K66" s="13">
        <v>0.3</v>
      </c>
      <c r="L66" s="45">
        <v>0</v>
      </c>
      <c r="M66" s="41"/>
      <c r="N66" s="13">
        <v>0.45</v>
      </c>
      <c r="O66" s="13">
        <v>0.45</v>
      </c>
      <c r="P66" s="13">
        <v>0.45</v>
      </c>
      <c r="Q66" s="45">
        <v>0</v>
      </c>
      <c r="R66" s="41"/>
      <c r="S66" s="13">
        <v>0.15</v>
      </c>
      <c r="T66" s="13">
        <v>0.32</v>
      </c>
      <c r="U66" s="13">
        <v>0.15</v>
      </c>
      <c r="V66" s="45">
        <v>0</v>
      </c>
      <c r="W66" s="41"/>
      <c r="X66" s="13">
        <v>0.1</v>
      </c>
      <c r="Y66" s="13">
        <v>0.1</v>
      </c>
      <c r="Z66" s="41"/>
      <c r="AA66" s="13">
        <v>0.35000000000000003</v>
      </c>
      <c r="AB66" s="13">
        <v>0.47499999999999998</v>
      </c>
      <c r="AC66" s="13">
        <v>0.35000000000000003</v>
      </c>
      <c r="AD66" s="45">
        <v>0</v>
      </c>
      <c r="AE66" s="41"/>
      <c r="AF66" s="13">
        <v>9.9999999999999992E-2</v>
      </c>
      <c r="AG66" s="13">
        <v>0.29499999999999998</v>
      </c>
      <c r="AH66" s="13">
        <v>9.9999999999999992E-2</v>
      </c>
      <c r="AI66" s="45">
        <v>0</v>
      </c>
      <c r="AJ66" s="41"/>
      <c r="AK66" s="13">
        <v>0.23000000000000004</v>
      </c>
      <c r="AL66" s="13">
        <v>0.39499999999999996</v>
      </c>
      <c r="AM66" s="45">
        <v>0</v>
      </c>
      <c r="AN66" s="45">
        <v>0</v>
      </c>
      <c r="AO66" s="41"/>
      <c r="AP66" s="129" t="s">
        <v>8</v>
      </c>
      <c r="AQ66" s="11" t="s">
        <v>65</v>
      </c>
      <c r="AR66" s="13">
        <v>0.23000000000000004</v>
      </c>
      <c r="AS66" s="13">
        <v>0.3</v>
      </c>
      <c r="AT66" s="45">
        <v>0</v>
      </c>
      <c r="AU66" s="45">
        <v>0</v>
      </c>
      <c r="AV66" s="41"/>
      <c r="AX66" s="46">
        <v>-0.25</v>
      </c>
      <c r="AY66" s="46">
        <v>-8.0000000000000016E-2</v>
      </c>
      <c r="AZ66" s="46">
        <v>-0.25</v>
      </c>
      <c r="BB66" s="13">
        <v>0.28000000000000003</v>
      </c>
      <c r="BC66" s="13">
        <v>0.35</v>
      </c>
      <c r="BD66" s="13">
        <v>0.28000000000000003</v>
      </c>
      <c r="BE66" s="45">
        <v>0</v>
      </c>
    </row>
    <row r="67" spans="1:57" ht="14.5" customHeight="1" x14ac:dyDescent="0.35">
      <c r="A67" s="6"/>
      <c r="B67" s="130"/>
      <c r="C67" s="11" t="s">
        <v>66</v>
      </c>
      <c r="D67" s="13">
        <v>0.38</v>
      </c>
      <c r="E67" s="13">
        <v>0.38</v>
      </c>
      <c r="F67" s="13">
        <v>0.38</v>
      </c>
      <c r="G67" s="13">
        <v>0</v>
      </c>
      <c r="H67" s="41"/>
      <c r="I67" s="13">
        <v>0.3</v>
      </c>
      <c r="J67" s="13">
        <v>0.4</v>
      </c>
      <c r="K67" s="13">
        <v>0.3</v>
      </c>
      <c r="L67" s="13">
        <v>0</v>
      </c>
      <c r="M67" s="41"/>
      <c r="N67" s="13">
        <v>0.45</v>
      </c>
      <c r="O67" s="13">
        <v>0.45</v>
      </c>
      <c r="P67" s="13">
        <v>0.45</v>
      </c>
      <c r="Q67" s="13">
        <v>0</v>
      </c>
      <c r="R67" s="41"/>
      <c r="S67" s="13">
        <v>0.13</v>
      </c>
      <c r="T67" s="13">
        <v>0.3</v>
      </c>
      <c r="U67" s="13">
        <v>0.13</v>
      </c>
      <c r="V67" s="13">
        <v>0</v>
      </c>
      <c r="W67" s="41"/>
      <c r="X67" s="13">
        <v>0.08</v>
      </c>
      <c r="Y67" s="13">
        <v>0.08</v>
      </c>
      <c r="Z67" s="41"/>
      <c r="AA67" s="13">
        <v>0.3</v>
      </c>
      <c r="AB67" s="13">
        <v>0.375</v>
      </c>
      <c r="AC67" s="13">
        <v>0.3</v>
      </c>
      <c r="AD67" s="13">
        <v>0</v>
      </c>
      <c r="AE67" s="41"/>
      <c r="AF67" s="13">
        <v>0.08</v>
      </c>
      <c r="AG67" s="13">
        <v>0.27499999999999997</v>
      </c>
      <c r="AH67" s="13">
        <v>0.08</v>
      </c>
      <c r="AI67" s="13">
        <v>0</v>
      </c>
      <c r="AJ67" s="41"/>
      <c r="AK67" s="13">
        <v>0.23000000000000004</v>
      </c>
      <c r="AL67" s="13">
        <v>0.39499999999999996</v>
      </c>
      <c r="AM67" s="13">
        <v>0</v>
      </c>
      <c r="AN67" s="13">
        <v>0</v>
      </c>
      <c r="AO67" s="41"/>
      <c r="AP67" s="130"/>
      <c r="AQ67" s="11" t="s">
        <v>66</v>
      </c>
      <c r="AR67" s="13">
        <v>0.23000000000000004</v>
      </c>
      <c r="AS67" s="13">
        <v>0.3</v>
      </c>
      <c r="AT67" s="45">
        <v>0</v>
      </c>
      <c r="AU67" s="45">
        <v>0</v>
      </c>
      <c r="AV67" s="41"/>
      <c r="AX67" s="46"/>
      <c r="AY67" s="46"/>
      <c r="AZ67" s="46"/>
      <c r="BB67" s="13"/>
      <c r="BC67" s="13"/>
      <c r="BD67" s="13"/>
      <c r="BE67" s="45"/>
    </row>
    <row r="68" spans="1:57" ht="14.5" customHeight="1" x14ac:dyDescent="0.35">
      <c r="A68" s="6"/>
      <c r="B68" s="130"/>
      <c r="C68" s="11" t="s">
        <v>67</v>
      </c>
      <c r="D68" s="13">
        <v>0.36</v>
      </c>
      <c r="E68" s="13">
        <v>0.36</v>
      </c>
      <c r="F68" s="13">
        <v>0.36</v>
      </c>
      <c r="G68" s="13">
        <v>0</v>
      </c>
      <c r="H68" s="41"/>
      <c r="I68" s="13">
        <v>0.27</v>
      </c>
      <c r="J68" s="13">
        <v>0.37</v>
      </c>
      <c r="K68" s="13">
        <v>0.27</v>
      </c>
      <c r="L68" s="13">
        <v>0</v>
      </c>
      <c r="M68" s="41"/>
      <c r="N68" s="13">
        <v>0.4</v>
      </c>
      <c r="O68" s="13">
        <v>0.4</v>
      </c>
      <c r="P68" s="13">
        <v>0.4</v>
      </c>
      <c r="Q68" s="13">
        <v>0</v>
      </c>
      <c r="R68" s="41"/>
      <c r="S68" s="13">
        <v>0.11</v>
      </c>
      <c r="T68" s="13">
        <v>0.27999999999999997</v>
      </c>
      <c r="U68" s="13">
        <v>0.11</v>
      </c>
      <c r="V68" s="13">
        <v>0</v>
      </c>
      <c r="W68" s="41"/>
      <c r="X68" s="13">
        <v>0.06</v>
      </c>
      <c r="Y68" s="13">
        <v>0.06</v>
      </c>
      <c r="Z68" s="41"/>
      <c r="AA68" s="13">
        <v>0.23000000000000004</v>
      </c>
      <c r="AB68" s="13">
        <v>0.34499999999999997</v>
      </c>
      <c r="AC68" s="13">
        <v>0.23000000000000004</v>
      </c>
      <c r="AD68" s="13">
        <v>0</v>
      </c>
      <c r="AE68" s="41"/>
      <c r="AF68" s="13">
        <v>0.06</v>
      </c>
      <c r="AG68" s="13">
        <v>0.25499999999999995</v>
      </c>
      <c r="AH68" s="13">
        <v>0.06</v>
      </c>
      <c r="AI68" s="13">
        <v>0</v>
      </c>
      <c r="AJ68" s="41"/>
      <c r="AK68" s="13">
        <v>0.23000000000000004</v>
      </c>
      <c r="AL68" s="13">
        <v>0.39499999999999996</v>
      </c>
      <c r="AM68" s="13">
        <v>0</v>
      </c>
      <c r="AN68" s="13">
        <v>0</v>
      </c>
      <c r="AO68" s="41"/>
      <c r="AP68" s="130"/>
      <c r="AQ68" s="11" t="s">
        <v>67</v>
      </c>
      <c r="AR68" s="13">
        <v>0.23000000000000004</v>
      </c>
      <c r="AS68" s="13">
        <v>0.3</v>
      </c>
      <c r="AT68" s="45">
        <v>0</v>
      </c>
      <c r="AU68" s="45">
        <v>0</v>
      </c>
      <c r="AV68" s="41"/>
      <c r="AX68" s="46"/>
      <c r="AY68" s="46"/>
      <c r="AZ68" s="46"/>
      <c r="BB68" s="13"/>
      <c r="BC68" s="13"/>
      <c r="BD68" s="13"/>
      <c r="BE68" s="45"/>
    </row>
    <row r="69" spans="1:57" ht="18.5" x14ac:dyDescent="0.35">
      <c r="A69" s="6"/>
      <c r="B69" s="131"/>
      <c r="C69" s="11" t="s">
        <v>69</v>
      </c>
      <c r="D69" s="13">
        <v>0.1</v>
      </c>
      <c r="E69" s="13">
        <v>0.4</v>
      </c>
      <c r="F69" s="13">
        <v>0.1</v>
      </c>
      <c r="G69" s="45">
        <v>0</v>
      </c>
      <c r="H69" s="41"/>
      <c r="I69" s="13">
        <v>0.1</v>
      </c>
      <c r="J69" s="13">
        <v>0.4</v>
      </c>
      <c r="K69" s="13">
        <v>0.1</v>
      </c>
      <c r="L69" s="45">
        <v>0</v>
      </c>
      <c r="M69" s="41"/>
      <c r="N69" s="13">
        <v>0.1</v>
      </c>
      <c r="O69" s="13">
        <v>0.4</v>
      </c>
      <c r="P69" s="13">
        <v>0.1</v>
      </c>
      <c r="Q69" s="45">
        <v>0</v>
      </c>
      <c r="R69" s="41"/>
      <c r="S69" s="13">
        <v>6.5000000000000002E-2</v>
      </c>
      <c r="T69" s="13">
        <v>0.4</v>
      </c>
      <c r="U69" s="13">
        <v>6.5000000000000002E-2</v>
      </c>
      <c r="V69" s="45">
        <v>0</v>
      </c>
      <c r="W69" s="41"/>
      <c r="X69" s="13">
        <v>0.1</v>
      </c>
      <c r="Y69" s="13">
        <v>0.1</v>
      </c>
      <c r="Z69" s="41"/>
      <c r="AA69" s="13">
        <v>0.05</v>
      </c>
      <c r="AB69" s="13">
        <v>0.375</v>
      </c>
      <c r="AC69" s="13">
        <v>0.05</v>
      </c>
      <c r="AD69" s="45">
        <v>0</v>
      </c>
      <c r="AE69" s="41"/>
      <c r="AF69" s="13">
        <v>0.05</v>
      </c>
      <c r="AG69" s="13">
        <v>0.375</v>
      </c>
      <c r="AH69" s="13">
        <v>0.05</v>
      </c>
      <c r="AI69" s="45">
        <v>0</v>
      </c>
      <c r="AJ69" s="41"/>
      <c r="AK69" s="13">
        <v>0.05</v>
      </c>
      <c r="AL69" s="13">
        <v>0.375</v>
      </c>
      <c r="AM69" s="45">
        <v>0</v>
      </c>
      <c r="AN69" s="45">
        <v>0</v>
      </c>
      <c r="AO69" s="41"/>
      <c r="AP69" s="131"/>
      <c r="AQ69" s="11" t="s">
        <v>69</v>
      </c>
      <c r="AR69" s="45">
        <v>0</v>
      </c>
      <c r="AS69" s="45">
        <v>0</v>
      </c>
      <c r="AT69" s="45">
        <v>0</v>
      </c>
      <c r="AU69" s="45">
        <v>0</v>
      </c>
      <c r="AV69" s="41"/>
      <c r="AX69" s="46">
        <v>0</v>
      </c>
      <c r="AY69" s="46">
        <v>0</v>
      </c>
      <c r="AZ69" s="46">
        <v>0</v>
      </c>
      <c r="BB69" s="13">
        <v>0.28000000000000003</v>
      </c>
      <c r="BC69" s="13">
        <v>0.35</v>
      </c>
      <c r="BD69" s="13">
        <v>0.28000000000000003</v>
      </c>
      <c r="BE69" s="45">
        <v>0</v>
      </c>
    </row>
    <row r="70" spans="1:57" ht="18.5" x14ac:dyDescent="0.35">
      <c r="A70" s="6"/>
      <c r="B70" s="132"/>
      <c r="C70" s="11" t="s">
        <v>23</v>
      </c>
      <c r="D70" s="13">
        <v>0</v>
      </c>
      <c r="E70" s="13">
        <v>0.125</v>
      </c>
      <c r="F70" s="13">
        <v>0</v>
      </c>
      <c r="G70" s="45">
        <v>0</v>
      </c>
      <c r="H70" s="41"/>
      <c r="I70" s="13">
        <v>0</v>
      </c>
      <c r="J70" s="13">
        <v>0.125</v>
      </c>
      <c r="K70" s="13">
        <v>0</v>
      </c>
      <c r="L70" s="45">
        <v>0</v>
      </c>
      <c r="M70" s="41"/>
      <c r="N70" s="13">
        <v>0</v>
      </c>
      <c r="O70" s="13">
        <v>0.125</v>
      </c>
      <c r="P70" s="13">
        <v>0</v>
      </c>
      <c r="Q70" s="45">
        <v>0</v>
      </c>
      <c r="R70" s="41"/>
      <c r="S70" s="13">
        <v>0</v>
      </c>
      <c r="T70" s="13">
        <v>0.125</v>
      </c>
      <c r="U70" s="13">
        <v>0</v>
      </c>
      <c r="V70" s="45">
        <v>0</v>
      </c>
      <c r="W70" s="41"/>
      <c r="X70" s="13">
        <v>0</v>
      </c>
      <c r="Y70" s="13">
        <v>0</v>
      </c>
      <c r="Z70" s="41"/>
      <c r="AA70" s="13">
        <v>0</v>
      </c>
      <c r="AB70" s="13">
        <v>0.1</v>
      </c>
      <c r="AC70" s="13">
        <v>0</v>
      </c>
      <c r="AD70" s="45">
        <v>0</v>
      </c>
      <c r="AE70" s="41"/>
      <c r="AF70" s="13">
        <v>0</v>
      </c>
      <c r="AG70" s="13">
        <v>0.1</v>
      </c>
      <c r="AH70" s="13">
        <v>0</v>
      </c>
      <c r="AI70" s="45">
        <v>0</v>
      </c>
      <c r="AJ70" s="41"/>
      <c r="AK70" s="13">
        <v>0</v>
      </c>
      <c r="AL70" s="13">
        <v>0.1</v>
      </c>
      <c r="AM70" s="45">
        <v>0</v>
      </c>
      <c r="AN70" s="45">
        <v>0</v>
      </c>
      <c r="AO70" s="41"/>
      <c r="AP70" s="132"/>
      <c r="AQ70" s="11" t="s">
        <v>23</v>
      </c>
      <c r="AR70" s="45">
        <v>0</v>
      </c>
      <c r="AS70" s="45">
        <v>0</v>
      </c>
      <c r="AT70" s="45">
        <v>0</v>
      </c>
      <c r="AU70" s="45">
        <v>0</v>
      </c>
      <c r="AV70" s="41"/>
      <c r="AX70" s="46"/>
      <c r="AY70" s="46">
        <v>0</v>
      </c>
      <c r="AZ70" s="46"/>
      <c r="BB70" s="45">
        <v>0</v>
      </c>
      <c r="BC70" s="13">
        <v>0.125</v>
      </c>
      <c r="BD70" s="45">
        <v>0</v>
      </c>
      <c r="BE70" s="45">
        <v>0</v>
      </c>
    </row>
    <row r="71" spans="1:57" customFormat="1" ht="4.5" customHeight="1" x14ac:dyDescent="0.35">
      <c r="A71" s="6"/>
      <c r="B71" s="6"/>
      <c r="C71" s="6"/>
      <c r="D71" s="6"/>
      <c r="E71" s="6"/>
      <c r="F71" s="6"/>
      <c r="G71" s="6"/>
      <c r="H71" s="41"/>
      <c r="I71" s="6"/>
      <c r="J71" s="6"/>
      <c r="K71" s="6"/>
      <c r="L71" s="6"/>
      <c r="M71" s="41"/>
      <c r="N71" s="6"/>
      <c r="O71" s="6"/>
      <c r="P71" s="6"/>
      <c r="Q71" s="6"/>
      <c r="R71" s="41"/>
      <c r="S71" s="6"/>
      <c r="T71" s="6"/>
      <c r="U71" s="6"/>
      <c r="V71" s="6"/>
      <c r="W71" s="41"/>
      <c r="X71" s="6"/>
      <c r="Y71" s="6"/>
      <c r="Z71" s="41"/>
      <c r="AA71" s="6"/>
      <c r="AB71" s="6"/>
      <c r="AC71" s="6"/>
      <c r="AD71" s="6"/>
      <c r="AE71" s="41"/>
      <c r="AF71" s="6"/>
      <c r="AG71" s="6"/>
      <c r="AH71" s="6"/>
      <c r="AI71" s="6"/>
      <c r="AJ71" s="41"/>
      <c r="AK71" s="6"/>
      <c r="AL71" s="6"/>
      <c r="AM71" s="6"/>
      <c r="AN71" s="6"/>
      <c r="AO71" s="41"/>
      <c r="AP71" s="6"/>
      <c r="AQ71" s="6"/>
      <c r="AR71" s="6"/>
      <c r="AS71" s="6"/>
      <c r="AT71" s="6"/>
      <c r="AU71" s="6"/>
      <c r="AV71" s="41"/>
      <c r="BB71" s="6"/>
      <c r="BC71" s="6"/>
      <c r="BD71" s="6"/>
      <c r="BE71" s="6"/>
    </row>
    <row r="72" spans="1:57" ht="14.5" customHeight="1" x14ac:dyDescent="0.35">
      <c r="A72" s="6"/>
      <c r="B72" s="129" t="s">
        <v>11</v>
      </c>
      <c r="C72" s="11" t="s">
        <v>65</v>
      </c>
      <c r="D72" s="13">
        <v>0</v>
      </c>
      <c r="E72" s="13">
        <v>0</v>
      </c>
      <c r="F72" s="13">
        <v>0</v>
      </c>
      <c r="G72" s="45">
        <v>0</v>
      </c>
      <c r="H72" s="41"/>
      <c r="I72" s="13">
        <v>0</v>
      </c>
      <c r="J72" s="13">
        <v>0</v>
      </c>
      <c r="K72" s="13">
        <v>0</v>
      </c>
      <c r="L72" s="45">
        <v>0</v>
      </c>
      <c r="M72" s="41"/>
      <c r="N72" s="13">
        <v>0</v>
      </c>
      <c r="O72" s="13">
        <v>0</v>
      </c>
      <c r="P72" s="13">
        <v>0</v>
      </c>
      <c r="Q72" s="45">
        <v>0</v>
      </c>
      <c r="R72" s="41"/>
      <c r="S72" s="13">
        <v>0</v>
      </c>
      <c r="T72" s="13">
        <v>0</v>
      </c>
      <c r="U72" s="13">
        <v>0</v>
      </c>
      <c r="V72" s="45">
        <v>0</v>
      </c>
      <c r="W72" s="41"/>
      <c r="X72" s="13">
        <v>0</v>
      </c>
      <c r="Y72" s="13">
        <v>0</v>
      </c>
      <c r="Z72" s="41"/>
      <c r="AA72" s="45">
        <v>0</v>
      </c>
      <c r="AB72" s="45">
        <v>0</v>
      </c>
      <c r="AC72" s="45">
        <v>0</v>
      </c>
      <c r="AD72" s="45">
        <v>0</v>
      </c>
      <c r="AE72" s="41"/>
      <c r="AF72" s="13">
        <v>0</v>
      </c>
      <c r="AG72" s="13">
        <v>0</v>
      </c>
      <c r="AH72" s="13">
        <v>0</v>
      </c>
      <c r="AI72" s="45">
        <v>0</v>
      </c>
      <c r="AJ72" s="41"/>
      <c r="AK72" s="13">
        <v>0</v>
      </c>
      <c r="AL72" s="13">
        <v>0</v>
      </c>
      <c r="AM72" s="45">
        <v>0</v>
      </c>
      <c r="AN72" s="45">
        <v>0</v>
      </c>
      <c r="AO72" s="41"/>
      <c r="AP72" s="129" t="s">
        <v>11</v>
      </c>
      <c r="AQ72" s="11" t="s">
        <v>65</v>
      </c>
      <c r="AR72" s="45">
        <v>0</v>
      </c>
      <c r="AS72" s="45">
        <v>0</v>
      </c>
      <c r="AT72" s="45">
        <v>0</v>
      </c>
      <c r="AU72" s="45">
        <v>0</v>
      </c>
      <c r="AV72" s="41"/>
      <c r="AX72" s="46">
        <v>0</v>
      </c>
      <c r="AY72" s="46">
        <v>0</v>
      </c>
      <c r="AZ72" s="46">
        <v>0</v>
      </c>
      <c r="BB72" s="13">
        <v>0</v>
      </c>
      <c r="BC72" s="13">
        <v>0</v>
      </c>
      <c r="BD72" s="13">
        <v>0</v>
      </c>
      <c r="BE72" s="45">
        <v>0</v>
      </c>
    </row>
    <row r="73" spans="1:57" ht="14.5" customHeight="1" x14ac:dyDescent="0.35">
      <c r="A73" s="6"/>
      <c r="B73" s="130"/>
      <c r="C73" s="11" t="s">
        <v>66</v>
      </c>
      <c r="D73" s="13">
        <v>0</v>
      </c>
      <c r="E73" s="13">
        <v>0</v>
      </c>
      <c r="F73" s="13">
        <v>0</v>
      </c>
      <c r="G73" s="13">
        <v>0</v>
      </c>
      <c r="H73" s="41"/>
      <c r="I73" s="13">
        <v>0</v>
      </c>
      <c r="J73" s="13">
        <v>0</v>
      </c>
      <c r="K73" s="13">
        <v>0</v>
      </c>
      <c r="L73" s="13">
        <v>0</v>
      </c>
      <c r="M73" s="41"/>
      <c r="N73" s="13">
        <v>0</v>
      </c>
      <c r="O73" s="13">
        <v>0</v>
      </c>
      <c r="P73" s="13">
        <v>0</v>
      </c>
      <c r="Q73" s="13">
        <v>0</v>
      </c>
      <c r="R73" s="41"/>
      <c r="S73" s="13">
        <v>0</v>
      </c>
      <c r="T73" s="13">
        <v>0</v>
      </c>
      <c r="U73" s="13">
        <v>0</v>
      </c>
      <c r="V73" s="13">
        <v>0</v>
      </c>
      <c r="W73" s="41"/>
      <c r="X73" s="13">
        <v>0</v>
      </c>
      <c r="Y73" s="13">
        <v>0</v>
      </c>
      <c r="Z73" s="41"/>
      <c r="AA73" s="45">
        <v>0</v>
      </c>
      <c r="AB73" s="45">
        <v>0</v>
      </c>
      <c r="AC73" s="45">
        <v>0</v>
      </c>
      <c r="AD73" s="13">
        <v>0</v>
      </c>
      <c r="AE73" s="41"/>
      <c r="AF73" s="13">
        <v>0</v>
      </c>
      <c r="AG73" s="13">
        <v>0</v>
      </c>
      <c r="AH73" s="13">
        <v>0</v>
      </c>
      <c r="AI73" s="13">
        <v>0</v>
      </c>
      <c r="AJ73" s="41"/>
      <c r="AK73" s="13">
        <v>0</v>
      </c>
      <c r="AL73" s="13">
        <v>0</v>
      </c>
      <c r="AM73" s="13">
        <v>0</v>
      </c>
      <c r="AN73" s="13">
        <v>0</v>
      </c>
      <c r="AO73" s="41"/>
      <c r="AP73" s="130"/>
      <c r="AQ73" s="11" t="s">
        <v>66</v>
      </c>
      <c r="AR73" s="13">
        <v>0</v>
      </c>
      <c r="AS73" s="13">
        <v>0</v>
      </c>
      <c r="AT73" s="45">
        <v>0</v>
      </c>
      <c r="AU73" s="45">
        <v>0</v>
      </c>
      <c r="AV73" s="41"/>
      <c r="AX73" s="46"/>
      <c r="AY73" s="46"/>
      <c r="AZ73" s="46"/>
      <c r="BB73" s="13"/>
      <c r="BC73" s="13"/>
      <c r="BD73" s="13"/>
      <c r="BE73" s="45"/>
    </row>
    <row r="74" spans="1:57" ht="14.5" customHeight="1" x14ac:dyDescent="0.35">
      <c r="A74" s="6"/>
      <c r="B74" s="130"/>
      <c r="C74" s="11" t="s">
        <v>67</v>
      </c>
      <c r="D74" s="13">
        <v>0</v>
      </c>
      <c r="E74" s="13">
        <v>0</v>
      </c>
      <c r="F74" s="13">
        <v>0</v>
      </c>
      <c r="G74" s="13">
        <v>0</v>
      </c>
      <c r="H74" s="41"/>
      <c r="I74" s="13">
        <v>0</v>
      </c>
      <c r="J74" s="13">
        <v>0</v>
      </c>
      <c r="K74" s="13">
        <v>0</v>
      </c>
      <c r="L74" s="13">
        <v>0</v>
      </c>
      <c r="M74" s="41"/>
      <c r="N74" s="13">
        <v>0</v>
      </c>
      <c r="O74" s="13">
        <v>0</v>
      </c>
      <c r="P74" s="13">
        <v>0</v>
      </c>
      <c r="Q74" s="13">
        <v>0</v>
      </c>
      <c r="R74" s="41"/>
      <c r="S74" s="13">
        <v>0</v>
      </c>
      <c r="T74" s="13">
        <v>0</v>
      </c>
      <c r="U74" s="13">
        <v>0</v>
      </c>
      <c r="V74" s="13">
        <v>0</v>
      </c>
      <c r="W74" s="41"/>
      <c r="X74" s="13">
        <v>0</v>
      </c>
      <c r="Y74" s="13">
        <v>0</v>
      </c>
      <c r="Z74" s="41"/>
      <c r="AA74" s="45">
        <v>0</v>
      </c>
      <c r="AB74" s="45">
        <v>0</v>
      </c>
      <c r="AC74" s="45">
        <v>0</v>
      </c>
      <c r="AD74" s="13">
        <v>0</v>
      </c>
      <c r="AE74" s="41"/>
      <c r="AF74" s="13">
        <v>0</v>
      </c>
      <c r="AG74" s="13">
        <v>0</v>
      </c>
      <c r="AH74" s="13">
        <v>0</v>
      </c>
      <c r="AI74" s="13">
        <v>0</v>
      </c>
      <c r="AJ74" s="41"/>
      <c r="AK74" s="13">
        <v>0</v>
      </c>
      <c r="AL74" s="13">
        <v>0</v>
      </c>
      <c r="AM74" s="13">
        <v>0</v>
      </c>
      <c r="AN74" s="13">
        <v>0</v>
      </c>
      <c r="AO74" s="41"/>
      <c r="AP74" s="130"/>
      <c r="AQ74" s="11" t="s">
        <v>67</v>
      </c>
      <c r="AR74" s="13">
        <v>0</v>
      </c>
      <c r="AS74" s="13">
        <v>0</v>
      </c>
      <c r="AT74" s="45">
        <v>0</v>
      </c>
      <c r="AU74" s="45">
        <v>0</v>
      </c>
      <c r="AV74" s="41"/>
      <c r="AX74" s="46"/>
      <c r="AY74" s="46"/>
      <c r="AZ74" s="46"/>
      <c r="BB74" s="13"/>
      <c r="BC74" s="13"/>
      <c r="BD74" s="13"/>
      <c r="BE74" s="45"/>
    </row>
    <row r="75" spans="1:57" ht="18.5" x14ac:dyDescent="0.35">
      <c r="A75" s="6"/>
      <c r="B75" s="131"/>
      <c r="C75" s="11" t="s">
        <v>69</v>
      </c>
      <c r="D75" s="13">
        <v>0</v>
      </c>
      <c r="E75" s="13">
        <v>0</v>
      </c>
      <c r="F75" s="13">
        <v>0</v>
      </c>
      <c r="G75" s="45">
        <v>0</v>
      </c>
      <c r="H75" s="41"/>
      <c r="I75" s="13">
        <v>0</v>
      </c>
      <c r="J75" s="13">
        <v>0</v>
      </c>
      <c r="K75" s="13">
        <v>0</v>
      </c>
      <c r="L75" s="45">
        <v>0</v>
      </c>
      <c r="M75" s="41"/>
      <c r="N75" s="13">
        <v>0</v>
      </c>
      <c r="O75" s="13">
        <v>0</v>
      </c>
      <c r="P75" s="13">
        <v>0</v>
      </c>
      <c r="Q75" s="45">
        <v>0</v>
      </c>
      <c r="R75" s="41"/>
      <c r="S75" s="13">
        <v>0</v>
      </c>
      <c r="T75" s="13">
        <v>0</v>
      </c>
      <c r="U75" s="13">
        <v>0</v>
      </c>
      <c r="V75" s="45">
        <v>0</v>
      </c>
      <c r="W75" s="41"/>
      <c r="X75" s="13">
        <v>0</v>
      </c>
      <c r="Y75" s="13">
        <v>0</v>
      </c>
      <c r="Z75" s="41"/>
      <c r="AA75" s="45">
        <v>0</v>
      </c>
      <c r="AB75" s="45">
        <v>0</v>
      </c>
      <c r="AC75" s="45">
        <v>0</v>
      </c>
      <c r="AD75" s="45">
        <v>0</v>
      </c>
      <c r="AE75" s="41"/>
      <c r="AF75" s="13">
        <v>0</v>
      </c>
      <c r="AG75" s="13">
        <v>0</v>
      </c>
      <c r="AH75" s="13">
        <v>0</v>
      </c>
      <c r="AI75" s="45">
        <v>0</v>
      </c>
      <c r="AJ75" s="41"/>
      <c r="AK75" s="13">
        <v>0</v>
      </c>
      <c r="AL75" s="13">
        <v>0</v>
      </c>
      <c r="AM75" s="45">
        <v>0</v>
      </c>
      <c r="AN75" s="45">
        <v>0</v>
      </c>
      <c r="AO75" s="41"/>
      <c r="AP75" s="131"/>
      <c r="AQ75" s="11" t="s">
        <v>69</v>
      </c>
      <c r="AR75" s="45">
        <v>0</v>
      </c>
      <c r="AS75" s="45">
        <v>0</v>
      </c>
      <c r="AT75" s="45">
        <v>0</v>
      </c>
      <c r="AU75" s="45">
        <v>0</v>
      </c>
      <c r="AV75" s="41"/>
      <c r="AX75" s="46">
        <v>0</v>
      </c>
      <c r="AY75" s="46">
        <v>0</v>
      </c>
      <c r="AZ75" s="46">
        <v>0</v>
      </c>
      <c r="BB75" s="13">
        <v>0</v>
      </c>
      <c r="BC75" s="13">
        <v>0</v>
      </c>
      <c r="BD75" s="13">
        <v>0</v>
      </c>
      <c r="BE75" s="45">
        <v>0</v>
      </c>
    </row>
    <row r="76" spans="1:57" ht="18.5" x14ac:dyDescent="0.35">
      <c r="A76" s="6"/>
      <c r="B76" s="132"/>
      <c r="C76" s="11" t="s">
        <v>23</v>
      </c>
      <c r="D76" s="13">
        <v>0</v>
      </c>
      <c r="E76" s="13">
        <v>0</v>
      </c>
      <c r="F76" s="13">
        <v>0</v>
      </c>
      <c r="G76" s="45">
        <v>0</v>
      </c>
      <c r="H76" s="41"/>
      <c r="I76" s="45">
        <v>0</v>
      </c>
      <c r="J76" s="45">
        <v>0</v>
      </c>
      <c r="K76" s="45">
        <v>0</v>
      </c>
      <c r="L76" s="45">
        <v>0</v>
      </c>
      <c r="M76" s="41"/>
      <c r="N76" s="45">
        <v>0</v>
      </c>
      <c r="O76" s="45">
        <v>0</v>
      </c>
      <c r="P76" s="45">
        <v>0</v>
      </c>
      <c r="Q76" s="45">
        <v>0</v>
      </c>
      <c r="R76" s="41"/>
      <c r="S76" s="45">
        <v>0</v>
      </c>
      <c r="T76" s="45">
        <v>0</v>
      </c>
      <c r="U76" s="45">
        <v>0</v>
      </c>
      <c r="V76" s="45">
        <v>0</v>
      </c>
      <c r="W76" s="41"/>
      <c r="X76" s="45">
        <v>0</v>
      </c>
      <c r="Y76" s="45">
        <v>0</v>
      </c>
      <c r="Z76" s="41"/>
      <c r="AA76" s="45">
        <v>0</v>
      </c>
      <c r="AB76" s="45">
        <v>0</v>
      </c>
      <c r="AC76" s="45">
        <v>0</v>
      </c>
      <c r="AD76" s="45">
        <v>0</v>
      </c>
      <c r="AE76" s="41"/>
      <c r="AF76" s="45">
        <v>0</v>
      </c>
      <c r="AG76" s="13">
        <v>0</v>
      </c>
      <c r="AH76" s="45">
        <v>0</v>
      </c>
      <c r="AI76" s="45">
        <v>0</v>
      </c>
      <c r="AJ76" s="41"/>
      <c r="AK76" s="45">
        <v>0</v>
      </c>
      <c r="AL76" s="45">
        <v>0</v>
      </c>
      <c r="AM76" s="45">
        <v>0</v>
      </c>
      <c r="AN76" s="45">
        <v>0</v>
      </c>
      <c r="AO76" s="41"/>
      <c r="AP76" s="132"/>
      <c r="AQ76" s="11" t="s">
        <v>23</v>
      </c>
      <c r="AR76" s="45">
        <v>0</v>
      </c>
      <c r="AS76" s="45">
        <v>0</v>
      </c>
      <c r="AT76" s="45">
        <v>0</v>
      </c>
      <c r="AU76" s="45">
        <v>0</v>
      </c>
      <c r="AV76" s="41"/>
      <c r="AX76" s="46"/>
      <c r="AY76" s="46" t="e">
        <v>#VALUE!</v>
      </c>
      <c r="AZ76" s="46"/>
      <c r="BB76" s="45">
        <v>0</v>
      </c>
      <c r="BC76" s="13">
        <v>7.4999999999999997E-2</v>
      </c>
      <c r="BD76" s="45">
        <v>0</v>
      </c>
      <c r="BE76" s="45">
        <v>0</v>
      </c>
    </row>
    <row r="77" spans="1:57" customFormat="1" ht="4.5" customHeight="1" x14ac:dyDescent="0.35">
      <c r="A77" s="6"/>
      <c r="B77" s="6"/>
      <c r="C77" s="6"/>
      <c r="D77" s="6"/>
      <c r="E77" s="6"/>
      <c r="F77" s="6"/>
      <c r="G77" s="6"/>
      <c r="H77" s="41"/>
      <c r="I77" s="6"/>
      <c r="J77" s="6"/>
      <c r="K77" s="6"/>
      <c r="L77" s="6"/>
      <c r="M77" s="41"/>
      <c r="N77" s="6"/>
      <c r="O77" s="6"/>
      <c r="P77" s="6"/>
      <c r="Q77" s="6"/>
      <c r="R77" s="41"/>
      <c r="S77" s="6"/>
      <c r="T77" s="6"/>
      <c r="U77" s="6"/>
      <c r="V77" s="6"/>
      <c r="W77" s="41"/>
      <c r="X77" s="6"/>
      <c r="Y77" s="6"/>
      <c r="Z77" s="41"/>
      <c r="AA77" s="6"/>
      <c r="AB77" s="6"/>
      <c r="AC77" s="6"/>
      <c r="AD77" s="6"/>
      <c r="AE77" s="41"/>
      <c r="AF77" s="6"/>
      <c r="AG77" s="6"/>
      <c r="AH77" s="6"/>
      <c r="AI77" s="6"/>
      <c r="AJ77" s="41"/>
      <c r="AK77" s="6"/>
      <c r="AL77" s="6"/>
      <c r="AM77" s="6"/>
      <c r="AN77" s="6"/>
      <c r="AO77" s="41"/>
      <c r="AP77" s="6"/>
      <c r="AQ77" s="6"/>
      <c r="AR77" s="6"/>
      <c r="AS77" s="6"/>
      <c r="AT77" s="6"/>
      <c r="AU77" s="6"/>
      <c r="AV77" s="41"/>
      <c r="BB77" s="6"/>
      <c r="BC77" s="6"/>
      <c r="BD77" s="6"/>
      <c r="BE77" s="6"/>
    </row>
    <row r="78" spans="1:57" ht="14.5" customHeight="1" x14ac:dyDescent="0.35">
      <c r="A78" s="6"/>
      <c r="B78" s="129" t="s">
        <v>9</v>
      </c>
      <c r="C78" s="11" t="s">
        <v>65</v>
      </c>
      <c r="D78" s="16">
        <v>0</v>
      </c>
      <c r="E78" s="13">
        <v>0.25</v>
      </c>
      <c r="F78" s="13">
        <v>0.25</v>
      </c>
      <c r="G78" s="45">
        <v>0</v>
      </c>
      <c r="H78" s="41"/>
      <c r="I78" s="13">
        <v>0</v>
      </c>
      <c r="J78" s="13">
        <v>0.42</v>
      </c>
      <c r="K78" s="13">
        <v>0</v>
      </c>
      <c r="L78" s="45">
        <v>0</v>
      </c>
      <c r="M78" s="41"/>
      <c r="N78" s="16">
        <v>0</v>
      </c>
      <c r="O78" s="13">
        <v>0.45</v>
      </c>
      <c r="P78" s="13">
        <v>0.45</v>
      </c>
      <c r="Q78" s="45">
        <v>0</v>
      </c>
      <c r="R78" s="41"/>
      <c r="S78" s="16">
        <v>0</v>
      </c>
      <c r="T78" s="13">
        <v>0.32</v>
      </c>
      <c r="U78" s="13">
        <v>7.4999999999999997E-2</v>
      </c>
      <c r="V78" s="45">
        <v>0</v>
      </c>
      <c r="W78" s="41"/>
      <c r="X78" s="16">
        <v>0</v>
      </c>
      <c r="Y78" s="13">
        <v>7.4999999999999997E-2</v>
      </c>
      <c r="Z78" s="41"/>
      <c r="AA78" s="13">
        <v>0</v>
      </c>
      <c r="AB78" s="13">
        <v>0.39499999999999996</v>
      </c>
      <c r="AC78" s="13">
        <v>0</v>
      </c>
      <c r="AD78" s="45">
        <v>0</v>
      </c>
      <c r="AE78" s="41"/>
      <c r="AF78" s="13">
        <v>0</v>
      </c>
      <c r="AG78" s="13">
        <v>7.5000000000000011E-2</v>
      </c>
      <c r="AH78" s="13">
        <v>0</v>
      </c>
      <c r="AI78" s="13">
        <v>0</v>
      </c>
      <c r="AJ78" s="41"/>
      <c r="AK78" s="16">
        <v>0</v>
      </c>
      <c r="AL78" s="13">
        <v>0.39499999999999996</v>
      </c>
      <c r="AM78" s="13">
        <v>0</v>
      </c>
      <c r="AN78" s="13">
        <v>0</v>
      </c>
      <c r="AO78" s="41"/>
      <c r="AP78" s="129" t="s">
        <v>9</v>
      </c>
      <c r="AQ78" s="11" t="s">
        <v>65</v>
      </c>
      <c r="AR78" s="13">
        <v>0.05</v>
      </c>
      <c r="AS78" s="13">
        <v>0.05</v>
      </c>
      <c r="AT78" s="45">
        <v>0</v>
      </c>
      <c r="AU78" s="45">
        <v>0</v>
      </c>
      <c r="AV78" s="41"/>
      <c r="AX78" s="46">
        <v>-0.15</v>
      </c>
      <c r="AY78" s="46">
        <v>-0.15</v>
      </c>
      <c r="AZ78" s="46">
        <v>-0.15</v>
      </c>
      <c r="BB78" s="13">
        <v>0.1</v>
      </c>
      <c r="BC78" s="13">
        <v>0.1</v>
      </c>
      <c r="BD78" s="13">
        <v>0.1</v>
      </c>
      <c r="BE78" s="45">
        <v>0</v>
      </c>
    </row>
    <row r="79" spans="1:57" ht="14.5" customHeight="1" x14ac:dyDescent="0.35">
      <c r="A79" s="6"/>
      <c r="B79" s="130"/>
      <c r="C79" s="11" t="s">
        <v>66</v>
      </c>
      <c r="D79" s="16">
        <v>0</v>
      </c>
      <c r="E79" s="13">
        <v>0.23</v>
      </c>
      <c r="F79" s="13">
        <v>0.23</v>
      </c>
      <c r="G79" s="13">
        <v>0</v>
      </c>
      <c r="H79" s="41"/>
      <c r="I79" s="13">
        <v>0</v>
      </c>
      <c r="J79" s="13">
        <v>0.37</v>
      </c>
      <c r="K79" s="13">
        <v>0</v>
      </c>
      <c r="L79" s="13">
        <v>0</v>
      </c>
      <c r="M79" s="41"/>
      <c r="N79" s="16">
        <v>0</v>
      </c>
      <c r="O79" s="13">
        <v>0.45</v>
      </c>
      <c r="P79" s="13">
        <v>0.45</v>
      </c>
      <c r="Q79" s="13">
        <v>0</v>
      </c>
      <c r="R79" s="41"/>
      <c r="S79" s="16">
        <v>0</v>
      </c>
      <c r="T79" s="13">
        <v>0.3</v>
      </c>
      <c r="U79" s="13">
        <v>0.06</v>
      </c>
      <c r="V79" s="13">
        <v>0</v>
      </c>
      <c r="W79" s="41"/>
      <c r="X79" s="16">
        <v>0</v>
      </c>
      <c r="Y79" s="13">
        <v>7.4999999999999997E-2</v>
      </c>
      <c r="Z79" s="41"/>
      <c r="AA79" s="13">
        <v>0</v>
      </c>
      <c r="AB79" s="13">
        <v>0.34499999999999997</v>
      </c>
      <c r="AC79" s="13">
        <v>0</v>
      </c>
      <c r="AD79" s="13">
        <v>0</v>
      </c>
      <c r="AE79" s="41"/>
      <c r="AF79" s="13">
        <v>0</v>
      </c>
      <c r="AG79" s="13">
        <v>7.5000000000000011E-2</v>
      </c>
      <c r="AH79" s="13">
        <v>0</v>
      </c>
      <c r="AI79" s="13">
        <v>0</v>
      </c>
      <c r="AJ79" s="41"/>
      <c r="AK79" s="16">
        <v>0</v>
      </c>
      <c r="AL79" s="13">
        <v>0.39499999999999996</v>
      </c>
      <c r="AM79" s="13">
        <v>0</v>
      </c>
      <c r="AN79" s="13">
        <v>0</v>
      </c>
      <c r="AO79" s="41"/>
      <c r="AP79" s="130"/>
      <c r="AQ79" s="11" t="s">
        <v>66</v>
      </c>
      <c r="AR79" s="13">
        <v>0.05</v>
      </c>
      <c r="AS79" s="13">
        <v>0.05</v>
      </c>
      <c r="AT79" s="45">
        <v>0</v>
      </c>
      <c r="AU79" s="45">
        <v>0</v>
      </c>
      <c r="AV79" s="41"/>
      <c r="AX79" s="46"/>
      <c r="AY79" s="46"/>
      <c r="AZ79" s="46"/>
      <c r="BB79" s="13"/>
      <c r="BC79" s="13"/>
      <c r="BD79" s="13"/>
      <c r="BE79" s="45"/>
    </row>
    <row r="80" spans="1:57" ht="14.5" customHeight="1" x14ac:dyDescent="0.35">
      <c r="A80" s="6"/>
      <c r="B80" s="130"/>
      <c r="C80" s="11" t="s">
        <v>67</v>
      </c>
      <c r="D80" s="16">
        <v>0</v>
      </c>
      <c r="E80" s="13">
        <v>0.21000000000000002</v>
      </c>
      <c r="F80" s="13">
        <v>0.21000000000000002</v>
      </c>
      <c r="G80" s="13">
        <v>0</v>
      </c>
      <c r="H80" s="41"/>
      <c r="I80" s="13">
        <v>0</v>
      </c>
      <c r="J80" s="13">
        <v>0.32</v>
      </c>
      <c r="K80" s="13">
        <v>0</v>
      </c>
      <c r="L80" s="13">
        <v>0</v>
      </c>
      <c r="M80" s="41"/>
      <c r="N80" s="16">
        <v>0</v>
      </c>
      <c r="O80" s="13">
        <v>0.4</v>
      </c>
      <c r="P80" s="13">
        <v>0.4</v>
      </c>
      <c r="Q80" s="13">
        <v>0</v>
      </c>
      <c r="R80" s="41"/>
      <c r="S80" s="16">
        <v>0</v>
      </c>
      <c r="T80" s="13">
        <v>0.27999999999999997</v>
      </c>
      <c r="U80" s="13">
        <v>0.06</v>
      </c>
      <c r="V80" s="13">
        <v>0</v>
      </c>
      <c r="W80" s="41"/>
      <c r="X80" s="16">
        <v>0</v>
      </c>
      <c r="Y80" s="13">
        <v>7.4999999999999997E-2</v>
      </c>
      <c r="Z80" s="41"/>
      <c r="AA80" s="13">
        <v>0</v>
      </c>
      <c r="AB80" s="13">
        <v>0.29499999999999998</v>
      </c>
      <c r="AC80" s="13">
        <v>0</v>
      </c>
      <c r="AD80" s="13">
        <v>0</v>
      </c>
      <c r="AE80" s="41"/>
      <c r="AF80" s="13">
        <v>0</v>
      </c>
      <c r="AG80" s="13">
        <v>7.5000000000000011E-2</v>
      </c>
      <c r="AH80" s="13">
        <v>0</v>
      </c>
      <c r="AI80" s="13">
        <v>0</v>
      </c>
      <c r="AJ80" s="41"/>
      <c r="AK80" s="16">
        <v>0</v>
      </c>
      <c r="AL80" s="13">
        <v>0.39499999999999996</v>
      </c>
      <c r="AM80" s="13">
        <v>0</v>
      </c>
      <c r="AN80" s="13">
        <v>0</v>
      </c>
      <c r="AO80" s="41"/>
      <c r="AP80" s="130"/>
      <c r="AQ80" s="11" t="s">
        <v>67</v>
      </c>
      <c r="AR80" s="13">
        <v>0.05</v>
      </c>
      <c r="AS80" s="13">
        <v>0.05</v>
      </c>
      <c r="AT80" s="45">
        <v>0</v>
      </c>
      <c r="AU80" s="45">
        <v>0</v>
      </c>
      <c r="AV80" s="41"/>
      <c r="AX80" s="46"/>
      <c r="AY80" s="46"/>
      <c r="AZ80" s="46"/>
      <c r="BB80" s="13"/>
      <c r="BC80" s="13"/>
      <c r="BD80" s="13"/>
      <c r="BE80" s="45"/>
    </row>
    <row r="81" spans="1:57" ht="18.5" x14ac:dyDescent="0.35">
      <c r="A81" s="6"/>
      <c r="B81" s="131"/>
      <c r="C81" s="11" t="s">
        <v>69</v>
      </c>
      <c r="D81" s="16">
        <v>0</v>
      </c>
      <c r="E81" s="13">
        <v>0.25</v>
      </c>
      <c r="F81" s="13">
        <v>7.4999999999999997E-2</v>
      </c>
      <c r="G81" s="45">
        <v>0</v>
      </c>
      <c r="H81" s="41"/>
      <c r="I81" s="13">
        <v>0</v>
      </c>
      <c r="J81" s="13">
        <v>0.25</v>
      </c>
      <c r="K81" s="13">
        <v>0</v>
      </c>
      <c r="L81" s="45">
        <v>0</v>
      </c>
      <c r="M81" s="41"/>
      <c r="N81" s="13">
        <v>0</v>
      </c>
      <c r="O81" s="13">
        <v>0.25</v>
      </c>
      <c r="P81" s="13">
        <v>0</v>
      </c>
      <c r="Q81" s="45">
        <v>0</v>
      </c>
      <c r="R81" s="41"/>
      <c r="S81" s="16">
        <v>0</v>
      </c>
      <c r="T81" s="13">
        <v>0.25</v>
      </c>
      <c r="U81" s="13">
        <v>7.4999999999999997E-2</v>
      </c>
      <c r="V81" s="45">
        <v>0</v>
      </c>
      <c r="W81" s="41"/>
      <c r="X81" s="16">
        <v>0</v>
      </c>
      <c r="Y81" s="13">
        <v>7.4999999999999997E-2</v>
      </c>
      <c r="Z81" s="41"/>
      <c r="AA81" s="13">
        <v>0</v>
      </c>
      <c r="AB81" s="13">
        <v>0.22500000000000001</v>
      </c>
      <c r="AC81" s="13">
        <v>0</v>
      </c>
      <c r="AD81" s="45">
        <v>0</v>
      </c>
      <c r="AE81" s="41"/>
      <c r="AF81" s="13">
        <v>0</v>
      </c>
      <c r="AG81" s="13">
        <v>0.22500000000000001</v>
      </c>
      <c r="AH81" s="13">
        <v>0</v>
      </c>
      <c r="AI81" s="13">
        <v>0</v>
      </c>
      <c r="AJ81" s="41"/>
      <c r="AK81" s="16">
        <v>0</v>
      </c>
      <c r="AL81" s="13">
        <v>0.22500000000000001</v>
      </c>
      <c r="AM81" s="13">
        <v>0</v>
      </c>
      <c r="AN81" s="13">
        <v>0</v>
      </c>
      <c r="AO81" s="41"/>
      <c r="AP81" s="131"/>
      <c r="AQ81" s="11" t="s">
        <v>69</v>
      </c>
      <c r="AR81" s="45">
        <v>0</v>
      </c>
      <c r="AS81" s="45">
        <v>0</v>
      </c>
      <c r="AT81" s="45">
        <v>0</v>
      </c>
      <c r="AU81" s="45">
        <v>0</v>
      </c>
      <c r="AV81" s="41"/>
      <c r="AX81" s="46">
        <v>0</v>
      </c>
      <c r="AY81" s="46">
        <v>0</v>
      </c>
      <c r="AZ81" s="46">
        <v>0</v>
      </c>
      <c r="BB81" s="13">
        <v>0.1</v>
      </c>
      <c r="BC81" s="13">
        <v>0.1</v>
      </c>
      <c r="BD81" s="13">
        <v>0.1</v>
      </c>
      <c r="BE81" s="45">
        <v>0</v>
      </c>
    </row>
    <row r="82" spans="1:57" ht="18.5" x14ac:dyDescent="0.35">
      <c r="A82" s="6"/>
      <c r="B82" s="132"/>
      <c r="C82" s="11" t="s">
        <v>23</v>
      </c>
      <c r="D82" s="13">
        <v>0</v>
      </c>
      <c r="E82" s="13">
        <v>7.4999999999999997E-2</v>
      </c>
      <c r="F82" s="13">
        <v>0</v>
      </c>
      <c r="G82" s="45">
        <v>0</v>
      </c>
      <c r="H82" s="41"/>
      <c r="I82" s="13">
        <v>0</v>
      </c>
      <c r="J82" s="13">
        <v>7.4999999999999997E-2</v>
      </c>
      <c r="K82" s="13">
        <v>0</v>
      </c>
      <c r="L82" s="45">
        <v>0</v>
      </c>
      <c r="M82" s="41"/>
      <c r="N82" s="13">
        <v>0</v>
      </c>
      <c r="O82" s="13">
        <v>7.4999999999999997E-2</v>
      </c>
      <c r="P82" s="13">
        <v>0</v>
      </c>
      <c r="Q82" s="45">
        <v>0</v>
      </c>
      <c r="R82" s="41"/>
      <c r="S82" s="13">
        <v>0</v>
      </c>
      <c r="T82" s="13">
        <v>7.4999999999999997E-2</v>
      </c>
      <c r="U82" s="13">
        <v>0</v>
      </c>
      <c r="V82" s="45">
        <v>0</v>
      </c>
      <c r="W82" s="41"/>
      <c r="X82" s="45">
        <v>0</v>
      </c>
      <c r="Y82" s="45">
        <v>0</v>
      </c>
      <c r="Z82" s="41"/>
      <c r="AA82" s="13">
        <v>0</v>
      </c>
      <c r="AB82" s="13">
        <v>4.9999999999999996E-2</v>
      </c>
      <c r="AC82" s="13">
        <v>0</v>
      </c>
      <c r="AD82" s="45">
        <v>0</v>
      </c>
      <c r="AE82" s="41"/>
      <c r="AF82" s="13">
        <v>0</v>
      </c>
      <c r="AG82" s="13">
        <v>4.9999999999999996E-2</v>
      </c>
      <c r="AH82" s="13">
        <v>0</v>
      </c>
      <c r="AI82" s="13">
        <v>0</v>
      </c>
      <c r="AJ82" s="41"/>
      <c r="AK82" s="13">
        <v>0</v>
      </c>
      <c r="AL82" s="13">
        <v>4.9999999999999996E-2</v>
      </c>
      <c r="AM82" s="13">
        <v>0</v>
      </c>
      <c r="AN82" s="13">
        <v>0</v>
      </c>
      <c r="AO82" s="41"/>
      <c r="AP82" s="132"/>
      <c r="AQ82" s="11" t="s">
        <v>23</v>
      </c>
      <c r="AR82" s="45">
        <v>0</v>
      </c>
      <c r="AS82" s="45">
        <v>0</v>
      </c>
      <c r="AT82" s="45">
        <v>0</v>
      </c>
      <c r="AU82" s="45">
        <v>0</v>
      </c>
      <c r="AV82" s="41"/>
      <c r="AX82" s="46"/>
      <c r="AY82" s="46">
        <v>0</v>
      </c>
      <c r="AZ82" s="46"/>
      <c r="BB82" s="45">
        <v>0</v>
      </c>
      <c r="BC82" s="13">
        <v>7.4999999999999997E-2</v>
      </c>
      <c r="BD82" s="45">
        <v>0</v>
      </c>
      <c r="BE82" s="45">
        <v>0</v>
      </c>
    </row>
    <row r="83" spans="1:57" customFormat="1" ht="4.5" customHeight="1" x14ac:dyDescent="0.35">
      <c r="A83" s="6"/>
      <c r="B83" s="6"/>
      <c r="C83" s="6"/>
      <c r="D83" s="6"/>
      <c r="E83" s="6"/>
      <c r="F83" s="6"/>
      <c r="G83" s="6"/>
      <c r="H83" s="41"/>
      <c r="I83" s="6"/>
      <c r="J83" s="6"/>
      <c r="K83" s="6"/>
      <c r="L83" s="6"/>
      <c r="M83" s="41"/>
      <c r="N83" s="6"/>
      <c r="O83" s="6"/>
      <c r="P83" s="6"/>
      <c r="Q83" s="6"/>
      <c r="R83" s="41"/>
      <c r="S83" s="6"/>
      <c r="T83" s="6"/>
      <c r="U83" s="6"/>
      <c r="V83" s="6"/>
      <c r="W83" s="41"/>
      <c r="X83" s="6"/>
      <c r="Y83" s="6"/>
      <c r="Z83" s="41"/>
      <c r="AA83" s="6"/>
      <c r="AB83" s="6"/>
      <c r="AC83" s="6"/>
      <c r="AD83" s="6"/>
      <c r="AE83" s="41"/>
      <c r="AF83" s="6"/>
      <c r="AG83" s="6"/>
      <c r="AH83" s="6"/>
      <c r="AI83" s="6"/>
      <c r="AJ83" s="41"/>
      <c r="AK83" s="6"/>
      <c r="AL83" s="6"/>
      <c r="AM83" s="6"/>
      <c r="AN83" s="6"/>
      <c r="AO83" s="41"/>
      <c r="AP83" s="6"/>
      <c r="AQ83" s="6"/>
      <c r="AR83" s="6"/>
      <c r="AS83" s="6"/>
      <c r="AT83" s="6"/>
      <c r="AU83" s="6"/>
      <c r="AV83" s="41"/>
      <c r="BB83" s="6"/>
      <c r="BC83" s="6"/>
      <c r="BD83" s="6"/>
      <c r="BE83" s="6"/>
    </row>
    <row r="84" spans="1:57" ht="14.5" customHeight="1" x14ac:dyDescent="0.35">
      <c r="A84" s="6"/>
      <c r="B84" s="129" t="s">
        <v>10</v>
      </c>
      <c r="C84" s="11" t="s">
        <v>65</v>
      </c>
      <c r="D84" s="13">
        <v>0.35</v>
      </c>
      <c r="E84" s="13">
        <v>0.35</v>
      </c>
      <c r="F84" s="13">
        <v>0.35</v>
      </c>
      <c r="G84" s="45">
        <v>0</v>
      </c>
      <c r="H84" s="41"/>
      <c r="I84" s="13">
        <v>0.35</v>
      </c>
      <c r="J84" s="13">
        <v>0.5</v>
      </c>
      <c r="K84" s="13">
        <v>0.3</v>
      </c>
      <c r="L84" s="45">
        <v>0</v>
      </c>
      <c r="M84" s="41"/>
      <c r="N84" s="13">
        <v>0.45</v>
      </c>
      <c r="O84" s="13">
        <v>0.45</v>
      </c>
      <c r="P84" s="13">
        <v>0.45</v>
      </c>
      <c r="Q84" s="45">
        <v>0</v>
      </c>
      <c r="R84" s="41"/>
      <c r="S84" s="13">
        <v>0.15</v>
      </c>
      <c r="T84" s="13">
        <v>0.2</v>
      </c>
      <c r="U84" s="13">
        <v>0.15</v>
      </c>
      <c r="V84" s="45">
        <v>0</v>
      </c>
      <c r="W84" s="41"/>
      <c r="X84" s="13">
        <v>0.2</v>
      </c>
      <c r="Y84" s="13">
        <v>0.2</v>
      </c>
      <c r="Z84" s="41"/>
      <c r="AA84" s="13">
        <v>0.35000000000000003</v>
      </c>
      <c r="AB84" s="13">
        <v>0.47499999999999998</v>
      </c>
      <c r="AC84" s="13">
        <v>0.35000000000000003</v>
      </c>
      <c r="AD84" s="45">
        <v>0</v>
      </c>
      <c r="AE84" s="41"/>
      <c r="AF84" s="13">
        <v>2.4999999999999994E-2</v>
      </c>
      <c r="AG84" s="13">
        <v>0.32499999999999996</v>
      </c>
      <c r="AH84" s="13">
        <v>2.4999999999999994E-2</v>
      </c>
      <c r="AI84" s="45">
        <v>0</v>
      </c>
      <c r="AJ84" s="41"/>
      <c r="AK84" s="13">
        <v>2.4999999999999994E-2</v>
      </c>
      <c r="AL84" s="13">
        <v>0.39499999999999996</v>
      </c>
      <c r="AM84" s="45">
        <v>0</v>
      </c>
      <c r="AN84" s="45">
        <v>0</v>
      </c>
      <c r="AO84" s="41"/>
      <c r="AP84" s="129" t="s">
        <v>10</v>
      </c>
      <c r="AQ84" s="11" t="s">
        <v>65</v>
      </c>
      <c r="AR84" s="13">
        <v>2.4999999999999994E-2</v>
      </c>
      <c r="AS84" s="13">
        <v>0.3</v>
      </c>
      <c r="AT84" s="45">
        <v>0</v>
      </c>
      <c r="AU84" s="45">
        <v>0</v>
      </c>
      <c r="AV84" s="41"/>
      <c r="AX84" s="46">
        <v>-0.27499999999999997</v>
      </c>
      <c r="AY84" s="46">
        <v>0</v>
      </c>
      <c r="AZ84" s="46">
        <v>-0.27499999999999997</v>
      </c>
      <c r="BB84" s="13">
        <v>7.4999999999999997E-2</v>
      </c>
      <c r="BC84" s="13">
        <v>0.35</v>
      </c>
      <c r="BD84" s="13">
        <v>7.4999999999999997E-2</v>
      </c>
      <c r="BE84" s="45">
        <v>0</v>
      </c>
    </row>
    <row r="85" spans="1:57" ht="14.5" customHeight="1" x14ac:dyDescent="0.35">
      <c r="A85" s="6"/>
      <c r="B85" s="130"/>
      <c r="C85" s="11" t="s">
        <v>66</v>
      </c>
      <c r="D85" s="13">
        <v>0.32999999999999996</v>
      </c>
      <c r="E85" s="13">
        <v>0.32999999999999996</v>
      </c>
      <c r="F85" s="13">
        <v>0.32999999999999996</v>
      </c>
      <c r="G85" s="13">
        <v>0</v>
      </c>
      <c r="H85" s="41"/>
      <c r="I85" s="13">
        <v>0.3</v>
      </c>
      <c r="J85" s="13">
        <v>0.4</v>
      </c>
      <c r="K85" s="13">
        <v>0.3</v>
      </c>
      <c r="L85" s="13">
        <v>0</v>
      </c>
      <c r="M85" s="41"/>
      <c r="N85" s="13">
        <v>0.45</v>
      </c>
      <c r="O85" s="13">
        <v>0.45</v>
      </c>
      <c r="P85" s="13">
        <v>0.45</v>
      </c>
      <c r="Q85" s="13">
        <v>0</v>
      </c>
      <c r="R85" s="41"/>
      <c r="S85" s="13">
        <v>0.13</v>
      </c>
      <c r="T85" s="13">
        <v>0.18000000000000002</v>
      </c>
      <c r="U85" s="13">
        <v>0.13</v>
      </c>
      <c r="V85" s="13">
        <v>0</v>
      </c>
      <c r="W85" s="41"/>
      <c r="X85" s="13">
        <v>0.18000000000000002</v>
      </c>
      <c r="Y85" s="13">
        <v>0.18000000000000002</v>
      </c>
      <c r="Z85" s="41"/>
      <c r="AA85" s="13">
        <v>0.3</v>
      </c>
      <c r="AB85" s="13">
        <v>0.375</v>
      </c>
      <c r="AC85" s="13">
        <v>0.3</v>
      </c>
      <c r="AD85" s="13">
        <v>0</v>
      </c>
      <c r="AE85" s="41"/>
      <c r="AF85" s="13">
        <v>9.999999999999995E-3</v>
      </c>
      <c r="AG85" s="13">
        <v>0.30499999999999994</v>
      </c>
      <c r="AH85" s="13">
        <v>9.999999999999995E-3</v>
      </c>
      <c r="AI85" s="13">
        <v>0</v>
      </c>
      <c r="AJ85" s="41"/>
      <c r="AK85" s="13">
        <v>2.4999999999999994E-2</v>
      </c>
      <c r="AL85" s="13">
        <v>0.39499999999999996</v>
      </c>
      <c r="AM85" s="13">
        <v>0</v>
      </c>
      <c r="AN85" s="13">
        <v>0</v>
      </c>
      <c r="AO85" s="41"/>
      <c r="AP85" s="130"/>
      <c r="AQ85" s="11" t="s">
        <v>66</v>
      </c>
      <c r="AR85" s="13">
        <v>2.4999999999999994E-2</v>
      </c>
      <c r="AS85" s="13">
        <v>0.3</v>
      </c>
      <c r="AT85" s="45">
        <v>0</v>
      </c>
      <c r="AU85" s="45">
        <v>0</v>
      </c>
      <c r="AV85" s="41"/>
      <c r="AX85" s="46"/>
      <c r="AY85" s="46"/>
      <c r="AZ85" s="46"/>
      <c r="BB85" s="13"/>
      <c r="BC85" s="13"/>
      <c r="BD85" s="13"/>
      <c r="BE85" s="45"/>
    </row>
    <row r="86" spans="1:57" ht="14.5" customHeight="1" x14ac:dyDescent="0.35">
      <c r="A86" s="6"/>
      <c r="B86" s="130"/>
      <c r="C86" s="11" t="s">
        <v>67</v>
      </c>
      <c r="D86" s="13">
        <v>0.30999999999999994</v>
      </c>
      <c r="E86" s="13">
        <v>0.30999999999999994</v>
      </c>
      <c r="F86" s="13">
        <v>0.30999999999999994</v>
      </c>
      <c r="G86" s="13">
        <v>0</v>
      </c>
      <c r="H86" s="41"/>
      <c r="I86" s="13">
        <v>0.27</v>
      </c>
      <c r="J86" s="13">
        <v>0.37</v>
      </c>
      <c r="K86" s="13">
        <v>0.27</v>
      </c>
      <c r="L86" s="13">
        <v>0</v>
      </c>
      <c r="M86" s="41"/>
      <c r="N86" s="13">
        <v>0.4</v>
      </c>
      <c r="O86" s="13">
        <v>0.4</v>
      </c>
      <c r="P86" s="13">
        <v>0.4</v>
      </c>
      <c r="Q86" s="13">
        <v>0</v>
      </c>
      <c r="R86" s="41"/>
      <c r="S86" s="13">
        <v>0.11</v>
      </c>
      <c r="T86" s="13">
        <v>0.16000000000000003</v>
      </c>
      <c r="U86" s="13">
        <v>0.11</v>
      </c>
      <c r="V86" s="13">
        <v>0</v>
      </c>
      <c r="W86" s="41"/>
      <c r="X86" s="13">
        <v>0.16000000000000003</v>
      </c>
      <c r="Y86" s="13">
        <v>0.16000000000000003</v>
      </c>
      <c r="Z86" s="41"/>
      <c r="AA86" s="13">
        <v>0.23000000000000004</v>
      </c>
      <c r="AB86" s="13">
        <v>0.34499999999999997</v>
      </c>
      <c r="AC86" s="13">
        <v>0.23000000000000004</v>
      </c>
      <c r="AD86" s="13">
        <v>0</v>
      </c>
      <c r="AE86" s="41"/>
      <c r="AF86" s="13">
        <v>9.999999999999995E-3</v>
      </c>
      <c r="AG86" s="13">
        <v>0.28499999999999992</v>
      </c>
      <c r="AH86" s="13">
        <v>9.999999999999995E-3</v>
      </c>
      <c r="AI86" s="13">
        <v>0</v>
      </c>
      <c r="AJ86" s="41"/>
      <c r="AK86" s="13">
        <v>2.4999999999999994E-2</v>
      </c>
      <c r="AL86" s="13">
        <v>0.39499999999999996</v>
      </c>
      <c r="AM86" s="13">
        <v>0</v>
      </c>
      <c r="AN86" s="13">
        <v>0</v>
      </c>
      <c r="AO86" s="41"/>
      <c r="AP86" s="130"/>
      <c r="AQ86" s="11" t="s">
        <v>67</v>
      </c>
      <c r="AR86" s="13">
        <v>2.4999999999999994E-2</v>
      </c>
      <c r="AS86" s="13">
        <v>0.3</v>
      </c>
      <c r="AT86" s="45">
        <v>0</v>
      </c>
      <c r="AU86" s="45">
        <v>0</v>
      </c>
      <c r="AV86" s="41"/>
      <c r="AX86" s="46"/>
      <c r="AY86" s="46"/>
      <c r="AZ86" s="46"/>
      <c r="BB86" s="13"/>
      <c r="BC86" s="13"/>
      <c r="BD86" s="13"/>
      <c r="BE86" s="45"/>
    </row>
    <row r="87" spans="1:57" ht="18.5" x14ac:dyDescent="0.35">
      <c r="A87" s="6"/>
      <c r="B87" s="131"/>
      <c r="C87" s="11" t="s">
        <v>69</v>
      </c>
      <c r="D87" s="16">
        <v>0</v>
      </c>
      <c r="E87" s="13">
        <v>0.4</v>
      </c>
      <c r="F87" s="16">
        <v>0</v>
      </c>
      <c r="G87" s="45">
        <v>0</v>
      </c>
      <c r="H87" s="41"/>
      <c r="I87" s="16">
        <v>0</v>
      </c>
      <c r="J87" s="13">
        <v>0.4</v>
      </c>
      <c r="K87" s="16">
        <v>0</v>
      </c>
      <c r="L87" s="45">
        <v>0</v>
      </c>
      <c r="M87" s="41"/>
      <c r="N87" s="16">
        <v>0</v>
      </c>
      <c r="O87" s="13">
        <v>0.4</v>
      </c>
      <c r="P87" s="16">
        <v>0</v>
      </c>
      <c r="Q87" s="45">
        <v>0</v>
      </c>
      <c r="R87" s="41"/>
      <c r="S87" s="16">
        <v>0</v>
      </c>
      <c r="T87" s="13">
        <v>0.4</v>
      </c>
      <c r="U87" s="16">
        <v>0</v>
      </c>
      <c r="V87" s="45">
        <v>0</v>
      </c>
      <c r="W87" s="41"/>
      <c r="X87" s="16">
        <v>0</v>
      </c>
      <c r="Y87" s="16">
        <v>0</v>
      </c>
      <c r="Z87" s="41"/>
      <c r="AA87" s="16">
        <v>0</v>
      </c>
      <c r="AB87" s="13">
        <v>0.375</v>
      </c>
      <c r="AC87" s="16">
        <v>0</v>
      </c>
      <c r="AD87" s="45">
        <v>0</v>
      </c>
      <c r="AE87" s="41"/>
      <c r="AF87" s="16">
        <v>0</v>
      </c>
      <c r="AG87" s="13">
        <v>0.375</v>
      </c>
      <c r="AH87" s="16">
        <v>0</v>
      </c>
      <c r="AI87" s="45">
        <v>0</v>
      </c>
      <c r="AJ87" s="41"/>
      <c r="AK87" s="16">
        <v>0</v>
      </c>
      <c r="AL87" s="13">
        <v>0.375</v>
      </c>
      <c r="AM87" s="45">
        <v>0</v>
      </c>
      <c r="AN87" s="45">
        <v>0</v>
      </c>
      <c r="AO87" s="41"/>
      <c r="AP87" s="131"/>
      <c r="AQ87" s="11" t="s">
        <v>69</v>
      </c>
      <c r="AR87" s="45">
        <v>0</v>
      </c>
      <c r="AS87" s="45">
        <v>0</v>
      </c>
      <c r="AT87" s="45">
        <v>0</v>
      </c>
      <c r="AU87" s="45">
        <v>0</v>
      </c>
      <c r="AV87" s="41"/>
      <c r="AX87" s="46">
        <v>0</v>
      </c>
      <c r="AY87" s="46">
        <v>0</v>
      </c>
      <c r="AZ87" s="46">
        <v>0</v>
      </c>
      <c r="BB87" s="13">
        <v>7.4999999999999997E-2</v>
      </c>
      <c r="BC87" s="13">
        <v>0.35</v>
      </c>
      <c r="BD87" s="13">
        <v>7.4999999999999997E-2</v>
      </c>
      <c r="BE87" s="45">
        <v>0</v>
      </c>
    </row>
    <row r="88" spans="1:57" ht="18.5" x14ac:dyDescent="0.35">
      <c r="A88" s="6"/>
      <c r="B88" s="132"/>
      <c r="C88" s="11" t="s">
        <v>23</v>
      </c>
      <c r="D88" s="13">
        <v>0</v>
      </c>
      <c r="E88" s="13">
        <v>7.4999999999999997E-2</v>
      </c>
      <c r="F88" s="13">
        <v>0</v>
      </c>
      <c r="G88" s="45">
        <v>0</v>
      </c>
      <c r="H88" s="41"/>
      <c r="I88" s="13">
        <v>0</v>
      </c>
      <c r="J88" s="13">
        <v>7.4999999999999997E-2</v>
      </c>
      <c r="K88" s="13">
        <v>0</v>
      </c>
      <c r="L88" s="45">
        <v>0</v>
      </c>
      <c r="M88" s="41"/>
      <c r="N88" s="13">
        <v>0</v>
      </c>
      <c r="O88" s="13">
        <v>7.4999999999999997E-2</v>
      </c>
      <c r="P88" s="13">
        <v>0</v>
      </c>
      <c r="Q88" s="45">
        <v>0</v>
      </c>
      <c r="R88" s="41"/>
      <c r="S88" s="13">
        <v>0</v>
      </c>
      <c r="T88" s="13">
        <v>7.4999999999999997E-2</v>
      </c>
      <c r="U88" s="13">
        <v>0</v>
      </c>
      <c r="V88" s="45">
        <v>0</v>
      </c>
      <c r="W88" s="41"/>
      <c r="X88" s="13">
        <v>0</v>
      </c>
      <c r="Y88" s="13">
        <v>0</v>
      </c>
      <c r="Z88" s="41"/>
      <c r="AA88" s="13">
        <v>0</v>
      </c>
      <c r="AB88" s="13">
        <v>4.9999999999999996E-2</v>
      </c>
      <c r="AC88" s="13">
        <v>0</v>
      </c>
      <c r="AD88" s="45">
        <v>0</v>
      </c>
      <c r="AE88" s="41"/>
      <c r="AF88" s="13">
        <v>0</v>
      </c>
      <c r="AG88" s="13">
        <v>4.9999999999999996E-2</v>
      </c>
      <c r="AH88" s="13">
        <v>0</v>
      </c>
      <c r="AI88" s="45">
        <v>0</v>
      </c>
      <c r="AJ88" s="41"/>
      <c r="AK88" s="13">
        <v>0</v>
      </c>
      <c r="AL88" s="13">
        <v>4.9999999999999996E-2</v>
      </c>
      <c r="AM88" s="45">
        <v>0</v>
      </c>
      <c r="AN88" s="45">
        <v>0</v>
      </c>
      <c r="AO88" s="41"/>
      <c r="AP88" s="132"/>
      <c r="AQ88" s="11" t="s">
        <v>23</v>
      </c>
      <c r="AR88" s="45">
        <v>0</v>
      </c>
      <c r="AS88" s="45">
        <v>0</v>
      </c>
      <c r="AT88" s="45">
        <v>0</v>
      </c>
      <c r="AU88" s="45">
        <v>0</v>
      </c>
      <c r="AV88" s="41"/>
      <c r="AX88" s="46"/>
      <c r="AY88" s="46">
        <v>0</v>
      </c>
      <c r="AZ88" s="46"/>
      <c r="BB88" s="45">
        <v>0</v>
      </c>
      <c r="BC88" s="13">
        <v>7.4999999999999997E-2</v>
      </c>
      <c r="BD88" s="45">
        <v>0</v>
      </c>
      <c r="BE88" s="45">
        <v>0</v>
      </c>
    </row>
    <row r="89" spans="1:57" customFormat="1" ht="4.5" customHeight="1" x14ac:dyDescent="0.35">
      <c r="A89" s="6"/>
      <c r="B89" s="6"/>
      <c r="C89" s="6"/>
      <c r="D89" s="6"/>
      <c r="E89" s="6"/>
      <c r="F89" s="6"/>
      <c r="G89" s="6"/>
      <c r="H89" s="41"/>
      <c r="I89" s="6"/>
      <c r="J89" s="6"/>
      <c r="K89" s="6"/>
      <c r="L89" s="6"/>
      <c r="M89" s="41"/>
      <c r="N89" s="6"/>
      <c r="O89" s="6"/>
      <c r="P89" s="6"/>
      <c r="Q89" s="6"/>
      <c r="R89" s="41"/>
      <c r="S89" s="6"/>
      <c r="T89" s="6"/>
      <c r="U89" s="6"/>
      <c r="V89" s="6"/>
      <c r="W89" s="41"/>
      <c r="X89" s="6"/>
      <c r="Y89" s="6"/>
      <c r="Z89" s="41"/>
      <c r="AA89" s="6"/>
      <c r="AB89" s="6"/>
      <c r="AC89" s="6"/>
      <c r="AD89" s="6"/>
      <c r="AE89" s="41"/>
      <c r="AF89" s="6"/>
      <c r="AG89" s="6"/>
      <c r="AH89" s="6"/>
      <c r="AI89" s="6"/>
      <c r="AJ89" s="41"/>
      <c r="AK89" s="6"/>
      <c r="AL89" s="6"/>
      <c r="AM89" s="6"/>
      <c r="AN89" s="6"/>
      <c r="AO89" s="41"/>
      <c r="AP89" s="6"/>
      <c r="AQ89" s="6"/>
      <c r="AR89" s="6"/>
      <c r="AS89" s="6"/>
      <c r="AT89" s="6"/>
      <c r="AU89" s="6"/>
      <c r="AV89" s="41"/>
      <c r="BB89" s="6"/>
      <c r="BC89" s="6"/>
      <c r="BD89" s="6"/>
      <c r="BE89" s="6"/>
    </row>
    <row r="90" spans="1:57" ht="14.5" customHeight="1" x14ac:dyDescent="0.35">
      <c r="A90" s="6"/>
      <c r="B90" s="135" t="s">
        <v>80</v>
      </c>
      <c r="C90" s="11" t="s">
        <v>65</v>
      </c>
      <c r="D90" s="13">
        <v>0.3</v>
      </c>
      <c r="E90" s="13">
        <v>0.3</v>
      </c>
      <c r="F90" s="13">
        <v>0.3</v>
      </c>
      <c r="G90" s="45">
        <v>0</v>
      </c>
      <c r="H90" s="41"/>
      <c r="I90" s="13">
        <v>0</v>
      </c>
      <c r="J90" s="13">
        <v>0.37</v>
      </c>
      <c r="K90" s="13">
        <v>0</v>
      </c>
      <c r="L90" s="45">
        <v>0</v>
      </c>
      <c r="M90" s="41"/>
      <c r="N90" s="13">
        <v>0.45</v>
      </c>
      <c r="O90" s="13">
        <v>0.45</v>
      </c>
      <c r="P90" s="13">
        <v>0.45</v>
      </c>
      <c r="Q90" s="45">
        <v>0</v>
      </c>
      <c r="R90" s="41"/>
      <c r="S90" s="13">
        <v>0.21</v>
      </c>
      <c r="T90" s="13">
        <v>0.22</v>
      </c>
      <c r="U90" s="13">
        <v>0.21</v>
      </c>
      <c r="V90" s="45">
        <v>0</v>
      </c>
      <c r="W90" s="41"/>
      <c r="X90" s="13">
        <v>0.1</v>
      </c>
      <c r="Y90" s="13">
        <v>0.1</v>
      </c>
      <c r="Z90" s="41"/>
      <c r="AA90" s="13">
        <v>0</v>
      </c>
      <c r="AB90" s="13">
        <v>0.34499999999999997</v>
      </c>
      <c r="AC90" s="13">
        <v>0</v>
      </c>
      <c r="AD90" s="45">
        <v>0</v>
      </c>
      <c r="AE90" s="41"/>
      <c r="AF90" s="13">
        <v>0.05</v>
      </c>
      <c r="AG90" s="13">
        <v>7.5000000000000011E-2</v>
      </c>
      <c r="AH90" s="13">
        <v>0.05</v>
      </c>
      <c r="AI90" s="45">
        <v>0</v>
      </c>
      <c r="AJ90" s="41"/>
      <c r="AK90" s="13">
        <v>0.05</v>
      </c>
      <c r="AL90" s="13">
        <v>0.39499999999999996</v>
      </c>
      <c r="AM90" s="13">
        <v>0</v>
      </c>
      <c r="AN90" s="45">
        <v>0</v>
      </c>
      <c r="AO90" s="41"/>
      <c r="AP90" s="129" t="s">
        <v>81</v>
      </c>
      <c r="AQ90" s="11" t="s">
        <v>65</v>
      </c>
      <c r="AR90" s="13">
        <v>0.05</v>
      </c>
      <c r="AS90" s="13">
        <v>0.05</v>
      </c>
      <c r="AT90" s="45">
        <v>0</v>
      </c>
      <c r="AU90" s="45">
        <v>0</v>
      </c>
      <c r="AV90" s="41"/>
      <c r="AX90" s="46">
        <v>-0.19999999999999998</v>
      </c>
      <c r="AY90" s="46">
        <v>-0.19999999999999998</v>
      </c>
      <c r="AZ90" s="46">
        <v>-0.19999999999999998</v>
      </c>
      <c r="BB90" s="13">
        <v>0.1</v>
      </c>
      <c r="BC90" s="13">
        <v>0.1</v>
      </c>
      <c r="BD90" s="13">
        <v>0.1</v>
      </c>
      <c r="BE90" s="45">
        <v>0</v>
      </c>
    </row>
    <row r="91" spans="1:57" ht="14.5" customHeight="1" x14ac:dyDescent="0.35">
      <c r="A91" s="6"/>
      <c r="B91" s="136"/>
      <c r="C91" s="11" t="s">
        <v>66</v>
      </c>
      <c r="D91" s="13">
        <v>0.27999999999999997</v>
      </c>
      <c r="E91" s="13">
        <v>0.27999999999999997</v>
      </c>
      <c r="F91" s="13">
        <v>0.27999999999999997</v>
      </c>
      <c r="G91" s="13">
        <v>0</v>
      </c>
      <c r="H91" s="41"/>
      <c r="I91" s="13">
        <v>0</v>
      </c>
      <c r="J91" s="13">
        <v>0.32</v>
      </c>
      <c r="K91" s="13">
        <v>0</v>
      </c>
      <c r="L91" s="13">
        <v>0</v>
      </c>
      <c r="M91" s="41"/>
      <c r="N91" s="13">
        <v>0.45</v>
      </c>
      <c r="O91" s="13">
        <v>0.45</v>
      </c>
      <c r="P91" s="13">
        <v>0.45</v>
      </c>
      <c r="Q91" s="13">
        <v>0</v>
      </c>
      <c r="R91" s="41"/>
      <c r="S91" s="13">
        <v>0.19</v>
      </c>
      <c r="T91" s="13">
        <v>0.2</v>
      </c>
      <c r="U91" s="13">
        <v>0.19</v>
      </c>
      <c r="V91" s="13">
        <v>0</v>
      </c>
      <c r="W91" s="41"/>
      <c r="X91" s="13">
        <v>0.08</v>
      </c>
      <c r="Y91" s="13">
        <v>0.08</v>
      </c>
      <c r="Z91" s="41"/>
      <c r="AA91" s="13">
        <v>0</v>
      </c>
      <c r="AB91" s="13">
        <v>0.29499999999999998</v>
      </c>
      <c r="AC91" s="13">
        <v>0</v>
      </c>
      <c r="AD91" s="13">
        <v>0</v>
      </c>
      <c r="AE91" s="41"/>
      <c r="AF91" s="13">
        <v>0.03</v>
      </c>
      <c r="AG91" s="13">
        <v>5.5E-2</v>
      </c>
      <c r="AH91" s="13">
        <v>0.03</v>
      </c>
      <c r="AI91" s="13">
        <v>0</v>
      </c>
      <c r="AJ91" s="41"/>
      <c r="AK91" s="13">
        <v>0.05</v>
      </c>
      <c r="AL91" s="13">
        <v>0.39499999999999996</v>
      </c>
      <c r="AM91" s="13">
        <v>0</v>
      </c>
      <c r="AN91" s="13">
        <v>0</v>
      </c>
      <c r="AO91" s="41"/>
      <c r="AP91" s="130"/>
      <c r="AQ91" s="11" t="s">
        <v>66</v>
      </c>
      <c r="AR91" s="13">
        <v>0.05</v>
      </c>
      <c r="AS91" s="13">
        <v>0.05</v>
      </c>
      <c r="AT91" s="45">
        <v>0</v>
      </c>
      <c r="AU91" s="45">
        <v>0</v>
      </c>
      <c r="AV91" s="41"/>
      <c r="AX91" s="46"/>
      <c r="AY91" s="46"/>
      <c r="AZ91" s="46"/>
      <c r="BB91" s="13"/>
      <c r="BC91" s="13"/>
      <c r="BD91" s="13"/>
      <c r="BE91" s="45"/>
    </row>
    <row r="92" spans="1:57" ht="14.5" customHeight="1" x14ac:dyDescent="0.35">
      <c r="A92" s="6"/>
      <c r="B92" s="136"/>
      <c r="C92" s="11" t="s">
        <v>67</v>
      </c>
      <c r="D92" s="13">
        <v>0.25999999999999995</v>
      </c>
      <c r="E92" s="13">
        <v>0.25999999999999995</v>
      </c>
      <c r="F92" s="13">
        <v>0.25999999999999995</v>
      </c>
      <c r="G92" s="13">
        <v>0</v>
      </c>
      <c r="H92" s="41"/>
      <c r="I92" s="13">
        <v>0</v>
      </c>
      <c r="J92" s="13">
        <v>0.27</v>
      </c>
      <c r="K92" s="13">
        <v>0</v>
      </c>
      <c r="L92" s="13">
        <v>0</v>
      </c>
      <c r="M92" s="41"/>
      <c r="N92" s="13">
        <v>0.4</v>
      </c>
      <c r="O92" s="13">
        <v>0.4</v>
      </c>
      <c r="P92" s="13">
        <v>0.4</v>
      </c>
      <c r="Q92" s="13">
        <v>0</v>
      </c>
      <c r="R92" s="41"/>
      <c r="S92" s="13">
        <v>0.17</v>
      </c>
      <c r="T92" s="13">
        <v>0.18000000000000002</v>
      </c>
      <c r="U92" s="13">
        <v>0.17</v>
      </c>
      <c r="V92" s="13">
        <v>0</v>
      </c>
      <c r="W92" s="41"/>
      <c r="X92" s="13">
        <v>0.06</v>
      </c>
      <c r="Y92" s="13">
        <v>0.06</v>
      </c>
      <c r="Z92" s="41"/>
      <c r="AA92" s="13">
        <v>0</v>
      </c>
      <c r="AB92" s="13">
        <v>0.24500000000000002</v>
      </c>
      <c r="AC92" s="13">
        <v>0</v>
      </c>
      <c r="AD92" s="13">
        <v>0</v>
      </c>
      <c r="AE92" s="41"/>
      <c r="AF92" s="13">
        <v>9.999999999999995E-3</v>
      </c>
      <c r="AG92" s="13">
        <v>3.4999999999999996E-2</v>
      </c>
      <c r="AH92" s="13">
        <v>9.999999999999995E-3</v>
      </c>
      <c r="AI92" s="13">
        <v>0</v>
      </c>
      <c r="AJ92" s="41"/>
      <c r="AK92" s="13">
        <v>0.05</v>
      </c>
      <c r="AL92" s="13">
        <v>0.39499999999999996</v>
      </c>
      <c r="AM92" s="13">
        <v>0</v>
      </c>
      <c r="AN92" s="13">
        <v>0</v>
      </c>
      <c r="AO92" s="41"/>
      <c r="AP92" s="130"/>
      <c r="AQ92" s="11" t="s">
        <v>67</v>
      </c>
      <c r="AR92" s="13">
        <v>0.05</v>
      </c>
      <c r="AS92" s="13">
        <v>0.05</v>
      </c>
      <c r="AT92" s="45">
        <v>0</v>
      </c>
      <c r="AU92" s="45">
        <v>0</v>
      </c>
      <c r="AV92" s="41"/>
      <c r="AX92" s="46"/>
      <c r="AY92" s="46"/>
      <c r="AZ92" s="46"/>
      <c r="BB92" s="13"/>
      <c r="BC92" s="13"/>
      <c r="BD92" s="13"/>
      <c r="BE92" s="45"/>
    </row>
    <row r="93" spans="1:57" ht="25.5" customHeight="1" x14ac:dyDescent="0.35">
      <c r="A93" s="6"/>
      <c r="B93" s="131"/>
      <c r="C93" s="11" t="s">
        <v>69</v>
      </c>
      <c r="D93" s="13">
        <v>7.4999999999999997E-2</v>
      </c>
      <c r="E93" s="13">
        <v>0.27500000000000002</v>
      </c>
      <c r="F93" s="13">
        <v>7.4999999999999997E-2</v>
      </c>
      <c r="G93" s="45">
        <v>0</v>
      </c>
      <c r="H93" s="41"/>
      <c r="I93" s="13">
        <v>0.1</v>
      </c>
      <c r="J93" s="13">
        <v>0.27500000000000002</v>
      </c>
      <c r="K93" s="13">
        <v>0.1</v>
      </c>
      <c r="L93" s="45">
        <v>0</v>
      </c>
      <c r="M93" s="41"/>
      <c r="N93" s="13">
        <v>0.1</v>
      </c>
      <c r="O93" s="13">
        <v>0.27500000000000002</v>
      </c>
      <c r="P93" s="13">
        <v>0.1</v>
      </c>
      <c r="Q93" s="45">
        <v>0</v>
      </c>
      <c r="R93" s="41"/>
      <c r="S93" s="13">
        <v>0.1</v>
      </c>
      <c r="T93" s="13">
        <v>0.27500000000000002</v>
      </c>
      <c r="U93" s="13">
        <v>0.1</v>
      </c>
      <c r="V93" s="45">
        <v>0</v>
      </c>
      <c r="W93" s="41"/>
      <c r="X93" s="13">
        <v>0.1</v>
      </c>
      <c r="Y93" s="13">
        <v>0.1</v>
      </c>
      <c r="Z93" s="41"/>
      <c r="AA93" s="13">
        <v>0.05</v>
      </c>
      <c r="AB93" s="13">
        <v>0.25</v>
      </c>
      <c r="AC93" s="13">
        <v>0.05</v>
      </c>
      <c r="AD93" s="45">
        <v>0</v>
      </c>
      <c r="AE93" s="41"/>
      <c r="AF93" s="13">
        <v>2.4999999999999994E-2</v>
      </c>
      <c r="AG93" s="13">
        <v>0.25</v>
      </c>
      <c r="AH93" s="13">
        <v>2.4999999999999994E-2</v>
      </c>
      <c r="AI93" s="45">
        <v>0</v>
      </c>
      <c r="AJ93" s="41"/>
      <c r="AK93" s="13">
        <v>0.05</v>
      </c>
      <c r="AL93" s="13">
        <v>0.25</v>
      </c>
      <c r="AM93" s="13">
        <v>0</v>
      </c>
      <c r="AN93" s="45">
        <v>0</v>
      </c>
      <c r="AO93" s="41"/>
      <c r="AP93" s="131"/>
      <c r="AQ93" s="11" t="s">
        <v>69</v>
      </c>
      <c r="AR93" s="45">
        <v>0</v>
      </c>
      <c r="AS93" s="45">
        <v>0</v>
      </c>
      <c r="AT93" s="45">
        <v>0</v>
      </c>
      <c r="AU93" s="45">
        <v>0</v>
      </c>
      <c r="AV93" s="41"/>
      <c r="AX93" s="46">
        <v>0</v>
      </c>
      <c r="AY93" s="46">
        <v>0</v>
      </c>
      <c r="AZ93" s="46">
        <v>0</v>
      </c>
      <c r="BB93" s="13">
        <v>0.1</v>
      </c>
      <c r="BC93" s="13">
        <v>0.1</v>
      </c>
      <c r="BD93" s="13">
        <v>0.1</v>
      </c>
      <c r="BE93" s="45">
        <v>0</v>
      </c>
    </row>
    <row r="94" spans="1:57" ht="18.5" x14ac:dyDescent="0.35">
      <c r="A94" s="6"/>
      <c r="B94" s="132"/>
      <c r="C94" s="11" t="s">
        <v>23</v>
      </c>
      <c r="D94" s="13">
        <v>0</v>
      </c>
      <c r="E94" s="13">
        <v>7.4999999999999997E-2</v>
      </c>
      <c r="F94" s="13">
        <v>0</v>
      </c>
      <c r="G94" s="45">
        <v>0</v>
      </c>
      <c r="H94" s="41"/>
      <c r="I94" s="45">
        <v>0</v>
      </c>
      <c r="J94" s="13">
        <v>7.4999999999999997E-2</v>
      </c>
      <c r="K94" s="45">
        <v>0</v>
      </c>
      <c r="L94" s="45">
        <v>0</v>
      </c>
      <c r="M94" s="41"/>
      <c r="N94" s="45">
        <v>0</v>
      </c>
      <c r="O94" s="13">
        <v>7.4999999999999997E-2</v>
      </c>
      <c r="P94" s="45">
        <v>0</v>
      </c>
      <c r="Q94" s="45">
        <v>0</v>
      </c>
      <c r="R94" s="41"/>
      <c r="S94" s="13">
        <v>0</v>
      </c>
      <c r="T94" s="13">
        <v>7.4999999999999997E-2</v>
      </c>
      <c r="U94" s="13">
        <v>0</v>
      </c>
      <c r="V94" s="45">
        <v>0</v>
      </c>
      <c r="W94" s="41"/>
      <c r="X94" s="13">
        <v>0</v>
      </c>
      <c r="Y94" s="13">
        <v>0</v>
      </c>
      <c r="Z94" s="41"/>
      <c r="AA94" s="13">
        <v>0</v>
      </c>
      <c r="AB94" s="13">
        <v>4.9999999999999996E-2</v>
      </c>
      <c r="AC94" s="13">
        <v>0</v>
      </c>
      <c r="AD94" s="45">
        <v>0</v>
      </c>
      <c r="AE94" s="41"/>
      <c r="AF94" s="13">
        <v>0</v>
      </c>
      <c r="AG94" s="13">
        <v>4.9999999999999996E-2</v>
      </c>
      <c r="AH94" s="13">
        <v>0</v>
      </c>
      <c r="AI94" s="45">
        <v>0</v>
      </c>
      <c r="AJ94" s="41"/>
      <c r="AK94" s="13">
        <v>0</v>
      </c>
      <c r="AL94" s="13">
        <v>4.9999999999999996E-2</v>
      </c>
      <c r="AM94" s="13">
        <v>0</v>
      </c>
      <c r="AN94" s="45">
        <v>0</v>
      </c>
      <c r="AO94" s="41"/>
      <c r="AP94" s="132"/>
      <c r="AQ94" s="11" t="s">
        <v>23</v>
      </c>
      <c r="AR94" s="45">
        <v>0</v>
      </c>
      <c r="AS94" s="45">
        <v>0</v>
      </c>
      <c r="AT94" s="45">
        <v>0</v>
      </c>
      <c r="AU94" s="45">
        <v>0</v>
      </c>
      <c r="AV94" s="41"/>
      <c r="AX94" s="46"/>
      <c r="AY94" s="46">
        <v>0</v>
      </c>
      <c r="AZ94" s="46"/>
      <c r="BB94" s="45">
        <v>0</v>
      </c>
      <c r="BC94" s="13">
        <v>7.4999999999999997E-2</v>
      </c>
      <c r="BD94" s="45">
        <v>0</v>
      </c>
      <c r="BE94" s="45">
        <v>0</v>
      </c>
    </row>
    <row r="95" spans="1:57" customFormat="1" ht="4.5" customHeight="1" x14ac:dyDescent="0.35">
      <c r="A95" s="6"/>
      <c r="B95" s="6"/>
      <c r="C95" s="6"/>
      <c r="D95" s="6"/>
      <c r="E95" s="6"/>
      <c r="F95" s="6"/>
      <c r="G95" s="6"/>
      <c r="H95" s="41"/>
      <c r="I95" s="6"/>
      <c r="J95" s="6"/>
      <c r="K95" s="6"/>
      <c r="L95" s="6"/>
      <c r="M95" s="41"/>
      <c r="N95" s="6"/>
      <c r="O95" s="6"/>
      <c r="P95" s="6"/>
      <c r="Q95" s="6"/>
      <c r="R95" s="41"/>
      <c r="S95" s="6"/>
      <c r="T95" s="6"/>
      <c r="U95" s="6"/>
      <c r="V95" s="6"/>
      <c r="W95" s="41"/>
      <c r="X95" s="6"/>
      <c r="Y95" s="6"/>
      <c r="Z95" s="41"/>
      <c r="AA95" s="6"/>
      <c r="AB95" s="6"/>
      <c r="AC95" s="6"/>
      <c r="AD95" s="6"/>
      <c r="AE95" s="41"/>
      <c r="AF95" s="6"/>
      <c r="AG95" s="6"/>
      <c r="AH95" s="6"/>
      <c r="AI95" s="6"/>
      <c r="AJ95" s="41"/>
      <c r="AK95" s="6"/>
      <c r="AL95" s="6"/>
      <c r="AM95" s="6"/>
      <c r="AN95" s="6"/>
      <c r="AO95" s="41"/>
      <c r="AP95" s="6"/>
      <c r="AQ95" s="6"/>
      <c r="AR95" s="6"/>
      <c r="AS95" s="6"/>
      <c r="AT95" s="6"/>
      <c r="AU95" s="6"/>
      <c r="AV95" s="41"/>
      <c r="BB95" s="6"/>
      <c r="BC95" s="6"/>
      <c r="BD95" s="6"/>
      <c r="BE95" s="6"/>
    </row>
    <row r="96" spans="1:57" ht="14.5" customHeight="1" x14ac:dyDescent="0.35">
      <c r="A96" s="6"/>
      <c r="B96" s="129" t="s">
        <v>13</v>
      </c>
      <c r="C96" s="11" t="s">
        <v>65</v>
      </c>
      <c r="D96" s="13">
        <v>0.1</v>
      </c>
      <c r="E96" s="13">
        <v>0.3</v>
      </c>
      <c r="F96" s="13">
        <v>0.1</v>
      </c>
      <c r="G96" s="45">
        <v>0</v>
      </c>
      <c r="H96" s="41"/>
      <c r="I96" s="13">
        <v>7.4999999999999997E-2</v>
      </c>
      <c r="J96" s="13">
        <v>0.35</v>
      </c>
      <c r="K96" s="13">
        <v>7.4999999999999997E-2</v>
      </c>
      <c r="L96" s="45">
        <v>0</v>
      </c>
      <c r="M96" s="41"/>
      <c r="N96" s="13">
        <v>0.4</v>
      </c>
      <c r="O96" s="13">
        <v>0.4</v>
      </c>
      <c r="P96" s="13">
        <v>0.4</v>
      </c>
      <c r="Q96" s="45">
        <v>0</v>
      </c>
      <c r="R96" s="41"/>
      <c r="S96" s="13">
        <v>0.1</v>
      </c>
      <c r="T96" s="13">
        <v>0.3</v>
      </c>
      <c r="U96" s="13">
        <v>0.1</v>
      </c>
      <c r="V96" s="45">
        <v>0</v>
      </c>
      <c r="W96" s="41"/>
      <c r="X96" s="13">
        <v>0.1</v>
      </c>
      <c r="Y96" s="13">
        <v>0.1</v>
      </c>
      <c r="Z96" s="41"/>
      <c r="AA96" s="13">
        <v>2.4999999999999994E-2</v>
      </c>
      <c r="AB96" s="13">
        <v>0.32499999999999996</v>
      </c>
      <c r="AC96" s="13">
        <v>2.4999999999999994E-2</v>
      </c>
      <c r="AD96" s="45">
        <v>0</v>
      </c>
      <c r="AE96" s="41"/>
      <c r="AF96" s="13">
        <v>0.05</v>
      </c>
      <c r="AG96" s="13">
        <v>0.22500000000000001</v>
      </c>
      <c r="AH96" s="13">
        <v>0.05</v>
      </c>
      <c r="AI96" s="45">
        <v>0</v>
      </c>
      <c r="AJ96" s="41"/>
      <c r="AK96" s="13">
        <v>0.2</v>
      </c>
      <c r="AL96" s="13">
        <v>0.39499999999999996</v>
      </c>
      <c r="AM96" s="45">
        <v>0</v>
      </c>
      <c r="AN96" s="45">
        <v>0</v>
      </c>
      <c r="AO96" s="41"/>
      <c r="AP96" s="129" t="s">
        <v>13</v>
      </c>
      <c r="AQ96" s="11" t="s">
        <v>65</v>
      </c>
      <c r="AR96" s="13">
        <v>0.2</v>
      </c>
      <c r="AS96" s="13">
        <v>0.2</v>
      </c>
      <c r="AT96" s="45">
        <v>0</v>
      </c>
      <c r="AU96" s="45">
        <v>0</v>
      </c>
      <c r="AV96" s="41"/>
      <c r="AX96" s="46">
        <v>0</v>
      </c>
      <c r="AY96" s="46">
        <v>-4.9999999999999989E-2</v>
      </c>
      <c r="AZ96" s="46">
        <v>0</v>
      </c>
      <c r="BB96" s="13">
        <v>0.25</v>
      </c>
      <c r="BC96" s="13">
        <v>0.25</v>
      </c>
      <c r="BD96" s="13">
        <v>0.25</v>
      </c>
      <c r="BE96" s="45">
        <v>0</v>
      </c>
    </row>
    <row r="97" spans="1:57" ht="14.5" customHeight="1" x14ac:dyDescent="0.35">
      <c r="A97" s="6"/>
      <c r="B97" s="130"/>
      <c r="C97" s="11" t="s">
        <v>66</v>
      </c>
      <c r="D97" s="13">
        <v>0.08</v>
      </c>
      <c r="E97" s="13">
        <v>0.27999999999999997</v>
      </c>
      <c r="F97" s="13">
        <v>0.08</v>
      </c>
      <c r="G97" s="13">
        <v>0</v>
      </c>
      <c r="H97" s="41"/>
      <c r="I97" s="13">
        <v>7.4999999999999997E-2</v>
      </c>
      <c r="J97" s="13">
        <v>0.3</v>
      </c>
      <c r="K97" s="13">
        <v>7.4999999999999997E-2</v>
      </c>
      <c r="L97" s="13">
        <v>0</v>
      </c>
      <c r="M97" s="41"/>
      <c r="N97" s="13">
        <v>0.35</v>
      </c>
      <c r="O97" s="13">
        <v>0.35</v>
      </c>
      <c r="P97" s="13">
        <v>0.35</v>
      </c>
      <c r="Q97" s="13">
        <v>0</v>
      </c>
      <c r="R97" s="41"/>
      <c r="S97" s="13">
        <v>0.08</v>
      </c>
      <c r="T97" s="13">
        <v>0.27999999999999997</v>
      </c>
      <c r="U97" s="13">
        <v>0.08</v>
      </c>
      <c r="V97" s="13">
        <v>0</v>
      </c>
      <c r="W97" s="41"/>
      <c r="X97" s="13">
        <v>0.08</v>
      </c>
      <c r="Y97" s="13">
        <v>0.08</v>
      </c>
      <c r="Z97" s="41"/>
      <c r="AA97" s="13">
        <v>2.4999999999999994E-2</v>
      </c>
      <c r="AB97" s="13">
        <v>0.27499999999999997</v>
      </c>
      <c r="AC97" s="13">
        <v>2.4999999999999994E-2</v>
      </c>
      <c r="AD97" s="13">
        <v>0</v>
      </c>
      <c r="AE97" s="41"/>
      <c r="AF97" s="13">
        <v>0.03</v>
      </c>
      <c r="AG97" s="13">
        <v>0.20500000000000002</v>
      </c>
      <c r="AH97" s="13">
        <v>0.03</v>
      </c>
      <c r="AI97" s="13">
        <v>0</v>
      </c>
      <c r="AJ97" s="41"/>
      <c r="AK97" s="13">
        <v>0.2</v>
      </c>
      <c r="AL97" s="13">
        <v>0.39499999999999996</v>
      </c>
      <c r="AM97" s="13">
        <v>0</v>
      </c>
      <c r="AN97" s="13">
        <v>0</v>
      </c>
      <c r="AO97" s="41"/>
      <c r="AP97" s="130"/>
      <c r="AQ97" s="11" t="s">
        <v>66</v>
      </c>
      <c r="AR97" s="13">
        <v>0.2</v>
      </c>
      <c r="AS97" s="13">
        <v>0.2</v>
      </c>
      <c r="AT97" s="45">
        <v>0</v>
      </c>
      <c r="AU97" s="45">
        <v>0</v>
      </c>
      <c r="AV97" s="41"/>
      <c r="AX97" s="46"/>
      <c r="AY97" s="46"/>
      <c r="AZ97" s="46"/>
      <c r="BB97" s="13"/>
      <c r="BC97" s="13"/>
      <c r="BD97" s="13"/>
      <c r="BE97" s="45"/>
    </row>
    <row r="98" spans="1:57" ht="14.5" customHeight="1" x14ac:dyDescent="0.35">
      <c r="A98" s="6"/>
      <c r="B98" s="130"/>
      <c r="C98" s="11" t="s">
        <v>67</v>
      </c>
      <c r="D98" s="13">
        <v>0.06</v>
      </c>
      <c r="E98" s="13">
        <v>0.25999999999999995</v>
      </c>
      <c r="F98" s="13">
        <v>0.06</v>
      </c>
      <c r="G98" s="13">
        <v>0</v>
      </c>
      <c r="H98" s="41"/>
      <c r="I98" s="13">
        <v>7.4999999999999997E-2</v>
      </c>
      <c r="J98" s="13">
        <v>0.27</v>
      </c>
      <c r="K98" s="13">
        <v>7.4999999999999997E-2</v>
      </c>
      <c r="L98" s="13">
        <v>0</v>
      </c>
      <c r="M98" s="41"/>
      <c r="N98" s="13">
        <v>0.3</v>
      </c>
      <c r="O98" s="13">
        <v>0.3</v>
      </c>
      <c r="P98" s="13">
        <v>0.3</v>
      </c>
      <c r="Q98" s="13">
        <v>0</v>
      </c>
      <c r="R98" s="41"/>
      <c r="S98" s="13">
        <v>0.06</v>
      </c>
      <c r="T98" s="13">
        <v>0.25999999999999995</v>
      </c>
      <c r="U98" s="13">
        <v>0.06</v>
      </c>
      <c r="V98" s="13">
        <v>0</v>
      </c>
      <c r="W98" s="41"/>
      <c r="X98" s="13">
        <v>0.06</v>
      </c>
      <c r="Y98" s="13">
        <v>0.06</v>
      </c>
      <c r="Z98" s="41"/>
      <c r="AA98" s="13">
        <v>2.4999999999999994E-2</v>
      </c>
      <c r="AB98" s="13">
        <v>0.24500000000000002</v>
      </c>
      <c r="AC98" s="13">
        <v>2.4999999999999994E-2</v>
      </c>
      <c r="AD98" s="13">
        <v>0</v>
      </c>
      <c r="AE98" s="41"/>
      <c r="AF98" s="13">
        <v>9.999999999999995E-3</v>
      </c>
      <c r="AG98" s="13">
        <v>0.18500000000000003</v>
      </c>
      <c r="AH98" s="13">
        <v>9.999999999999995E-3</v>
      </c>
      <c r="AI98" s="13">
        <v>0</v>
      </c>
      <c r="AJ98" s="41"/>
      <c r="AK98" s="13">
        <v>0.2</v>
      </c>
      <c r="AL98" s="13">
        <v>0.39499999999999996</v>
      </c>
      <c r="AM98" s="13">
        <v>0</v>
      </c>
      <c r="AN98" s="13">
        <v>0</v>
      </c>
      <c r="AO98" s="41"/>
      <c r="AP98" s="130"/>
      <c r="AQ98" s="11" t="s">
        <v>67</v>
      </c>
      <c r="AR98" s="13">
        <v>0.2</v>
      </c>
      <c r="AS98" s="13">
        <v>0.2</v>
      </c>
      <c r="AT98" s="45">
        <v>0</v>
      </c>
      <c r="AU98" s="45">
        <v>0</v>
      </c>
      <c r="AV98" s="41"/>
      <c r="AX98" s="46"/>
      <c r="AY98" s="46"/>
      <c r="AZ98" s="46"/>
      <c r="BB98" s="13"/>
      <c r="BC98" s="13"/>
      <c r="BD98" s="13"/>
      <c r="BE98" s="45"/>
    </row>
    <row r="99" spans="1:57" ht="18.5" x14ac:dyDescent="0.35">
      <c r="A99" s="6"/>
      <c r="B99" s="131"/>
      <c r="C99" s="11" t="s">
        <v>69</v>
      </c>
      <c r="D99" s="13">
        <v>7.4999999999999997E-2</v>
      </c>
      <c r="E99" s="13">
        <v>0.4</v>
      </c>
      <c r="F99" s="13">
        <v>7.4999999999999997E-2</v>
      </c>
      <c r="G99" s="45">
        <v>0</v>
      </c>
      <c r="H99" s="41"/>
      <c r="I99" s="13">
        <v>7.4999999999999997E-2</v>
      </c>
      <c r="J99" s="13">
        <v>0.4</v>
      </c>
      <c r="K99" s="13">
        <v>7.4999999999999997E-2</v>
      </c>
      <c r="L99" s="45">
        <v>0</v>
      </c>
      <c r="M99" s="41"/>
      <c r="N99" s="13">
        <v>0.1</v>
      </c>
      <c r="O99" s="13">
        <v>0.4</v>
      </c>
      <c r="P99" s="13">
        <v>0.1</v>
      </c>
      <c r="Q99" s="45">
        <v>0</v>
      </c>
      <c r="R99" s="41"/>
      <c r="S99" s="13">
        <v>7.4999999999999997E-2</v>
      </c>
      <c r="T99" s="13">
        <v>0.4</v>
      </c>
      <c r="U99" s="13">
        <v>7.4999999999999997E-2</v>
      </c>
      <c r="V99" s="45">
        <v>0</v>
      </c>
      <c r="W99" s="41"/>
      <c r="X99" s="13">
        <v>0.1</v>
      </c>
      <c r="Y99" s="13">
        <v>0.1</v>
      </c>
      <c r="Z99" s="41"/>
      <c r="AA99" s="13">
        <v>0.05</v>
      </c>
      <c r="AB99" s="13">
        <v>0.375</v>
      </c>
      <c r="AC99" s="13">
        <v>0.05</v>
      </c>
      <c r="AD99" s="45">
        <v>0</v>
      </c>
      <c r="AE99" s="41"/>
      <c r="AF99" s="13">
        <v>2.4999999999999994E-2</v>
      </c>
      <c r="AG99" s="13">
        <v>0.375</v>
      </c>
      <c r="AH99" s="13">
        <v>2.4999999999999994E-2</v>
      </c>
      <c r="AI99" s="45">
        <v>0</v>
      </c>
      <c r="AJ99" s="41"/>
      <c r="AK99" s="13">
        <v>0.05</v>
      </c>
      <c r="AL99" s="13">
        <v>0.375</v>
      </c>
      <c r="AM99" s="45">
        <v>0</v>
      </c>
      <c r="AN99" s="45">
        <v>0</v>
      </c>
      <c r="AO99" s="41"/>
      <c r="AP99" s="131"/>
      <c r="AQ99" s="11" t="s">
        <v>69</v>
      </c>
      <c r="AR99" s="45">
        <v>0</v>
      </c>
      <c r="AS99" s="45">
        <v>0</v>
      </c>
      <c r="AT99" s="45">
        <v>0</v>
      </c>
      <c r="AU99" s="45">
        <v>0</v>
      </c>
      <c r="AV99" s="41"/>
      <c r="AX99" s="46">
        <v>0</v>
      </c>
      <c r="AY99" s="46">
        <v>0</v>
      </c>
      <c r="AZ99" s="46">
        <v>0</v>
      </c>
      <c r="BB99" s="13">
        <v>0.25</v>
      </c>
      <c r="BC99" s="13">
        <v>0.25</v>
      </c>
      <c r="BD99" s="13">
        <v>0.25</v>
      </c>
      <c r="BE99" s="45">
        <v>0</v>
      </c>
    </row>
    <row r="100" spans="1:57" ht="18.5" x14ac:dyDescent="0.35">
      <c r="A100" s="6"/>
      <c r="B100" s="132"/>
      <c r="C100" s="11" t="s">
        <v>23</v>
      </c>
      <c r="D100" s="13">
        <v>0</v>
      </c>
      <c r="E100" s="13">
        <v>0</v>
      </c>
      <c r="F100" s="13">
        <v>0</v>
      </c>
      <c r="G100" s="45">
        <v>0</v>
      </c>
      <c r="H100" s="41"/>
      <c r="I100" s="45">
        <v>0</v>
      </c>
      <c r="J100" s="13">
        <v>7.4999999999999997E-2</v>
      </c>
      <c r="K100" s="45">
        <v>0</v>
      </c>
      <c r="L100" s="45">
        <v>0</v>
      </c>
      <c r="M100" s="41"/>
      <c r="N100" s="13">
        <v>0</v>
      </c>
      <c r="O100" s="13">
        <v>7.4999999999999997E-2</v>
      </c>
      <c r="P100" s="13">
        <v>0</v>
      </c>
      <c r="Q100" s="45">
        <v>0</v>
      </c>
      <c r="R100" s="41"/>
      <c r="S100" s="45">
        <v>0</v>
      </c>
      <c r="T100" s="13">
        <v>7.4999999999999997E-2</v>
      </c>
      <c r="U100" s="45">
        <v>0</v>
      </c>
      <c r="V100" s="45">
        <v>0</v>
      </c>
      <c r="W100" s="41"/>
      <c r="X100" s="45">
        <v>0</v>
      </c>
      <c r="Y100" s="45">
        <v>0</v>
      </c>
      <c r="Z100" s="41"/>
      <c r="AA100" s="45">
        <v>0</v>
      </c>
      <c r="AB100" s="13">
        <v>4.9999999999999996E-2</v>
      </c>
      <c r="AC100" s="45">
        <v>0</v>
      </c>
      <c r="AD100" s="45">
        <v>0</v>
      </c>
      <c r="AE100" s="41"/>
      <c r="AF100" s="45">
        <v>0</v>
      </c>
      <c r="AG100" s="13">
        <v>4.9999999999999996E-2</v>
      </c>
      <c r="AH100" s="45">
        <v>0</v>
      </c>
      <c r="AI100" s="45">
        <v>0</v>
      </c>
      <c r="AJ100" s="41"/>
      <c r="AK100" s="13">
        <v>0</v>
      </c>
      <c r="AL100" s="13">
        <v>4.9999999999999996E-2</v>
      </c>
      <c r="AM100" s="45">
        <v>0</v>
      </c>
      <c r="AN100" s="45">
        <v>0</v>
      </c>
      <c r="AO100" s="41"/>
      <c r="AP100" s="132"/>
      <c r="AQ100" s="11" t="s">
        <v>23</v>
      </c>
      <c r="AR100" s="45">
        <v>0</v>
      </c>
      <c r="AS100" s="45">
        <v>0</v>
      </c>
      <c r="AT100" s="45">
        <v>0</v>
      </c>
      <c r="AU100" s="45">
        <v>0</v>
      </c>
      <c r="AV100" s="41"/>
      <c r="AX100" s="46"/>
      <c r="AY100" s="46" t="e">
        <v>#VALUE!</v>
      </c>
      <c r="AZ100" s="46"/>
      <c r="BB100" s="45">
        <v>0</v>
      </c>
      <c r="BC100" s="13">
        <v>7.4999999999999997E-2</v>
      </c>
      <c r="BD100" s="45">
        <v>0</v>
      </c>
      <c r="BE100" s="45">
        <v>0</v>
      </c>
    </row>
    <row r="101" spans="1:57" customFormat="1" ht="4.5" customHeight="1" x14ac:dyDescent="0.35">
      <c r="A101" s="6"/>
      <c r="B101" s="6"/>
      <c r="C101" s="6"/>
      <c r="D101" s="6"/>
      <c r="E101" s="6"/>
      <c r="F101" s="6"/>
      <c r="G101" s="6"/>
      <c r="H101" s="41"/>
      <c r="I101" s="6"/>
      <c r="J101" s="6"/>
      <c r="K101" s="6"/>
      <c r="L101" s="6"/>
      <c r="M101" s="41"/>
      <c r="N101" s="6"/>
      <c r="O101" s="6"/>
      <c r="P101" s="6"/>
      <c r="Q101" s="6"/>
      <c r="R101" s="41"/>
      <c r="S101" s="6"/>
      <c r="T101" s="6"/>
      <c r="U101" s="6"/>
      <c r="V101" s="6"/>
      <c r="W101" s="41"/>
      <c r="X101" s="6"/>
      <c r="Y101" s="6"/>
      <c r="Z101" s="41"/>
      <c r="AA101" s="6"/>
      <c r="AB101" s="6"/>
      <c r="AC101" s="6"/>
      <c r="AD101" s="6"/>
      <c r="AE101" s="41"/>
      <c r="AF101" s="6"/>
      <c r="AG101" s="6"/>
      <c r="AH101" s="6"/>
      <c r="AI101" s="6"/>
      <c r="AJ101" s="41"/>
      <c r="AK101" s="6"/>
      <c r="AL101" s="6"/>
      <c r="AM101" s="6"/>
      <c r="AN101" s="6"/>
      <c r="AO101" s="41"/>
      <c r="AP101" s="6"/>
      <c r="AQ101" s="6"/>
      <c r="AR101" s="6"/>
      <c r="AS101" s="6"/>
      <c r="AT101" s="6"/>
      <c r="AU101" s="6"/>
      <c r="AV101" s="41"/>
      <c r="BB101" s="6"/>
      <c r="BC101" s="6"/>
      <c r="BD101" s="6"/>
      <c r="BE101" s="6"/>
    </row>
    <row r="102" spans="1:57" ht="14.5" customHeight="1" x14ac:dyDescent="0.35">
      <c r="A102" s="6"/>
      <c r="B102" s="129" t="s">
        <v>82</v>
      </c>
      <c r="C102" s="11" t="s">
        <v>65</v>
      </c>
      <c r="D102" s="13">
        <v>0</v>
      </c>
      <c r="E102" s="13">
        <v>0</v>
      </c>
      <c r="F102" s="13">
        <v>0</v>
      </c>
      <c r="G102" s="45">
        <v>0</v>
      </c>
      <c r="H102" s="41"/>
      <c r="I102" s="13">
        <v>0</v>
      </c>
      <c r="J102" s="13">
        <v>0</v>
      </c>
      <c r="K102" s="13">
        <v>0</v>
      </c>
      <c r="L102" s="45">
        <v>0</v>
      </c>
      <c r="M102" s="41"/>
      <c r="N102" s="13">
        <v>0</v>
      </c>
      <c r="O102" s="13">
        <v>0</v>
      </c>
      <c r="P102" s="13">
        <v>0</v>
      </c>
      <c r="Q102" s="45">
        <v>0</v>
      </c>
      <c r="R102" s="41"/>
      <c r="S102" s="13">
        <v>0</v>
      </c>
      <c r="T102" s="13">
        <v>0</v>
      </c>
      <c r="U102" s="13">
        <v>0</v>
      </c>
      <c r="V102" s="45">
        <v>0</v>
      </c>
      <c r="W102" s="41"/>
      <c r="X102" s="13">
        <v>0</v>
      </c>
      <c r="Y102" s="13">
        <v>0</v>
      </c>
      <c r="Z102" s="41"/>
      <c r="AA102" s="45">
        <v>0</v>
      </c>
      <c r="AB102" s="45">
        <v>0</v>
      </c>
      <c r="AC102" s="45">
        <v>0</v>
      </c>
      <c r="AD102" s="45">
        <v>0</v>
      </c>
      <c r="AE102" s="41"/>
      <c r="AF102" s="45">
        <v>0</v>
      </c>
      <c r="AG102" s="45">
        <v>0</v>
      </c>
      <c r="AH102" s="45">
        <v>0</v>
      </c>
      <c r="AI102" s="45">
        <v>0</v>
      </c>
      <c r="AJ102" s="41"/>
      <c r="AK102" s="45">
        <v>0</v>
      </c>
      <c r="AL102" s="45">
        <v>0</v>
      </c>
      <c r="AM102" s="45">
        <v>0</v>
      </c>
      <c r="AN102" s="45">
        <v>0</v>
      </c>
      <c r="AO102" s="41"/>
      <c r="AP102" s="129" t="s">
        <v>82</v>
      </c>
      <c r="AQ102" s="11" t="s">
        <v>65</v>
      </c>
      <c r="AR102" s="45">
        <v>0</v>
      </c>
      <c r="AS102" s="45">
        <v>0</v>
      </c>
      <c r="AT102" s="45">
        <v>0</v>
      </c>
      <c r="AU102" s="45">
        <v>0</v>
      </c>
      <c r="AV102" s="41"/>
      <c r="AX102" s="46">
        <v>0</v>
      </c>
      <c r="AY102" s="46">
        <v>0</v>
      </c>
      <c r="AZ102" s="46">
        <v>0</v>
      </c>
      <c r="BB102" s="13">
        <v>0</v>
      </c>
      <c r="BC102" s="13">
        <v>0</v>
      </c>
      <c r="BD102" s="13">
        <v>0</v>
      </c>
      <c r="BE102" s="45">
        <v>0</v>
      </c>
    </row>
    <row r="103" spans="1:57" ht="14.5" customHeight="1" x14ac:dyDescent="0.35">
      <c r="A103" s="6"/>
      <c r="B103" s="130"/>
      <c r="C103" s="11" t="s">
        <v>66</v>
      </c>
      <c r="D103" s="13">
        <v>0</v>
      </c>
      <c r="E103" s="13">
        <v>0</v>
      </c>
      <c r="F103" s="13">
        <v>0</v>
      </c>
      <c r="G103" s="13">
        <v>0</v>
      </c>
      <c r="H103" s="41"/>
      <c r="I103" s="13">
        <v>0</v>
      </c>
      <c r="J103" s="13">
        <v>0</v>
      </c>
      <c r="K103" s="13">
        <v>0</v>
      </c>
      <c r="L103" s="13">
        <v>0</v>
      </c>
      <c r="M103" s="41"/>
      <c r="N103" s="13">
        <v>0</v>
      </c>
      <c r="O103" s="13">
        <v>0</v>
      </c>
      <c r="P103" s="13">
        <v>0</v>
      </c>
      <c r="Q103" s="13">
        <v>0</v>
      </c>
      <c r="R103" s="41"/>
      <c r="S103" s="13">
        <v>0</v>
      </c>
      <c r="T103" s="13">
        <v>0</v>
      </c>
      <c r="U103" s="13">
        <v>0</v>
      </c>
      <c r="V103" s="13">
        <v>0</v>
      </c>
      <c r="W103" s="41"/>
      <c r="X103" s="13">
        <v>0</v>
      </c>
      <c r="Y103" s="13">
        <v>0</v>
      </c>
      <c r="Z103" s="41"/>
      <c r="AA103" s="45">
        <v>0</v>
      </c>
      <c r="AB103" s="45">
        <v>0</v>
      </c>
      <c r="AC103" s="45">
        <v>0</v>
      </c>
      <c r="AD103" s="13">
        <v>0</v>
      </c>
      <c r="AE103" s="41"/>
      <c r="AF103" s="45">
        <v>0</v>
      </c>
      <c r="AG103" s="45">
        <v>0</v>
      </c>
      <c r="AH103" s="45">
        <v>0</v>
      </c>
      <c r="AI103" s="13">
        <v>0</v>
      </c>
      <c r="AJ103" s="41"/>
      <c r="AK103" s="45">
        <v>0</v>
      </c>
      <c r="AL103" s="45">
        <v>0</v>
      </c>
      <c r="AM103" s="45">
        <v>0</v>
      </c>
      <c r="AN103" s="13">
        <v>0</v>
      </c>
      <c r="AO103" s="41"/>
      <c r="AP103" s="130"/>
      <c r="AQ103" s="11" t="s">
        <v>66</v>
      </c>
      <c r="AR103" s="13">
        <v>0</v>
      </c>
      <c r="AS103" s="13">
        <v>0</v>
      </c>
      <c r="AT103" s="45">
        <v>0</v>
      </c>
      <c r="AU103" s="45">
        <v>0</v>
      </c>
      <c r="AV103" s="41"/>
      <c r="AX103" s="46"/>
      <c r="AY103" s="46"/>
      <c r="AZ103" s="46"/>
      <c r="BB103" s="13"/>
      <c r="BC103" s="13"/>
      <c r="BD103" s="13"/>
      <c r="BE103" s="45"/>
    </row>
    <row r="104" spans="1:57" ht="14.5" customHeight="1" x14ac:dyDescent="0.35">
      <c r="A104" s="6"/>
      <c r="B104" s="130"/>
      <c r="C104" s="11" t="s">
        <v>67</v>
      </c>
      <c r="D104" s="13">
        <v>0</v>
      </c>
      <c r="E104" s="13">
        <v>0</v>
      </c>
      <c r="F104" s="13">
        <v>0</v>
      </c>
      <c r="G104" s="13">
        <v>0</v>
      </c>
      <c r="H104" s="41"/>
      <c r="I104" s="13">
        <v>0</v>
      </c>
      <c r="J104" s="13">
        <v>0</v>
      </c>
      <c r="K104" s="13">
        <v>0</v>
      </c>
      <c r="L104" s="13">
        <v>0</v>
      </c>
      <c r="M104" s="41"/>
      <c r="N104" s="13">
        <v>0</v>
      </c>
      <c r="O104" s="13">
        <v>0</v>
      </c>
      <c r="P104" s="13">
        <v>0</v>
      </c>
      <c r="Q104" s="13">
        <v>0</v>
      </c>
      <c r="R104" s="41"/>
      <c r="S104" s="13">
        <v>0</v>
      </c>
      <c r="T104" s="13">
        <v>0</v>
      </c>
      <c r="U104" s="13">
        <v>0</v>
      </c>
      <c r="V104" s="13">
        <v>0</v>
      </c>
      <c r="W104" s="41"/>
      <c r="X104" s="13">
        <v>0</v>
      </c>
      <c r="Y104" s="13">
        <v>0</v>
      </c>
      <c r="Z104" s="41"/>
      <c r="AA104" s="45">
        <v>0</v>
      </c>
      <c r="AB104" s="45">
        <v>0</v>
      </c>
      <c r="AC104" s="45">
        <v>0</v>
      </c>
      <c r="AD104" s="13">
        <v>0</v>
      </c>
      <c r="AE104" s="41"/>
      <c r="AF104" s="45">
        <v>0</v>
      </c>
      <c r="AG104" s="45">
        <v>0</v>
      </c>
      <c r="AH104" s="45">
        <v>0</v>
      </c>
      <c r="AI104" s="13">
        <v>0</v>
      </c>
      <c r="AJ104" s="41"/>
      <c r="AK104" s="45">
        <v>0</v>
      </c>
      <c r="AL104" s="45">
        <v>0</v>
      </c>
      <c r="AM104" s="45">
        <v>0</v>
      </c>
      <c r="AN104" s="13">
        <v>0</v>
      </c>
      <c r="AO104" s="41"/>
      <c r="AP104" s="130"/>
      <c r="AQ104" s="11" t="s">
        <v>67</v>
      </c>
      <c r="AR104" s="13">
        <v>0</v>
      </c>
      <c r="AS104" s="13">
        <v>0</v>
      </c>
      <c r="AT104" s="45">
        <v>0</v>
      </c>
      <c r="AU104" s="45">
        <v>0</v>
      </c>
      <c r="AV104" s="41"/>
      <c r="AX104" s="46"/>
      <c r="AY104" s="46"/>
      <c r="AZ104" s="46"/>
      <c r="BB104" s="13"/>
      <c r="BC104" s="13"/>
      <c r="BD104" s="13"/>
      <c r="BE104" s="45"/>
    </row>
    <row r="105" spans="1:57" ht="18.5" x14ac:dyDescent="0.35">
      <c r="A105" s="6"/>
      <c r="B105" s="131"/>
      <c r="C105" s="11" t="s">
        <v>69</v>
      </c>
      <c r="D105" s="13">
        <v>0</v>
      </c>
      <c r="E105" s="13">
        <v>0</v>
      </c>
      <c r="F105" s="13">
        <v>0</v>
      </c>
      <c r="G105" s="45">
        <v>0</v>
      </c>
      <c r="H105" s="41"/>
      <c r="I105" s="13">
        <v>0</v>
      </c>
      <c r="J105" s="13">
        <v>0</v>
      </c>
      <c r="K105" s="13">
        <v>0</v>
      </c>
      <c r="L105" s="45">
        <v>0</v>
      </c>
      <c r="M105" s="41"/>
      <c r="N105" s="13">
        <v>0</v>
      </c>
      <c r="O105" s="13">
        <v>0</v>
      </c>
      <c r="P105" s="13">
        <v>0</v>
      </c>
      <c r="Q105" s="45">
        <v>0</v>
      </c>
      <c r="R105" s="41"/>
      <c r="S105" s="13">
        <v>0</v>
      </c>
      <c r="T105" s="13">
        <v>0</v>
      </c>
      <c r="U105" s="13">
        <v>0</v>
      </c>
      <c r="V105" s="45">
        <v>0</v>
      </c>
      <c r="W105" s="41"/>
      <c r="X105" s="13">
        <v>0</v>
      </c>
      <c r="Y105" s="13">
        <v>0</v>
      </c>
      <c r="Z105" s="41"/>
      <c r="AA105" s="45">
        <v>0</v>
      </c>
      <c r="AB105" s="45">
        <v>0</v>
      </c>
      <c r="AC105" s="45">
        <v>0</v>
      </c>
      <c r="AD105" s="45">
        <v>0</v>
      </c>
      <c r="AE105" s="41"/>
      <c r="AF105" s="45">
        <v>0</v>
      </c>
      <c r="AG105" s="45">
        <v>0</v>
      </c>
      <c r="AH105" s="45">
        <v>0</v>
      </c>
      <c r="AI105" s="45">
        <v>0</v>
      </c>
      <c r="AJ105" s="41"/>
      <c r="AK105" s="45">
        <v>0</v>
      </c>
      <c r="AL105" s="45">
        <v>0</v>
      </c>
      <c r="AM105" s="45">
        <v>0</v>
      </c>
      <c r="AN105" s="45">
        <v>0</v>
      </c>
      <c r="AO105" s="41"/>
      <c r="AP105" s="131"/>
      <c r="AQ105" s="11" t="s">
        <v>69</v>
      </c>
      <c r="AR105" s="45">
        <v>0</v>
      </c>
      <c r="AS105" s="45">
        <v>0</v>
      </c>
      <c r="AT105" s="45">
        <v>0</v>
      </c>
      <c r="AU105" s="45">
        <v>0</v>
      </c>
      <c r="AV105" s="41"/>
      <c r="AX105" s="46">
        <v>0</v>
      </c>
      <c r="AY105" s="46">
        <v>0</v>
      </c>
      <c r="AZ105" s="46">
        <v>0</v>
      </c>
      <c r="BB105" s="13">
        <v>0</v>
      </c>
      <c r="BC105" s="13">
        <v>0</v>
      </c>
      <c r="BD105" s="13">
        <v>0</v>
      </c>
      <c r="BE105" s="45">
        <v>0</v>
      </c>
    </row>
    <row r="106" spans="1:57" ht="18.5" x14ac:dyDescent="0.35">
      <c r="A106" s="6"/>
      <c r="B106" s="132"/>
      <c r="C106" s="11" t="s">
        <v>23</v>
      </c>
      <c r="D106" s="45">
        <v>0</v>
      </c>
      <c r="E106" s="13">
        <v>0</v>
      </c>
      <c r="F106" s="45">
        <v>0</v>
      </c>
      <c r="G106" s="45">
        <v>0</v>
      </c>
      <c r="H106" s="41"/>
      <c r="I106" s="45">
        <v>0</v>
      </c>
      <c r="J106" s="13">
        <v>0</v>
      </c>
      <c r="K106" s="45">
        <v>0</v>
      </c>
      <c r="L106" s="45">
        <v>0</v>
      </c>
      <c r="M106" s="41"/>
      <c r="N106" s="45">
        <v>0</v>
      </c>
      <c r="O106" s="13">
        <v>0</v>
      </c>
      <c r="P106" s="45">
        <v>0</v>
      </c>
      <c r="Q106" s="45">
        <v>0</v>
      </c>
      <c r="R106" s="41"/>
      <c r="S106" s="45">
        <v>0</v>
      </c>
      <c r="T106" s="13">
        <v>0</v>
      </c>
      <c r="U106" s="45">
        <v>0</v>
      </c>
      <c r="V106" s="45">
        <v>0</v>
      </c>
      <c r="W106" s="41"/>
      <c r="X106" s="45">
        <v>0</v>
      </c>
      <c r="Y106" s="45">
        <v>0</v>
      </c>
      <c r="Z106" s="41"/>
      <c r="AA106" s="45">
        <v>0</v>
      </c>
      <c r="AB106" s="45">
        <v>0</v>
      </c>
      <c r="AC106" s="45">
        <v>0</v>
      </c>
      <c r="AD106" s="45">
        <v>0</v>
      </c>
      <c r="AE106" s="41"/>
      <c r="AF106" s="45">
        <v>0</v>
      </c>
      <c r="AG106" s="45">
        <v>0</v>
      </c>
      <c r="AH106" s="45">
        <v>0</v>
      </c>
      <c r="AI106" s="45">
        <v>0</v>
      </c>
      <c r="AJ106" s="41"/>
      <c r="AK106" s="45">
        <v>0</v>
      </c>
      <c r="AL106" s="45">
        <v>0</v>
      </c>
      <c r="AM106" s="45">
        <v>0</v>
      </c>
      <c r="AN106" s="45">
        <v>0</v>
      </c>
      <c r="AO106" s="41"/>
      <c r="AP106" s="132"/>
      <c r="AQ106" s="11" t="s">
        <v>23</v>
      </c>
      <c r="AR106" s="45">
        <v>0</v>
      </c>
      <c r="AS106" s="45">
        <v>0</v>
      </c>
      <c r="AT106" s="45">
        <v>0</v>
      </c>
      <c r="AU106" s="45">
        <v>0</v>
      </c>
      <c r="AV106" s="41"/>
      <c r="AX106" s="46"/>
      <c r="AY106" s="46">
        <v>0</v>
      </c>
      <c r="AZ106" s="46"/>
      <c r="BB106" s="45">
        <v>0</v>
      </c>
      <c r="BC106" s="13">
        <v>0</v>
      </c>
      <c r="BD106" s="45">
        <v>0</v>
      </c>
      <c r="BE106" s="45">
        <v>0</v>
      </c>
    </row>
    <row r="107" spans="1:57" customFormat="1" ht="4.5" customHeight="1" x14ac:dyDescent="0.35">
      <c r="A107" s="6"/>
      <c r="B107" s="6"/>
      <c r="C107" s="6"/>
      <c r="D107" s="6"/>
      <c r="E107" s="6"/>
      <c r="F107" s="6"/>
      <c r="G107" s="6"/>
      <c r="H107" s="41"/>
      <c r="I107" s="6"/>
      <c r="J107" s="6"/>
      <c r="K107" s="6"/>
      <c r="L107" s="6"/>
      <c r="M107" s="41"/>
      <c r="N107" s="6"/>
      <c r="O107" s="6"/>
      <c r="P107" s="6"/>
      <c r="Q107" s="6"/>
      <c r="R107" s="41"/>
      <c r="S107" s="6"/>
      <c r="T107" s="6"/>
      <c r="U107" s="6"/>
      <c r="V107" s="6"/>
      <c r="W107" s="41"/>
      <c r="X107" s="6"/>
      <c r="Y107" s="6"/>
      <c r="Z107" s="41"/>
      <c r="AA107" s="6"/>
      <c r="AB107" s="6"/>
      <c r="AC107" s="6"/>
      <c r="AD107" s="6"/>
      <c r="AE107" s="41"/>
      <c r="AF107" s="6"/>
      <c r="AG107" s="6"/>
      <c r="AH107" s="6"/>
      <c r="AI107" s="6"/>
      <c r="AJ107" s="41"/>
      <c r="AK107" s="6"/>
      <c r="AL107" s="6"/>
      <c r="AM107" s="6"/>
      <c r="AN107" s="6"/>
      <c r="AO107" s="41"/>
      <c r="AP107" s="6"/>
      <c r="AQ107" s="6"/>
      <c r="AR107" s="6"/>
      <c r="AS107" s="6"/>
      <c r="AT107" s="6"/>
      <c r="AU107" s="6"/>
      <c r="AV107" s="41"/>
      <c r="BB107" s="6"/>
      <c r="BC107" s="6"/>
      <c r="BD107" s="6"/>
      <c r="BE107" s="6"/>
    </row>
    <row r="108" spans="1:57" ht="14.5" customHeight="1" x14ac:dyDescent="0.35">
      <c r="A108" s="6"/>
      <c r="B108" s="129" t="s">
        <v>15</v>
      </c>
      <c r="C108" s="11" t="s">
        <v>65</v>
      </c>
      <c r="D108" s="13">
        <v>0.12</v>
      </c>
      <c r="E108" s="13">
        <v>0.12</v>
      </c>
      <c r="F108" s="13">
        <v>0.12</v>
      </c>
      <c r="G108" s="45">
        <v>0</v>
      </c>
      <c r="H108" s="41"/>
      <c r="I108" s="13">
        <v>7.4999999999999997E-2</v>
      </c>
      <c r="J108" s="13">
        <v>0.35</v>
      </c>
      <c r="K108" s="13">
        <v>7.4999999999999997E-2</v>
      </c>
      <c r="L108" s="45">
        <v>0</v>
      </c>
      <c r="M108" s="41"/>
      <c r="N108" s="13">
        <v>0.37</v>
      </c>
      <c r="O108" s="13">
        <v>0.37</v>
      </c>
      <c r="P108" s="13">
        <v>0.37</v>
      </c>
      <c r="Q108" s="45">
        <v>0</v>
      </c>
      <c r="R108" s="41"/>
      <c r="S108" s="13">
        <v>0.12</v>
      </c>
      <c r="T108" s="13">
        <v>0.12</v>
      </c>
      <c r="U108" s="13">
        <v>0.12</v>
      </c>
      <c r="V108" s="45">
        <v>0</v>
      </c>
      <c r="W108" s="41"/>
      <c r="X108" s="13">
        <v>0</v>
      </c>
      <c r="Y108" s="13">
        <v>0</v>
      </c>
      <c r="Z108" s="41"/>
      <c r="AA108" s="13">
        <v>0.16999999999999998</v>
      </c>
      <c r="AB108" s="13">
        <v>0.34499999999999997</v>
      </c>
      <c r="AC108" s="13">
        <v>0.16999999999999998</v>
      </c>
      <c r="AD108" s="45">
        <v>0</v>
      </c>
      <c r="AE108" s="41"/>
      <c r="AF108" s="13">
        <v>6.9999999999999993E-2</v>
      </c>
      <c r="AG108" s="13">
        <v>9.5000000000000001E-2</v>
      </c>
      <c r="AH108" s="13">
        <v>6.9999999999999993E-2</v>
      </c>
      <c r="AI108" s="45">
        <v>0</v>
      </c>
      <c r="AJ108" s="41"/>
      <c r="AK108" s="13">
        <v>2.4999999999999994E-2</v>
      </c>
      <c r="AL108" s="13">
        <v>0.32499999999999996</v>
      </c>
      <c r="AM108" s="45">
        <v>0</v>
      </c>
      <c r="AN108" s="45">
        <v>0</v>
      </c>
      <c r="AO108" s="41"/>
      <c r="AP108" s="129" t="s">
        <v>15</v>
      </c>
      <c r="AQ108" s="11" t="s">
        <v>65</v>
      </c>
      <c r="AR108" s="45">
        <v>0</v>
      </c>
      <c r="AS108" s="45">
        <v>0</v>
      </c>
      <c r="AT108" s="45">
        <v>0</v>
      </c>
      <c r="AU108" s="45">
        <v>0</v>
      </c>
      <c r="AV108" s="41"/>
      <c r="AX108" s="46">
        <v>0</v>
      </c>
      <c r="AY108" s="46">
        <v>0</v>
      </c>
      <c r="AZ108" s="46">
        <v>0</v>
      </c>
      <c r="BB108" s="13">
        <v>7.4999999999999997E-2</v>
      </c>
      <c r="BC108" s="13">
        <v>0.3</v>
      </c>
      <c r="BD108" s="13">
        <v>7.4999999999999997E-2</v>
      </c>
      <c r="BE108" s="45">
        <v>0</v>
      </c>
    </row>
    <row r="109" spans="1:57" ht="14.5" customHeight="1" x14ac:dyDescent="0.35">
      <c r="A109" s="6"/>
      <c r="B109" s="130"/>
      <c r="C109" s="11" t="s">
        <v>66</v>
      </c>
      <c r="D109" s="13">
        <v>9.9999999999999992E-2</v>
      </c>
      <c r="E109" s="13">
        <v>9.9999999999999992E-2</v>
      </c>
      <c r="F109" s="13">
        <v>9.9999999999999992E-2</v>
      </c>
      <c r="G109" s="13">
        <v>0</v>
      </c>
      <c r="H109" s="41"/>
      <c r="I109" s="13">
        <v>7.4999999999999997E-2</v>
      </c>
      <c r="J109" s="13">
        <v>0.3</v>
      </c>
      <c r="K109" s="13">
        <v>7.4999999999999997E-2</v>
      </c>
      <c r="L109" s="13">
        <v>0</v>
      </c>
      <c r="M109" s="41"/>
      <c r="N109" s="13">
        <v>0.35</v>
      </c>
      <c r="O109" s="13">
        <v>0.35</v>
      </c>
      <c r="P109" s="13">
        <v>0.35</v>
      </c>
      <c r="Q109" s="13">
        <v>0</v>
      </c>
      <c r="R109" s="41"/>
      <c r="S109" s="13">
        <v>9.9999999999999992E-2</v>
      </c>
      <c r="T109" s="13">
        <v>9.9999999999999992E-2</v>
      </c>
      <c r="U109" s="13">
        <v>9.9999999999999992E-2</v>
      </c>
      <c r="V109" s="13">
        <v>0</v>
      </c>
      <c r="W109" s="41"/>
      <c r="X109" s="13">
        <v>0</v>
      </c>
      <c r="Y109" s="13">
        <v>0</v>
      </c>
      <c r="Z109" s="41"/>
      <c r="AA109" s="13">
        <v>0.15000000000000002</v>
      </c>
      <c r="AB109" s="13">
        <v>0.32499999999999996</v>
      </c>
      <c r="AC109" s="13">
        <v>0.15000000000000002</v>
      </c>
      <c r="AD109" s="13">
        <v>0</v>
      </c>
      <c r="AE109" s="41"/>
      <c r="AF109" s="13">
        <v>4.9999999999999989E-2</v>
      </c>
      <c r="AG109" s="13">
        <v>7.4999999999999983E-2</v>
      </c>
      <c r="AH109" s="13">
        <v>4.9999999999999989E-2</v>
      </c>
      <c r="AI109" s="13">
        <v>0</v>
      </c>
      <c r="AJ109" s="41"/>
      <c r="AK109" s="13">
        <v>2.4999999999999994E-2</v>
      </c>
      <c r="AL109" s="13">
        <v>0.32499999999999996</v>
      </c>
      <c r="AM109" s="13">
        <v>0</v>
      </c>
      <c r="AN109" s="13">
        <v>0</v>
      </c>
      <c r="AO109" s="41"/>
      <c r="AP109" s="130"/>
      <c r="AQ109" s="11" t="s">
        <v>66</v>
      </c>
      <c r="AR109" s="13">
        <v>0</v>
      </c>
      <c r="AS109" s="13">
        <v>0</v>
      </c>
      <c r="AT109" s="45">
        <v>0</v>
      </c>
      <c r="AU109" s="45">
        <v>0</v>
      </c>
      <c r="AV109" s="41"/>
      <c r="AX109" s="46"/>
      <c r="AY109" s="46"/>
      <c r="AZ109" s="46"/>
      <c r="BB109" s="13"/>
      <c r="BC109" s="13"/>
      <c r="BD109" s="13"/>
      <c r="BE109" s="45"/>
    </row>
    <row r="110" spans="1:57" ht="14.5" customHeight="1" x14ac:dyDescent="0.35">
      <c r="A110" s="6"/>
      <c r="B110" s="130"/>
      <c r="C110" s="11" t="s">
        <v>67</v>
      </c>
      <c r="D110" s="13">
        <v>7.9999999999999988E-2</v>
      </c>
      <c r="E110" s="13">
        <v>7.9999999999999988E-2</v>
      </c>
      <c r="F110" s="13">
        <v>7.9999999999999988E-2</v>
      </c>
      <c r="G110" s="13">
        <v>0</v>
      </c>
      <c r="H110" s="41"/>
      <c r="I110" s="13">
        <v>7.4999999999999997E-2</v>
      </c>
      <c r="J110" s="13">
        <v>0.27</v>
      </c>
      <c r="K110" s="13">
        <v>7.4999999999999997E-2</v>
      </c>
      <c r="L110" s="13">
        <v>0</v>
      </c>
      <c r="M110" s="41"/>
      <c r="N110" s="13">
        <v>0.32</v>
      </c>
      <c r="O110" s="13">
        <v>0.32</v>
      </c>
      <c r="P110" s="13">
        <v>0.32</v>
      </c>
      <c r="Q110" s="13">
        <v>0</v>
      </c>
      <c r="R110" s="41"/>
      <c r="S110" s="13">
        <v>7.9999999999999988E-2</v>
      </c>
      <c r="T110" s="13">
        <v>7.9999999999999988E-2</v>
      </c>
      <c r="U110" s="13">
        <v>7.9999999999999988E-2</v>
      </c>
      <c r="V110" s="13">
        <v>0</v>
      </c>
      <c r="W110" s="41"/>
      <c r="X110" s="13">
        <v>0</v>
      </c>
      <c r="Y110" s="13">
        <v>0</v>
      </c>
      <c r="Z110" s="41"/>
      <c r="AA110" s="13">
        <v>0.13</v>
      </c>
      <c r="AB110" s="13">
        <v>0.29499999999999998</v>
      </c>
      <c r="AC110" s="13">
        <v>0.13</v>
      </c>
      <c r="AD110" s="13">
        <v>0</v>
      </c>
      <c r="AE110" s="41"/>
      <c r="AF110" s="13">
        <v>2.9999999999999985E-2</v>
      </c>
      <c r="AG110" s="13">
        <v>5.4999999999999986E-2</v>
      </c>
      <c r="AH110" s="13">
        <v>2.9999999999999985E-2</v>
      </c>
      <c r="AI110" s="13">
        <v>0</v>
      </c>
      <c r="AJ110" s="41"/>
      <c r="AK110" s="13">
        <v>2.4999999999999994E-2</v>
      </c>
      <c r="AL110" s="13">
        <v>0.32499999999999996</v>
      </c>
      <c r="AM110" s="13">
        <v>0</v>
      </c>
      <c r="AN110" s="13">
        <v>0</v>
      </c>
      <c r="AO110" s="41"/>
      <c r="AP110" s="130"/>
      <c r="AQ110" s="11" t="s">
        <v>67</v>
      </c>
      <c r="AR110" s="13">
        <v>0</v>
      </c>
      <c r="AS110" s="13">
        <v>0</v>
      </c>
      <c r="AT110" s="45">
        <v>0</v>
      </c>
      <c r="AU110" s="45">
        <v>0</v>
      </c>
      <c r="AV110" s="41"/>
      <c r="AX110" s="46"/>
      <c r="AY110" s="46"/>
      <c r="AZ110" s="46"/>
      <c r="BB110" s="13"/>
      <c r="BC110" s="13"/>
      <c r="BD110" s="13"/>
      <c r="BE110" s="45"/>
    </row>
    <row r="111" spans="1:57" ht="18.5" x14ac:dyDescent="0.35">
      <c r="A111" s="6"/>
      <c r="B111" s="131"/>
      <c r="C111" s="11" t="s">
        <v>69</v>
      </c>
      <c r="D111" s="13">
        <v>0.1</v>
      </c>
      <c r="E111" s="13">
        <v>0.3</v>
      </c>
      <c r="F111" s="13">
        <v>0.1</v>
      </c>
      <c r="G111" s="45">
        <v>0</v>
      </c>
      <c r="H111" s="41"/>
      <c r="I111" s="13">
        <v>7.4999999999999997E-2</v>
      </c>
      <c r="J111" s="13">
        <v>0.3</v>
      </c>
      <c r="K111" s="13">
        <v>7.4999999999999997E-2</v>
      </c>
      <c r="L111" s="45">
        <v>0</v>
      </c>
      <c r="M111" s="41"/>
      <c r="N111" s="13">
        <v>0.1</v>
      </c>
      <c r="O111" s="13">
        <v>0.3</v>
      </c>
      <c r="P111" s="13">
        <v>0.1</v>
      </c>
      <c r="Q111" s="45">
        <v>0</v>
      </c>
      <c r="R111" s="41"/>
      <c r="S111" s="13">
        <v>0.1</v>
      </c>
      <c r="T111" s="13">
        <v>0.3</v>
      </c>
      <c r="U111" s="13">
        <v>0.1</v>
      </c>
      <c r="V111" s="45">
        <v>0</v>
      </c>
      <c r="W111" s="41"/>
      <c r="X111" s="13">
        <v>0</v>
      </c>
      <c r="Y111" s="13">
        <v>0</v>
      </c>
      <c r="Z111" s="41"/>
      <c r="AA111" s="13">
        <v>0.05</v>
      </c>
      <c r="AB111" s="13">
        <v>0.27499999999999997</v>
      </c>
      <c r="AC111" s="13">
        <v>0.05</v>
      </c>
      <c r="AD111" s="45">
        <v>0</v>
      </c>
      <c r="AE111" s="41"/>
      <c r="AF111" s="13">
        <v>0.05</v>
      </c>
      <c r="AG111" s="13">
        <v>0.27499999999999997</v>
      </c>
      <c r="AH111" s="13">
        <v>0.05</v>
      </c>
      <c r="AI111" s="45">
        <v>0</v>
      </c>
      <c r="AJ111" s="41"/>
      <c r="AK111" s="13">
        <v>2.4999999999999994E-2</v>
      </c>
      <c r="AL111" s="13">
        <v>0.27499999999999997</v>
      </c>
      <c r="AM111" s="45">
        <v>0</v>
      </c>
      <c r="AN111" s="45">
        <v>0</v>
      </c>
      <c r="AO111" s="41"/>
      <c r="AP111" s="131"/>
      <c r="AQ111" s="11" t="s">
        <v>69</v>
      </c>
      <c r="AR111" s="45">
        <v>0</v>
      </c>
      <c r="AS111" s="45">
        <v>0</v>
      </c>
      <c r="AT111" s="45">
        <v>0</v>
      </c>
      <c r="AU111" s="45">
        <v>0</v>
      </c>
      <c r="AV111" s="41"/>
      <c r="AX111" s="46">
        <v>0</v>
      </c>
      <c r="AY111" s="46">
        <v>0</v>
      </c>
      <c r="AZ111" s="46">
        <v>0</v>
      </c>
      <c r="BB111" s="13">
        <v>7.4999999999999997E-2</v>
      </c>
      <c r="BC111" s="13">
        <v>0.3</v>
      </c>
      <c r="BD111" s="13">
        <v>7.4999999999999997E-2</v>
      </c>
      <c r="BE111" s="45">
        <v>0</v>
      </c>
    </row>
    <row r="112" spans="1:57" ht="18.5" x14ac:dyDescent="0.35">
      <c r="A112" s="6"/>
      <c r="B112" s="132"/>
      <c r="C112" s="11" t="s">
        <v>23</v>
      </c>
      <c r="D112" s="45">
        <v>0</v>
      </c>
      <c r="E112" s="13">
        <v>0.1</v>
      </c>
      <c r="F112" s="45">
        <v>0</v>
      </c>
      <c r="G112" s="45">
        <v>0</v>
      </c>
      <c r="H112" s="41"/>
      <c r="I112" s="45">
        <v>0</v>
      </c>
      <c r="J112" s="13">
        <v>0.1</v>
      </c>
      <c r="K112" s="45">
        <v>0</v>
      </c>
      <c r="L112" s="45">
        <v>0</v>
      </c>
      <c r="M112" s="41"/>
      <c r="N112" s="45">
        <v>0</v>
      </c>
      <c r="O112" s="13">
        <v>0.1</v>
      </c>
      <c r="P112" s="45">
        <v>0</v>
      </c>
      <c r="Q112" s="45">
        <v>0</v>
      </c>
      <c r="R112" s="41"/>
      <c r="S112" s="45">
        <v>0</v>
      </c>
      <c r="T112" s="13">
        <v>0.1</v>
      </c>
      <c r="U112" s="45">
        <v>0</v>
      </c>
      <c r="V112" s="45">
        <v>0</v>
      </c>
      <c r="W112" s="41"/>
      <c r="X112" s="45">
        <v>0</v>
      </c>
      <c r="Y112" s="45">
        <v>0</v>
      </c>
      <c r="Z112" s="41"/>
      <c r="AA112" s="45">
        <v>0</v>
      </c>
      <c r="AB112" s="13">
        <v>7.5000000000000011E-2</v>
      </c>
      <c r="AC112" s="45">
        <v>0</v>
      </c>
      <c r="AD112" s="45">
        <v>0</v>
      </c>
      <c r="AE112" s="41"/>
      <c r="AF112" s="45">
        <v>0</v>
      </c>
      <c r="AG112" s="13">
        <v>7.5000000000000011E-2</v>
      </c>
      <c r="AH112" s="45">
        <v>0</v>
      </c>
      <c r="AI112" s="45">
        <v>0</v>
      </c>
      <c r="AJ112" s="41"/>
      <c r="AK112" s="45">
        <v>0</v>
      </c>
      <c r="AL112" s="13">
        <v>7.5000000000000011E-2</v>
      </c>
      <c r="AM112" s="45">
        <v>0</v>
      </c>
      <c r="AN112" s="45">
        <v>0</v>
      </c>
      <c r="AO112" s="41"/>
      <c r="AP112" s="132"/>
      <c r="AQ112" s="11" t="s">
        <v>23</v>
      </c>
      <c r="AR112" s="45">
        <v>0</v>
      </c>
      <c r="AS112" s="45">
        <v>0</v>
      </c>
      <c r="AT112" s="45">
        <v>0</v>
      </c>
      <c r="AU112" s="45">
        <v>0</v>
      </c>
      <c r="AV112" s="41"/>
      <c r="AX112" s="46"/>
      <c r="AY112" s="46">
        <v>0</v>
      </c>
      <c r="AZ112" s="46"/>
      <c r="BB112" s="45">
        <v>0</v>
      </c>
      <c r="BC112" s="13">
        <v>0.1</v>
      </c>
      <c r="BD112" s="45">
        <v>0</v>
      </c>
      <c r="BE112" s="45">
        <v>0</v>
      </c>
    </row>
    <row r="113" spans="1:57" customFormat="1" ht="4.5" customHeight="1" x14ac:dyDescent="0.35">
      <c r="A113" s="6"/>
      <c r="B113" s="6"/>
      <c r="C113" s="6"/>
      <c r="D113" s="6"/>
      <c r="E113" s="6"/>
      <c r="F113" s="6"/>
      <c r="G113" s="6"/>
      <c r="H113" s="41"/>
      <c r="I113" s="6"/>
      <c r="J113" s="6"/>
      <c r="K113" s="6"/>
      <c r="L113" s="6"/>
      <c r="M113" s="41"/>
      <c r="N113" s="6"/>
      <c r="O113" s="6"/>
      <c r="P113" s="6"/>
      <c r="Q113" s="6"/>
      <c r="R113" s="41"/>
      <c r="S113" s="6"/>
      <c r="T113" s="6"/>
      <c r="U113" s="6"/>
      <c r="V113" s="6"/>
      <c r="W113" s="41"/>
      <c r="X113" s="6"/>
      <c r="Y113" s="6"/>
      <c r="Z113" s="41"/>
      <c r="AA113" s="6"/>
      <c r="AB113" s="6"/>
      <c r="AC113" s="6"/>
      <c r="AD113" s="6"/>
      <c r="AE113" s="41"/>
      <c r="AF113" s="6"/>
      <c r="AG113" s="6"/>
      <c r="AH113" s="6"/>
      <c r="AI113" s="6"/>
      <c r="AJ113" s="41"/>
      <c r="AK113" s="6"/>
      <c r="AL113" s="6"/>
      <c r="AM113" s="6"/>
      <c r="AN113" s="6"/>
      <c r="AO113" s="41"/>
      <c r="AP113" s="6"/>
      <c r="AQ113" s="6"/>
      <c r="AR113" s="6"/>
      <c r="AS113" s="6"/>
      <c r="AT113" s="6"/>
      <c r="AU113" s="6"/>
      <c r="AV113" s="41"/>
      <c r="BB113" s="6"/>
      <c r="BC113" s="6"/>
      <c r="BD113" s="6"/>
      <c r="BE113" s="6"/>
    </row>
    <row r="114" spans="1:57" ht="14.5" customHeight="1" x14ac:dyDescent="0.35">
      <c r="A114" s="6"/>
      <c r="B114" s="129" t="s">
        <v>83</v>
      </c>
      <c r="C114" s="11" t="s">
        <v>65</v>
      </c>
      <c r="D114" s="13">
        <v>0</v>
      </c>
      <c r="E114" s="13">
        <v>0</v>
      </c>
      <c r="F114" s="13">
        <v>0</v>
      </c>
      <c r="G114" s="45">
        <v>0</v>
      </c>
      <c r="H114" s="41"/>
      <c r="I114" s="13">
        <v>7.4999999999999997E-2</v>
      </c>
      <c r="J114" s="13">
        <v>0.35</v>
      </c>
      <c r="K114" s="13">
        <v>7.4999999999999997E-2</v>
      </c>
      <c r="L114" s="45">
        <v>0</v>
      </c>
      <c r="M114" s="41"/>
      <c r="N114" s="13">
        <v>0</v>
      </c>
      <c r="O114" s="13">
        <v>0</v>
      </c>
      <c r="P114" s="13">
        <v>0</v>
      </c>
      <c r="Q114" s="45">
        <v>0</v>
      </c>
      <c r="R114" s="41"/>
      <c r="S114" s="13">
        <v>0</v>
      </c>
      <c r="T114" s="13">
        <v>0</v>
      </c>
      <c r="U114" s="13">
        <v>0</v>
      </c>
      <c r="V114" s="45">
        <v>0</v>
      </c>
      <c r="W114" s="41"/>
      <c r="X114" s="13">
        <v>0</v>
      </c>
      <c r="Y114" s="13">
        <v>0</v>
      </c>
      <c r="Z114" s="41"/>
      <c r="AA114" s="45">
        <v>0</v>
      </c>
      <c r="AB114" s="45">
        <v>0</v>
      </c>
      <c r="AC114" s="45">
        <v>0</v>
      </c>
      <c r="AD114" s="45">
        <v>0</v>
      </c>
      <c r="AE114" s="41"/>
      <c r="AF114" s="45">
        <v>0</v>
      </c>
      <c r="AG114" s="45">
        <v>0</v>
      </c>
      <c r="AH114" s="45">
        <v>0</v>
      </c>
      <c r="AI114" s="45">
        <v>0</v>
      </c>
      <c r="AJ114" s="41"/>
      <c r="AK114" s="13">
        <v>2.4999999999999994E-2</v>
      </c>
      <c r="AL114" s="13">
        <v>0.2</v>
      </c>
      <c r="AM114" s="45">
        <v>0</v>
      </c>
      <c r="AN114" s="45">
        <v>0</v>
      </c>
      <c r="AO114" s="41"/>
      <c r="AP114" s="129" t="s">
        <v>16</v>
      </c>
      <c r="AQ114" s="11" t="s">
        <v>65</v>
      </c>
      <c r="AR114" s="45">
        <v>0</v>
      </c>
      <c r="AS114" s="45">
        <v>0</v>
      </c>
      <c r="AT114" s="45">
        <v>0</v>
      </c>
      <c r="AU114" s="45">
        <v>0</v>
      </c>
      <c r="AV114" s="41"/>
      <c r="AX114" s="46">
        <v>0</v>
      </c>
      <c r="AY114" s="46">
        <v>0</v>
      </c>
      <c r="AZ114" s="46">
        <v>0</v>
      </c>
      <c r="BB114" s="13">
        <v>7.4999999999999997E-2</v>
      </c>
      <c r="BC114" s="13">
        <v>0.3</v>
      </c>
      <c r="BD114" s="13">
        <v>7.4999999999999997E-2</v>
      </c>
      <c r="BE114" s="45">
        <v>0</v>
      </c>
    </row>
    <row r="115" spans="1:57" ht="14.5" customHeight="1" x14ac:dyDescent="0.35">
      <c r="A115" s="6"/>
      <c r="B115" s="130"/>
      <c r="C115" s="11" t="s">
        <v>66</v>
      </c>
      <c r="D115" s="13">
        <v>0</v>
      </c>
      <c r="E115" s="13">
        <v>0</v>
      </c>
      <c r="F115" s="13">
        <v>0</v>
      </c>
      <c r="G115" s="13">
        <v>0</v>
      </c>
      <c r="H115" s="41"/>
      <c r="I115" s="13">
        <v>7.4999999999999997E-2</v>
      </c>
      <c r="J115" s="13">
        <v>0.3</v>
      </c>
      <c r="K115" s="13">
        <v>7.4999999999999997E-2</v>
      </c>
      <c r="L115" s="13">
        <v>0</v>
      </c>
      <c r="M115" s="41"/>
      <c r="N115" s="13">
        <v>0</v>
      </c>
      <c r="O115" s="13">
        <v>0</v>
      </c>
      <c r="P115" s="13">
        <v>0</v>
      </c>
      <c r="Q115" s="13">
        <v>0</v>
      </c>
      <c r="R115" s="41"/>
      <c r="S115" s="13">
        <v>0</v>
      </c>
      <c r="T115" s="13">
        <v>0</v>
      </c>
      <c r="U115" s="13">
        <v>0</v>
      </c>
      <c r="V115" s="13">
        <v>0</v>
      </c>
      <c r="W115" s="41"/>
      <c r="X115" s="13">
        <v>0</v>
      </c>
      <c r="Y115" s="13">
        <v>0</v>
      </c>
      <c r="Z115" s="41"/>
      <c r="AA115" s="45">
        <v>0</v>
      </c>
      <c r="AB115" s="45">
        <v>0</v>
      </c>
      <c r="AC115" s="45">
        <v>0</v>
      </c>
      <c r="AD115" s="13">
        <v>0</v>
      </c>
      <c r="AE115" s="41"/>
      <c r="AF115" s="45">
        <v>0</v>
      </c>
      <c r="AG115" s="45">
        <v>0</v>
      </c>
      <c r="AH115" s="45">
        <v>0</v>
      </c>
      <c r="AI115" s="13">
        <v>0</v>
      </c>
      <c r="AJ115" s="41"/>
      <c r="AK115" s="13">
        <v>2.4999999999999994E-2</v>
      </c>
      <c r="AL115" s="13">
        <v>0.2</v>
      </c>
      <c r="AM115" s="13">
        <v>0</v>
      </c>
      <c r="AN115" s="13">
        <v>0</v>
      </c>
      <c r="AO115" s="41"/>
      <c r="AP115" s="130"/>
      <c r="AQ115" s="11" t="s">
        <v>66</v>
      </c>
      <c r="AR115" s="13">
        <v>0</v>
      </c>
      <c r="AS115" s="13">
        <v>0</v>
      </c>
      <c r="AT115" s="45">
        <v>0</v>
      </c>
      <c r="AU115" s="45">
        <v>0</v>
      </c>
      <c r="AV115" s="41"/>
      <c r="AX115" s="46"/>
      <c r="AY115" s="46"/>
      <c r="AZ115" s="46"/>
      <c r="BB115" s="13"/>
      <c r="BC115" s="13"/>
      <c r="BD115" s="13"/>
      <c r="BE115" s="45"/>
    </row>
    <row r="116" spans="1:57" ht="14.5" customHeight="1" x14ac:dyDescent="0.35">
      <c r="A116" s="6"/>
      <c r="B116" s="130"/>
      <c r="C116" s="11" t="s">
        <v>67</v>
      </c>
      <c r="D116" s="13">
        <v>0</v>
      </c>
      <c r="E116" s="13">
        <v>0</v>
      </c>
      <c r="F116" s="13">
        <v>0</v>
      </c>
      <c r="G116" s="13">
        <v>0</v>
      </c>
      <c r="H116" s="41"/>
      <c r="I116" s="13">
        <v>7.4999999999999997E-2</v>
      </c>
      <c r="J116" s="13">
        <v>0.27</v>
      </c>
      <c r="K116" s="13">
        <v>7.4999999999999997E-2</v>
      </c>
      <c r="L116" s="13">
        <v>0</v>
      </c>
      <c r="M116" s="41"/>
      <c r="N116" s="13">
        <v>0</v>
      </c>
      <c r="O116" s="13">
        <v>0</v>
      </c>
      <c r="P116" s="13">
        <v>0</v>
      </c>
      <c r="Q116" s="13">
        <v>0</v>
      </c>
      <c r="R116" s="41"/>
      <c r="S116" s="13">
        <v>0</v>
      </c>
      <c r="T116" s="13">
        <v>0</v>
      </c>
      <c r="U116" s="13">
        <v>0</v>
      </c>
      <c r="V116" s="13">
        <v>0</v>
      </c>
      <c r="W116" s="41"/>
      <c r="X116" s="13">
        <v>0</v>
      </c>
      <c r="Y116" s="13">
        <v>0</v>
      </c>
      <c r="Z116" s="41"/>
      <c r="AA116" s="45">
        <v>0</v>
      </c>
      <c r="AB116" s="45">
        <v>0</v>
      </c>
      <c r="AC116" s="45">
        <v>0</v>
      </c>
      <c r="AD116" s="13">
        <v>0</v>
      </c>
      <c r="AE116" s="41"/>
      <c r="AF116" s="45">
        <v>0</v>
      </c>
      <c r="AG116" s="45">
        <v>0</v>
      </c>
      <c r="AH116" s="45">
        <v>0</v>
      </c>
      <c r="AI116" s="13">
        <v>0</v>
      </c>
      <c r="AJ116" s="41"/>
      <c r="AK116" s="13">
        <v>2.4999999999999994E-2</v>
      </c>
      <c r="AL116" s="13">
        <v>0.2</v>
      </c>
      <c r="AM116" s="13">
        <v>0</v>
      </c>
      <c r="AN116" s="13">
        <v>0</v>
      </c>
      <c r="AO116" s="41"/>
      <c r="AP116" s="130"/>
      <c r="AQ116" s="11" t="s">
        <v>67</v>
      </c>
      <c r="AR116" s="13">
        <v>0</v>
      </c>
      <c r="AS116" s="13">
        <v>0</v>
      </c>
      <c r="AT116" s="45">
        <v>0</v>
      </c>
      <c r="AU116" s="45">
        <v>0</v>
      </c>
      <c r="AV116" s="41"/>
      <c r="AX116" s="46"/>
      <c r="AY116" s="46"/>
      <c r="AZ116" s="46"/>
      <c r="BB116" s="13"/>
      <c r="BC116" s="13"/>
      <c r="BD116" s="13"/>
      <c r="BE116" s="45"/>
    </row>
    <row r="117" spans="1:57" ht="18.5" x14ac:dyDescent="0.35">
      <c r="A117" s="6"/>
      <c r="B117" s="131"/>
      <c r="C117" s="11" t="s">
        <v>69</v>
      </c>
      <c r="D117" s="13">
        <v>0</v>
      </c>
      <c r="E117" s="13">
        <v>0</v>
      </c>
      <c r="F117" s="13">
        <v>0</v>
      </c>
      <c r="G117" s="45">
        <v>0</v>
      </c>
      <c r="H117" s="41"/>
      <c r="I117" s="13">
        <v>7.4999999999999997E-2</v>
      </c>
      <c r="J117" s="13">
        <v>0</v>
      </c>
      <c r="K117" s="13">
        <v>7.4999999999999997E-2</v>
      </c>
      <c r="L117" s="45">
        <v>0</v>
      </c>
      <c r="M117" s="41"/>
      <c r="N117" s="13">
        <v>0.1</v>
      </c>
      <c r="O117" s="13">
        <v>0.22500000000000001</v>
      </c>
      <c r="P117" s="13">
        <v>0.1</v>
      </c>
      <c r="Q117" s="45">
        <v>0</v>
      </c>
      <c r="R117" s="41"/>
      <c r="S117" s="13">
        <v>0</v>
      </c>
      <c r="T117" s="13">
        <v>0</v>
      </c>
      <c r="U117" s="13">
        <v>0</v>
      </c>
      <c r="V117" s="45">
        <v>0</v>
      </c>
      <c r="W117" s="41"/>
      <c r="X117" s="13">
        <v>0</v>
      </c>
      <c r="Y117" s="13">
        <v>0</v>
      </c>
      <c r="Z117" s="41"/>
      <c r="AA117" s="13">
        <v>0.05</v>
      </c>
      <c r="AB117" s="45">
        <v>0</v>
      </c>
      <c r="AC117" s="13">
        <v>0.05</v>
      </c>
      <c r="AD117" s="45">
        <v>0</v>
      </c>
      <c r="AE117" s="41"/>
      <c r="AF117" s="45">
        <v>0</v>
      </c>
      <c r="AG117" s="45">
        <v>0</v>
      </c>
      <c r="AH117" s="45">
        <v>0</v>
      </c>
      <c r="AI117" s="45">
        <v>0</v>
      </c>
      <c r="AJ117" s="41"/>
      <c r="AK117" s="13">
        <v>2.4999999999999994E-2</v>
      </c>
      <c r="AL117" s="13">
        <v>0.2</v>
      </c>
      <c r="AM117" s="45">
        <v>0</v>
      </c>
      <c r="AN117" s="45">
        <v>0</v>
      </c>
      <c r="AO117" s="41"/>
      <c r="AP117" s="131"/>
      <c r="AQ117" s="11" t="s">
        <v>69</v>
      </c>
      <c r="AR117" s="45">
        <v>0</v>
      </c>
      <c r="AS117" s="45">
        <v>0</v>
      </c>
      <c r="AT117" s="45">
        <v>0</v>
      </c>
      <c r="AU117" s="45">
        <v>0</v>
      </c>
      <c r="AV117" s="41"/>
      <c r="AX117" s="46">
        <v>0</v>
      </c>
      <c r="AY117" s="46">
        <v>0</v>
      </c>
      <c r="AZ117" s="46">
        <v>0</v>
      </c>
      <c r="BB117" s="13">
        <v>7.4999999999999997E-2</v>
      </c>
      <c r="BC117" s="13">
        <v>0.3</v>
      </c>
      <c r="BD117" s="13">
        <v>7.4999999999999997E-2</v>
      </c>
      <c r="BE117" s="45">
        <v>0</v>
      </c>
    </row>
    <row r="118" spans="1:57" ht="18.5" x14ac:dyDescent="0.35">
      <c r="A118" s="6"/>
      <c r="B118" s="132"/>
      <c r="C118" s="11" t="s">
        <v>23</v>
      </c>
      <c r="D118" s="45">
        <v>0</v>
      </c>
      <c r="E118" s="13">
        <v>0</v>
      </c>
      <c r="F118" s="45">
        <v>0</v>
      </c>
      <c r="G118" s="45">
        <v>0</v>
      </c>
      <c r="H118" s="41"/>
      <c r="I118" s="45">
        <v>0</v>
      </c>
      <c r="J118" s="13">
        <v>0</v>
      </c>
      <c r="K118" s="45">
        <v>0</v>
      </c>
      <c r="L118" s="45">
        <v>0</v>
      </c>
      <c r="M118" s="41"/>
      <c r="N118" s="45">
        <v>0</v>
      </c>
      <c r="O118" s="13">
        <v>0</v>
      </c>
      <c r="P118" s="45">
        <v>0</v>
      </c>
      <c r="Q118" s="45">
        <v>0</v>
      </c>
      <c r="R118" s="41"/>
      <c r="S118" s="45">
        <v>0</v>
      </c>
      <c r="T118" s="13">
        <v>0</v>
      </c>
      <c r="U118" s="45">
        <v>0</v>
      </c>
      <c r="V118" s="45">
        <v>0</v>
      </c>
      <c r="W118" s="41"/>
      <c r="X118" s="45">
        <v>0</v>
      </c>
      <c r="Y118" s="45">
        <v>0</v>
      </c>
      <c r="Z118" s="41"/>
      <c r="AA118" s="45">
        <v>0</v>
      </c>
      <c r="AB118" s="45">
        <v>0</v>
      </c>
      <c r="AC118" s="45">
        <v>0</v>
      </c>
      <c r="AD118" s="45">
        <v>0</v>
      </c>
      <c r="AE118" s="41"/>
      <c r="AF118" s="45">
        <v>0</v>
      </c>
      <c r="AG118" s="45">
        <v>0</v>
      </c>
      <c r="AH118" s="45">
        <v>0</v>
      </c>
      <c r="AI118" s="45">
        <v>0</v>
      </c>
      <c r="AJ118" s="41"/>
      <c r="AK118" s="45">
        <v>0</v>
      </c>
      <c r="AL118" s="13">
        <v>0</v>
      </c>
      <c r="AM118" s="45">
        <v>0</v>
      </c>
      <c r="AN118" s="45">
        <v>0</v>
      </c>
      <c r="AO118" s="41"/>
      <c r="AP118" s="132"/>
      <c r="AQ118" s="11" t="s">
        <v>23</v>
      </c>
      <c r="AR118" s="45">
        <v>0</v>
      </c>
      <c r="AS118" s="45">
        <v>0</v>
      </c>
      <c r="AT118" s="45">
        <v>0</v>
      </c>
      <c r="AU118" s="45">
        <v>0</v>
      </c>
      <c r="AV118" s="41"/>
      <c r="AX118" s="46"/>
      <c r="AY118" s="46">
        <v>0</v>
      </c>
      <c r="AZ118" s="46"/>
      <c r="BB118" s="45">
        <v>0</v>
      </c>
      <c r="BC118" s="13">
        <v>0</v>
      </c>
      <c r="BD118" s="45">
        <v>0</v>
      </c>
      <c r="BE118" s="45">
        <v>0</v>
      </c>
    </row>
    <row r="119" spans="1:57" customFormat="1" ht="4.5" customHeight="1" x14ac:dyDescent="0.35">
      <c r="A119" s="6"/>
      <c r="B119" s="6"/>
      <c r="C119" s="6"/>
      <c r="D119" s="6"/>
      <c r="E119" s="6"/>
      <c r="F119" s="6"/>
      <c r="G119" s="6"/>
      <c r="H119" s="41"/>
      <c r="I119" s="6"/>
      <c r="J119" s="6"/>
      <c r="K119" s="6"/>
      <c r="L119" s="6"/>
      <c r="M119" s="41"/>
      <c r="N119" s="6"/>
      <c r="O119" s="6"/>
      <c r="P119" s="6"/>
      <c r="Q119" s="6"/>
      <c r="R119" s="41"/>
      <c r="S119" s="6"/>
      <c r="T119" s="6"/>
      <c r="U119" s="6"/>
      <c r="V119" s="6"/>
      <c r="W119" s="41"/>
      <c r="X119" s="6"/>
      <c r="Y119" s="6"/>
      <c r="Z119" s="41"/>
      <c r="AA119" s="6"/>
      <c r="AB119" s="6"/>
      <c r="AC119" s="6"/>
      <c r="AD119" s="6"/>
      <c r="AE119" s="41"/>
      <c r="AF119" s="6"/>
      <c r="AG119" s="6"/>
      <c r="AH119" s="6"/>
      <c r="AI119" s="6"/>
      <c r="AJ119" s="41"/>
      <c r="AK119" s="6"/>
      <c r="AL119" s="6"/>
      <c r="AM119" s="6"/>
      <c r="AN119" s="6"/>
      <c r="AO119" s="41"/>
      <c r="AP119" s="6"/>
      <c r="AQ119" s="6"/>
      <c r="AR119" s="6"/>
      <c r="AS119" s="6"/>
      <c r="AT119" s="6"/>
      <c r="AU119" s="6"/>
      <c r="AV119" s="41"/>
      <c r="BB119" s="6"/>
      <c r="BC119" s="6"/>
      <c r="BD119" s="6"/>
      <c r="BE119" s="6"/>
    </row>
    <row r="120" spans="1:57" ht="14.5" customHeight="1" x14ac:dyDescent="0.35">
      <c r="A120" s="6"/>
      <c r="B120" s="129" t="s">
        <v>14</v>
      </c>
      <c r="C120" s="11" t="s">
        <v>65</v>
      </c>
      <c r="D120" s="13">
        <v>0</v>
      </c>
      <c r="E120" s="13">
        <v>0</v>
      </c>
      <c r="F120" s="13">
        <v>0</v>
      </c>
      <c r="G120" s="45">
        <v>0</v>
      </c>
      <c r="H120" s="41"/>
      <c r="I120" s="13">
        <v>7.4999999999999997E-2</v>
      </c>
      <c r="J120" s="13">
        <v>0.35</v>
      </c>
      <c r="K120" s="13">
        <v>7.4999999999999997E-2</v>
      </c>
      <c r="L120" s="45">
        <v>0</v>
      </c>
      <c r="M120" s="41"/>
      <c r="N120" s="13">
        <v>0.37</v>
      </c>
      <c r="O120" s="13">
        <v>0.37</v>
      </c>
      <c r="P120" s="13">
        <v>0.37</v>
      </c>
      <c r="Q120" s="45">
        <v>0</v>
      </c>
      <c r="R120" s="41"/>
      <c r="S120" s="13">
        <v>0</v>
      </c>
      <c r="T120" s="13">
        <v>0</v>
      </c>
      <c r="U120" s="13">
        <v>0</v>
      </c>
      <c r="V120" s="45">
        <v>0</v>
      </c>
      <c r="W120" s="41"/>
      <c r="X120" s="13">
        <v>0</v>
      </c>
      <c r="Y120" s="13">
        <v>0</v>
      </c>
      <c r="Z120" s="41"/>
      <c r="AA120" s="45">
        <v>0</v>
      </c>
      <c r="AB120" s="13">
        <v>0.34499999999999997</v>
      </c>
      <c r="AC120" s="45">
        <v>0</v>
      </c>
      <c r="AD120" s="45">
        <v>0</v>
      </c>
      <c r="AE120" s="41"/>
      <c r="AF120" s="45">
        <v>0</v>
      </c>
      <c r="AG120" s="13">
        <v>0.27499999999999997</v>
      </c>
      <c r="AH120" s="45">
        <v>0</v>
      </c>
      <c r="AI120" s="45">
        <v>0</v>
      </c>
      <c r="AJ120" s="41"/>
      <c r="AK120" s="13">
        <v>2.4999999999999994E-2</v>
      </c>
      <c r="AL120" s="13">
        <v>0.32499999999999996</v>
      </c>
      <c r="AM120" s="45">
        <v>0</v>
      </c>
      <c r="AN120" s="45">
        <v>0</v>
      </c>
      <c r="AO120" s="41"/>
      <c r="AP120" s="129" t="s">
        <v>14</v>
      </c>
      <c r="AQ120" s="11" t="s">
        <v>65</v>
      </c>
      <c r="AR120" s="45">
        <v>0</v>
      </c>
      <c r="AS120" s="45">
        <v>0</v>
      </c>
      <c r="AT120" s="45">
        <v>0</v>
      </c>
      <c r="AU120" s="45">
        <v>0</v>
      </c>
      <c r="AV120" s="41"/>
      <c r="AX120" s="46">
        <v>0</v>
      </c>
      <c r="AY120" s="46">
        <v>0.3</v>
      </c>
      <c r="AZ120" s="46">
        <v>0</v>
      </c>
      <c r="BB120" s="13">
        <v>7.4999999999999997E-2</v>
      </c>
      <c r="BC120" s="13">
        <v>0.3</v>
      </c>
      <c r="BD120" s="13">
        <v>7.4999999999999997E-2</v>
      </c>
      <c r="BE120" s="45">
        <v>0</v>
      </c>
    </row>
    <row r="121" spans="1:57" ht="14.5" customHeight="1" x14ac:dyDescent="0.35">
      <c r="A121" s="6"/>
      <c r="B121" s="130"/>
      <c r="C121" s="11" t="s">
        <v>66</v>
      </c>
      <c r="D121" s="13">
        <v>0</v>
      </c>
      <c r="E121" s="13">
        <v>0</v>
      </c>
      <c r="F121" s="13">
        <v>0</v>
      </c>
      <c r="G121" s="13">
        <v>0</v>
      </c>
      <c r="H121" s="41"/>
      <c r="I121" s="13">
        <v>7.4999999999999997E-2</v>
      </c>
      <c r="J121" s="13">
        <v>0.3</v>
      </c>
      <c r="K121" s="13">
        <v>7.4999999999999997E-2</v>
      </c>
      <c r="L121" s="13">
        <v>0</v>
      </c>
      <c r="M121" s="41"/>
      <c r="N121" s="13">
        <v>0.35</v>
      </c>
      <c r="O121" s="13">
        <v>0.35</v>
      </c>
      <c r="P121" s="13">
        <v>0.35</v>
      </c>
      <c r="Q121" s="13">
        <v>0</v>
      </c>
      <c r="R121" s="41"/>
      <c r="S121" s="13">
        <v>0</v>
      </c>
      <c r="T121" s="13">
        <v>0</v>
      </c>
      <c r="U121" s="13">
        <v>0</v>
      </c>
      <c r="V121" s="13">
        <v>0</v>
      </c>
      <c r="W121" s="41"/>
      <c r="X121" s="13">
        <v>0</v>
      </c>
      <c r="Y121" s="13">
        <v>0</v>
      </c>
      <c r="Z121" s="41"/>
      <c r="AA121" s="45">
        <v>0</v>
      </c>
      <c r="AB121" s="13">
        <v>0.32499999999999996</v>
      </c>
      <c r="AC121" s="45">
        <v>0</v>
      </c>
      <c r="AD121" s="13">
        <v>0</v>
      </c>
      <c r="AE121" s="41"/>
      <c r="AF121" s="45">
        <v>0</v>
      </c>
      <c r="AG121" s="13">
        <v>0.27499999999999997</v>
      </c>
      <c r="AH121" s="45">
        <v>0</v>
      </c>
      <c r="AI121" s="13">
        <v>0</v>
      </c>
      <c r="AJ121" s="41"/>
      <c r="AK121" s="13">
        <v>2.4999999999999994E-2</v>
      </c>
      <c r="AL121" s="13">
        <v>0.32499999999999996</v>
      </c>
      <c r="AM121" s="13">
        <v>0</v>
      </c>
      <c r="AN121" s="13">
        <v>0</v>
      </c>
      <c r="AO121" s="41"/>
      <c r="AP121" s="130"/>
      <c r="AQ121" s="11" t="s">
        <v>66</v>
      </c>
      <c r="AR121" s="13">
        <v>0</v>
      </c>
      <c r="AS121" s="13">
        <v>0</v>
      </c>
      <c r="AT121" s="45">
        <v>0</v>
      </c>
      <c r="AU121" s="45">
        <v>0</v>
      </c>
      <c r="AV121" s="41"/>
      <c r="AX121" s="46"/>
      <c r="AY121" s="46"/>
      <c r="AZ121" s="46"/>
      <c r="BB121" s="13"/>
      <c r="BC121" s="13"/>
      <c r="BD121" s="13"/>
      <c r="BE121" s="45"/>
    </row>
    <row r="122" spans="1:57" ht="14.5" customHeight="1" x14ac:dyDescent="0.35">
      <c r="A122" s="6"/>
      <c r="B122" s="130"/>
      <c r="C122" s="11" t="s">
        <v>67</v>
      </c>
      <c r="D122" s="13">
        <v>0</v>
      </c>
      <c r="E122" s="13">
        <v>0</v>
      </c>
      <c r="F122" s="13">
        <v>0</v>
      </c>
      <c r="G122" s="13">
        <v>0</v>
      </c>
      <c r="H122" s="41"/>
      <c r="I122" s="13">
        <v>7.4999999999999997E-2</v>
      </c>
      <c r="J122" s="13">
        <v>0.27</v>
      </c>
      <c r="K122" s="13">
        <v>7.4999999999999997E-2</v>
      </c>
      <c r="L122" s="13">
        <v>0</v>
      </c>
      <c r="M122" s="41"/>
      <c r="N122" s="13">
        <v>0.32</v>
      </c>
      <c r="O122" s="13">
        <v>0.32</v>
      </c>
      <c r="P122" s="13">
        <v>0.32</v>
      </c>
      <c r="Q122" s="13">
        <v>0</v>
      </c>
      <c r="R122" s="41"/>
      <c r="S122" s="13">
        <v>0</v>
      </c>
      <c r="T122" s="13">
        <v>0</v>
      </c>
      <c r="U122" s="13">
        <v>0</v>
      </c>
      <c r="V122" s="13">
        <v>0</v>
      </c>
      <c r="W122" s="41"/>
      <c r="X122" s="13">
        <v>0</v>
      </c>
      <c r="Y122" s="13">
        <v>0</v>
      </c>
      <c r="Z122" s="41"/>
      <c r="AA122" s="45">
        <v>0</v>
      </c>
      <c r="AB122" s="13">
        <v>0.29499999999999998</v>
      </c>
      <c r="AC122" s="45">
        <v>0</v>
      </c>
      <c r="AD122" s="13">
        <v>0</v>
      </c>
      <c r="AE122" s="41"/>
      <c r="AF122" s="45">
        <v>0</v>
      </c>
      <c r="AG122" s="13">
        <v>0.27499999999999997</v>
      </c>
      <c r="AH122" s="45">
        <v>0</v>
      </c>
      <c r="AI122" s="13">
        <v>0</v>
      </c>
      <c r="AJ122" s="41"/>
      <c r="AK122" s="13">
        <v>2.4999999999999994E-2</v>
      </c>
      <c r="AL122" s="13">
        <v>0.32499999999999996</v>
      </c>
      <c r="AM122" s="13">
        <v>0</v>
      </c>
      <c r="AN122" s="13">
        <v>0</v>
      </c>
      <c r="AO122" s="41"/>
      <c r="AP122" s="130"/>
      <c r="AQ122" s="11" t="s">
        <v>67</v>
      </c>
      <c r="AR122" s="13">
        <v>0</v>
      </c>
      <c r="AS122" s="13">
        <v>0</v>
      </c>
      <c r="AT122" s="45">
        <v>0</v>
      </c>
      <c r="AU122" s="45">
        <v>0</v>
      </c>
      <c r="AV122" s="41"/>
      <c r="AX122" s="46"/>
      <c r="AY122" s="46"/>
      <c r="AZ122" s="46"/>
      <c r="BB122" s="13"/>
      <c r="BC122" s="13"/>
      <c r="BD122" s="13"/>
      <c r="BE122" s="45"/>
    </row>
    <row r="123" spans="1:57" ht="18.5" x14ac:dyDescent="0.35">
      <c r="A123" s="6"/>
      <c r="B123" s="131"/>
      <c r="C123" s="11" t="s">
        <v>69</v>
      </c>
      <c r="D123" s="13">
        <v>0</v>
      </c>
      <c r="E123" s="13">
        <v>0.3</v>
      </c>
      <c r="F123" s="13">
        <v>0</v>
      </c>
      <c r="G123" s="45">
        <v>0</v>
      </c>
      <c r="H123" s="41"/>
      <c r="I123" s="13">
        <v>7.4999999999999997E-2</v>
      </c>
      <c r="J123" s="13">
        <v>0.3</v>
      </c>
      <c r="K123" s="13">
        <v>7.4999999999999997E-2</v>
      </c>
      <c r="L123" s="45">
        <v>0</v>
      </c>
      <c r="M123" s="41"/>
      <c r="N123" s="13">
        <v>0.1</v>
      </c>
      <c r="O123" s="13">
        <v>0.3</v>
      </c>
      <c r="P123" s="13">
        <v>0.1</v>
      </c>
      <c r="Q123" s="45">
        <v>0</v>
      </c>
      <c r="R123" s="41"/>
      <c r="S123" s="13">
        <v>0</v>
      </c>
      <c r="T123" s="13">
        <v>0.3</v>
      </c>
      <c r="U123" s="13">
        <v>0</v>
      </c>
      <c r="V123" s="45">
        <v>0</v>
      </c>
      <c r="W123" s="41"/>
      <c r="X123" s="13">
        <v>0</v>
      </c>
      <c r="Y123" s="13">
        <v>0</v>
      </c>
      <c r="Z123" s="41"/>
      <c r="AA123" s="13">
        <v>0.05</v>
      </c>
      <c r="AB123" s="13">
        <v>0.27499999999999997</v>
      </c>
      <c r="AC123" s="13">
        <v>0.05</v>
      </c>
      <c r="AD123" s="45">
        <v>0</v>
      </c>
      <c r="AE123" s="41"/>
      <c r="AF123" s="45">
        <v>0</v>
      </c>
      <c r="AG123" s="13">
        <v>0.27499999999999997</v>
      </c>
      <c r="AH123" s="45">
        <v>0</v>
      </c>
      <c r="AI123" s="45">
        <v>0</v>
      </c>
      <c r="AJ123" s="41"/>
      <c r="AK123" s="13">
        <v>2.4999999999999994E-2</v>
      </c>
      <c r="AL123" s="13">
        <v>0.27499999999999997</v>
      </c>
      <c r="AM123" s="45">
        <v>0</v>
      </c>
      <c r="AN123" s="45">
        <v>0</v>
      </c>
      <c r="AO123" s="41"/>
      <c r="AP123" s="131"/>
      <c r="AQ123" s="11" t="s">
        <v>69</v>
      </c>
      <c r="AR123" s="45">
        <v>0</v>
      </c>
      <c r="AS123" s="45">
        <v>0</v>
      </c>
      <c r="AT123" s="45">
        <v>0</v>
      </c>
      <c r="AU123" s="45">
        <v>0</v>
      </c>
      <c r="AV123" s="41"/>
      <c r="AX123" s="46">
        <v>0</v>
      </c>
      <c r="AY123" s="46">
        <v>0</v>
      </c>
      <c r="AZ123" s="46">
        <v>0</v>
      </c>
      <c r="BB123" s="13">
        <v>7.4999999999999997E-2</v>
      </c>
      <c r="BC123" s="13">
        <v>0.3</v>
      </c>
      <c r="BD123" s="13">
        <v>7.4999999999999997E-2</v>
      </c>
      <c r="BE123" s="45">
        <v>0</v>
      </c>
    </row>
    <row r="124" spans="1:57" ht="18.5" x14ac:dyDescent="0.35">
      <c r="A124" s="6"/>
      <c r="B124" s="132"/>
      <c r="C124" s="11" t="s">
        <v>23</v>
      </c>
      <c r="D124" s="45">
        <v>0</v>
      </c>
      <c r="E124" s="13">
        <v>0.1</v>
      </c>
      <c r="F124" s="45">
        <v>0</v>
      </c>
      <c r="G124" s="45">
        <v>0</v>
      </c>
      <c r="H124" s="41"/>
      <c r="I124" s="45">
        <v>0</v>
      </c>
      <c r="J124" s="13">
        <v>0.1</v>
      </c>
      <c r="K124" s="45">
        <v>0</v>
      </c>
      <c r="L124" s="45">
        <v>0</v>
      </c>
      <c r="M124" s="41"/>
      <c r="N124" s="13">
        <v>0</v>
      </c>
      <c r="O124" s="13">
        <v>0.1</v>
      </c>
      <c r="P124" s="13">
        <v>0</v>
      </c>
      <c r="Q124" s="45">
        <v>0</v>
      </c>
      <c r="R124" s="41"/>
      <c r="S124" s="45">
        <v>0</v>
      </c>
      <c r="T124" s="13">
        <v>0.1</v>
      </c>
      <c r="U124" s="45">
        <v>0</v>
      </c>
      <c r="V124" s="45">
        <v>0</v>
      </c>
      <c r="W124" s="41"/>
      <c r="X124" s="45">
        <v>0</v>
      </c>
      <c r="Y124" s="45">
        <v>0</v>
      </c>
      <c r="Z124" s="41"/>
      <c r="AA124" s="45">
        <v>0</v>
      </c>
      <c r="AB124" s="13">
        <v>7.5000000000000011E-2</v>
      </c>
      <c r="AC124" s="45">
        <v>0</v>
      </c>
      <c r="AD124" s="45">
        <v>0</v>
      </c>
      <c r="AE124" s="41"/>
      <c r="AF124" s="45">
        <v>0</v>
      </c>
      <c r="AG124" s="13">
        <v>7.5000000000000011E-2</v>
      </c>
      <c r="AH124" s="45">
        <v>0</v>
      </c>
      <c r="AI124" s="45">
        <v>0</v>
      </c>
      <c r="AJ124" s="41"/>
      <c r="AK124" s="45">
        <v>0</v>
      </c>
      <c r="AL124" s="13">
        <v>7.5000000000000011E-2</v>
      </c>
      <c r="AM124" s="45">
        <v>0</v>
      </c>
      <c r="AN124" s="45">
        <v>0</v>
      </c>
      <c r="AO124" s="41"/>
      <c r="AP124" s="132"/>
      <c r="AQ124" s="11" t="s">
        <v>23</v>
      </c>
      <c r="AR124" s="45">
        <v>0</v>
      </c>
      <c r="AS124" s="45">
        <v>0</v>
      </c>
      <c r="AT124" s="45">
        <v>0</v>
      </c>
      <c r="AU124" s="45">
        <v>0</v>
      </c>
      <c r="AV124" s="41"/>
      <c r="AX124" s="46"/>
      <c r="AY124" s="46">
        <v>0</v>
      </c>
      <c r="AZ124" s="46"/>
      <c r="BB124" s="45">
        <v>0</v>
      </c>
      <c r="BC124" s="13">
        <v>0.1</v>
      </c>
      <c r="BD124" s="45">
        <v>0</v>
      </c>
      <c r="BE124" s="45">
        <v>0</v>
      </c>
    </row>
    <row r="125" spans="1:57" customFormat="1" ht="4.5" customHeight="1" x14ac:dyDescent="0.35">
      <c r="A125" s="6"/>
      <c r="B125" s="6"/>
      <c r="C125" s="6"/>
      <c r="D125" s="6"/>
      <c r="E125" s="6"/>
      <c r="F125" s="6"/>
      <c r="G125" s="6"/>
      <c r="H125" s="41"/>
      <c r="I125" s="6"/>
      <c r="J125" s="6"/>
      <c r="K125" s="6"/>
      <c r="L125" s="6"/>
      <c r="M125" s="41"/>
      <c r="N125" s="6"/>
      <c r="O125" s="6"/>
      <c r="P125" s="6"/>
      <c r="Q125" s="6"/>
      <c r="R125" s="41"/>
      <c r="S125" s="6"/>
      <c r="T125" s="6"/>
      <c r="U125" s="6"/>
      <c r="V125" s="6"/>
      <c r="W125" s="41"/>
      <c r="X125" s="6"/>
      <c r="Y125" s="6"/>
      <c r="Z125" s="41"/>
      <c r="AA125" s="6">
        <v>-0.05</v>
      </c>
      <c r="AB125" s="6">
        <v>-2.5000000000000001E-2</v>
      </c>
      <c r="AC125" s="6">
        <v>-0.05</v>
      </c>
      <c r="AD125" s="6"/>
      <c r="AE125" s="41"/>
      <c r="AF125" s="6"/>
      <c r="AG125" s="6"/>
      <c r="AH125" s="6"/>
      <c r="AI125" s="6"/>
      <c r="AJ125" s="41"/>
      <c r="AK125" s="6"/>
      <c r="AL125" s="6"/>
      <c r="AM125" s="6"/>
      <c r="AN125" s="6"/>
      <c r="AO125" s="41"/>
      <c r="AP125" s="6"/>
      <c r="AQ125" s="6"/>
      <c r="AR125" s="6"/>
      <c r="AS125" s="6"/>
      <c r="AT125" s="6"/>
      <c r="AU125" s="6"/>
      <c r="AV125" s="41"/>
      <c r="BB125" s="6"/>
      <c r="BC125" s="6"/>
      <c r="BD125" s="6"/>
      <c r="BE125" s="6"/>
    </row>
    <row r="126" spans="1:57" ht="14.5" customHeight="1" x14ac:dyDescent="0.35">
      <c r="A126" s="6"/>
      <c r="B126" s="129" t="s">
        <v>22</v>
      </c>
      <c r="C126" s="11" t="s">
        <v>65</v>
      </c>
      <c r="D126" s="13">
        <v>0</v>
      </c>
      <c r="E126" s="13">
        <v>0</v>
      </c>
      <c r="F126" s="13">
        <v>0</v>
      </c>
      <c r="G126" s="45">
        <v>0</v>
      </c>
      <c r="H126" s="41"/>
      <c r="I126" s="13">
        <v>0.05</v>
      </c>
      <c r="J126" s="13">
        <v>0.1</v>
      </c>
      <c r="K126" s="13">
        <v>0.05</v>
      </c>
      <c r="L126" s="45">
        <v>0</v>
      </c>
      <c r="M126" s="41"/>
      <c r="N126" s="13">
        <v>0</v>
      </c>
      <c r="O126" s="13">
        <v>0</v>
      </c>
      <c r="P126" s="13">
        <v>0</v>
      </c>
      <c r="Q126" s="45">
        <v>0</v>
      </c>
      <c r="R126" s="41"/>
      <c r="S126" s="13">
        <v>0</v>
      </c>
      <c r="T126" s="13">
        <v>0</v>
      </c>
      <c r="U126" s="13">
        <v>0</v>
      </c>
      <c r="V126" s="45">
        <v>0</v>
      </c>
      <c r="W126" s="41"/>
      <c r="X126" s="13">
        <v>0</v>
      </c>
      <c r="Y126" s="13">
        <v>0</v>
      </c>
      <c r="Z126" s="41"/>
      <c r="AA126" s="13">
        <v>0</v>
      </c>
      <c r="AB126" s="13">
        <v>7.5000000000000011E-2</v>
      </c>
      <c r="AC126" s="13">
        <v>0</v>
      </c>
      <c r="AD126" s="45">
        <v>0</v>
      </c>
      <c r="AE126" s="41"/>
      <c r="AF126" s="45">
        <v>0</v>
      </c>
      <c r="AG126" s="45">
        <v>0</v>
      </c>
      <c r="AH126" s="45">
        <v>0</v>
      </c>
      <c r="AI126" s="45">
        <v>0</v>
      </c>
      <c r="AJ126" s="41"/>
      <c r="AK126" s="45">
        <v>0</v>
      </c>
      <c r="AL126" s="45">
        <v>0</v>
      </c>
      <c r="AM126" s="45">
        <v>0</v>
      </c>
      <c r="AN126" s="45">
        <v>0</v>
      </c>
      <c r="AO126" s="41"/>
      <c r="AP126" s="129" t="s">
        <v>22</v>
      </c>
      <c r="AQ126" s="11" t="s">
        <v>65</v>
      </c>
      <c r="AR126" s="45">
        <v>0</v>
      </c>
      <c r="AS126" s="45">
        <v>0</v>
      </c>
      <c r="AT126" s="45">
        <v>0</v>
      </c>
      <c r="AU126" s="45">
        <v>0</v>
      </c>
      <c r="AV126" s="41"/>
      <c r="AX126" s="46">
        <v>0</v>
      </c>
      <c r="AY126" s="46">
        <v>0</v>
      </c>
      <c r="AZ126" s="46">
        <v>0</v>
      </c>
      <c r="BB126" s="13">
        <v>0</v>
      </c>
      <c r="BC126" s="13">
        <v>0</v>
      </c>
      <c r="BD126" s="13">
        <v>0</v>
      </c>
      <c r="BE126" s="45">
        <v>0</v>
      </c>
    </row>
    <row r="127" spans="1:57" ht="14.5" customHeight="1" x14ac:dyDescent="0.35">
      <c r="A127" s="6"/>
      <c r="B127" s="130"/>
      <c r="C127" s="11" t="s">
        <v>66</v>
      </c>
      <c r="D127" s="13">
        <v>0</v>
      </c>
      <c r="E127" s="13">
        <v>0</v>
      </c>
      <c r="F127" s="13">
        <v>0</v>
      </c>
      <c r="G127" s="13">
        <v>0</v>
      </c>
      <c r="H127" s="41"/>
      <c r="I127" s="13">
        <v>0.05</v>
      </c>
      <c r="J127" s="13">
        <v>0.1</v>
      </c>
      <c r="K127" s="13">
        <v>0.05</v>
      </c>
      <c r="L127" s="13">
        <v>0</v>
      </c>
      <c r="M127" s="41"/>
      <c r="N127" s="13">
        <v>0</v>
      </c>
      <c r="O127" s="13">
        <v>0</v>
      </c>
      <c r="P127" s="13">
        <v>0</v>
      </c>
      <c r="Q127" s="13">
        <v>0</v>
      </c>
      <c r="R127" s="41"/>
      <c r="S127" s="13">
        <v>0</v>
      </c>
      <c r="T127" s="13">
        <v>0</v>
      </c>
      <c r="U127" s="13">
        <v>0</v>
      </c>
      <c r="V127" s="13">
        <v>0</v>
      </c>
      <c r="W127" s="41"/>
      <c r="X127" s="13">
        <v>0</v>
      </c>
      <c r="Y127" s="13">
        <v>0</v>
      </c>
      <c r="Z127" s="41"/>
      <c r="AA127" s="13">
        <v>0</v>
      </c>
      <c r="AB127" s="13">
        <v>7.5000000000000011E-2</v>
      </c>
      <c r="AC127" s="13">
        <v>0</v>
      </c>
      <c r="AD127" s="13">
        <v>0</v>
      </c>
      <c r="AE127" s="41"/>
      <c r="AF127" s="45">
        <v>0</v>
      </c>
      <c r="AG127" s="45">
        <v>0</v>
      </c>
      <c r="AH127" s="45">
        <v>0</v>
      </c>
      <c r="AI127" s="13">
        <v>0</v>
      </c>
      <c r="AJ127" s="41"/>
      <c r="AK127" s="45">
        <v>0</v>
      </c>
      <c r="AL127" s="45">
        <v>0</v>
      </c>
      <c r="AM127" s="45">
        <v>0</v>
      </c>
      <c r="AN127" s="13">
        <v>0</v>
      </c>
      <c r="AO127" s="41"/>
      <c r="AP127" s="130"/>
      <c r="AQ127" s="11" t="s">
        <v>66</v>
      </c>
      <c r="AR127" s="13">
        <v>0</v>
      </c>
      <c r="AS127" s="13">
        <v>0</v>
      </c>
      <c r="AT127" s="45">
        <v>0</v>
      </c>
      <c r="AU127" s="45">
        <v>0</v>
      </c>
      <c r="AV127" s="41"/>
      <c r="AX127" s="46"/>
      <c r="AY127" s="46"/>
      <c r="AZ127" s="46"/>
      <c r="BB127" s="13"/>
      <c r="BC127" s="13"/>
      <c r="BD127" s="13"/>
      <c r="BE127" s="45"/>
    </row>
    <row r="128" spans="1:57" ht="14.5" customHeight="1" x14ac:dyDescent="0.35">
      <c r="A128" s="6"/>
      <c r="B128" s="130"/>
      <c r="C128" s="11" t="s">
        <v>67</v>
      </c>
      <c r="D128" s="13">
        <v>0</v>
      </c>
      <c r="E128" s="13">
        <v>0</v>
      </c>
      <c r="F128" s="13">
        <v>0</v>
      </c>
      <c r="G128" s="13">
        <v>0</v>
      </c>
      <c r="H128" s="41"/>
      <c r="I128" s="13">
        <v>0.05</v>
      </c>
      <c r="J128" s="13">
        <v>0.1</v>
      </c>
      <c r="K128" s="13">
        <v>0.05</v>
      </c>
      <c r="L128" s="13">
        <v>0</v>
      </c>
      <c r="M128" s="41"/>
      <c r="N128" s="13">
        <v>0</v>
      </c>
      <c r="O128" s="13">
        <v>0</v>
      </c>
      <c r="P128" s="13">
        <v>0</v>
      </c>
      <c r="Q128" s="13">
        <v>0</v>
      </c>
      <c r="R128" s="41"/>
      <c r="S128" s="13">
        <v>0</v>
      </c>
      <c r="T128" s="13">
        <v>0</v>
      </c>
      <c r="U128" s="13">
        <v>0</v>
      </c>
      <c r="V128" s="13">
        <v>0</v>
      </c>
      <c r="W128" s="41"/>
      <c r="X128" s="13">
        <v>0</v>
      </c>
      <c r="Y128" s="13">
        <v>0</v>
      </c>
      <c r="Z128" s="41"/>
      <c r="AA128" s="13">
        <v>0</v>
      </c>
      <c r="AB128" s="13">
        <v>7.5000000000000011E-2</v>
      </c>
      <c r="AC128" s="13">
        <v>0</v>
      </c>
      <c r="AD128" s="13">
        <v>0</v>
      </c>
      <c r="AE128" s="41"/>
      <c r="AF128" s="45">
        <v>0</v>
      </c>
      <c r="AG128" s="45">
        <v>0</v>
      </c>
      <c r="AH128" s="45">
        <v>0</v>
      </c>
      <c r="AI128" s="13">
        <v>0</v>
      </c>
      <c r="AJ128" s="41"/>
      <c r="AK128" s="45">
        <v>0</v>
      </c>
      <c r="AL128" s="45">
        <v>0</v>
      </c>
      <c r="AM128" s="45">
        <v>0</v>
      </c>
      <c r="AN128" s="13">
        <v>0</v>
      </c>
      <c r="AO128" s="41"/>
      <c r="AP128" s="130"/>
      <c r="AQ128" s="11" t="s">
        <v>67</v>
      </c>
      <c r="AR128" s="13">
        <v>0</v>
      </c>
      <c r="AS128" s="13">
        <v>0</v>
      </c>
      <c r="AT128" s="45">
        <v>0</v>
      </c>
      <c r="AU128" s="45">
        <v>0</v>
      </c>
      <c r="AV128" s="41"/>
      <c r="AX128" s="46"/>
      <c r="AY128" s="46"/>
      <c r="AZ128" s="46"/>
      <c r="BB128" s="13"/>
      <c r="BC128" s="13"/>
      <c r="BD128" s="13"/>
      <c r="BE128" s="45"/>
    </row>
    <row r="129" spans="1:57" ht="18.5" x14ac:dyDescent="0.35">
      <c r="A129" s="6"/>
      <c r="B129" s="131"/>
      <c r="C129" s="11" t="s">
        <v>69</v>
      </c>
      <c r="D129" s="13">
        <v>0</v>
      </c>
      <c r="E129" s="13">
        <v>0</v>
      </c>
      <c r="F129" s="13">
        <v>0</v>
      </c>
      <c r="G129" s="45">
        <v>0</v>
      </c>
      <c r="H129" s="41"/>
      <c r="I129" s="13">
        <v>0.05</v>
      </c>
      <c r="J129" s="13">
        <v>0</v>
      </c>
      <c r="K129" s="13">
        <v>0.05</v>
      </c>
      <c r="L129" s="45">
        <v>0</v>
      </c>
      <c r="M129" s="41"/>
      <c r="N129" s="13">
        <v>0</v>
      </c>
      <c r="O129" s="13">
        <v>0</v>
      </c>
      <c r="P129" s="13">
        <v>0</v>
      </c>
      <c r="Q129" s="45">
        <v>0</v>
      </c>
      <c r="R129" s="41"/>
      <c r="S129" s="13">
        <v>0</v>
      </c>
      <c r="T129" s="13">
        <v>0</v>
      </c>
      <c r="U129" s="13">
        <v>0</v>
      </c>
      <c r="V129" s="45">
        <v>0</v>
      </c>
      <c r="W129" s="41"/>
      <c r="X129" s="13">
        <v>0</v>
      </c>
      <c r="Y129" s="13">
        <v>0</v>
      </c>
      <c r="Z129" s="41"/>
      <c r="AA129" s="13">
        <v>0</v>
      </c>
      <c r="AB129" s="45">
        <v>0</v>
      </c>
      <c r="AC129" s="13">
        <v>0</v>
      </c>
      <c r="AD129" s="45">
        <v>0</v>
      </c>
      <c r="AE129" s="41"/>
      <c r="AF129" s="45">
        <v>0</v>
      </c>
      <c r="AG129" s="45">
        <v>0</v>
      </c>
      <c r="AH129" s="45">
        <v>0</v>
      </c>
      <c r="AI129" s="45">
        <v>0</v>
      </c>
      <c r="AJ129" s="41"/>
      <c r="AK129" s="45">
        <v>0</v>
      </c>
      <c r="AL129" s="45">
        <v>0</v>
      </c>
      <c r="AM129" s="45">
        <v>0</v>
      </c>
      <c r="AN129" s="45">
        <v>0</v>
      </c>
      <c r="AO129" s="41"/>
      <c r="AP129" s="131"/>
      <c r="AQ129" s="11" t="s">
        <v>69</v>
      </c>
      <c r="AR129" s="45">
        <v>0</v>
      </c>
      <c r="AS129" s="45">
        <v>0</v>
      </c>
      <c r="AT129" s="45">
        <v>0</v>
      </c>
      <c r="AU129" s="45">
        <v>0</v>
      </c>
      <c r="AV129" s="41"/>
      <c r="AX129" s="46">
        <v>0</v>
      </c>
      <c r="AY129" s="46">
        <v>0</v>
      </c>
      <c r="AZ129" s="46">
        <v>0</v>
      </c>
      <c r="BB129" s="13">
        <v>0</v>
      </c>
      <c r="BC129" s="13">
        <v>0</v>
      </c>
      <c r="BD129" s="13">
        <v>0</v>
      </c>
      <c r="BE129" s="45">
        <v>0</v>
      </c>
    </row>
    <row r="130" spans="1:57" ht="18.5" x14ac:dyDescent="0.35">
      <c r="A130" s="6"/>
      <c r="B130" s="132"/>
      <c r="C130" s="11" t="s">
        <v>23</v>
      </c>
      <c r="D130" s="45">
        <v>0</v>
      </c>
      <c r="E130" s="13">
        <v>0</v>
      </c>
      <c r="F130" s="45">
        <v>0</v>
      </c>
      <c r="G130" s="45">
        <v>0</v>
      </c>
      <c r="H130" s="41"/>
      <c r="I130" s="45">
        <v>0</v>
      </c>
      <c r="J130" s="13">
        <v>0</v>
      </c>
      <c r="K130" s="45">
        <v>0</v>
      </c>
      <c r="L130" s="45">
        <v>0</v>
      </c>
      <c r="M130" s="41"/>
      <c r="N130" s="45">
        <v>0</v>
      </c>
      <c r="O130" s="13">
        <v>0</v>
      </c>
      <c r="P130" s="45">
        <v>0</v>
      </c>
      <c r="Q130" s="45">
        <v>0</v>
      </c>
      <c r="R130" s="41"/>
      <c r="S130" s="45">
        <v>0</v>
      </c>
      <c r="T130" s="13">
        <v>0</v>
      </c>
      <c r="U130" s="45">
        <v>0</v>
      </c>
      <c r="V130" s="45">
        <v>0</v>
      </c>
      <c r="W130" s="41"/>
      <c r="X130" s="45">
        <v>0</v>
      </c>
      <c r="Y130" s="45">
        <v>0</v>
      </c>
      <c r="Z130" s="41"/>
      <c r="AA130" s="45">
        <v>0</v>
      </c>
      <c r="AB130" s="45">
        <v>0</v>
      </c>
      <c r="AC130" s="45">
        <v>0</v>
      </c>
      <c r="AD130" s="45">
        <v>0</v>
      </c>
      <c r="AE130" s="41"/>
      <c r="AF130" s="45">
        <v>0</v>
      </c>
      <c r="AG130" s="45">
        <v>0</v>
      </c>
      <c r="AH130" s="45">
        <v>0</v>
      </c>
      <c r="AI130" s="45">
        <v>0</v>
      </c>
      <c r="AJ130" s="41"/>
      <c r="AK130" s="45">
        <v>0</v>
      </c>
      <c r="AL130" s="45">
        <v>0</v>
      </c>
      <c r="AM130" s="45">
        <v>0</v>
      </c>
      <c r="AN130" s="45">
        <v>0</v>
      </c>
      <c r="AO130" s="41"/>
      <c r="AP130" s="132"/>
      <c r="AQ130" s="11" t="s">
        <v>23</v>
      </c>
      <c r="AR130" s="45">
        <v>0</v>
      </c>
      <c r="AS130" s="45">
        <v>0</v>
      </c>
      <c r="AT130" s="45">
        <v>0</v>
      </c>
      <c r="AU130" s="45">
        <v>0</v>
      </c>
      <c r="AV130" s="41"/>
      <c r="AX130" s="46"/>
      <c r="AY130" s="46">
        <v>0</v>
      </c>
      <c r="AZ130" s="46"/>
      <c r="BB130" s="45">
        <v>0</v>
      </c>
      <c r="BC130" s="13">
        <v>0</v>
      </c>
      <c r="BD130" s="45">
        <v>0</v>
      </c>
      <c r="BE130" s="45">
        <v>0</v>
      </c>
    </row>
    <row r="131" spans="1:57" customFormat="1" ht="4.5" customHeight="1" x14ac:dyDescent="0.35">
      <c r="A131" s="6"/>
      <c r="B131" s="6"/>
      <c r="C131" s="6"/>
      <c r="D131" s="6"/>
      <c r="E131" s="6"/>
      <c r="F131" s="6"/>
      <c r="G131" s="6"/>
      <c r="H131" s="41"/>
      <c r="I131" s="6"/>
      <c r="J131" s="6"/>
      <c r="K131" s="6"/>
      <c r="L131" s="6"/>
      <c r="M131" s="41"/>
      <c r="N131" s="6"/>
      <c r="O131" s="6"/>
      <c r="P131" s="6"/>
      <c r="Q131" s="6"/>
      <c r="R131" s="41"/>
      <c r="S131" s="6"/>
      <c r="T131" s="6"/>
      <c r="U131" s="6"/>
      <c r="V131" s="6"/>
      <c r="W131" s="41"/>
      <c r="X131" s="6"/>
      <c r="Y131" s="6"/>
      <c r="Z131" s="41"/>
      <c r="AA131" s="6"/>
      <c r="AB131" s="6"/>
      <c r="AC131" s="6"/>
      <c r="AD131" s="6"/>
      <c r="AE131" s="41"/>
      <c r="AF131" s="6"/>
      <c r="AG131" s="6"/>
      <c r="AH131" s="6"/>
      <c r="AI131" s="6"/>
      <c r="AJ131" s="41"/>
      <c r="AK131" s="6"/>
      <c r="AL131" s="6"/>
      <c r="AM131" s="6"/>
      <c r="AN131" s="6"/>
      <c r="AO131" s="41"/>
      <c r="AP131" s="6"/>
      <c r="AQ131" s="6"/>
      <c r="AR131" s="6"/>
      <c r="AS131" s="6"/>
      <c r="AT131" s="6"/>
      <c r="AU131" s="6"/>
      <c r="AV131" s="41"/>
      <c r="BB131" s="6"/>
      <c r="BC131" s="6"/>
      <c r="BD131" s="6"/>
      <c r="BE131" s="6"/>
    </row>
    <row r="132" spans="1:57" ht="14.5" customHeight="1" x14ac:dyDescent="0.35">
      <c r="A132" s="6"/>
      <c r="B132" s="129" t="s">
        <v>21</v>
      </c>
      <c r="C132" s="11" t="s">
        <v>65</v>
      </c>
      <c r="D132" s="13">
        <v>0</v>
      </c>
      <c r="E132" s="13">
        <v>0.1</v>
      </c>
      <c r="F132" s="13">
        <v>0</v>
      </c>
      <c r="G132" s="45">
        <v>0</v>
      </c>
      <c r="H132" s="41"/>
      <c r="I132" s="13">
        <v>0.05</v>
      </c>
      <c r="J132" s="13">
        <v>0.1</v>
      </c>
      <c r="K132" s="13">
        <v>0.05</v>
      </c>
      <c r="L132" s="45">
        <v>0</v>
      </c>
      <c r="M132" s="41"/>
      <c r="N132" s="13">
        <v>0.1</v>
      </c>
      <c r="O132" s="13">
        <v>0.1</v>
      </c>
      <c r="P132" s="13">
        <v>0.1</v>
      </c>
      <c r="Q132" s="45">
        <v>0</v>
      </c>
      <c r="R132" s="41"/>
      <c r="S132" s="13">
        <v>0</v>
      </c>
      <c r="T132" s="13">
        <v>0</v>
      </c>
      <c r="U132" s="13">
        <v>0</v>
      </c>
      <c r="V132" s="45">
        <v>0</v>
      </c>
      <c r="W132" s="41"/>
      <c r="X132" s="13">
        <v>0</v>
      </c>
      <c r="Y132" s="13">
        <v>0</v>
      </c>
      <c r="Z132" s="41"/>
      <c r="AA132" s="13">
        <v>0</v>
      </c>
      <c r="AB132" s="13">
        <v>7.5000000000000011E-2</v>
      </c>
      <c r="AC132" s="13">
        <v>0</v>
      </c>
      <c r="AD132" s="45">
        <v>0</v>
      </c>
      <c r="AE132" s="41"/>
      <c r="AF132" s="45">
        <v>0</v>
      </c>
      <c r="AG132" s="45">
        <v>0</v>
      </c>
      <c r="AH132" s="45">
        <v>0</v>
      </c>
      <c r="AI132" s="45">
        <v>0</v>
      </c>
      <c r="AJ132" s="41"/>
      <c r="AK132" s="45">
        <v>0</v>
      </c>
      <c r="AL132" s="45">
        <v>0</v>
      </c>
      <c r="AM132" s="45">
        <v>0</v>
      </c>
      <c r="AN132" s="45">
        <v>0</v>
      </c>
      <c r="AO132" s="41"/>
      <c r="AP132" s="129" t="s">
        <v>21</v>
      </c>
      <c r="AQ132" s="11" t="s">
        <v>65</v>
      </c>
      <c r="AR132" s="45">
        <v>0</v>
      </c>
      <c r="AS132" s="45">
        <v>0</v>
      </c>
      <c r="AT132" s="45">
        <v>0</v>
      </c>
      <c r="AU132" s="45">
        <v>0</v>
      </c>
      <c r="AV132" s="41"/>
      <c r="AX132" s="46">
        <v>0</v>
      </c>
      <c r="AY132" s="46">
        <v>-0.1</v>
      </c>
      <c r="AZ132" s="46">
        <v>0</v>
      </c>
      <c r="BB132" s="13">
        <v>0</v>
      </c>
      <c r="BC132" s="13">
        <v>0</v>
      </c>
      <c r="BD132" s="13">
        <v>0</v>
      </c>
      <c r="BE132" s="45">
        <v>0</v>
      </c>
    </row>
    <row r="133" spans="1:57" ht="14.5" customHeight="1" x14ac:dyDescent="0.35">
      <c r="A133" s="6"/>
      <c r="B133" s="130"/>
      <c r="C133" s="11" t="s">
        <v>66</v>
      </c>
      <c r="D133" s="13">
        <v>0</v>
      </c>
      <c r="E133" s="13">
        <v>0.1</v>
      </c>
      <c r="F133" s="13">
        <v>0</v>
      </c>
      <c r="G133" s="13">
        <v>0</v>
      </c>
      <c r="H133" s="41"/>
      <c r="I133" s="13">
        <v>0.05</v>
      </c>
      <c r="J133" s="13">
        <v>0.1</v>
      </c>
      <c r="K133" s="13">
        <v>0.05</v>
      </c>
      <c r="L133" s="13">
        <v>0</v>
      </c>
      <c r="M133" s="41"/>
      <c r="N133" s="13">
        <v>0.1</v>
      </c>
      <c r="O133" s="13">
        <v>0.1</v>
      </c>
      <c r="P133" s="13">
        <v>0.1</v>
      </c>
      <c r="Q133" s="13">
        <v>0</v>
      </c>
      <c r="R133" s="41"/>
      <c r="S133" s="13">
        <v>0</v>
      </c>
      <c r="T133" s="13">
        <v>0</v>
      </c>
      <c r="U133" s="13">
        <v>0</v>
      </c>
      <c r="V133" s="13">
        <v>0</v>
      </c>
      <c r="W133" s="41"/>
      <c r="X133" s="13">
        <v>0</v>
      </c>
      <c r="Y133" s="13">
        <v>0</v>
      </c>
      <c r="Z133" s="41"/>
      <c r="AA133" s="13">
        <v>0</v>
      </c>
      <c r="AB133" s="13">
        <v>7.5000000000000011E-2</v>
      </c>
      <c r="AC133" s="13">
        <v>0</v>
      </c>
      <c r="AD133" s="13">
        <v>0</v>
      </c>
      <c r="AE133" s="41"/>
      <c r="AF133" s="45">
        <v>0</v>
      </c>
      <c r="AG133" s="45">
        <v>0</v>
      </c>
      <c r="AH133" s="45">
        <v>0</v>
      </c>
      <c r="AI133" s="13">
        <v>0</v>
      </c>
      <c r="AJ133" s="41"/>
      <c r="AK133" s="45">
        <v>0</v>
      </c>
      <c r="AL133" s="45">
        <v>0</v>
      </c>
      <c r="AM133" s="45">
        <v>0</v>
      </c>
      <c r="AN133" s="13">
        <v>0</v>
      </c>
      <c r="AO133" s="41"/>
      <c r="AP133" s="130"/>
      <c r="AQ133" s="11" t="s">
        <v>66</v>
      </c>
      <c r="AR133" s="13">
        <v>0</v>
      </c>
      <c r="AS133" s="13">
        <v>0</v>
      </c>
      <c r="AT133" s="45">
        <v>0</v>
      </c>
      <c r="AU133" s="45">
        <v>0</v>
      </c>
      <c r="AV133" s="41"/>
      <c r="AX133" s="46"/>
      <c r="AY133" s="46"/>
      <c r="AZ133" s="46"/>
      <c r="BB133" s="13"/>
      <c r="BC133" s="13"/>
      <c r="BD133" s="13"/>
      <c r="BE133" s="45"/>
    </row>
    <row r="134" spans="1:57" ht="14.5" customHeight="1" x14ac:dyDescent="0.35">
      <c r="A134" s="6"/>
      <c r="B134" s="130"/>
      <c r="C134" s="11" t="s">
        <v>67</v>
      </c>
      <c r="D134" s="13">
        <v>0</v>
      </c>
      <c r="E134" s="13">
        <v>0.1</v>
      </c>
      <c r="F134" s="13">
        <v>0</v>
      </c>
      <c r="G134" s="13">
        <v>0</v>
      </c>
      <c r="H134" s="41"/>
      <c r="I134" s="13">
        <v>0.05</v>
      </c>
      <c r="J134" s="13">
        <v>0.1</v>
      </c>
      <c r="K134" s="13">
        <v>0.05</v>
      </c>
      <c r="L134" s="13">
        <v>0</v>
      </c>
      <c r="M134" s="41"/>
      <c r="N134" s="13">
        <v>0.1</v>
      </c>
      <c r="O134" s="13">
        <v>0.1</v>
      </c>
      <c r="P134" s="13">
        <v>0.1</v>
      </c>
      <c r="Q134" s="13">
        <v>0</v>
      </c>
      <c r="R134" s="41"/>
      <c r="S134" s="13">
        <v>0</v>
      </c>
      <c r="T134" s="13">
        <v>0</v>
      </c>
      <c r="U134" s="13">
        <v>0</v>
      </c>
      <c r="V134" s="13">
        <v>0</v>
      </c>
      <c r="W134" s="41"/>
      <c r="X134" s="13">
        <v>0</v>
      </c>
      <c r="Y134" s="13">
        <v>0</v>
      </c>
      <c r="Z134" s="41"/>
      <c r="AA134" s="13">
        <v>0</v>
      </c>
      <c r="AB134" s="13">
        <v>7.5000000000000011E-2</v>
      </c>
      <c r="AC134" s="13">
        <v>0</v>
      </c>
      <c r="AD134" s="13">
        <v>0</v>
      </c>
      <c r="AE134" s="41"/>
      <c r="AF134" s="45">
        <v>0</v>
      </c>
      <c r="AG134" s="45">
        <v>0</v>
      </c>
      <c r="AH134" s="45">
        <v>0</v>
      </c>
      <c r="AI134" s="13">
        <v>0</v>
      </c>
      <c r="AJ134" s="41"/>
      <c r="AK134" s="45">
        <v>0</v>
      </c>
      <c r="AL134" s="45">
        <v>0</v>
      </c>
      <c r="AM134" s="45">
        <v>0</v>
      </c>
      <c r="AN134" s="13">
        <v>0</v>
      </c>
      <c r="AO134" s="41"/>
      <c r="AP134" s="130"/>
      <c r="AQ134" s="11" t="s">
        <v>67</v>
      </c>
      <c r="AR134" s="13">
        <v>0</v>
      </c>
      <c r="AS134" s="13">
        <v>0</v>
      </c>
      <c r="AT134" s="45">
        <v>0</v>
      </c>
      <c r="AU134" s="45">
        <v>0</v>
      </c>
      <c r="AV134" s="41"/>
      <c r="AX134" s="46"/>
      <c r="AY134" s="46"/>
      <c r="AZ134" s="46"/>
      <c r="BB134" s="13"/>
      <c r="BC134" s="13"/>
      <c r="BD134" s="13"/>
      <c r="BE134" s="45"/>
    </row>
    <row r="135" spans="1:57" ht="18.5" x14ac:dyDescent="0.35">
      <c r="A135" s="6"/>
      <c r="B135" s="131"/>
      <c r="C135" s="11" t="s">
        <v>69</v>
      </c>
      <c r="D135" s="13">
        <v>0</v>
      </c>
      <c r="E135" s="13">
        <v>0</v>
      </c>
      <c r="F135" s="13">
        <v>0</v>
      </c>
      <c r="G135" s="45">
        <v>0</v>
      </c>
      <c r="H135" s="41"/>
      <c r="I135" s="13">
        <v>0.05</v>
      </c>
      <c r="J135" s="13">
        <v>0</v>
      </c>
      <c r="K135" s="13">
        <v>0.05</v>
      </c>
      <c r="L135" s="45">
        <v>0</v>
      </c>
      <c r="M135" s="41"/>
      <c r="N135" s="13">
        <v>0.1</v>
      </c>
      <c r="O135" s="13">
        <v>0.1</v>
      </c>
      <c r="P135" s="13">
        <v>0.1</v>
      </c>
      <c r="Q135" s="45">
        <v>0</v>
      </c>
      <c r="R135" s="41"/>
      <c r="S135" s="13">
        <v>0</v>
      </c>
      <c r="T135" s="13">
        <v>0</v>
      </c>
      <c r="U135" s="13">
        <v>0</v>
      </c>
      <c r="V135" s="45">
        <v>0</v>
      </c>
      <c r="W135" s="41"/>
      <c r="X135" s="13">
        <v>0</v>
      </c>
      <c r="Y135" s="13">
        <v>0</v>
      </c>
      <c r="Z135" s="41"/>
      <c r="AA135" s="13">
        <v>0</v>
      </c>
      <c r="AB135" s="45">
        <v>0</v>
      </c>
      <c r="AC135" s="13">
        <v>0</v>
      </c>
      <c r="AD135" s="45">
        <v>0</v>
      </c>
      <c r="AE135" s="41"/>
      <c r="AF135" s="45">
        <v>0</v>
      </c>
      <c r="AG135" s="45">
        <v>0</v>
      </c>
      <c r="AH135" s="45">
        <v>0</v>
      </c>
      <c r="AI135" s="45">
        <v>0</v>
      </c>
      <c r="AJ135" s="41"/>
      <c r="AK135" s="45">
        <v>0</v>
      </c>
      <c r="AL135" s="45">
        <v>0</v>
      </c>
      <c r="AM135" s="45">
        <v>0</v>
      </c>
      <c r="AN135" s="45">
        <v>0</v>
      </c>
      <c r="AO135" s="41"/>
      <c r="AP135" s="131"/>
      <c r="AQ135" s="11" t="s">
        <v>69</v>
      </c>
      <c r="AR135" s="45">
        <v>0</v>
      </c>
      <c r="AS135" s="45">
        <v>0</v>
      </c>
      <c r="AT135" s="45">
        <v>0</v>
      </c>
      <c r="AU135" s="45">
        <v>0</v>
      </c>
      <c r="AV135" s="41"/>
      <c r="AX135" s="46">
        <v>0</v>
      </c>
      <c r="AY135" s="46">
        <v>0</v>
      </c>
      <c r="AZ135" s="46">
        <v>0</v>
      </c>
      <c r="BB135" s="13">
        <v>0</v>
      </c>
      <c r="BC135" s="13">
        <v>0</v>
      </c>
      <c r="BD135" s="13">
        <v>0</v>
      </c>
      <c r="BE135" s="45">
        <v>0</v>
      </c>
    </row>
    <row r="136" spans="1:57" ht="18.5" x14ac:dyDescent="0.35">
      <c r="A136" s="6"/>
      <c r="B136" s="132"/>
      <c r="C136" s="11" t="s">
        <v>23</v>
      </c>
      <c r="D136" s="45">
        <v>0</v>
      </c>
      <c r="E136" s="13">
        <v>0</v>
      </c>
      <c r="F136" s="45">
        <v>0</v>
      </c>
      <c r="G136" s="45">
        <v>0</v>
      </c>
      <c r="H136" s="41"/>
      <c r="I136" s="45">
        <v>0</v>
      </c>
      <c r="J136" s="13">
        <v>7.4999999999999997E-2</v>
      </c>
      <c r="K136" s="45">
        <v>0</v>
      </c>
      <c r="L136" s="45">
        <v>0</v>
      </c>
      <c r="M136" s="41"/>
      <c r="N136" s="45">
        <v>0</v>
      </c>
      <c r="O136" s="13">
        <v>7.4999999999999997E-2</v>
      </c>
      <c r="P136" s="45">
        <v>0</v>
      </c>
      <c r="Q136" s="45">
        <v>0</v>
      </c>
      <c r="R136" s="41"/>
      <c r="S136" s="45">
        <v>0</v>
      </c>
      <c r="T136" s="13">
        <v>7.4999999999999997E-2</v>
      </c>
      <c r="U136" s="45">
        <v>0</v>
      </c>
      <c r="V136" s="45">
        <v>0</v>
      </c>
      <c r="W136" s="41"/>
      <c r="X136" s="45">
        <v>0</v>
      </c>
      <c r="Y136" s="45">
        <v>0</v>
      </c>
      <c r="Z136" s="41"/>
      <c r="AA136" s="45">
        <v>0</v>
      </c>
      <c r="AB136" s="13">
        <v>4.9999999999999996E-2</v>
      </c>
      <c r="AC136" s="45">
        <v>0</v>
      </c>
      <c r="AD136" s="45">
        <v>0</v>
      </c>
      <c r="AE136" s="41"/>
      <c r="AF136" s="45">
        <v>0</v>
      </c>
      <c r="AG136" s="45">
        <v>0</v>
      </c>
      <c r="AH136" s="45">
        <v>0</v>
      </c>
      <c r="AI136" s="45">
        <v>0</v>
      </c>
      <c r="AJ136" s="41"/>
      <c r="AK136" s="45">
        <v>0</v>
      </c>
      <c r="AL136" s="45">
        <v>0</v>
      </c>
      <c r="AM136" s="45">
        <v>0</v>
      </c>
      <c r="AN136" s="45">
        <v>0</v>
      </c>
      <c r="AO136" s="41"/>
      <c r="AP136" s="132"/>
      <c r="AQ136" s="11" t="s">
        <v>23</v>
      </c>
      <c r="AR136" s="45">
        <v>0</v>
      </c>
      <c r="AS136" s="45">
        <v>0</v>
      </c>
      <c r="AT136" s="45">
        <v>0</v>
      </c>
      <c r="AU136" s="45">
        <v>0</v>
      </c>
      <c r="AV136" s="41"/>
      <c r="AX136" s="46"/>
      <c r="AY136" s="46">
        <v>7.4999999999999997E-2</v>
      </c>
      <c r="AZ136" s="46"/>
      <c r="BB136" s="45">
        <v>0</v>
      </c>
      <c r="BC136" s="13">
        <v>7.4999999999999997E-2</v>
      </c>
      <c r="BD136" s="45">
        <v>0</v>
      </c>
      <c r="BE136" s="45">
        <v>0</v>
      </c>
    </row>
    <row r="137" spans="1:57" customFormat="1" ht="4.5" customHeight="1" x14ac:dyDescent="0.35">
      <c r="A137" s="6"/>
      <c r="B137" s="6"/>
      <c r="C137" s="6"/>
      <c r="D137" s="6"/>
      <c r="E137" s="6"/>
      <c r="F137" s="6"/>
      <c r="G137" s="6"/>
      <c r="H137" s="41"/>
      <c r="I137" s="6"/>
      <c r="J137" s="6"/>
      <c r="K137" s="6"/>
      <c r="L137" s="6"/>
      <c r="M137" s="41"/>
      <c r="N137" s="6"/>
      <c r="O137" s="6"/>
      <c r="P137" s="6"/>
      <c r="Q137" s="6"/>
      <c r="R137" s="41"/>
      <c r="S137" s="6"/>
      <c r="T137" s="6"/>
      <c r="U137" s="6"/>
      <c r="V137" s="6"/>
      <c r="W137" s="41"/>
      <c r="X137" s="6"/>
      <c r="Y137" s="6"/>
      <c r="Z137" s="41"/>
      <c r="AA137" s="6"/>
      <c r="AB137" s="6"/>
      <c r="AC137" s="6"/>
      <c r="AD137" s="6"/>
      <c r="AE137" s="41"/>
      <c r="AF137" s="6"/>
      <c r="AG137" s="6"/>
      <c r="AH137" s="6"/>
      <c r="AI137" s="6"/>
      <c r="AJ137" s="41"/>
      <c r="AK137" s="6"/>
      <c r="AL137" s="6"/>
      <c r="AM137" s="6"/>
      <c r="AN137" s="6"/>
      <c r="AO137" s="41"/>
      <c r="AP137" s="6"/>
      <c r="AQ137" s="6"/>
      <c r="AR137" s="6"/>
      <c r="AS137" s="6"/>
      <c r="AT137" s="6"/>
      <c r="AU137" s="6"/>
      <c r="AV137" s="41"/>
      <c r="BB137" s="6"/>
      <c r="BC137" s="6"/>
      <c r="BD137" s="6"/>
      <c r="BE137" s="6"/>
    </row>
    <row r="138" spans="1:57" ht="14.5" customHeight="1" x14ac:dyDescent="0.35">
      <c r="A138" s="6"/>
      <c r="B138" s="129" t="s">
        <v>19</v>
      </c>
      <c r="C138" s="11" t="s">
        <v>65</v>
      </c>
      <c r="D138" s="13">
        <v>0.3</v>
      </c>
      <c r="E138" s="13">
        <v>0.3</v>
      </c>
      <c r="F138" s="13">
        <v>0.3</v>
      </c>
      <c r="G138" s="45">
        <v>0</v>
      </c>
      <c r="H138" s="41"/>
      <c r="I138" s="13">
        <v>0.1</v>
      </c>
      <c r="J138" s="13">
        <v>0.37</v>
      </c>
      <c r="K138" s="13">
        <v>0.1</v>
      </c>
      <c r="L138" s="45">
        <v>0</v>
      </c>
      <c r="M138" s="41"/>
      <c r="N138" s="13">
        <v>0.37</v>
      </c>
      <c r="O138" s="13">
        <v>0.37</v>
      </c>
      <c r="P138" s="13">
        <v>0.37</v>
      </c>
      <c r="Q138" s="45">
        <v>0</v>
      </c>
      <c r="R138" s="41"/>
      <c r="S138" s="13">
        <v>0.1</v>
      </c>
      <c r="T138" s="13">
        <v>0.2</v>
      </c>
      <c r="U138" s="13">
        <v>0.1</v>
      </c>
      <c r="V138" s="45">
        <v>0</v>
      </c>
      <c r="W138" s="41"/>
      <c r="X138" s="13">
        <v>7.4999999999999997E-2</v>
      </c>
      <c r="Y138" s="13">
        <v>7.4999999999999997E-2</v>
      </c>
      <c r="Z138" s="41"/>
      <c r="AA138" s="13">
        <v>0.16999999999999998</v>
      </c>
      <c r="AB138" s="13">
        <v>0.34499999999999997</v>
      </c>
      <c r="AC138" s="13">
        <v>0.16999999999999998</v>
      </c>
      <c r="AD138" s="45">
        <v>0</v>
      </c>
      <c r="AE138" s="41"/>
      <c r="AF138" s="13">
        <v>0.05</v>
      </c>
      <c r="AG138" s="13">
        <v>7.5000000000000011E-2</v>
      </c>
      <c r="AH138" s="13">
        <v>0.05</v>
      </c>
      <c r="AI138" s="45">
        <v>0</v>
      </c>
      <c r="AJ138" s="41"/>
      <c r="AK138" s="45">
        <v>0</v>
      </c>
      <c r="AL138" s="13">
        <v>0.32499999999999996</v>
      </c>
      <c r="AM138" s="45">
        <v>0</v>
      </c>
      <c r="AN138" s="45">
        <v>0</v>
      </c>
      <c r="AO138" s="41"/>
      <c r="AP138" s="129" t="s">
        <v>19</v>
      </c>
      <c r="AQ138" s="11" t="s">
        <v>65</v>
      </c>
      <c r="AR138" s="45">
        <v>0</v>
      </c>
      <c r="AS138" s="45">
        <v>0</v>
      </c>
      <c r="AT138" s="45">
        <v>0</v>
      </c>
      <c r="AU138" s="45">
        <v>0</v>
      </c>
      <c r="AV138" s="41"/>
      <c r="AX138" s="46">
        <v>-0.19999999999999998</v>
      </c>
      <c r="AY138" s="46">
        <v>-0.19999999999999998</v>
      </c>
      <c r="AZ138" s="46">
        <v>-0.19999999999999998</v>
      </c>
      <c r="BB138" s="13">
        <v>0</v>
      </c>
      <c r="BC138" s="13">
        <v>0</v>
      </c>
      <c r="BD138" s="13">
        <v>0</v>
      </c>
      <c r="BE138" s="45">
        <v>0</v>
      </c>
    </row>
    <row r="139" spans="1:57" ht="14.5" customHeight="1" x14ac:dyDescent="0.35">
      <c r="A139" s="6"/>
      <c r="B139" s="130"/>
      <c r="C139" s="11" t="s">
        <v>66</v>
      </c>
      <c r="D139" s="13">
        <v>0.27999999999999997</v>
      </c>
      <c r="E139" s="13">
        <v>0.27999999999999997</v>
      </c>
      <c r="F139" s="13">
        <v>0.27999999999999997</v>
      </c>
      <c r="G139" s="13">
        <v>0</v>
      </c>
      <c r="H139" s="41"/>
      <c r="I139" s="13">
        <v>0.1</v>
      </c>
      <c r="J139" s="13">
        <v>0.32</v>
      </c>
      <c r="K139" s="13">
        <v>0.1</v>
      </c>
      <c r="L139" s="13">
        <v>0</v>
      </c>
      <c r="M139" s="41"/>
      <c r="N139" s="13">
        <v>0.35</v>
      </c>
      <c r="O139" s="13">
        <v>0.35</v>
      </c>
      <c r="P139" s="13">
        <v>0.35</v>
      </c>
      <c r="Q139" s="13">
        <v>0</v>
      </c>
      <c r="R139" s="41"/>
      <c r="S139" s="13">
        <v>0.08</v>
      </c>
      <c r="T139" s="13">
        <v>0.18000000000000002</v>
      </c>
      <c r="U139" s="13">
        <v>0.08</v>
      </c>
      <c r="V139" s="13">
        <v>0</v>
      </c>
      <c r="W139" s="41"/>
      <c r="X139" s="13">
        <v>7.4999999999999997E-2</v>
      </c>
      <c r="Y139" s="13">
        <v>7.4999999999999997E-2</v>
      </c>
      <c r="Z139" s="41"/>
      <c r="AA139" s="13">
        <v>0.15000000000000002</v>
      </c>
      <c r="AB139" s="13">
        <v>0.32499999999999996</v>
      </c>
      <c r="AC139" s="13">
        <v>0.15000000000000002</v>
      </c>
      <c r="AD139" s="13">
        <v>0</v>
      </c>
      <c r="AE139" s="41"/>
      <c r="AF139" s="13">
        <v>0.03</v>
      </c>
      <c r="AG139" s="13">
        <v>5.5E-2</v>
      </c>
      <c r="AH139" s="13">
        <v>0.03</v>
      </c>
      <c r="AI139" s="13">
        <v>0</v>
      </c>
      <c r="AJ139" s="41"/>
      <c r="AK139" s="13">
        <v>0</v>
      </c>
      <c r="AL139" s="13">
        <v>0.32499999999999996</v>
      </c>
      <c r="AM139" s="13">
        <v>0</v>
      </c>
      <c r="AN139" s="13">
        <v>0</v>
      </c>
      <c r="AO139" s="41"/>
      <c r="AP139" s="130"/>
      <c r="AQ139" s="11" t="s">
        <v>66</v>
      </c>
      <c r="AR139" s="13">
        <v>0</v>
      </c>
      <c r="AS139" s="13">
        <v>0</v>
      </c>
      <c r="AT139" s="45">
        <v>0</v>
      </c>
      <c r="AU139" s="45">
        <v>0</v>
      </c>
      <c r="AV139" s="41"/>
      <c r="AX139" s="46"/>
      <c r="AY139" s="46"/>
      <c r="AZ139" s="46"/>
      <c r="BB139" s="13"/>
      <c r="BC139" s="13"/>
      <c r="BD139" s="13"/>
      <c r="BE139" s="45"/>
    </row>
    <row r="140" spans="1:57" ht="14.5" customHeight="1" x14ac:dyDescent="0.35">
      <c r="A140" s="6"/>
      <c r="B140" s="130"/>
      <c r="C140" s="11" t="s">
        <v>67</v>
      </c>
      <c r="D140" s="13">
        <v>0.25999999999999995</v>
      </c>
      <c r="E140" s="13">
        <v>0.25999999999999995</v>
      </c>
      <c r="F140" s="13">
        <v>0.25999999999999995</v>
      </c>
      <c r="G140" s="13">
        <v>0</v>
      </c>
      <c r="H140" s="41"/>
      <c r="I140" s="13">
        <v>0.1</v>
      </c>
      <c r="J140" s="13">
        <v>0.27</v>
      </c>
      <c r="K140" s="13">
        <v>0.1</v>
      </c>
      <c r="L140" s="13">
        <v>0</v>
      </c>
      <c r="M140" s="41"/>
      <c r="N140" s="13">
        <v>0.32</v>
      </c>
      <c r="O140" s="13">
        <v>0.32</v>
      </c>
      <c r="P140" s="13">
        <v>0.32</v>
      </c>
      <c r="Q140" s="13">
        <v>0</v>
      </c>
      <c r="R140" s="41"/>
      <c r="S140" s="13">
        <v>0.06</v>
      </c>
      <c r="T140" s="13">
        <v>0.16000000000000003</v>
      </c>
      <c r="U140" s="13">
        <v>0.06</v>
      </c>
      <c r="V140" s="13">
        <v>0</v>
      </c>
      <c r="W140" s="41"/>
      <c r="X140" s="13">
        <v>7.4999999999999997E-2</v>
      </c>
      <c r="Y140" s="13">
        <v>7.4999999999999997E-2</v>
      </c>
      <c r="Z140" s="41"/>
      <c r="AA140" s="13">
        <v>0.13</v>
      </c>
      <c r="AB140" s="13">
        <v>0.29499999999999998</v>
      </c>
      <c r="AC140" s="13">
        <v>0.13</v>
      </c>
      <c r="AD140" s="13">
        <v>0</v>
      </c>
      <c r="AE140" s="41"/>
      <c r="AF140" s="13">
        <v>9.999999999999995E-3</v>
      </c>
      <c r="AG140" s="13">
        <v>3.4999999999999996E-2</v>
      </c>
      <c r="AH140" s="13">
        <v>9.999999999999995E-3</v>
      </c>
      <c r="AI140" s="13">
        <v>0</v>
      </c>
      <c r="AJ140" s="41"/>
      <c r="AK140" s="13">
        <v>0</v>
      </c>
      <c r="AL140" s="13">
        <v>0.32499999999999996</v>
      </c>
      <c r="AM140" s="13">
        <v>0</v>
      </c>
      <c r="AN140" s="13">
        <v>0</v>
      </c>
      <c r="AO140" s="41"/>
      <c r="AP140" s="130"/>
      <c r="AQ140" s="11" t="s">
        <v>67</v>
      </c>
      <c r="AR140" s="13">
        <v>0</v>
      </c>
      <c r="AS140" s="13">
        <v>0</v>
      </c>
      <c r="AT140" s="45">
        <v>0</v>
      </c>
      <c r="AU140" s="45">
        <v>0</v>
      </c>
      <c r="AV140" s="41"/>
      <c r="AX140" s="46"/>
      <c r="AY140" s="46"/>
      <c r="AZ140" s="46"/>
      <c r="BB140" s="13"/>
      <c r="BC140" s="13"/>
      <c r="BD140" s="13"/>
      <c r="BE140" s="45"/>
    </row>
    <row r="141" spans="1:57" ht="18.5" x14ac:dyDescent="0.35">
      <c r="A141" s="6"/>
      <c r="B141" s="131"/>
      <c r="C141" s="11" t="s">
        <v>69</v>
      </c>
      <c r="D141" s="13">
        <v>0.1</v>
      </c>
      <c r="E141" s="13">
        <v>0.3</v>
      </c>
      <c r="F141" s="13">
        <v>0.1</v>
      </c>
      <c r="G141" s="45">
        <v>0</v>
      </c>
      <c r="H141" s="41"/>
      <c r="I141" s="13">
        <v>0.1</v>
      </c>
      <c r="J141" s="13">
        <v>0.3</v>
      </c>
      <c r="K141" s="13">
        <v>0.1</v>
      </c>
      <c r="L141" s="45">
        <v>0</v>
      </c>
      <c r="M141" s="41"/>
      <c r="N141" s="13">
        <v>0.1</v>
      </c>
      <c r="O141" s="13">
        <v>0.3</v>
      </c>
      <c r="P141" s="13">
        <v>0.1</v>
      </c>
      <c r="Q141" s="45">
        <v>0</v>
      </c>
      <c r="R141" s="41"/>
      <c r="S141" s="13">
        <v>0.1</v>
      </c>
      <c r="T141" s="13">
        <v>0.3</v>
      </c>
      <c r="U141" s="13">
        <v>0.1</v>
      </c>
      <c r="V141" s="45">
        <v>0</v>
      </c>
      <c r="W141" s="41"/>
      <c r="X141" s="13">
        <v>7.4999999999999997E-2</v>
      </c>
      <c r="Y141" s="13">
        <v>7.4999999999999997E-2</v>
      </c>
      <c r="Z141" s="41"/>
      <c r="AA141" s="13">
        <v>0.05</v>
      </c>
      <c r="AB141" s="13">
        <v>0.27499999999999997</v>
      </c>
      <c r="AC141" s="13">
        <v>0.05</v>
      </c>
      <c r="AD141" s="45">
        <v>0</v>
      </c>
      <c r="AE141" s="41"/>
      <c r="AF141" s="13">
        <v>0.05</v>
      </c>
      <c r="AG141" s="13">
        <v>0.27499999999999997</v>
      </c>
      <c r="AH141" s="13">
        <v>0.05</v>
      </c>
      <c r="AI141" s="45">
        <v>0</v>
      </c>
      <c r="AJ141" s="41"/>
      <c r="AK141" s="45">
        <v>0</v>
      </c>
      <c r="AL141" s="13">
        <v>0.27499999999999997</v>
      </c>
      <c r="AM141" s="45">
        <v>0</v>
      </c>
      <c r="AN141" s="45">
        <v>0</v>
      </c>
      <c r="AO141" s="41"/>
      <c r="AP141" s="131"/>
      <c r="AQ141" s="11" t="s">
        <v>69</v>
      </c>
      <c r="AR141" s="45">
        <v>0</v>
      </c>
      <c r="AS141" s="45">
        <v>0</v>
      </c>
      <c r="AT141" s="45">
        <v>0</v>
      </c>
      <c r="AU141" s="45">
        <v>0</v>
      </c>
      <c r="AV141" s="41"/>
      <c r="AX141" s="46">
        <v>0</v>
      </c>
      <c r="AY141" s="46">
        <v>0</v>
      </c>
      <c r="AZ141" s="46">
        <v>0</v>
      </c>
      <c r="BB141" s="13">
        <v>0</v>
      </c>
      <c r="BC141" s="13">
        <v>0</v>
      </c>
      <c r="BD141" s="13">
        <v>0</v>
      </c>
      <c r="BE141" s="45">
        <v>0</v>
      </c>
    </row>
    <row r="142" spans="1:57" ht="18.5" x14ac:dyDescent="0.35">
      <c r="A142" s="6"/>
      <c r="B142" s="132"/>
      <c r="C142" s="11" t="s">
        <v>23</v>
      </c>
      <c r="D142" s="45">
        <v>0</v>
      </c>
      <c r="E142" s="13">
        <v>0.1</v>
      </c>
      <c r="F142" s="45">
        <v>0</v>
      </c>
      <c r="G142" s="45">
        <v>0</v>
      </c>
      <c r="H142" s="41"/>
      <c r="I142" s="45">
        <v>0</v>
      </c>
      <c r="J142" s="13">
        <v>0.1</v>
      </c>
      <c r="K142" s="45">
        <v>0</v>
      </c>
      <c r="L142" s="45">
        <v>0</v>
      </c>
      <c r="M142" s="41"/>
      <c r="N142" s="45">
        <v>0</v>
      </c>
      <c r="O142" s="13">
        <v>0.1</v>
      </c>
      <c r="P142" s="45">
        <v>0</v>
      </c>
      <c r="Q142" s="45">
        <v>0</v>
      </c>
      <c r="R142" s="41"/>
      <c r="S142" s="45">
        <v>0</v>
      </c>
      <c r="T142" s="13">
        <v>0.1</v>
      </c>
      <c r="U142" s="45">
        <v>0</v>
      </c>
      <c r="V142" s="45">
        <v>0</v>
      </c>
      <c r="W142" s="41"/>
      <c r="X142" s="45">
        <v>0</v>
      </c>
      <c r="Y142" s="45">
        <v>0</v>
      </c>
      <c r="Z142" s="41"/>
      <c r="AA142" s="45">
        <v>0</v>
      </c>
      <c r="AB142" s="13">
        <v>7.5000000000000011E-2</v>
      </c>
      <c r="AC142" s="45">
        <v>0</v>
      </c>
      <c r="AD142" s="45">
        <v>0</v>
      </c>
      <c r="AE142" s="41"/>
      <c r="AF142" s="45">
        <v>0</v>
      </c>
      <c r="AG142" s="13">
        <v>7.5000000000000011E-2</v>
      </c>
      <c r="AH142" s="45">
        <v>0</v>
      </c>
      <c r="AI142" s="45">
        <v>0</v>
      </c>
      <c r="AJ142" s="41"/>
      <c r="AK142" s="45">
        <v>0</v>
      </c>
      <c r="AL142" s="13">
        <v>7.5000000000000011E-2</v>
      </c>
      <c r="AM142" s="45">
        <v>0</v>
      </c>
      <c r="AN142" s="45">
        <v>0</v>
      </c>
      <c r="AO142" s="41"/>
      <c r="AP142" s="132"/>
      <c r="AQ142" s="11" t="s">
        <v>23</v>
      </c>
      <c r="AR142" s="45">
        <v>0</v>
      </c>
      <c r="AS142" s="45">
        <v>0</v>
      </c>
      <c r="AT142" s="45">
        <v>0</v>
      </c>
      <c r="AU142" s="45">
        <v>0</v>
      </c>
      <c r="AV142" s="41"/>
      <c r="AX142" s="46"/>
      <c r="AY142" s="46">
        <v>0</v>
      </c>
      <c r="AZ142" s="46"/>
      <c r="BB142" s="45">
        <v>0</v>
      </c>
      <c r="BC142" s="13">
        <v>0.1</v>
      </c>
      <c r="BD142" s="45">
        <v>0</v>
      </c>
      <c r="BE142" s="45">
        <v>0</v>
      </c>
    </row>
    <row r="143" spans="1:57" customFormat="1" ht="4.5" customHeight="1" x14ac:dyDescent="0.35">
      <c r="A143" s="6"/>
      <c r="B143" s="6"/>
      <c r="C143" s="6"/>
      <c r="D143" s="6"/>
      <c r="E143" s="6"/>
      <c r="F143" s="6"/>
      <c r="G143" s="6"/>
      <c r="H143" s="41"/>
      <c r="I143" s="6"/>
      <c r="J143" s="6"/>
      <c r="K143" s="6"/>
      <c r="L143" s="6"/>
      <c r="M143" s="41"/>
      <c r="N143" s="6"/>
      <c r="O143" s="6"/>
      <c r="P143" s="6"/>
      <c r="Q143" s="6"/>
      <c r="R143" s="41"/>
      <c r="S143" s="6"/>
      <c r="T143" s="6"/>
      <c r="U143" s="6"/>
      <c r="V143" s="6"/>
      <c r="W143" s="41"/>
      <c r="X143" s="6"/>
      <c r="Y143" s="6"/>
      <c r="Z143" s="41"/>
      <c r="AA143" s="6"/>
      <c r="AB143" s="6"/>
      <c r="AC143" s="6"/>
      <c r="AD143" s="6"/>
      <c r="AE143" s="41"/>
      <c r="AF143" s="6"/>
      <c r="AG143" s="6"/>
      <c r="AH143" s="6"/>
      <c r="AI143" s="6"/>
      <c r="AJ143" s="41"/>
      <c r="AK143" s="6"/>
      <c r="AL143" s="6"/>
      <c r="AM143" s="6"/>
      <c r="AN143" s="6"/>
      <c r="AO143" s="41"/>
      <c r="AP143" s="6"/>
      <c r="AQ143" s="6"/>
      <c r="AR143" s="6"/>
      <c r="AS143" s="6"/>
      <c r="AT143" s="6"/>
      <c r="AU143" s="6"/>
      <c r="AV143" s="41"/>
      <c r="BB143" s="6"/>
      <c r="BC143" s="6"/>
      <c r="BD143" s="6"/>
      <c r="BE143" s="6"/>
    </row>
    <row r="144" spans="1:57" ht="14.5" customHeight="1" x14ac:dyDescent="0.35">
      <c r="A144" s="6"/>
      <c r="B144" s="129" t="s">
        <v>84</v>
      </c>
      <c r="C144" s="11" t="s">
        <v>65</v>
      </c>
      <c r="D144" s="13">
        <v>0.3</v>
      </c>
      <c r="E144" s="13">
        <v>0.3</v>
      </c>
      <c r="F144" s="13">
        <v>0.3</v>
      </c>
      <c r="G144" s="45">
        <v>0</v>
      </c>
      <c r="H144" s="41"/>
      <c r="I144" s="13">
        <v>0.1</v>
      </c>
      <c r="J144" s="13">
        <v>0.37</v>
      </c>
      <c r="K144" s="13">
        <v>0.1</v>
      </c>
      <c r="L144" s="45">
        <v>0</v>
      </c>
      <c r="M144" s="41"/>
      <c r="N144" s="13">
        <v>0.37</v>
      </c>
      <c r="O144" s="13">
        <v>0.37</v>
      </c>
      <c r="P144" s="13">
        <v>0.37</v>
      </c>
      <c r="Q144" s="45">
        <v>0</v>
      </c>
      <c r="R144" s="41"/>
      <c r="S144" s="13">
        <v>0.1</v>
      </c>
      <c r="T144" s="13">
        <v>0.2</v>
      </c>
      <c r="U144" s="13">
        <v>0.1</v>
      </c>
      <c r="V144" s="45">
        <v>0</v>
      </c>
      <c r="W144" s="41"/>
      <c r="X144" s="13">
        <v>7.4999999999999997E-2</v>
      </c>
      <c r="Y144" s="13">
        <v>7.4999999999999997E-2</v>
      </c>
      <c r="Z144" s="41"/>
      <c r="AA144" s="13">
        <v>0.16999999999999998</v>
      </c>
      <c r="AB144" s="13">
        <v>0.34499999999999997</v>
      </c>
      <c r="AC144" s="13">
        <v>0.16999999999999998</v>
      </c>
      <c r="AD144" s="45">
        <v>0</v>
      </c>
      <c r="AE144" s="41"/>
      <c r="AF144" s="13">
        <v>0.05</v>
      </c>
      <c r="AG144" s="13">
        <v>7.5000000000000011E-2</v>
      </c>
      <c r="AH144" s="13">
        <v>0.05</v>
      </c>
      <c r="AI144" s="45">
        <v>0</v>
      </c>
      <c r="AJ144" s="41"/>
      <c r="AK144" s="13">
        <v>0.05</v>
      </c>
      <c r="AL144" s="13">
        <v>0.32499999999999996</v>
      </c>
      <c r="AM144" s="45">
        <v>0</v>
      </c>
      <c r="AN144" s="45">
        <v>0</v>
      </c>
      <c r="AO144" s="41"/>
      <c r="AP144" s="129" t="s">
        <v>18</v>
      </c>
      <c r="AQ144" s="11" t="s">
        <v>65</v>
      </c>
      <c r="AR144" s="45">
        <v>0.05</v>
      </c>
      <c r="AS144" s="45">
        <v>0.05</v>
      </c>
      <c r="AT144" s="45">
        <v>0</v>
      </c>
      <c r="AU144" s="45">
        <v>0</v>
      </c>
      <c r="AV144" s="41"/>
      <c r="AX144" s="46">
        <v>-0.19999999999999998</v>
      </c>
      <c r="AY144" s="46">
        <v>-0.19999999999999998</v>
      </c>
      <c r="AZ144" s="46">
        <v>-0.19999999999999998</v>
      </c>
      <c r="BB144" s="13">
        <v>0.1</v>
      </c>
      <c r="BC144" s="13">
        <v>0.1</v>
      </c>
      <c r="BD144" s="13">
        <v>0.1</v>
      </c>
      <c r="BE144" s="45">
        <v>0</v>
      </c>
    </row>
    <row r="145" spans="1:57" ht="14.5" customHeight="1" x14ac:dyDescent="0.35">
      <c r="A145" s="6"/>
      <c r="B145" s="130"/>
      <c r="C145" s="11" t="s">
        <v>66</v>
      </c>
      <c r="D145" s="13">
        <v>0.27999999999999997</v>
      </c>
      <c r="E145" s="13">
        <v>0.27999999999999997</v>
      </c>
      <c r="F145" s="13">
        <v>0.27999999999999997</v>
      </c>
      <c r="G145" s="13">
        <v>0</v>
      </c>
      <c r="H145" s="41"/>
      <c r="I145" s="13">
        <v>0.1</v>
      </c>
      <c r="J145" s="13">
        <v>0.32</v>
      </c>
      <c r="K145" s="13">
        <v>0.1</v>
      </c>
      <c r="L145" s="13">
        <v>0</v>
      </c>
      <c r="M145" s="41"/>
      <c r="N145" s="13">
        <v>0.35</v>
      </c>
      <c r="O145" s="13">
        <v>0.35</v>
      </c>
      <c r="P145" s="13">
        <v>0.35</v>
      </c>
      <c r="Q145" s="13">
        <v>0</v>
      </c>
      <c r="R145" s="41"/>
      <c r="S145" s="13">
        <v>0.08</v>
      </c>
      <c r="T145" s="13">
        <v>0.18000000000000002</v>
      </c>
      <c r="U145" s="13">
        <v>0.08</v>
      </c>
      <c r="V145" s="13">
        <v>0</v>
      </c>
      <c r="W145" s="41"/>
      <c r="X145" s="13">
        <v>7.4999999999999997E-2</v>
      </c>
      <c r="Y145" s="13">
        <v>7.4999999999999997E-2</v>
      </c>
      <c r="Z145" s="41"/>
      <c r="AA145" s="13">
        <v>0.15000000000000002</v>
      </c>
      <c r="AB145" s="13">
        <v>0.32499999999999996</v>
      </c>
      <c r="AC145" s="13">
        <v>0.15000000000000002</v>
      </c>
      <c r="AD145" s="13">
        <v>0</v>
      </c>
      <c r="AE145" s="41"/>
      <c r="AF145" s="13">
        <v>0.03</v>
      </c>
      <c r="AG145" s="13">
        <v>5.5E-2</v>
      </c>
      <c r="AH145" s="13">
        <v>0.03</v>
      </c>
      <c r="AI145" s="13">
        <v>0</v>
      </c>
      <c r="AJ145" s="41"/>
      <c r="AK145" s="13">
        <v>0.05</v>
      </c>
      <c r="AL145" s="13">
        <v>0.32499999999999996</v>
      </c>
      <c r="AM145" s="13">
        <v>0</v>
      </c>
      <c r="AN145" s="13">
        <v>0</v>
      </c>
      <c r="AO145" s="41"/>
      <c r="AP145" s="130"/>
      <c r="AQ145" s="11" t="s">
        <v>66</v>
      </c>
      <c r="AR145" s="13">
        <v>0.05</v>
      </c>
      <c r="AS145" s="13">
        <v>0.05</v>
      </c>
      <c r="AT145" s="45">
        <v>0</v>
      </c>
      <c r="AU145" s="45">
        <v>0</v>
      </c>
      <c r="AV145" s="41"/>
      <c r="AX145" s="46"/>
      <c r="AY145" s="46"/>
      <c r="AZ145" s="46"/>
      <c r="BB145" s="13"/>
      <c r="BC145" s="13"/>
      <c r="BD145" s="13"/>
      <c r="BE145" s="45"/>
    </row>
    <row r="146" spans="1:57" ht="14.5" customHeight="1" x14ac:dyDescent="0.35">
      <c r="A146" s="6"/>
      <c r="B146" s="130"/>
      <c r="C146" s="11" t="s">
        <v>67</v>
      </c>
      <c r="D146" s="13">
        <v>0.25999999999999995</v>
      </c>
      <c r="E146" s="13">
        <v>0.25999999999999995</v>
      </c>
      <c r="F146" s="13">
        <v>0.25999999999999995</v>
      </c>
      <c r="G146" s="13">
        <v>0</v>
      </c>
      <c r="H146" s="41"/>
      <c r="I146" s="13">
        <v>0.1</v>
      </c>
      <c r="J146" s="13">
        <v>0.27</v>
      </c>
      <c r="K146" s="13">
        <v>0.1</v>
      </c>
      <c r="L146" s="13">
        <v>0</v>
      </c>
      <c r="M146" s="41"/>
      <c r="N146" s="13">
        <v>0.32</v>
      </c>
      <c r="O146" s="13">
        <v>0.32</v>
      </c>
      <c r="P146" s="13">
        <v>0.32</v>
      </c>
      <c r="Q146" s="13">
        <v>0</v>
      </c>
      <c r="R146" s="41"/>
      <c r="S146" s="13">
        <v>0.06</v>
      </c>
      <c r="T146" s="13">
        <v>0.16000000000000003</v>
      </c>
      <c r="U146" s="13">
        <v>0.06</v>
      </c>
      <c r="V146" s="13">
        <v>0</v>
      </c>
      <c r="W146" s="41"/>
      <c r="X146" s="13">
        <v>7.4999999999999997E-2</v>
      </c>
      <c r="Y146" s="13">
        <v>7.4999999999999997E-2</v>
      </c>
      <c r="Z146" s="41"/>
      <c r="AA146" s="13">
        <v>0.13</v>
      </c>
      <c r="AB146" s="13">
        <v>0.29499999999999998</v>
      </c>
      <c r="AC146" s="13">
        <v>0.13</v>
      </c>
      <c r="AD146" s="13">
        <v>0</v>
      </c>
      <c r="AE146" s="41"/>
      <c r="AF146" s="13">
        <v>9.999999999999995E-3</v>
      </c>
      <c r="AG146" s="13">
        <v>3.4999999999999996E-2</v>
      </c>
      <c r="AH146" s="13">
        <v>9.999999999999995E-3</v>
      </c>
      <c r="AI146" s="13">
        <v>0</v>
      </c>
      <c r="AJ146" s="41"/>
      <c r="AK146" s="13">
        <v>0.05</v>
      </c>
      <c r="AL146" s="13">
        <v>0.32499999999999996</v>
      </c>
      <c r="AM146" s="13">
        <v>0</v>
      </c>
      <c r="AN146" s="13">
        <v>0</v>
      </c>
      <c r="AO146" s="41"/>
      <c r="AP146" s="130"/>
      <c r="AQ146" s="11" t="s">
        <v>67</v>
      </c>
      <c r="AR146" s="13">
        <v>0.05</v>
      </c>
      <c r="AS146" s="13">
        <v>0.05</v>
      </c>
      <c r="AT146" s="45">
        <v>0</v>
      </c>
      <c r="AU146" s="45">
        <v>0</v>
      </c>
      <c r="AV146" s="41"/>
      <c r="AX146" s="46"/>
      <c r="AY146" s="46"/>
      <c r="AZ146" s="46"/>
      <c r="BB146" s="13"/>
      <c r="BC146" s="13"/>
      <c r="BD146" s="13"/>
      <c r="BE146" s="45"/>
    </row>
    <row r="147" spans="1:57" ht="18.5" x14ac:dyDescent="0.35">
      <c r="A147" s="6"/>
      <c r="B147" s="131"/>
      <c r="C147" s="11" t="s">
        <v>69</v>
      </c>
      <c r="D147" s="13">
        <v>7.4999999999999997E-2</v>
      </c>
      <c r="E147" s="13">
        <v>0.3</v>
      </c>
      <c r="F147" s="13">
        <v>7.4999999999999997E-2</v>
      </c>
      <c r="G147" s="45">
        <v>0</v>
      </c>
      <c r="H147" s="41"/>
      <c r="I147" s="13">
        <v>0.1</v>
      </c>
      <c r="J147" s="13">
        <v>0.3</v>
      </c>
      <c r="K147" s="13">
        <v>0.1</v>
      </c>
      <c r="L147" s="45">
        <v>0</v>
      </c>
      <c r="M147" s="41"/>
      <c r="N147" s="13">
        <v>0.1</v>
      </c>
      <c r="O147" s="13">
        <v>0.3</v>
      </c>
      <c r="P147" s="13">
        <v>0.1</v>
      </c>
      <c r="Q147" s="45">
        <v>0</v>
      </c>
      <c r="R147" s="41"/>
      <c r="S147" s="13">
        <v>0.1</v>
      </c>
      <c r="T147" s="13">
        <v>0.3</v>
      </c>
      <c r="U147" s="13">
        <v>0.1</v>
      </c>
      <c r="V147" s="45">
        <v>0</v>
      </c>
      <c r="W147" s="41"/>
      <c r="X147" s="13">
        <v>7.4999999999999997E-2</v>
      </c>
      <c r="Y147" s="13">
        <v>7.4999999999999997E-2</v>
      </c>
      <c r="Z147" s="41"/>
      <c r="AA147" s="13">
        <v>0.05</v>
      </c>
      <c r="AB147" s="13">
        <v>0.27499999999999997</v>
      </c>
      <c r="AC147" s="13">
        <v>0.05</v>
      </c>
      <c r="AD147" s="45">
        <v>0</v>
      </c>
      <c r="AE147" s="41"/>
      <c r="AF147" s="13">
        <v>2.4999999999999994E-2</v>
      </c>
      <c r="AG147" s="13">
        <v>0.27499999999999997</v>
      </c>
      <c r="AH147" s="13">
        <v>2.4999999999999994E-2</v>
      </c>
      <c r="AI147" s="45">
        <v>0</v>
      </c>
      <c r="AJ147" s="41"/>
      <c r="AK147" s="13">
        <v>0.05</v>
      </c>
      <c r="AL147" s="13">
        <v>0.27499999999999997</v>
      </c>
      <c r="AM147" s="45">
        <v>0</v>
      </c>
      <c r="AN147" s="45">
        <v>0</v>
      </c>
      <c r="AO147" s="41"/>
      <c r="AP147" s="131"/>
      <c r="AQ147" s="11" t="s">
        <v>69</v>
      </c>
      <c r="AR147" s="45">
        <v>0</v>
      </c>
      <c r="AS147" s="45">
        <v>0</v>
      </c>
      <c r="AT147" s="45">
        <v>0</v>
      </c>
      <c r="AU147" s="45">
        <v>0</v>
      </c>
      <c r="AV147" s="41"/>
      <c r="AX147" s="46">
        <v>0</v>
      </c>
      <c r="AY147" s="46">
        <v>0</v>
      </c>
      <c r="AZ147" s="46">
        <v>0</v>
      </c>
      <c r="BB147" s="13">
        <v>0.1</v>
      </c>
      <c r="BC147" s="13">
        <v>0.1</v>
      </c>
      <c r="BD147" s="13">
        <v>0.1</v>
      </c>
      <c r="BE147" s="45">
        <v>0</v>
      </c>
    </row>
    <row r="148" spans="1:57" ht="18.5" x14ac:dyDescent="0.35">
      <c r="A148" s="6"/>
      <c r="B148" s="132"/>
      <c r="C148" s="11" t="s">
        <v>23</v>
      </c>
      <c r="D148" s="45">
        <v>0</v>
      </c>
      <c r="E148" s="13">
        <v>7.4999999999999997E-2</v>
      </c>
      <c r="F148" s="45">
        <v>0</v>
      </c>
      <c r="G148" s="45">
        <v>0</v>
      </c>
      <c r="H148" s="41"/>
      <c r="I148" s="45">
        <v>0</v>
      </c>
      <c r="J148" s="13">
        <v>7.4999999999999997E-2</v>
      </c>
      <c r="K148" s="45">
        <v>0</v>
      </c>
      <c r="L148" s="45">
        <v>0</v>
      </c>
      <c r="M148" s="41"/>
      <c r="N148" s="45">
        <v>0</v>
      </c>
      <c r="O148" s="13">
        <v>7.4999999999999997E-2</v>
      </c>
      <c r="P148" s="45">
        <v>0</v>
      </c>
      <c r="Q148" s="45">
        <v>0</v>
      </c>
      <c r="R148" s="41"/>
      <c r="S148" s="45">
        <v>0</v>
      </c>
      <c r="T148" s="13">
        <v>7.4999999999999997E-2</v>
      </c>
      <c r="U148" s="45">
        <v>0</v>
      </c>
      <c r="V148" s="45">
        <v>0</v>
      </c>
      <c r="W148" s="41"/>
      <c r="X148" s="45">
        <v>0</v>
      </c>
      <c r="Y148" s="45">
        <v>0</v>
      </c>
      <c r="Z148" s="41"/>
      <c r="AA148" s="45">
        <v>0</v>
      </c>
      <c r="AB148" s="13">
        <v>4.9999999999999996E-2</v>
      </c>
      <c r="AC148" s="45">
        <v>0</v>
      </c>
      <c r="AD148" s="45">
        <v>0</v>
      </c>
      <c r="AE148" s="41"/>
      <c r="AF148" s="45">
        <v>0</v>
      </c>
      <c r="AG148" s="13">
        <v>4.9999999999999996E-2</v>
      </c>
      <c r="AH148" s="45">
        <v>0</v>
      </c>
      <c r="AI148" s="45">
        <v>0</v>
      </c>
      <c r="AJ148" s="41"/>
      <c r="AK148" s="45">
        <v>0</v>
      </c>
      <c r="AL148" s="13">
        <v>4.9999999999999996E-2</v>
      </c>
      <c r="AM148" s="45">
        <v>0</v>
      </c>
      <c r="AN148" s="45">
        <v>0</v>
      </c>
      <c r="AO148" s="41"/>
      <c r="AP148" s="132"/>
      <c r="AQ148" s="11" t="s">
        <v>23</v>
      </c>
      <c r="AR148" s="45">
        <v>0</v>
      </c>
      <c r="AS148" s="45">
        <v>0</v>
      </c>
      <c r="AT148" s="45">
        <v>0</v>
      </c>
      <c r="AU148" s="45">
        <v>0</v>
      </c>
      <c r="AV148" s="41"/>
      <c r="AX148" s="46"/>
      <c r="AY148" s="46">
        <v>0</v>
      </c>
      <c r="AZ148" s="46"/>
      <c r="BB148" s="45">
        <v>0</v>
      </c>
      <c r="BC148" s="13">
        <v>7.4999999999999997E-2</v>
      </c>
      <c r="BD148" s="45">
        <v>0</v>
      </c>
      <c r="BE148" s="45">
        <v>0</v>
      </c>
    </row>
    <row r="149" spans="1:57" customFormat="1" ht="4.5" customHeight="1" x14ac:dyDescent="0.35">
      <c r="A149" s="6"/>
      <c r="B149" s="6"/>
      <c r="C149" s="6"/>
      <c r="D149" s="6"/>
      <c r="E149" s="6"/>
      <c r="F149" s="6"/>
      <c r="G149" s="6"/>
      <c r="H149" s="41"/>
      <c r="I149" s="6"/>
      <c r="J149" s="6"/>
      <c r="K149" s="6"/>
      <c r="L149" s="6"/>
      <c r="M149" s="41"/>
      <c r="N149" s="6"/>
      <c r="O149" s="6"/>
      <c r="P149" s="6"/>
      <c r="Q149" s="6"/>
      <c r="R149" s="41"/>
      <c r="S149" s="6"/>
      <c r="T149" s="6"/>
      <c r="U149" s="6"/>
      <c r="V149" s="6"/>
      <c r="W149" s="41"/>
      <c r="X149" s="6"/>
      <c r="Y149" s="6"/>
      <c r="Z149" s="41"/>
      <c r="AA149" s="6"/>
      <c r="AB149" s="6"/>
      <c r="AC149" s="6"/>
      <c r="AD149" s="6"/>
      <c r="AE149" s="41"/>
      <c r="AF149" s="6"/>
      <c r="AG149" s="6"/>
      <c r="AH149" s="6"/>
      <c r="AI149" s="6"/>
      <c r="AJ149" s="41"/>
      <c r="AK149" s="6"/>
      <c r="AL149" s="6"/>
      <c r="AM149" s="6"/>
      <c r="AN149" s="6"/>
      <c r="AO149" s="41"/>
      <c r="AP149" s="6"/>
      <c r="AQ149" s="6"/>
      <c r="AR149" s="6"/>
      <c r="AS149" s="6"/>
      <c r="AT149" s="6"/>
      <c r="AU149" s="6"/>
      <c r="AV149" s="41"/>
      <c r="BB149" s="6"/>
      <c r="BC149" s="6"/>
      <c r="BD149" s="6"/>
      <c r="BE149" s="6"/>
    </row>
    <row r="150" spans="1:57" ht="14.5" customHeight="1" x14ac:dyDescent="0.35">
      <c r="A150" s="6"/>
      <c r="B150" s="129" t="s">
        <v>20</v>
      </c>
      <c r="C150" s="11" t="s">
        <v>65</v>
      </c>
      <c r="D150" s="13">
        <v>0.3</v>
      </c>
      <c r="E150" s="13">
        <v>0.3</v>
      </c>
      <c r="F150" s="13">
        <v>0.3</v>
      </c>
      <c r="G150" s="45">
        <v>0</v>
      </c>
      <c r="H150" s="41"/>
      <c r="I150" s="13">
        <v>0.3</v>
      </c>
      <c r="J150" s="13">
        <v>0.3</v>
      </c>
      <c r="K150" s="13">
        <v>0.3</v>
      </c>
      <c r="L150" s="45">
        <v>0</v>
      </c>
      <c r="M150" s="41"/>
      <c r="N150" s="13">
        <v>0.3</v>
      </c>
      <c r="O150" s="13">
        <v>0.3</v>
      </c>
      <c r="P150" s="13">
        <v>0.3</v>
      </c>
      <c r="Q150" s="45">
        <v>0</v>
      </c>
      <c r="R150" s="41"/>
      <c r="S150" s="13">
        <v>0.3</v>
      </c>
      <c r="T150" s="13">
        <v>0.3</v>
      </c>
      <c r="U150" s="13">
        <v>0</v>
      </c>
      <c r="V150" s="45">
        <v>0</v>
      </c>
      <c r="W150" s="41"/>
      <c r="X150" s="13">
        <v>0</v>
      </c>
      <c r="Y150" s="13">
        <v>0</v>
      </c>
      <c r="Z150" s="41"/>
      <c r="AA150" s="13">
        <v>0.25</v>
      </c>
      <c r="AB150" s="13">
        <v>0.375</v>
      </c>
      <c r="AC150" s="13">
        <v>0.25</v>
      </c>
      <c r="AD150" s="45">
        <v>0</v>
      </c>
      <c r="AE150" s="41"/>
      <c r="AF150" s="13">
        <v>0.25</v>
      </c>
      <c r="AG150" s="13">
        <v>0.27499999999999997</v>
      </c>
      <c r="AH150" s="13">
        <v>0</v>
      </c>
      <c r="AI150" s="45">
        <v>0</v>
      </c>
      <c r="AJ150" s="41"/>
      <c r="AK150" s="13">
        <v>0.25</v>
      </c>
      <c r="AL150" s="13">
        <v>0.27499999999999997</v>
      </c>
      <c r="AM150" s="45">
        <v>0</v>
      </c>
      <c r="AN150" s="45">
        <v>0</v>
      </c>
      <c r="AO150" s="41"/>
      <c r="AP150" s="129" t="s">
        <v>20</v>
      </c>
      <c r="AQ150" s="11" t="s">
        <v>65</v>
      </c>
      <c r="AR150" s="45">
        <v>0</v>
      </c>
      <c r="AS150" s="45">
        <v>0</v>
      </c>
      <c r="AT150" s="45">
        <v>0</v>
      </c>
      <c r="AU150" s="45">
        <v>0</v>
      </c>
      <c r="AV150" s="41"/>
      <c r="AX150" s="46">
        <v>0</v>
      </c>
      <c r="AY150" s="46">
        <v>0</v>
      </c>
      <c r="AZ150" s="46" t="e">
        <v>#VALUE!</v>
      </c>
      <c r="BB150" s="13">
        <v>0.3</v>
      </c>
      <c r="BC150" s="13">
        <v>0.4</v>
      </c>
      <c r="BD150" s="13">
        <v>0</v>
      </c>
      <c r="BE150" s="45">
        <v>0</v>
      </c>
    </row>
    <row r="151" spans="1:57" ht="14.5" customHeight="1" x14ac:dyDescent="0.35">
      <c r="A151" s="6"/>
      <c r="B151" s="130"/>
      <c r="C151" s="11" t="s">
        <v>66</v>
      </c>
      <c r="D151" s="13">
        <v>0.3</v>
      </c>
      <c r="E151" s="13">
        <v>0.3</v>
      </c>
      <c r="F151" s="13">
        <v>0.3</v>
      </c>
      <c r="G151" s="13">
        <v>0</v>
      </c>
      <c r="H151" s="41"/>
      <c r="I151" s="13">
        <v>0.3</v>
      </c>
      <c r="J151" s="13">
        <v>0.3</v>
      </c>
      <c r="K151" s="13">
        <v>0.3</v>
      </c>
      <c r="L151" s="13">
        <v>0</v>
      </c>
      <c r="M151" s="41"/>
      <c r="N151" s="13">
        <v>0.3</v>
      </c>
      <c r="O151" s="13">
        <v>0.3</v>
      </c>
      <c r="P151" s="13">
        <v>0.3</v>
      </c>
      <c r="Q151" s="13">
        <v>0</v>
      </c>
      <c r="R151" s="41"/>
      <c r="S151" s="13">
        <v>0.3</v>
      </c>
      <c r="T151" s="13">
        <v>0.3</v>
      </c>
      <c r="U151" s="13">
        <v>0</v>
      </c>
      <c r="V151" s="13">
        <v>0</v>
      </c>
      <c r="W151" s="41"/>
      <c r="X151" s="13">
        <v>0</v>
      </c>
      <c r="Y151" s="13">
        <v>0</v>
      </c>
      <c r="Z151" s="41"/>
      <c r="AA151" s="13">
        <v>0.25</v>
      </c>
      <c r="AB151" s="13">
        <v>0.375</v>
      </c>
      <c r="AC151" s="13">
        <v>0.25</v>
      </c>
      <c r="AD151" s="13">
        <v>0</v>
      </c>
      <c r="AE151" s="41"/>
      <c r="AF151" s="13">
        <v>0.25</v>
      </c>
      <c r="AG151" s="13">
        <v>0.27499999999999997</v>
      </c>
      <c r="AH151" s="13">
        <v>0</v>
      </c>
      <c r="AI151" s="13">
        <v>0</v>
      </c>
      <c r="AJ151" s="41"/>
      <c r="AK151" s="13">
        <v>0.25</v>
      </c>
      <c r="AL151" s="13">
        <v>0.27499999999999997</v>
      </c>
      <c r="AM151" s="13">
        <v>0</v>
      </c>
      <c r="AN151" s="13">
        <v>0</v>
      </c>
      <c r="AO151" s="41"/>
      <c r="AP151" s="130"/>
      <c r="AQ151" s="11" t="s">
        <v>66</v>
      </c>
      <c r="AR151" s="13">
        <v>0</v>
      </c>
      <c r="AS151" s="13">
        <v>0</v>
      </c>
      <c r="AT151" s="45">
        <v>0</v>
      </c>
      <c r="AU151" s="45">
        <v>0</v>
      </c>
      <c r="AV151" s="41"/>
      <c r="AX151" s="46"/>
      <c r="AY151" s="46"/>
      <c r="AZ151" s="46"/>
      <c r="BB151" s="13"/>
      <c r="BC151" s="13"/>
      <c r="BD151" s="13"/>
      <c r="BE151" s="45"/>
    </row>
    <row r="152" spans="1:57" ht="14.5" customHeight="1" x14ac:dyDescent="0.35">
      <c r="A152" s="6"/>
      <c r="B152" s="130"/>
      <c r="C152" s="11" t="s">
        <v>67</v>
      </c>
      <c r="D152" s="13">
        <v>0.3</v>
      </c>
      <c r="E152" s="13">
        <v>0.3</v>
      </c>
      <c r="F152" s="13">
        <v>0.3</v>
      </c>
      <c r="G152" s="13">
        <v>0</v>
      </c>
      <c r="H152" s="41"/>
      <c r="I152" s="13">
        <v>0.3</v>
      </c>
      <c r="J152" s="13">
        <v>0.3</v>
      </c>
      <c r="K152" s="13">
        <v>0.3</v>
      </c>
      <c r="L152" s="13">
        <v>0</v>
      </c>
      <c r="M152" s="41"/>
      <c r="N152" s="13">
        <v>0.3</v>
      </c>
      <c r="O152" s="13">
        <v>0.3</v>
      </c>
      <c r="P152" s="13">
        <v>0.3</v>
      </c>
      <c r="Q152" s="13">
        <v>0</v>
      </c>
      <c r="R152" s="41"/>
      <c r="S152" s="13">
        <v>0.3</v>
      </c>
      <c r="T152" s="13">
        <v>0.3</v>
      </c>
      <c r="U152" s="13">
        <v>0</v>
      </c>
      <c r="V152" s="13">
        <v>0</v>
      </c>
      <c r="W152" s="41"/>
      <c r="X152" s="13">
        <v>0</v>
      </c>
      <c r="Y152" s="13">
        <v>0</v>
      </c>
      <c r="Z152" s="41"/>
      <c r="AA152" s="13">
        <v>0.25</v>
      </c>
      <c r="AB152" s="13">
        <v>0.375</v>
      </c>
      <c r="AC152" s="13">
        <v>0.25</v>
      </c>
      <c r="AD152" s="13">
        <v>0</v>
      </c>
      <c r="AE152" s="41"/>
      <c r="AF152" s="13">
        <v>0.25</v>
      </c>
      <c r="AG152" s="13">
        <v>0.27499999999999997</v>
      </c>
      <c r="AH152" s="13">
        <v>0</v>
      </c>
      <c r="AI152" s="13">
        <v>0</v>
      </c>
      <c r="AJ152" s="41"/>
      <c r="AK152" s="13">
        <v>0.25</v>
      </c>
      <c r="AL152" s="13">
        <v>0.27499999999999997</v>
      </c>
      <c r="AM152" s="13">
        <v>0</v>
      </c>
      <c r="AN152" s="13">
        <v>0</v>
      </c>
      <c r="AO152" s="41"/>
      <c r="AP152" s="130"/>
      <c r="AQ152" s="11" t="s">
        <v>67</v>
      </c>
      <c r="AR152" s="13">
        <v>0</v>
      </c>
      <c r="AS152" s="13">
        <v>0</v>
      </c>
      <c r="AT152" s="45">
        <v>0</v>
      </c>
      <c r="AU152" s="45">
        <v>0</v>
      </c>
      <c r="AV152" s="41"/>
      <c r="AX152" s="46"/>
      <c r="AY152" s="46"/>
      <c r="AZ152" s="46"/>
      <c r="BB152" s="13"/>
      <c r="BC152" s="13"/>
      <c r="BD152" s="13"/>
      <c r="BE152" s="45"/>
    </row>
    <row r="153" spans="1:57" x14ac:dyDescent="0.35">
      <c r="A153" s="6"/>
      <c r="B153" s="131"/>
      <c r="C153" s="11" t="s">
        <v>69</v>
      </c>
      <c r="D153" s="13">
        <v>0.3</v>
      </c>
      <c r="E153" s="13">
        <v>0.3</v>
      </c>
      <c r="F153" s="13">
        <v>0.3</v>
      </c>
      <c r="G153" s="45">
        <v>0</v>
      </c>
      <c r="H153" s="6"/>
      <c r="I153" s="13">
        <v>0.3</v>
      </c>
      <c r="J153" s="13">
        <v>0.3</v>
      </c>
      <c r="K153" s="13">
        <v>0.3</v>
      </c>
      <c r="L153" s="45">
        <v>0</v>
      </c>
      <c r="M153" s="6"/>
      <c r="N153" s="13">
        <v>0.3</v>
      </c>
      <c r="O153" s="13">
        <v>0.3</v>
      </c>
      <c r="P153" s="13">
        <v>0.3</v>
      </c>
      <c r="Q153" s="45">
        <v>0</v>
      </c>
      <c r="R153" s="6"/>
      <c r="S153" s="13">
        <v>0.3</v>
      </c>
      <c r="T153" s="13">
        <v>0.3</v>
      </c>
      <c r="U153" s="13">
        <v>0</v>
      </c>
      <c r="V153" s="45">
        <v>0</v>
      </c>
      <c r="W153" s="6"/>
      <c r="X153" s="13">
        <v>0</v>
      </c>
      <c r="Y153" s="13">
        <v>0</v>
      </c>
      <c r="Z153" s="6"/>
      <c r="AA153" s="13">
        <v>0.25</v>
      </c>
      <c r="AB153" s="13">
        <v>0.375</v>
      </c>
      <c r="AC153" s="13">
        <v>0.25</v>
      </c>
      <c r="AD153" s="45">
        <v>0</v>
      </c>
      <c r="AE153" s="6"/>
      <c r="AF153" s="13">
        <v>0.25</v>
      </c>
      <c r="AG153" s="13">
        <v>0.27499999999999997</v>
      </c>
      <c r="AH153" s="13">
        <v>0</v>
      </c>
      <c r="AI153" s="45">
        <v>0</v>
      </c>
      <c r="AJ153" s="6"/>
      <c r="AK153" s="13">
        <v>0.25</v>
      </c>
      <c r="AL153" s="13">
        <v>0.27499999999999997</v>
      </c>
      <c r="AM153" s="45">
        <v>0</v>
      </c>
      <c r="AN153" s="45">
        <v>0</v>
      </c>
      <c r="AO153" s="6"/>
      <c r="AP153" s="131"/>
      <c r="AQ153" s="11" t="s">
        <v>69</v>
      </c>
      <c r="AR153" s="45">
        <v>0</v>
      </c>
      <c r="AS153" s="45">
        <v>0</v>
      </c>
      <c r="AT153" s="45">
        <v>0</v>
      </c>
      <c r="AU153" s="45">
        <v>0</v>
      </c>
      <c r="AV153" s="6"/>
      <c r="AX153" s="46">
        <v>0</v>
      </c>
      <c r="AY153" s="46">
        <v>0</v>
      </c>
      <c r="AZ153" s="46" t="e">
        <v>#VALUE!</v>
      </c>
      <c r="BB153" s="13">
        <v>0.3</v>
      </c>
      <c r="BC153" s="13">
        <v>0.4</v>
      </c>
      <c r="BD153" s="13">
        <v>0</v>
      </c>
      <c r="BE153" s="45">
        <v>0</v>
      </c>
    </row>
    <row r="154" spans="1:57" x14ac:dyDescent="0.35">
      <c r="A154" s="6"/>
      <c r="B154" s="132"/>
      <c r="C154" s="11" t="s">
        <v>23</v>
      </c>
      <c r="D154" s="45">
        <v>0</v>
      </c>
      <c r="E154" s="13">
        <v>0</v>
      </c>
      <c r="F154" s="45">
        <v>0</v>
      </c>
      <c r="G154" s="45">
        <v>0</v>
      </c>
      <c r="H154" s="6"/>
      <c r="I154" s="45">
        <v>0.3</v>
      </c>
      <c r="J154" s="13">
        <v>0.3</v>
      </c>
      <c r="K154" s="45">
        <v>0</v>
      </c>
      <c r="L154" s="45">
        <v>0</v>
      </c>
      <c r="M154" s="6"/>
      <c r="N154" s="45">
        <v>0.3</v>
      </c>
      <c r="O154" s="13">
        <v>0.3</v>
      </c>
      <c r="P154" s="45">
        <v>0</v>
      </c>
      <c r="Q154" s="45">
        <v>0</v>
      </c>
      <c r="R154" s="6"/>
      <c r="S154" s="45">
        <v>0.3</v>
      </c>
      <c r="T154" s="13">
        <v>0.4</v>
      </c>
      <c r="U154" s="45">
        <v>0</v>
      </c>
      <c r="V154" s="45">
        <v>0</v>
      </c>
      <c r="W154" s="6"/>
      <c r="X154" s="45">
        <v>0</v>
      </c>
      <c r="Y154" s="45">
        <v>0</v>
      </c>
      <c r="Z154" s="6"/>
      <c r="AA154" s="45">
        <v>0.25</v>
      </c>
      <c r="AB154" s="13">
        <v>0.375</v>
      </c>
      <c r="AC154" s="45">
        <v>0.25</v>
      </c>
      <c r="AD154" s="45">
        <v>0</v>
      </c>
      <c r="AE154" s="6"/>
      <c r="AF154" s="45">
        <v>0.25</v>
      </c>
      <c r="AG154" s="13">
        <v>0.375</v>
      </c>
      <c r="AH154" s="45">
        <v>0</v>
      </c>
      <c r="AI154" s="45">
        <v>0</v>
      </c>
      <c r="AJ154" s="6"/>
      <c r="AK154" s="45">
        <v>0.25</v>
      </c>
      <c r="AL154" s="13">
        <v>0.27499999999999997</v>
      </c>
      <c r="AM154" s="45">
        <v>0</v>
      </c>
      <c r="AN154" s="45">
        <v>0</v>
      </c>
      <c r="AO154" s="6"/>
      <c r="AP154" s="132"/>
      <c r="AQ154" s="11" t="s">
        <v>23</v>
      </c>
      <c r="AR154" s="45">
        <v>0</v>
      </c>
      <c r="AS154" s="45">
        <v>0</v>
      </c>
      <c r="AT154" s="45">
        <v>0</v>
      </c>
      <c r="AU154" s="45">
        <v>0</v>
      </c>
      <c r="AV154" s="6"/>
      <c r="AX154" s="46"/>
      <c r="AY154" s="46" t="e">
        <v>#VALUE!</v>
      </c>
      <c r="AZ154" s="46"/>
      <c r="BB154" s="45">
        <v>0.3</v>
      </c>
      <c r="BC154" s="13">
        <v>0.4</v>
      </c>
      <c r="BD154" s="45">
        <v>0</v>
      </c>
      <c r="BE154" s="45">
        <v>0</v>
      </c>
    </row>
    <row r="155" spans="1:57" ht="15" thickBot="1" x14ac:dyDescent="0.4"/>
    <row r="156" spans="1:57" s="26" customFormat="1" ht="18.5" x14ac:dyDescent="0.35">
      <c r="C156" s="27" t="s">
        <v>85</v>
      </c>
      <c r="D156" s="28"/>
      <c r="E156" s="29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30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BB156" s="2"/>
      <c r="BC156" s="2"/>
      <c r="BD156" s="2"/>
      <c r="BE156" s="2"/>
    </row>
    <row r="157" spans="1:57" s="26" customFormat="1" ht="18.5" x14ac:dyDescent="0.35">
      <c r="C157" s="31" t="s">
        <v>86</v>
      </c>
      <c r="D157" s="32"/>
      <c r="E157" s="33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4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BB157" s="2"/>
      <c r="BC157" s="2"/>
      <c r="BD157" s="2"/>
      <c r="BE157" s="2"/>
    </row>
    <row r="158" spans="1:57" s="26" customFormat="1" ht="18.5" x14ac:dyDescent="0.35">
      <c r="C158" s="31" t="s">
        <v>87</v>
      </c>
      <c r="D158" s="32"/>
      <c r="E158" s="33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4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BB158" s="2"/>
      <c r="BC158" s="2"/>
      <c r="BD158" s="2"/>
      <c r="BE158" s="2"/>
    </row>
    <row r="159" spans="1:57" s="26" customFormat="1" ht="18.5" x14ac:dyDescent="0.35">
      <c r="C159" s="31"/>
      <c r="D159" s="35" t="s">
        <v>91</v>
      </c>
      <c r="E159" s="33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4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BB159" s="2"/>
      <c r="BC159" s="2"/>
      <c r="BD159" s="2"/>
      <c r="BE159" s="2"/>
    </row>
    <row r="160" spans="1:57" s="26" customFormat="1" ht="18.5" x14ac:dyDescent="0.35">
      <c r="C160" s="31" t="s">
        <v>88</v>
      </c>
      <c r="D160" s="35"/>
      <c r="E160" s="33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4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BB160" s="2"/>
      <c r="BC160" s="2"/>
      <c r="BD160" s="2"/>
      <c r="BE160" s="2"/>
    </row>
    <row r="161" spans="3:26" ht="19" thickBot="1" x14ac:dyDescent="0.4">
      <c r="C161" s="47" t="s">
        <v>89</v>
      </c>
      <c r="D161" s="37"/>
      <c r="E161" s="38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48"/>
    </row>
    <row r="164" spans="3:26" ht="21" x14ac:dyDescent="0.35">
      <c r="C164" s="137" t="s">
        <v>90</v>
      </c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</row>
  </sheetData>
  <mergeCells count="68">
    <mergeCell ref="B150:B154"/>
    <mergeCell ref="AP150:AP154"/>
    <mergeCell ref="C164:Y164"/>
    <mergeCell ref="B132:B136"/>
    <mergeCell ref="AP132:AP136"/>
    <mergeCell ref="B138:B142"/>
    <mergeCell ref="AP138:AP142"/>
    <mergeCell ref="B144:B148"/>
    <mergeCell ref="AP144:AP148"/>
    <mergeCell ref="B114:B118"/>
    <mergeCell ref="AP114:AP118"/>
    <mergeCell ref="B120:B124"/>
    <mergeCell ref="AP120:AP124"/>
    <mergeCell ref="B126:B130"/>
    <mergeCell ref="AP126:AP130"/>
    <mergeCell ref="B96:B100"/>
    <mergeCell ref="AP96:AP100"/>
    <mergeCell ref="B102:B106"/>
    <mergeCell ref="AP102:AP106"/>
    <mergeCell ref="B108:B112"/>
    <mergeCell ref="AP108:AP112"/>
    <mergeCell ref="B78:B82"/>
    <mergeCell ref="AP78:AP82"/>
    <mergeCell ref="B84:B88"/>
    <mergeCell ref="AP84:AP88"/>
    <mergeCell ref="B90:B94"/>
    <mergeCell ref="AP90:AP94"/>
    <mergeCell ref="B60:B64"/>
    <mergeCell ref="AP60:AP64"/>
    <mergeCell ref="B66:B70"/>
    <mergeCell ref="AP66:AP70"/>
    <mergeCell ref="B72:B76"/>
    <mergeCell ref="AP72:AP76"/>
    <mergeCell ref="B42:B46"/>
    <mergeCell ref="AP42:AP46"/>
    <mergeCell ref="B48:B52"/>
    <mergeCell ref="AP48:AP52"/>
    <mergeCell ref="B54:B58"/>
    <mergeCell ref="AP54:AP58"/>
    <mergeCell ref="B24:B28"/>
    <mergeCell ref="AP24:AP28"/>
    <mergeCell ref="B30:B34"/>
    <mergeCell ref="AP30:AP34"/>
    <mergeCell ref="B36:B40"/>
    <mergeCell ref="AP36:AP40"/>
    <mergeCell ref="BB4:BE4"/>
    <mergeCell ref="B6:B10"/>
    <mergeCell ref="AP6:AP10"/>
    <mergeCell ref="B12:B16"/>
    <mergeCell ref="AP12:AP16"/>
    <mergeCell ref="AQ4:AQ5"/>
    <mergeCell ref="AR4:AU4"/>
    <mergeCell ref="AX4:AZ4"/>
    <mergeCell ref="B18:B22"/>
    <mergeCell ref="AP18:AP22"/>
    <mergeCell ref="AF4:AI4"/>
    <mergeCell ref="AK4:AN4"/>
    <mergeCell ref="AP4:AP5"/>
    <mergeCell ref="A3:AN3"/>
    <mergeCell ref="AO3:AV3"/>
    <mergeCell ref="B4:B5"/>
    <mergeCell ref="C4:C5"/>
    <mergeCell ref="D4:G4"/>
    <mergeCell ref="I4:L4"/>
    <mergeCell ref="N4:Q4"/>
    <mergeCell ref="S4:V4"/>
    <mergeCell ref="X4:Y4"/>
    <mergeCell ref="AA4:AD4"/>
  </mergeCells>
  <conditionalFormatting sqref="D6:AT154">
    <cfRule type="cellIs" dxfId="42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4BA8-F17D-4A14-92DD-2485CBDFE2A4}">
  <sheetPr>
    <tabColor theme="9" tint="-0.499984740745262"/>
    <pageSetUpPr fitToPage="1"/>
  </sheetPr>
  <dimension ref="B1:BN43"/>
  <sheetViews>
    <sheetView showGridLines="0" zoomScale="80" zoomScaleNormal="8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J27" sqref="J27"/>
    </sheetView>
  </sheetViews>
  <sheetFormatPr defaultColWidth="9.1796875" defaultRowHeight="14.5" x14ac:dyDescent="0.35"/>
  <cols>
    <col min="1" max="1" width="0.54296875" style="2" customWidth="1"/>
    <col min="2" max="2" width="1" style="2" customWidth="1"/>
    <col min="3" max="3" width="6.1796875" style="2" customWidth="1"/>
    <col min="4" max="4" width="32" style="2" customWidth="1"/>
    <col min="5" max="5" width="0.54296875" style="2" customWidth="1"/>
    <col min="6" max="7" width="6.453125" style="2" bestFit="1" customWidth="1"/>
    <col min="8" max="8" width="0.54296875" style="2" customWidth="1"/>
    <col min="9" max="9" width="4.453125" style="2" bestFit="1" customWidth="1"/>
    <col min="10" max="10" width="6.453125" style="2" bestFit="1" customWidth="1"/>
    <col min="11" max="11" width="0.54296875" style="2" customWidth="1"/>
    <col min="12" max="13" width="6.453125" style="2" bestFit="1" customWidth="1"/>
    <col min="14" max="14" width="0.54296875" style="2" customWidth="1"/>
    <col min="15" max="16" width="6.453125" style="2" bestFit="1" customWidth="1"/>
    <col min="17" max="17" width="0.81640625" style="2" customWidth="1"/>
    <col min="18" max="19" width="6.453125" style="2" bestFit="1" customWidth="1"/>
    <col min="20" max="20" width="0.81640625" style="2" customWidth="1"/>
    <col min="21" max="22" width="6.453125" style="2" bestFit="1" customWidth="1"/>
    <col min="23" max="23" width="0.81640625" style="2" customWidth="1"/>
    <col min="24" max="25" width="6.453125" style="2" bestFit="1" customWidth="1"/>
    <col min="26" max="26" width="0.81640625" style="2" customWidth="1"/>
    <col min="27" max="28" width="6.453125" style="2" bestFit="1" customWidth="1"/>
    <col min="29" max="29" width="0.453125" style="2" customWidth="1"/>
    <col min="30" max="31" width="6.453125" style="2" bestFit="1" customWidth="1"/>
    <col min="32" max="32" width="0.54296875" style="2" customWidth="1"/>
    <col min="33" max="34" width="6.453125" style="2" bestFit="1" customWidth="1"/>
    <col min="35" max="35" width="0.7265625" style="2" customWidth="1"/>
    <col min="36" max="37" width="6.453125" style="2" bestFit="1" customWidth="1"/>
    <col min="38" max="38" width="0.54296875" style="2" customWidth="1"/>
    <col min="39" max="40" width="6.453125" style="2" bestFit="1" customWidth="1"/>
    <col min="41" max="41" width="0.54296875" style="2" customWidth="1"/>
    <col min="42" max="42" width="4.453125" style="2" customWidth="1"/>
    <col min="43" max="43" width="6.453125" style="2" bestFit="1" customWidth="1"/>
    <col min="44" max="44" width="0.54296875" style="2" customWidth="1"/>
    <col min="45" max="45" width="4.453125" style="2" customWidth="1"/>
    <col min="46" max="46" width="6.453125" style="2" bestFit="1" customWidth="1"/>
    <col min="47" max="47" width="0.54296875" style="2" customWidth="1"/>
    <col min="48" max="48" width="4.453125" style="2" customWidth="1"/>
    <col min="49" max="49" width="6.453125" style="2" bestFit="1" customWidth="1"/>
    <col min="50" max="50" width="0.54296875" style="2" customWidth="1"/>
    <col min="51" max="51" width="4.453125" style="2" customWidth="1"/>
    <col min="52" max="52" width="6.453125" style="2" bestFit="1" customWidth="1"/>
    <col min="53" max="53" width="0.54296875" style="2" customWidth="1"/>
    <col min="54" max="54" width="4.453125" style="2" customWidth="1"/>
    <col min="55" max="55" width="6.453125" style="2" bestFit="1" customWidth="1"/>
    <col min="56" max="56" width="0.54296875" style="2" customWidth="1"/>
    <col min="57" max="57" width="4.453125" style="2" customWidth="1"/>
    <col min="58" max="58" width="6.453125" style="2" bestFit="1" customWidth="1"/>
    <col min="59" max="59" width="0.54296875" style="2" customWidth="1"/>
    <col min="60" max="61" width="6.453125" style="2" bestFit="1" customWidth="1"/>
    <col min="62" max="62" width="0.54296875" style="2" customWidth="1"/>
    <col min="63" max="16384" width="9.1796875" style="2"/>
  </cols>
  <sheetData>
    <row r="1" spans="2:66" ht="4.5" customHeight="1" x14ac:dyDescent="0.35">
      <c r="B1"/>
      <c r="C1" s="1"/>
      <c r="I1" s="3"/>
    </row>
    <row r="2" spans="2:66" ht="21.65" customHeight="1" x14ac:dyDescent="0.35">
      <c r="B2" s="145" t="s">
        <v>169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</row>
    <row r="3" spans="2:66" ht="4.5" customHeight="1" x14ac:dyDescent="0.35">
      <c r="C3" s="1"/>
      <c r="I3" s="3"/>
    </row>
    <row r="4" spans="2:66" ht="14.5" customHeight="1" x14ac:dyDescent="0.35">
      <c r="B4" s="4"/>
      <c r="C4" s="126" t="s">
        <v>0</v>
      </c>
      <c r="D4" s="126" t="s">
        <v>1</v>
      </c>
      <c r="E4" s="5"/>
      <c r="F4" s="139" t="s">
        <v>2</v>
      </c>
      <c r="G4" s="140"/>
      <c r="H4" s="5"/>
      <c r="I4" s="139" t="s">
        <v>3</v>
      </c>
      <c r="J4" s="140"/>
      <c r="K4" s="5"/>
      <c r="L4" s="139" t="s">
        <v>4</v>
      </c>
      <c r="M4" s="140"/>
      <c r="N4" s="5"/>
      <c r="O4" s="139" t="s">
        <v>5</v>
      </c>
      <c r="P4" s="140"/>
      <c r="Q4" s="5"/>
      <c r="R4" s="139" t="s">
        <v>6</v>
      </c>
      <c r="S4" s="139"/>
      <c r="T4" s="5"/>
      <c r="U4" s="140" t="s">
        <v>7</v>
      </c>
      <c r="V4" s="140"/>
      <c r="W4" s="5"/>
      <c r="X4" s="140" t="s">
        <v>8</v>
      </c>
      <c r="Y4" s="140"/>
      <c r="Z4" s="5"/>
      <c r="AA4" s="140" t="s">
        <v>9</v>
      </c>
      <c r="AB4" s="140"/>
      <c r="AC4" s="5"/>
      <c r="AD4" s="140" t="s">
        <v>10</v>
      </c>
      <c r="AE4" s="140"/>
      <c r="AF4" s="5"/>
      <c r="AG4" s="140" t="s">
        <v>11</v>
      </c>
      <c r="AH4" s="140"/>
      <c r="AI4" s="5"/>
      <c r="AJ4" s="139" t="s">
        <v>12</v>
      </c>
      <c r="AK4" s="139"/>
      <c r="AL4" s="5"/>
      <c r="AM4" s="140" t="s">
        <v>13</v>
      </c>
      <c r="AN4" s="140"/>
      <c r="AO4" s="5"/>
      <c r="AP4" s="140" t="s">
        <v>14</v>
      </c>
      <c r="AQ4" s="140"/>
      <c r="AR4" s="5"/>
      <c r="AS4" s="140" t="s">
        <v>15</v>
      </c>
      <c r="AT4" s="140"/>
      <c r="AU4" s="5"/>
      <c r="AV4" s="140" t="s">
        <v>16</v>
      </c>
      <c r="AW4" s="140"/>
      <c r="AX4" s="5"/>
      <c r="AY4" s="139" t="s">
        <v>17</v>
      </c>
      <c r="AZ4" s="139"/>
      <c r="BA4" s="5"/>
      <c r="BB4" s="139" t="s">
        <v>18</v>
      </c>
      <c r="BC4" s="139"/>
      <c r="BD4" s="6"/>
      <c r="BE4" s="139" t="s">
        <v>19</v>
      </c>
      <c r="BF4" s="139"/>
      <c r="BG4" s="5"/>
      <c r="BH4" s="139" t="s">
        <v>20</v>
      </c>
      <c r="BI4" s="139"/>
      <c r="BJ4" s="5"/>
      <c r="BK4" s="141" t="s">
        <v>21</v>
      </c>
      <c r="BL4" s="142"/>
      <c r="BM4" s="141" t="s">
        <v>22</v>
      </c>
      <c r="BN4" s="142"/>
    </row>
    <row r="5" spans="2:66" ht="14.5" customHeight="1" x14ac:dyDescent="0.35">
      <c r="B5" s="4"/>
      <c r="C5" s="126"/>
      <c r="D5" s="126"/>
      <c r="E5" s="5"/>
      <c r="F5" s="139"/>
      <c r="G5" s="140"/>
      <c r="H5" s="5"/>
      <c r="I5" s="139"/>
      <c r="J5" s="140"/>
      <c r="K5" s="5"/>
      <c r="L5" s="139"/>
      <c r="M5" s="140"/>
      <c r="N5" s="5"/>
      <c r="O5" s="139"/>
      <c r="P5" s="140"/>
      <c r="Q5" s="5"/>
      <c r="R5" s="139"/>
      <c r="S5" s="139"/>
      <c r="T5" s="5"/>
      <c r="U5" s="140"/>
      <c r="V5" s="140"/>
      <c r="W5" s="5"/>
      <c r="X5" s="140"/>
      <c r="Y5" s="140"/>
      <c r="Z5" s="5"/>
      <c r="AA5" s="140"/>
      <c r="AB5" s="140"/>
      <c r="AC5" s="5"/>
      <c r="AD5" s="140"/>
      <c r="AE5" s="140"/>
      <c r="AF5" s="5"/>
      <c r="AG5" s="140"/>
      <c r="AH5" s="140"/>
      <c r="AI5" s="5"/>
      <c r="AJ5" s="139"/>
      <c r="AK5" s="139"/>
      <c r="AL5" s="5"/>
      <c r="AM5" s="140"/>
      <c r="AN5" s="140"/>
      <c r="AO5" s="5"/>
      <c r="AP5" s="140"/>
      <c r="AQ5" s="140"/>
      <c r="AR5" s="5"/>
      <c r="AS5" s="140"/>
      <c r="AT5" s="140"/>
      <c r="AU5" s="5"/>
      <c r="AV5" s="140"/>
      <c r="AW5" s="140"/>
      <c r="AX5" s="5"/>
      <c r="AY5" s="139"/>
      <c r="AZ5" s="139"/>
      <c r="BA5" s="5"/>
      <c r="BB5" s="139"/>
      <c r="BC5" s="139"/>
      <c r="BD5" s="6"/>
      <c r="BE5" s="139"/>
      <c r="BF5" s="139"/>
      <c r="BG5" s="5"/>
      <c r="BH5" s="139"/>
      <c r="BI5" s="139"/>
      <c r="BJ5" s="5"/>
      <c r="BK5" s="143"/>
      <c r="BL5" s="144"/>
      <c r="BM5" s="143"/>
      <c r="BN5" s="144"/>
    </row>
    <row r="6" spans="2:66" x14ac:dyDescent="0.35">
      <c r="B6" s="7"/>
      <c r="C6" s="126"/>
      <c r="D6" s="126"/>
      <c r="E6" s="8"/>
      <c r="F6" s="9" t="s">
        <v>23</v>
      </c>
      <c r="G6" s="9" t="s">
        <v>24</v>
      </c>
      <c r="H6" s="8"/>
      <c r="I6" s="9" t="s">
        <v>23</v>
      </c>
      <c r="J6" s="9" t="s">
        <v>24</v>
      </c>
      <c r="K6" s="8"/>
      <c r="L6" s="9" t="s">
        <v>23</v>
      </c>
      <c r="M6" s="9" t="s">
        <v>24</v>
      </c>
      <c r="N6" s="8"/>
      <c r="O6" s="9" t="s">
        <v>23</v>
      </c>
      <c r="P6" s="9" t="s">
        <v>24</v>
      </c>
      <c r="Q6" s="8"/>
      <c r="R6" s="9" t="s">
        <v>23</v>
      </c>
      <c r="S6" s="9" t="s">
        <v>24</v>
      </c>
      <c r="T6" s="8"/>
      <c r="U6" s="9" t="s">
        <v>23</v>
      </c>
      <c r="V6" s="9" t="s">
        <v>24</v>
      </c>
      <c r="W6" s="8"/>
      <c r="X6" s="9" t="s">
        <v>23</v>
      </c>
      <c r="Y6" s="9" t="s">
        <v>24</v>
      </c>
      <c r="Z6" s="8"/>
      <c r="AA6" s="9" t="s">
        <v>23</v>
      </c>
      <c r="AB6" s="9" t="s">
        <v>24</v>
      </c>
      <c r="AC6" s="8"/>
      <c r="AD6" s="9" t="s">
        <v>23</v>
      </c>
      <c r="AE6" s="9" t="s">
        <v>24</v>
      </c>
      <c r="AF6" s="8"/>
      <c r="AG6" s="9" t="s">
        <v>23</v>
      </c>
      <c r="AH6" s="9" t="s">
        <v>24</v>
      </c>
      <c r="AI6" s="8"/>
      <c r="AJ6" s="9" t="s">
        <v>23</v>
      </c>
      <c r="AK6" s="9" t="s">
        <v>24</v>
      </c>
      <c r="AL6" s="8"/>
      <c r="AM6" s="9" t="s">
        <v>23</v>
      </c>
      <c r="AN6" s="9" t="s">
        <v>24</v>
      </c>
      <c r="AO6" s="8"/>
      <c r="AP6" s="9" t="s">
        <v>23</v>
      </c>
      <c r="AQ6" s="9" t="s">
        <v>24</v>
      </c>
      <c r="AR6" s="8"/>
      <c r="AS6" s="9" t="s">
        <v>23</v>
      </c>
      <c r="AT6" s="9" t="s">
        <v>24</v>
      </c>
      <c r="AU6" s="8"/>
      <c r="AV6" s="9" t="s">
        <v>23</v>
      </c>
      <c r="AW6" s="9" t="s">
        <v>24</v>
      </c>
      <c r="AX6" s="8"/>
      <c r="AY6" s="9" t="s">
        <v>23</v>
      </c>
      <c r="AZ6" s="9" t="s">
        <v>24</v>
      </c>
      <c r="BA6" s="8"/>
      <c r="BB6" s="9" t="s">
        <v>23</v>
      </c>
      <c r="BC6" s="9" t="s">
        <v>24</v>
      </c>
      <c r="BD6" s="6"/>
      <c r="BE6" s="9" t="s">
        <v>23</v>
      </c>
      <c r="BF6" s="9" t="s">
        <v>24</v>
      </c>
      <c r="BG6" s="8"/>
      <c r="BH6" s="9" t="s">
        <v>23</v>
      </c>
      <c r="BI6" s="9" t="s">
        <v>24</v>
      </c>
      <c r="BJ6" s="8"/>
      <c r="BK6" s="9" t="s">
        <v>23</v>
      </c>
      <c r="BL6" s="9" t="s">
        <v>24</v>
      </c>
      <c r="BM6" s="9" t="s">
        <v>23</v>
      </c>
      <c r="BN6" s="9" t="s">
        <v>24</v>
      </c>
    </row>
    <row r="7" spans="2:66" ht="19" customHeight="1" x14ac:dyDescent="0.35">
      <c r="B7" s="10"/>
      <c r="C7" s="138" t="s">
        <v>25</v>
      </c>
      <c r="D7" s="11" t="s">
        <v>26</v>
      </c>
      <c r="E7" s="6"/>
      <c r="F7" s="12"/>
      <c r="G7" s="79">
        <v>0.3</v>
      </c>
      <c r="H7" s="6"/>
      <c r="I7" s="12"/>
      <c r="J7" s="79">
        <v>0.25</v>
      </c>
      <c r="K7" s="6"/>
      <c r="L7" s="12"/>
      <c r="M7" s="79">
        <v>0.3</v>
      </c>
      <c r="N7" s="6"/>
      <c r="O7" s="79">
        <v>0.25</v>
      </c>
      <c r="P7" s="79">
        <v>0.3</v>
      </c>
      <c r="Q7" s="6"/>
      <c r="R7" s="12"/>
      <c r="S7" s="79">
        <v>0.3</v>
      </c>
      <c r="T7" s="6"/>
      <c r="U7" s="79">
        <v>0.3</v>
      </c>
      <c r="V7" s="79">
        <v>0.3</v>
      </c>
      <c r="W7" s="6"/>
      <c r="X7" s="79">
        <v>0.3</v>
      </c>
      <c r="Y7" s="79">
        <v>0.3</v>
      </c>
      <c r="Z7" s="6"/>
      <c r="AA7" s="12"/>
      <c r="AB7" s="79">
        <v>0.25</v>
      </c>
      <c r="AC7" s="6"/>
      <c r="AD7" s="12"/>
      <c r="AE7" s="13">
        <v>0.2</v>
      </c>
      <c r="AF7" s="6"/>
      <c r="AG7" s="12"/>
      <c r="AH7" s="13">
        <v>0.15</v>
      </c>
      <c r="AI7" s="6"/>
      <c r="AJ7" s="12"/>
      <c r="AK7" s="79">
        <v>0.25</v>
      </c>
      <c r="AL7" s="6"/>
      <c r="AM7" s="14"/>
      <c r="AN7" s="79">
        <v>0.25</v>
      </c>
      <c r="AO7" s="6"/>
      <c r="AP7" s="12"/>
      <c r="AQ7" s="79">
        <v>0.25</v>
      </c>
      <c r="AR7" s="6"/>
      <c r="AS7" s="12"/>
      <c r="AT7" s="79">
        <v>0.25</v>
      </c>
      <c r="AU7" s="6"/>
      <c r="AV7" s="12"/>
      <c r="AW7" s="79">
        <v>0.25</v>
      </c>
      <c r="AX7" s="6"/>
      <c r="AY7" s="12"/>
      <c r="AZ7" s="79">
        <v>0.25</v>
      </c>
      <c r="BA7" s="6"/>
      <c r="BB7" s="12"/>
      <c r="BC7" s="15">
        <v>0.15</v>
      </c>
      <c r="BD7" s="6"/>
      <c r="BE7" s="12"/>
      <c r="BF7" s="80">
        <v>0.3</v>
      </c>
      <c r="BG7" s="6"/>
      <c r="BH7" s="12"/>
      <c r="BI7" s="79">
        <v>0.3</v>
      </c>
      <c r="BJ7" s="6"/>
      <c r="BK7" s="12"/>
      <c r="BL7" s="13">
        <v>0.15</v>
      </c>
      <c r="BM7" s="12"/>
      <c r="BN7" s="13">
        <v>0.15</v>
      </c>
    </row>
    <row r="8" spans="2:66" x14ac:dyDescent="0.35">
      <c r="B8" s="10"/>
      <c r="C8" s="138"/>
      <c r="D8" s="11" t="s">
        <v>27</v>
      </c>
      <c r="E8" s="6"/>
      <c r="F8" s="13">
        <v>0.2</v>
      </c>
      <c r="G8" s="79">
        <v>0.3</v>
      </c>
      <c r="H8" s="6"/>
      <c r="I8" s="12"/>
      <c r="J8" s="79">
        <v>0.25</v>
      </c>
      <c r="K8" s="6"/>
      <c r="L8" s="12"/>
      <c r="M8" s="79">
        <v>0.3</v>
      </c>
      <c r="N8" s="6"/>
      <c r="O8" s="79">
        <v>0.25</v>
      </c>
      <c r="P8" s="79">
        <v>0.3</v>
      </c>
      <c r="Q8" s="6"/>
      <c r="R8" s="13">
        <v>0.25</v>
      </c>
      <c r="S8" s="79">
        <v>0.3</v>
      </c>
      <c r="T8" s="6"/>
      <c r="U8" s="79">
        <v>0.3</v>
      </c>
      <c r="V8" s="79">
        <v>0.3</v>
      </c>
      <c r="W8" s="6"/>
      <c r="X8" s="79">
        <v>0.3</v>
      </c>
      <c r="Y8" s="79">
        <v>0.3</v>
      </c>
      <c r="Z8" s="6"/>
      <c r="AA8" s="13">
        <v>0.25</v>
      </c>
      <c r="AB8" s="79">
        <v>0.25</v>
      </c>
      <c r="AC8" s="6"/>
      <c r="AD8" s="13">
        <v>0.25</v>
      </c>
      <c r="AE8" s="13">
        <v>0.27500000000000002</v>
      </c>
      <c r="AF8" s="6"/>
      <c r="AG8" s="13">
        <v>0</v>
      </c>
      <c r="AH8" s="13">
        <v>0.24</v>
      </c>
      <c r="AI8" s="6"/>
      <c r="AJ8" s="13">
        <v>0.25</v>
      </c>
      <c r="AK8" s="79">
        <v>0.25</v>
      </c>
      <c r="AL8" s="6"/>
      <c r="AM8" s="13">
        <v>0.3</v>
      </c>
      <c r="AN8" s="79">
        <v>0.25</v>
      </c>
      <c r="AO8" s="6"/>
      <c r="AP8" s="12"/>
      <c r="AQ8" s="79">
        <v>0.25</v>
      </c>
      <c r="AR8" s="6"/>
      <c r="AS8" s="12"/>
      <c r="AT8" s="79">
        <v>0.25</v>
      </c>
      <c r="AU8" s="6"/>
      <c r="AV8" s="12"/>
      <c r="AW8" s="79">
        <v>0.25</v>
      </c>
      <c r="AX8" s="6"/>
      <c r="AY8" s="12"/>
      <c r="AZ8" s="79">
        <v>0.25</v>
      </c>
      <c r="BA8" s="6"/>
      <c r="BB8" s="12"/>
      <c r="BC8" s="15">
        <v>0.2</v>
      </c>
      <c r="BD8" s="6"/>
      <c r="BE8" s="12"/>
      <c r="BF8" s="80">
        <v>0.3</v>
      </c>
      <c r="BG8" s="6"/>
      <c r="BH8" s="79">
        <v>0.25</v>
      </c>
      <c r="BI8" s="79">
        <v>0.3</v>
      </c>
      <c r="BJ8" s="6"/>
      <c r="BK8" s="12"/>
      <c r="BL8" s="13">
        <v>0.2</v>
      </c>
      <c r="BM8" s="12"/>
      <c r="BN8" s="13">
        <v>0.2</v>
      </c>
    </row>
    <row r="9" spans="2:66" x14ac:dyDescent="0.35">
      <c r="B9" s="10"/>
      <c r="C9" s="138"/>
      <c r="D9" s="11" t="s">
        <v>28</v>
      </c>
      <c r="E9" s="6"/>
      <c r="F9" s="13">
        <v>0.2</v>
      </c>
      <c r="G9" s="79">
        <v>0.3</v>
      </c>
      <c r="H9" s="6"/>
      <c r="I9" s="12"/>
      <c r="J9" s="13">
        <v>0.3</v>
      </c>
      <c r="K9" s="6"/>
      <c r="L9" s="13">
        <v>0.1</v>
      </c>
      <c r="M9" s="79">
        <v>0.3</v>
      </c>
      <c r="N9" s="6"/>
      <c r="O9" s="79">
        <v>0.25</v>
      </c>
      <c r="P9" s="79">
        <v>0.3</v>
      </c>
      <c r="Q9" s="6"/>
      <c r="R9" s="13">
        <v>0.2</v>
      </c>
      <c r="S9" s="79">
        <v>0.3</v>
      </c>
      <c r="T9" s="6"/>
      <c r="U9" s="79">
        <v>0.3</v>
      </c>
      <c r="V9" s="79">
        <v>0.3</v>
      </c>
      <c r="W9" s="6"/>
      <c r="X9" s="79">
        <v>0.3</v>
      </c>
      <c r="Y9" s="79">
        <v>0.3</v>
      </c>
      <c r="Z9" s="6"/>
      <c r="AA9" s="13">
        <v>0.3</v>
      </c>
      <c r="AB9" s="13">
        <v>0.3</v>
      </c>
      <c r="AC9" s="6"/>
      <c r="AD9" s="13">
        <v>0.25</v>
      </c>
      <c r="AE9" s="13">
        <v>0.3</v>
      </c>
      <c r="AF9" s="6"/>
      <c r="AG9" s="13">
        <v>0</v>
      </c>
      <c r="AH9" s="13">
        <v>0.3</v>
      </c>
      <c r="AI9" s="6"/>
      <c r="AJ9" s="13">
        <v>0.2</v>
      </c>
      <c r="AK9" s="13">
        <v>0.3</v>
      </c>
      <c r="AL9" s="6"/>
      <c r="AM9" s="13">
        <v>0.3</v>
      </c>
      <c r="AN9" s="13">
        <v>0.3</v>
      </c>
      <c r="AO9" s="6"/>
      <c r="AP9" s="12"/>
      <c r="AQ9" s="13">
        <v>0.3</v>
      </c>
      <c r="AR9" s="6"/>
      <c r="AS9" s="12"/>
      <c r="AT9" s="13">
        <v>0.3</v>
      </c>
      <c r="AU9" s="6"/>
      <c r="AV9" s="12"/>
      <c r="AW9" s="13">
        <v>0.3</v>
      </c>
      <c r="AX9" s="6"/>
      <c r="AY9" s="12"/>
      <c r="AZ9" s="15">
        <v>0.3</v>
      </c>
      <c r="BA9" s="6"/>
      <c r="BB9" s="12"/>
      <c r="BC9" s="15">
        <v>0.3</v>
      </c>
      <c r="BD9" s="6"/>
      <c r="BE9" s="12"/>
      <c r="BF9" s="80">
        <v>0.3</v>
      </c>
      <c r="BG9" s="6"/>
      <c r="BH9" s="79">
        <v>0.25</v>
      </c>
      <c r="BI9" s="79">
        <v>0.3</v>
      </c>
      <c r="BJ9" s="6"/>
      <c r="BK9" s="12"/>
      <c r="BL9" s="13">
        <v>0.25</v>
      </c>
      <c r="BM9" s="12"/>
      <c r="BN9" s="13">
        <v>0.25</v>
      </c>
    </row>
    <row r="10" spans="2:66" ht="4.5" customHeight="1" x14ac:dyDescent="0.35">
      <c r="B10" s="17"/>
      <c r="C10" s="138"/>
      <c r="D10" s="18"/>
      <c r="E10" s="6"/>
      <c r="F10" s="19"/>
      <c r="G10" s="20"/>
      <c r="H10" s="6"/>
      <c r="I10" s="19"/>
      <c r="J10" s="20"/>
      <c r="K10" s="6"/>
      <c r="L10" s="19"/>
      <c r="M10" s="20"/>
      <c r="N10" s="6"/>
      <c r="O10" s="19"/>
      <c r="P10" s="20"/>
      <c r="Q10" s="6"/>
      <c r="R10" s="19"/>
      <c r="S10" s="20"/>
      <c r="T10" s="6"/>
      <c r="U10" s="19"/>
      <c r="V10" s="20"/>
      <c r="W10" s="6"/>
      <c r="X10" s="19"/>
      <c r="Y10" s="20"/>
      <c r="Z10" s="6"/>
      <c r="AA10" s="19"/>
      <c r="AB10" s="20"/>
      <c r="AC10" s="6"/>
      <c r="AD10" s="19"/>
      <c r="AE10" s="20"/>
      <c r="AF10" s="6"/>
      <c r="AG10" s="19"/>
      <c r="AH10" s="20"/>
      <c r="AI10" s="6"/>
      <c r="AJ10" s="19"/>
      <c r="AK10" s="20"/>
      <c r="AL10" s="6"/>
      <c r="AM10" s="19"/>
      <c r="AN10" s="20"/>
      <c r="AO10" s="6"/>
      <c r="AP10" s="19"/>
      <c r="AQ10" s="20"/>
      <c r="AR10" s="6"/>
      <c r="AS10" s="19"/>
      <c r="AT10" s="20"/>
      <c r="AU10" s="6"/>
      <c r="AV10" s="19"/>
      <c r="AW10" s="20"/>
      <c r="AX10" s="6"/>
      <c r="AY10" s="20"/>
      <c r="AZ10" s="20"/>
      <c r="BA10" s="20"/>
      <c r="BB10" s="20"/>
      <c r="BC10" s="20"/>
      <c r="BD10" s="20"/>
      <c r="BE10" s="20"/>
      <c r="BF10" s="20"/>
      <c r="BG10" s="20"/>
      <c r="BH10" s="19"/>
      <c r="BI10" s="20"/>
      <c r="BJ10" s="20"/>
      <c r="BK10" s="20"/>
      <c r="BL10" s="20"/>
      <c r="BM10" s="20"/>
      <c r="BN10" s="20"/>
    </row>
    <row r="11" spans="2:66" ht="4.5" customHeight="1" x14ac:dyDescent="0.35">
      <c r="B11" s="17"/>
      <c r="C11" s="21"/>
      <c r="D11" s="18"/>
      <c r="E11" s="6"/>
      <c r="F11" s="19"/>
      <c r="G11" s="20"/>
      <c r="H11" s="6"/>
      <c r="I11" s="19"/>
      <c r="J11" s="20"/>
      <c r="K11" s="6"/>
      <c r="L11" s="19"/>
      <c r="M11" s="20"/>
      <c r="N11" s="6"/>
      <c r="O11" s="19"/>
      <c r="P11" s="20"/>
      <c r="Q11" s="6"/>
      <c r="R11" s="19"/>
      <c r="S11" s="20"/>
      <c r="T11" s="6"/>
      <c r="U11" s="19"/>
      <c r="V11" s="20"/>
      <c r="W11" s="6"/>
      <c r="X11" s="19"/>
      <c r="Y11" s="20"/>
      <c r="Z11" s="6"/>
      <c r="AA11" s="19"/>
      <c r="AB11" s="20"/>
      <c r="AC11" s="6"/>
      <c r="AD11" s="19"/>
      <c r="AE11" s="20"/>
      <c r="AF11" s="6"/>
      <c r="AG11" s="19"/>
      <c r="AH11" s="20"/>
      <c r="AI11" s="6"/>
      <c r="AJ11" s="19"/>
      <c r="AK11" s="20"/>
      <c r="AL11" s="6"/>
      <c r="AM11" s="22"/>
      <c r="AN11" s="20"/>
      <c r="AO11" s="6"/>
      <c r="AP11" s="22"/>
      <c r="AQ11" s="20"/>
      <c r="AR11" s="6"/>
      <c r="AS11" s="22"/>
      <c r="AT11" s="20"/>
      <c r="AU11" s="6"/>
      <c r="AV11" s="22"/>
      <c r="AW11" s="20"/>
      <c r="AX11" s="6"/>
      <c r="AY11" s="20"/>
      <c r="AZ11" s="20"/>
      <c r="BA11" s="20"/>
      <c r="BB11" s="20"/>
      <c r="BC11" s="20"/>
      <c r="BD11" s="20"/>
      <c r="BE11" s="20"/>
      <c r="BF11" s="20"/>
      <c r="BG11" s="6"/>
      <c r="BH11" s="19"/>
      <c r="BI11" s="20"/>
      <c r="BJ11" s="6"/>
      <c r="BK11" s="20"/>
      <c r="BL11" s="20"/>
      <c r="BM11" s="20"/>
      <c r="BN11" s="20"/>
    </row>
    <row r="12" spans="2:66" ht="14.5" customHeight="1" x14ac:dyDescent="0.35">
      <c r="B12" s="23"/>
      <c r="C12" s="138" t="s">
        <v>29</v>
      </c>
      <c r="D12" s="11" t="s">
        <v>30</v>
      </c>
      <c r="E12" s="6"/>
      <c r="F12" s="12"/>
      <c r="G12" s="13">
        <v>0.1</v>
      </c>
      <c r="H12" s="6"/>
      <c r="I12" s="12"/>
      <c r="J12" s="13">
        <v>0.1</v>
      </c>
      <c r="K12" s="6"/>
      <c r="L12" s="12"/>
      <c r="M12" s="13">
        <v>0.19</v>
      </c>
      <c r="N12" s="6"/>
      <c r="O12" s="12"/>
      <c r="P12" s="13">
        <v>0.19</v>
      </c>
      <c r="Q12" s="6"/>
      <c r="R12" s="12"/>
      <c r="S12" s="13">
        <v>0.1</v>
      </c>
      <c r="T12" s="6"/>
      <c r="U12" s="12"/>
      <c r="V12" s="13">
        <v>0.1</v>
      </c>
      <c r="W12" s="6"/>
      <c r="X12" s="12"/>
      <c r="Y12" s="13">
        <v>0.19</v>
      </c>
      <c r="Z12" s="6"/>
      <c r="AA12" s="12"/>
      <c r="AB12" s="13">
        <v>0.1</v>
      </c>
      <c r="AC12" s="6"/>
      <c r="AD12" s="12"/>
      <c r="AE12" s="13">
        <v>0.1</v>
      </c>
      <c r="AF12" s="6"/>
      <c r="AG12" s="12"/>
      <c r="AH12" s="13">
        <v>0.1</v>
      </c>
      <c r="AI12" s="6"/>
      <c r="AJ12" s="12"/>
      <c r="AK12" s="13">
        <v>0.19</v>
      </c>
      <c r="AL12" s="6"/>
      <c r="AM12" s="14"/>
      <c r="AN12" s="13">
        <v>0.1</v>
      </c>
      <c r="AO12" s="6"/>
      <c r="AP12" s="12"/>
      <c r="AQ12" s="13">
        <v>0.1</v>
      </c>
      <c r="AR12" s="6"/>
      <c r="AS12" s="12"/>
      <c r="AT12" s="13">
        <v>0.1</v>
      </c>
      <c r="AU12" s="6"/>
      <c r="AV12" s="12"/>
      <c r="AW12" s="13">
        <v>0.1</v>
      </c>
      <c r="AX12" s="6"/>
      <c r="AY12" s="12"/>
      <c r="AZ12" s="15">
        <v>0.15000000000000002</v>
      </c>
      <c r="BA12" s="6"/>
      <c r="BB12" s="12"/>
      <c r="BC12" s="15">
        <v>9.9999999999999992E-2</v>
      </c>
      <c r="BD12" s="6"/>
      <c r="BE12" s="12"/>
      <c r="BF12" s="15">
        <v>0.15000000000000002</v>
      </c>
      <c r="BG12" s="6"/>
      <c r="BH12" s="12"/>
      <c r="BI12" s="13">
        <v>0.1</v>
      </c>
      <c r="BJ12" s="6"/>
      <c r="BK12" s="12"/>
      <c r="BL12" s="12"/>
      <c r="BM12" s="12"/>
      <c r="BN12" s="12"/>
    </row>
    <row r="13" spans="2:66" x14ac:dyDescent="0.35">
      <c r="B13" s="10"/>
      <c r="C13" s="138"/>
      <c r="D13" s="11" t="s">
        <v>31</v>
      </c>
      <c r="E13" s="6"/>
      <c r="F13" s="12"/>
      <c r="G13" s="13">
        <v>0.19</v>
      </c>
      <c r="H13" s="6"/>
      <c r="I13" s="12"/>
      <c r="J13" s="13">
        <v>0.16</v>
      </c>
      <c r="K13" s="6"/>
      <c r="L13" s="12"/>
      <c r="M13" s="13">
        <v>0.19</v>
      </c>
      <c r="N13" s="6"/>
      <c r="O13" s="12"/>
      <c r="P13" s="13">
        <v>0.19</v>
      </c>
      <c r="Q13" s="6"/>
      <c r="R13" s="12"/>
      <c r="S13" s="13">
        <v>0.16</v>
      </c>
      <c r="T13" s="6"/>
      <c r="U13" s="12"/>
      <c r="V13" s="13">
        <v>0.15</v>
      </c>
      <c r="W13" s="6"/>
      <c r="X13" s="12"/>
      <c r="Y13" s="13">
        <v>0.19</v>
      </c>
      <c r="Z13" s="6"/>
      <c r="AA13" s="12"/>
      <c r="AB13" s="13">
        <v>0.16</v>
      </c>
      <c r="AC13" s="6"/>
      <c r="AD13" s="12"/>
      <c r="AE13" s="13">
        <v>0.19</v>
      </c>
      <c r="AF13" s="6"/>
      <c r="AG13" s="12"/>
      <c r="AH13" s="13">
        <v>0.15</v>
      </c>
      <c r="AI13" s="6"/>
      <c r="AJ13" s="12"/>
      <c r="AK13" s="13">
        <v>0.19</v>
      </c>
      <c r="AL13" s="6"/>
      <c r="AM13" s="14"/>
      <c r="AN13" s="13">
        <v>0.15</v>
      </c>
      <c r="AO13" s="6"/>
      <c r="AP13" s="12"/>
      <c r="AQ13" s="13">
        <v>0.15</v>
      </c>
      <c r="AR13" s="6"/>
      <c r="AS13" s="12"/>
      <c r="AT13" s="13">
        <v>0.15</v>
      </c>
      <c r="AU13" s="6"/>
      <c r="AV13" s="12"/>
      <c r="AW13" s="13">
        <v>0.15</v>
      </c>
      <c r="AX13" s="6"/>
      <c r="AY13" s="12"/>
      <c r="AZ13" s="15">
        <v>0.2</v>
      </c>
      <c r="BA13" s="6"/>
      <c r="BB13" s="12"/>
      <c r="BC13" s="15">
        <v>0.15000000000000002</v>
      </c>
      <c r="BD13" s="6"/>
      <c r="BE13" s="12"/>
      <c r="BF13" s="15">
        <v>0.2</v>
      </c>
      <c r="BG13" s="6"/>
      <c r="BH13" s="12"/>
      <c r="BI13" s="13">
        <v>0.15</v>
      </c>
      <c r="BJ13" s="6"/>
      <c r="BK13" s="12"/>
      <c r="BL13" s="12"/>
      <c r="BM13" s="12"/>
      <c r="BN13" s="12"/>
    </row>
    <row r="14" spans="2:66" x14ac:dyDescent="0.35">
      <c r="B14" s="24"/>
      <c r="C14" s="138"/>
      <c r="D14" s="11" t="s">
        <v>32</v>
      </c>
      <c r="E14" s="6"/>
      <c r="F14" s="12"/>
      <c r="G14" s="13">
        <v>0.2</v>
      </c>
      <c r="H14" s="6"/>
      <c r="I14" s="12"/>
      <c r="J14" s="13">
        <v>0.2</v>
      </c>
      <c r="K14" s="6"/>
      <c r="L14" s="12"/>
      <c r="M14" s="13">
        <v>0.2</v>
      </c>
      <c r="N14" s="6"/>
      <c r="O14" s="12"/>
      <c r="P14" s="13">
        <v>0.2</v>
      </c>
      <c r="Q14" s="6"/>
      <c r="R14" s="12"/>
      <c r="S14" s="13">
        <v>0.2</v>
      </c>
      <c r="T14" s="6"/>
      <c r="U14" s="12"/>
      <c r="V14" s="13">
        <v>0.2</v>
      </c>
      <c r="W14" s="6"/>
      <c r="X14" s="12"/>
      <c r="Y14" s="13">
        <v>0.2</v>
      </c>
      <c r="Z14" s="6"/>
      <c r="AA14" s="12"/>
      <c r="AB14" s="13">
        <v>0.2</v>
      </c>
      <c r="AC14" s="6"/>
      <c r="AD14" s="12"/>
      <c r="AE14" s="13">
        <v>0.2</v>
      </c>
      <c r="AF14" s="6"/>
      <c r="AG14" s="12"/>
      <c r="AH14" s="13">
        <v>0.2</v>
      </c>
      <c r="AI14" s="6"/>
      <c r="AJ14" s="12"/>
      <c r="AK14" s="13">
        <v>0.2</v>
      </c>
      <c r="AL14" s="6"/>
      <c r="AM14" s="14"/>
      <c r="AN14" s="13">
        <v>0.2</v>
      </c>
      <c r="AO14" s="6"/>
      <c r="AP14" s="12"/>
      <c r="AQ14" s="13">
        <v>0.2</v>
      </c>
      <c r="AR14" s="6"/>
      <c r="AS14" s="12"/>
      <c r="AT14" s="13">
        <v>0.2</v>
      </c>
      <c r="AU14" s="6"/>
      <c r="AV14" s="12"/>
      <c r="AW14" s="13">
        <v>0.2</v>
      </c>
      <c r="AX14" s="6"/>
      <c r="AY14" s="12"/>
      <c r="AZ14" s="15">
        <v>0.25</v>
      </c>
      <c r="BA14" s="6"/>
      <c r="BB14" s="12"/>
      <c r="BC14" s="15">
        <v>0.25</v>
      </c>
      <c r="BD14" s="6"/>
      <c r="BE14" s="12"/>
      <c r="BF14" s="15">
        <v>0.25</v>
      </c>
      <c r="BG14" s="6"/>
      <c r="BH14" s="12"/>
      <c r="BI14" s="13">
        <v>0.2</v>
      </c>
      <c r="BJ14" s="6"/>
      <c r="BK14" s="12"/>
      <c r="BL14" s="12"/>
      <c r="BM14" s="12"/>
      <c r="BN14" s="12"/>
    </row>
    <row r="15" spans="2:66" ht="4.5" customHeight="1" x14ac:dyDescent="0.35">
      <c r="B15" s="17"/>
      <c r="C15" s="138"/>
      <c r="D15" s="18"/>
      <c r="E15" s="6"/>
      <c r="F15" s="19"/>
      <c r="G15" s="20"/>
      <c r="H15" s="6"/>
      <c r="I15" s="19"/>
      <c r="J15" s="20"/>
      <c r="K15" s="6"/>
      <c r="L15" s="19"/>
      <c r="M15" s="20"/>
      <c r="N15" s="6"/>
      <c r="O15" s="19"/>
      <c r="P15" s="20"/>
      <c r="Q15" s="6"/>
      <c r="R15" s="19"/>
      <c r="S15" s="20"/>
      <c r="T15" s="6"/>
      <c r="U15" s="19"/>
      <c r="V15" s="20"/>
      <c r="W15" s="6"/>
      <c r="X15" s="19"/>
      <c r="Y15" s="20"/>
      <c r="Z15" s="6"/>
      <c r="AA15" s="19"/>
      <c r="AB15" s="20"/>
      <c r="AC15" s="6"/>
      <c r="AD15" s="19"/>
      <c r="AE15" s="20"/>
      <c r="AF15" s="6"/>
      <c r="AG15" s="19"/>
      <c r="AH15" s="20"/>
      <c r="AI15" s="6"/>
      <c r="AJ15" s="19"/>
      <c r="AK15" s="20"/>
      <c r="AL15" s="6"/>
      <c r="AM15" s="19"/>
      <c r="AN15" s="20"/>
      <c r="AO15" s="6"/>
      <c r="AP15" s="19"/>
      <c r="AQ15" s="20"/>
      <c r="AR15" s="6"/>
      <c r="AS15" s="19"/>
      <c r="AT15" s="20"/>
      <c r="AU15" s="6"/>
      <c r="AV15" s="19"/>
      <c r="AW15" s="20"/>
      <c r="AX15" s="6"/>
      <c r="AY15" s="20"/>
      <c r="AZ15" s="20"/>
      <c r="BA15" s="20"/>
      <c r="BB15" s="20"/>
      <c r="BC15" s="20"/>
      <c r="BD15" s="20"/>
      <c r="BE15" s="20"/>
      <c r="BF15" s="20"/>
      <c r="BG15" s="6"/>
      <c r="BH15" s="19"/>
      <c r="BI15" s="20"/>
      <c r="BJ15" s="6"/>
      <c r="BK15" s="20"/>
      <c r="BL15" s="20"/>
      <c r="BM15" s="20"/>
      <c r="BN15" s="20"/>
    </row>
    <row r="16" spans="2:66" ht="14.5" customHeight="1" x14ac:dyDescent="0.35">
      <c r="B16" s="23"/>
      <c r="C16" s="138"/>
      <c r="D16" s="11" t="s">
        <v>33</v>
      </c>
      <c r="E16" s="6"/>
      <c r="F16" s="12"/>
      <c r="G16" s="13">
        <v>0.1</v>
      </c>
      <c r="H16" s="6"/>
      <c r="I16" s="12"/>
      <c r="J16" s="13">
        <v>0.1</v>
      </c>
      <c r="K16" s="6"/>
      <c r="L16" s="12"/>
      <c r="M16" s="13">
        <v>0.1</v>
      </c>
      <c r="N16" s="6"/>
      <c r="O16" s="12"/>
      <c r="P16" s="13">
        <v>0.1</v>
      </c>
      <c r="Q16" s="6"/>
      <c r="R16" s="12"/>
      <c r="S16" s="13">
        <v>0.1</v>
      </c>
      <c r="T16" s="6"/>
      <c r="U16" s="12"/>
      <c r="V16" s="13">
        <v>0.1</v>
      </c>
      <c r="W16" s="6"/>
      <c r="X16" s="12"/>
      <c r="Y16" s="13">
        <v>0.1</v>
      </c>
      <c r="Z16" s="6"/>
      <c r="AA16" s="12"/>
      <c r="AB16" s="13">
        <v>0.1</v>
      </c>
      <c r="AC16" s="6"/>
      <c r="AD16" s="12"/>
      <c r="AE16" s="13">
        <v>0.1</v>
      </c>
      <c r="AF16" s="6"/>
      <c r="AG16" s="12"/>
      <c r="AH16" s="13">
        <v>0.1</v>
      </c>
      <c r="AI16" s="6"/>
      <c r="AJ16" s="12"/>
      <c r="AK16" s="13">
        <v>0.1</v>
      </c>
      <c r="AL16" s="6"/>
      <c r="AM16" s="14"/>
      <c r="AN16" s="13">
        <v>0.1</v>
      </c>
      <c r="AO16" s="6"/>
      <c r="AP16" s="12"/>
      <c r="AQ16" s="13">
        <v>0.1</v>
      </c>
      <c r="AR16" s="6"/>
      <c r="AS16" s="12"/>
      <c r="AT16" s="13">
        <v>0.1</v>
      </c>
      <c r="AU16" s="6"/>
      <c r="AV16" s="12"/>
      <c r="AW16" s="13">
        <v>0.1</v>
      </c>
      <c r="AX16" s="6"/>
      <c r="AY16" s="12"/>
      <c r="AZ16" s="15">
        <v>0.1</v>
      </c>
      <c r="BA16" s="6"/>
      <c r="BB16" s="12"/>
      <c r="BC16" s="15">
        <v>0.1</v>
      </c>
      <c r="BD16" s="6"/>
      <c r="BE16" s="12"/>
      <c r="BF16" s="15">
        <v>0.1</v>
      </c>
      <c r="BG16" s="6"/>
      <c r="BH16" s="12"/>
      <c r="BI16" s="13">
        <v>0.1</v>
      </c>
      <c r="BJ16" s="6"/>
      <c r="BK16" s="12"/>
      <c r="BL16" s="12"/>
      <c r="BM16" s="12"/>
      <c r="BN16" s="12"/>
    </row>
    <row r="17" spans="2:66" x14ac:dyDescent="0.35">
      <c r="B17" s="10"/>
      <c r="C17" s="138"/>
      <c r="D17" s="11" t="s">
        <v>34</v>
      </c>
      <c r="E17" s="6"/>
      <c r="F17" s="12"/>
      <c r="G17" s="13">
        <v>0.1</v>
      </c>
      <c r="H17" s="6"/>
      <c r="I17" s="12"/>
      <c r="J17" s="13">
        <v>0.1</v>
      </c>
      <c r="K17" s="6"/>
      <c r="L17" s="12"/>
      <c r="M17" s="13">
        <v>0.1</v>
      </c>
      <c r="N17" s="6"/>
      <c r="O17" s="12"/>
      <c r="P17" s="13">
        <v>0.1</v>
      </c>
      <c r="Q17" s="6"/>
      <c r="R17" s="12"/>
      <c r="S17" s="13">
        <v>0.1</v>
      </c>
      <c r="T17" s="6"/>
      <c r="U17" s="12"/>
      <c r="V17" s="13">
        <v>0.1</v>
      </c>
      <c r="W17" s="6"/>
      <c r="X17" s="12"/>
      <c r="Y17" s="13">
        <v>0.1</v>
      </c>
      <c r="Z17" s="6"/>
      <c r="AA17" s="12"/>
      <c r="AB17" s="13">
        <v>0.1</v>
      </c>
      <c r="AC17" s="6"/>
      <c r="AD17" s="12"/>
      <c r="AE17" s="13">
        <v>0.1</v>
      </c>
      <c r="AF17" s="6"/>
      <c r="AG17" s="12"/>
      <c r="AH17" s="13">
        <v>0.1</v>
      </c>
      <c r="AI17" s="6"/>
      <c r="AJ17" s="12"/>
      <c r="AK17" s="13">
        <v>0.1</v>
      </c>
      <c r="AL17" s="6"/>
      <c r="AM17" s="14"/>
      <c r="AN17" s="13">
        <v>0.1</v>
      </c>
      <c r="AO17" s="6"/>
      <c r="AP17" s="12"/>
      <c r="AQ17" s="13">
        <v>0.1</v>
      </c>
      <c r="AR17" s="6"/>
      <c r="AS17" s="12"/>
      <c r="AT17" s="13">
        <v>0.1</v>
      </c>
      <c r="AU17" s="6"/>
      <c r="AV17" s="12"/>
      <c r="AW17" s="13">
        <v>0.1</v>
      </c>
      <c r="AX17" s="6"/>
      <c r="AY17" s="12"/>
      <c r="AZ17" s="15">
        <v>0.15</v>
      </c>
      <c r="BA17" s="6"/>
      <c r="BB17" s="12"/>
      <c r="BC17" s="15">
        <v>0.1</v>
      </c>
      <c r="BD17" s="6"/>
      <c r="BE17" s="12"/>
      <c r="BF17" s="15">
        <v>0.15</v>
      </c>
      <c r="BG17" s="6"/>
      <c r="BH17" s="12"/>
      <c r="BI17" s="13">
        <v>0.1</v>
      </c>
      <c r="BJ17" s="6"/>
      <c r="BK17" s="12"/>
      <c r="BL17" s="12"/>
      <c r="BM17" s="12"/>
      <c r="BN17" s="12"/>
    </row>
    <row r="18" spans="2:66" x14ac:dyDescent="0.35">
      <c r="B18" s="10"/>
      <c r="C18" s="138"/>
      <c r="D18" s="11" t="s">
        <v>35</v>
      </c>
      <c r="E18" s="6"/>
      <c r="F18" s="12"/>
      <c r="G18" s="13">
        <v>0.15</v>
      </c>
      <c r="H18" s="6"/>
      <c r="I18" s="12"/>
      <c r="J18" s="13">
        <v>0.15</v>
      </c>
      <c r="K18" s="6"/>
      <c r="L18" s="12"/>
      <c r="M18" s="13">
        <v>0.15</v>
      </c>
      <c r="N18" s="6"/>
      <c r="O18" s="12"/>
      <c r="P18" s="13">
        <v>0.15</v>
      </c>
      <c r="Q18" s="6"/>
      <c r="R18" s="12"/>
      <c r="S18" s="13">
        <v>0.15</v>
      </c>
      <c r="T18" s="6"/>
      <c r="U18" s="12"/>
      <c r="V18" s="13">
        <v>0.15</v>
      </c>
      <c r="W18" s="6"/>
      <c r="X18" s="12"/>
      <c r="Y18" s="13">
        <v>0.15</v>
      </c>
      <c r="Z18" s="6"/>
      <c r="AA18" s="12"/>
      <c r="AB18" s="13">
        <v>0.15</v>
      </c>
      <c r="AC18" s="6"/>
      <c r="AD18" s="12"/>
      <c r="AE18" s="13">
        <v>0.15</v>
      </c>
      <c r="AF18" s="6"/>
      <c r="AG18" s="12"/>
      <c r="AH18" s="13">
        <v>0.15</v>
      </c>
      <c r="AI18" s="6"/>
      <c r="AJ18" s="12"/>
      <c r="AK18" s="13">
        <v>0.15</v>
      </c>
      <c r="AL18" s="6"/>
      <c r="AM18" s="14"/>
      <c r="AN18" s="13">
        <v>0.15</v>
      </c>
      <c r="AO18" s="6"/>
      <c r="AP18" s="12"/>
      <c r="AQ18" s="13">
        <v>0.15</v>
      </c>
      <c r="AR18" s="6"/>
      <c r="AS18" s="12"/>
      <c r="AT18" s="13">
        <v>0.15</v>
      </c>
      <c r="AU18" s="6"/>
      <c r="AV18" s="12"/>
      <c r="AW18" s="13">
        <v>0.15</v>
      </c>
      <c r="AX18" s="6"/>
      <c r="AY18" s="12"/>
      <c r="AZ18" s="15">
        <v>0.2</v>
      </c>
      <c r="BA18" s="6"/>
      <c r="BB18" s="12"/>
      <c r="BC18" s="15">
        <v>0.2</v>
      </c>
      <c r="BD18" s="6"/>
      <c r="BE18" s="12"/>
      <c r="BF18" s="15">
        <v>0.2</v>
      </c>
      <c r="BG18" s="6"/>
      <c r="BH18" s="12"/>
      <c r="BI18" s="13">
        <v>0.15</v>
      </c>
      <c r="BJ18" s="6"/>
      <c r="BK18" s="12"/>
      <c r="BL18" s="12"/>
      <c r="BM18" s="12"/>
      <c r="BN18" s="12"/>
    </row>
    <row r="19" spans="2:66" ht="5.25" customHeight="1" x14ac:dyDescent="0.35">
      <c r="B19" s="2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</row>
    <row r="20" spans="2:66" ht="6" customHeight="1" x14ac:dyDescent="0.35"/>
    <row r="21" spans="2:66" ht="19" customHeight="1" x14ac:dyDescent="0.35">
      <c r="B21" s="10"/>
      <c r="C21" s="138" t="s">
        <v>25</v>
      </c>
      <c r="D21" s="11" t="s">
        <v>131</v>
      </c>
      <c r="E21" s="6"/>
      <c r="F21" s="12"/>
      <c r="G21" s="81">
        <f>G7+2.5%</f>
        <v>0.32500000000000001</v>
      </c>
      <c r="H21" s="6"/>
      <c r="I21" s="12"/>
      <c r="J21" s="81">
        <f>J7+2.5%</f>
        <v>0.27500000000000002</v>
      </c>
      <c r="K21" s="6"/>
      <c r="L21" s="12"/>
      <c r="M21" s="81">
        <f>M7+2.5%</f>
        <v>0.32500000000000001</v>
      </c>
      <c r="N21" s="6"/>
      <c r="O21" s="79">
        <v>0.25</v>
      </c>
      <c r="P21" s="81">
        <f>P7+2.5%</f>
        <v>0.32500000000000001</v>
      </c>
      <c r="Q21" s="6"/>
      <c r="R21" s="12"/>
      <c r="S21" s="81">
        <f>S7+2.5%</f>
        <v>0.32500000000000001</v>
      </c>
      <c r="T21" s="6"/>
      <c r="U21" s="79">
        <v>0.3</v>
      </c>
      <c r="V21" s="79">
        <v>0.3</v>
      </c>
      <c r="W21" s="6"/>
      <c r="X21" s="79">
        <v>0.3</v>
      </c>
      <c r="Y21" s="81">
        <f>Y7+2.5%</f>
        <v>0.32500000000000001</v>
      </c>
      <c r="Z21" s="6"/>
      <c r="AA21" s="12"/>
      <c r="AB21" s="81">
        <f>AB7+2.5%</f>
        <v>0.27500000000000002</v>
      </c>
      <c r="AC21" s="6"/>
      <c r="AD21" s="12"/>
      <c r="AE21" s="81">
        <f>AE7+2.5%</f>
        <v>0.22500000000000001</v>
      </c>
      <c r="AF21" s="6"/>
      <c r="AG21" s="12"/>
      <c r="AH21" s="79">
        <v>0.15</v>
      </c>
      <c r="AI21" s="6"/>
      <c r="AJ21" s="12"/>
      <c r="AK21" s="81">
        <f>AK7+2.5%</f>
        <v>0.27500000000000002</v>
      </c>
      <c r="AL21" s="6"/>
      <c r="AM21" s="14"/>
      <c r="AN21" s="81">
        <f>AN7+2.5%</f>
        <v>0.27500000000000002</v>
      </c>
      <c r="AO21" s="6"/>
      <c r="AP21" s="12"/>
      <c r="AQ21" s="79">
        <v>0.25</v>
      </c>
      <c r="AR21" s="6"/>
      <c r="AS21" s="12"/>
      <c r="AT21" s="81">
        <f>AT7+2.5%</f>
        <v>0.27500000000000002</v>
      </c>
      <c r="AU21" s="6"/>
      <c r="AV21" s="12"/>
      <c r="AW21" s="79">
        <v>0.25</v>
      </c>
      <c r="AX21" s="6"/>
      <c r="AY21" s="12"/>
      <c r="AZ21" s="81">
        <f>AZ7+2.5%</f>
        <v>0.27500000000000002</v>
      </c>
      <c r="BA21" s="6"/>
      <c r="BB21" s="12"/>
      <c r="BC21" s="81">
        <f>BC7+2.5%</f>
        <v>0.17499999999999999</v>
      </c>
      <c r="BD21" s="6"/>
      <c r="BE21" s="12"/>
      <c r="BF21" s="81">
        <f>BF7+2.5%</f>
        <v>0.32500000000000001</v>
      </c>
      <c r="BG21" s="6"/>
      <c r="BH21" s="12"/>
      <c r="BI21" s="81">
        <f>BI7+2.5%</f>
        <v>0.32500000000000001</v>
      </c>
      <c r="BJ21" s="6"/>
      <c r="BK21" s="12"/>
      <c r="BL21" s="79">
        <v>0.15</v>
      </c>
      <c r="BM21" s="12"/>
      <c r="BN21" s="79">
        <v>0.15</v>
      </c>
    </row>
    <row r="22" spans="2:66" x14ac:dyDescent="0.35">
      <c r="B22" s="10"/>
      <c r="C22" s="138"/>
      <c r="D22" s="11" t="s">
        <v>132</v>
      </c>
      <c r="E22" s="6"/>
      <c r="F22" s="13">
        <v>0.2</v>
      </c>
      <c r="G22" s="81">
        <f t="shared" ref="G22:G23" si="0">G8+2.5%</f>
        <v>0.32500000000000001</v>
      </c>
      <c r="H22" s="6"/>
      <c r="I22" s="12"/>
      <c r="J22" s="81">
        <f t="shared" ref="J22:J23" si="1">J8+2.5%</f>
        <v>0.27500000000000002</v>
      </c>
      <c r="K22" s="6"/>
      <c r="L22" s="12"/>
      <c r="M22" s="81">
        <f t="shared" ref="M22:M23" si="2">M8+2.5%</f>
        <v>0.32500000000000001</v>
      </c>
      <c r="N22" s="6"/>
      <c r="O22" s="79">
        <v>0.25</v>
      </c>
      <c r="P22" s="81">
        <f t="shared" ref="P22:P23" si="3">P8+2.5%</f>
        <v>0.32500000000000001</v>
      </c>
      <c r="Q22" s="6"/>
      <c r="R22" s="13">
        <v>0.25</v>
      </c>
      <c r="S22" s="81">
        <f t="shared" ref="S22:S23" si="4">S8+2.5%</f>
        <v>0.32500000000000001</v>
      </c>
      <c r="T22" s="6"/>
      <c r="U22" s="79">
        <v>0.3</v>
      </c>
      <c r="V22" s="79">
        <v>0.3</v>
      </c>
      <c r="W22" s="6"/>
      <c r="X22" s="79">
        <v>0.3</v>
      </c>
      <c r="Y22" s="81">
        <f t="shared" ref="Y22:Y23" si="5">Y8+2.5%</f>
        <v>0.32500000000000001</v>
      </c>
      <c r="Z22" s="6"/>
      <c r="AA22" s="13">
        <v>0.25</v>
      </c>
      <c r="AB22" s="81">
        <f t="shared" ref="AB22:AB23" si="6">AB8+2.5%</f>
        <v>0.27500000000000002</v>
      </c>
      <c r="AC22" s="6"/>
      <c r="AD22" s="13">
        <v>0.25</v>
      </c>
      <c r="AE22" s="81">
        <f t="shared" ref="AE22:AE23" si="7">AE8+2.5%</f>
        <v>0.30000000000000004</v>
      </c>
      <c r="AF22" s="6"/>
      <c r="AG22" s="13">
        <v>0</v>
      </c>
      <c r="AH22" s="79">
        <v>0.24</v>
      </c>
      <c r="AI22" s="6"/>
      <c r="AJ22" s="13">
        <v>0.25</v>
      </c>
      <c r="AK22" s="81">
        <f t="shared" ref="AK22:AK23" si="8">AK8+2.5%</f>
        <v>0.27500000000000002</v>
      </c>
      <c r="AL22" s="6"/>
      <c r="AM22" s="13">
        <v>0.3</v>
      </c>
      <c r="AN22" s="81">
        <f t="shared" ref="AN22:AN23" si="9">AN8+2.5%</f>
        <v>0.27500000000000002</v>
      </c>
      <c r="AO22" s="6"/>
      <c r="AP22" s="12"/>
      <c r="AQ22" s="79">
        <v>0.25</v>
      </c>
      <c r="AR22" s="6"/>
      <c r="AS22" s="12"/>
      <c r="AT22" s="81">
        <f t="shared" ref="AT22:AT23" si="10">AT8+2.5%</f>
        <v>0.27500000000000002</v>
      </c>
      <c r="AU22" s="6"/>
      <c r="AV22" s="12"/>
      <c r="AW22" s="79">
        <v>0.25</v>
      </c>
      <c r="AX22" s="6"/>
      <c r="AY22" s="12"/>
      <c r="AZ22" s="81">
        <f t="shared" ref="AZ22:AZ23" si="11">AZ8+2.5%</f>
        <v>0.27500000000000002</v>
      </c>
      <c r="BA22" s="6"/>
      <c r="BB22" s="12"/>
      <c r="BC22" s="81">
        <f t="shared" ref="BC22:BC23" si="12">BC8+2.5%</f>
        <v>0.22500000000000001</v>
      </c>
      <c r="BD22" s="6"/>
      <c r="BE22" s="12"/>
      <c r="BF22" s="81">
        <f t="shared" ref="BF22:BF23" si="13">BF8+2.5%</f>
        <v>0.32500000000000001</v>
      </c>
      <c r="BG22" s="6"/>
      <c r="BH22" s="79">
        <v>0.25</v>
      </c>
      <c r="BI22" s="81">
        <f t="shared" ref="BI22:BI23" si="14">BI8+2.5%</f>
        <v>0.32500000000000001</v>
      </c>
      <c r="BJ22" s="6"/>
      <c r="BK22" s="12"/>
      <c r="BL22" s="79">
        <v>0.2</v>
      </c>
      <c r="BM22" s="12"/>
      <c r="BN22" s="79">
        <v>0.2</v>
      </c>
    </row>
    <row r="23" spans="2:66" x14ac:dyDescent="0.35">
      <c r="B23" s="10"/>
      <c r="C23" s="138"/>
      <c r="D23" s="11" t="s">
        <v>133</v>
      </c>
      <c r="E23" s="6"/>
      <c r="F23" s="13">
        <v>0.2</v>
      </c>
      <c r="G23" s="81">
        <f t="shared" si="0"/>
        <v>0.32500000000000001</v>
      </c>
      <c r="H23" s="6"/>
      <c r="I23" s="12"/>
      <c r="J23" s="81">
        <f t="shared" si="1"/>
        <v>0.32500000000000001</v>
      </c>
      <c r="K23" s="6"/>
      <c r="L23" s="13">
        <v>0.1</v>
      </c>
      <c r="M23" s="81">
        <f t="shared" si="2"/>
        <v>0.32500000000000001</v>
      </c>
      <c r="N23" s="6"/>
      <c r="O23" s="79">
        <v>0.25</v>
      </c>
      <c r="P23" s="81">
        <f t="shared" si="3"/>
        <v>0.32500000000000001</v>
      </c>
      <c r="Q23" s="6"/>
      <c r="R23" s="13">
        <v>0.2</v>
      </c>
      <c r="S23" s="81">
        <f t="shared" si="4"/>
        <v>0.32500000000000001</v>
      </c>
      <c r="T23" s="6"/>
      <c r="U23" s="79">
        <v>0.3</v>
      </c>
      <c r="V23" s="79">
        <v>0.3</v>
      </c>
      <c r="W23" s="6"/>
      <c r="X23" s="79">
        <v>0.3</v>
      </c>
      <c r="Y23" s="81">
        <f t="shared" si="5"/>
        <v>0.32500000000000001</v>
      </c>
      <c r="Z23" s="6"/>
      <c r="AA23" s="13">
        <v>0.3</v>
      </c>
      <c r="AB23" s="81">
        <f t="shared" si="6"/>
        <v>0.32500000000000001</v>
      </c>
      <c r="AC23" s="6"/>
      <c r="AD23" s="16">
        <v>0.25</v>
      </c>
      <c r="AE23" s="81">
        <f t="shared" si="7"/>
        <v>0.32500000000000001</v>
      </c>
      <c r="AF23" s="6"/>
      <c r="AG23" s="13">
        <v>0</v>
      </c>
      <c r="AH23" s="79">
        <v>0.3</v>
      </c>
      <c r="AI23" s="6"/>
      <c r="AJ23" s="13">
        <v>0.2</v>
      </c>
      <c r="AK23" s="81">
        <f t="shared" si="8"/>
        <v>0.32500000000000001</v>
      </c>
      <c r="AL23" s="6"/>
      <c r="AM23" s="13">
        <v>0.3</v>
      </c>
      <c r="AN23" s="81">
        <f t="shared" si="9"/>
        <v>0.32500000000000001</v>
      </c>
      <c r="AO23" s="6"/>
      <c r="AP23" s="12"/>
      <c r="AQ23" s="79">
        <v>0.3</v>
      </c>
      <c r="AR23" s="6"/>
      <c r="AS23" s="12"/>
      <c r="AT23" s="81">
        <f t="shared" si="10"/>
        <v>0.32500000000000001</v>
      </c>
      <c r="AU23" s="6"/>
      <c r="AV23" s="12"/>
      <c r="AW23" s="79">
        <v>0.3</v>
      </c>
      <c r="AX23" s="6"/>
      <c r="AY23" s="12"/>
      <c r="AZ23" s="81">
        <f t="shared" si="11"/>
        <v>0.32500000000000001</v>
      </c>
      <c r="BA23" s="6"/>
      <c r="BB23" s="12"/>
      <c r="BC23" s="81">
        <f t="shared" si="12"/>
        <v>0.32500000000000001</v>
      </c>
      <c r="BD23" s="6"/>
      <c r="BE23" s="12"/>
      <c r="BF23" s="81">
        <f t="shared" si="13"/>
        <v>0.32500000000000001</v>
      </c>
      <c r="BG23" s="6"/>
      <c r="BH23" s="79">
        <v>0.25</v>
      </c>
      <c r="BI23" s="81">
        <f t="shared" si="14"/>
        <v>0.32500000000000001</v>
      </c>
      <c r="BJ23" s="6"/>
      <c r="BK23" s="12"/>
      <c r="BL23" s="79">
        <v>0.25</v>
      </c>
      <c r="BM23" s="12"/>
      <c r="BN23" s="79">
        <v>0.25</v>
      </c>
    </row>
    <row r="24" spans="2:66" ht="4.5" customHeight="1" x14ac:dyDescent="0.35">
      <c r="B24" s="17"/>
      <c r="C24" s="138"/>
      <c r="D24" s="18"/>
      <c r="E24" s="6"/>
      <c r="F24" s="19"/>
      <c r="G24" s="20"/>
      <c r="H24" s="6"/>
      <c r="I24" s="19"/>
      <c r="J24" s="20"/>
      <c r="K24" s="6"/>
      <c r="L24" s="19"/>
      <c r="M24" s="20"/>
      <c r="N24" s="6"/>
      <c r="O24" s="19"/>
      <c r="P24" s="20"/>
      <c r="Q24" s="6"/>
      <c r="R24" s="19"/>
      <c r="S24" s="20"/>
      <c r="T24" s="6"/>
      <c r="U24" s="19"/>
      <c r="V24" s="20"/>
      <c r="W24" s="6"/>
      <c r="X24" s="19"/>
      <c r="Y24" s="20"/>
      <c r="Z24" s="6"/>
      <c r="AA24" s="19"/>
      <c r="AB24" s="20"/>
      <c r="AC24" s="6"/>
      <c r="AD24" s="19"/>
      <c r="AE24" s="20"/>
      <c r="AF24" s="6"/>
      <c r="AG24" s="19"/>
      <c r="AH24" s="20"/>
      <c r="AI24" s="6"/>
      <c r="AJ24" s="19"/>
      <c r="AK24" s="20"/>
      <c r="AL24" s="6"/>
      <c r="AM24" s="19"/>
      <c r="AN24" s="20"/>
      <c r="AO24" s="6"/>
      <c r="AP24" s="19"/>
      <c r="AQ24" s="20"/>
      <c r="AR24" s="6"/>
      <c r="AS24" s="19"/>
      <c r="AT24" s="20"/>
      <c r="AU24" s="6"/>
      <c r="AV24" s="19"/>
      <c r="AW24" s="20"/>
      <c r="AX24" s="6"/>
      <c r="AY24" s="20"/>
      <c r="AZ24" s="20"/>
      <c r="BA24" s="20"/>
      <c r="BB24" s="20"/>
      <c r="BC24" s="20"/>
      <c r="BD24" s="20"/>
      <c r="BE24" s="20"/>
      <c r="BF24" s="20"/>
      <c r="BG24" s="20"/>
      <c r="BH24" s="19"/>
      <c r="BI24" s="20"/>
      <c r="BJ24" s="20"/>
      <c r="BK24" s="20"/>
      <c r="BL24" s="20"/>
      <c r="BM24" s="20"/>
      <c r="BN24" s="20"/>
    </row>
    <row r="25" spans="2:66" ht="4.5" customHeight="1" x14ac:dyDescent="0.35">
      <c r="B25" s="17"/>
      <c r="C25" s="21"/>
      <c r="D25" s="18"/>
      <c r="E25" s="6"/>
      <c r="F25" s="19"/>
      <c r="G25" s="20"/>
      <c r="H25" s="6"/>
      <c r="I25" s="19"/>
      <c r="J25" s="20"/>
      <c r="K25" s="6"/>
      <c r="L25" s="19"/>
      <c r="M25" s="20"/>
      <c r="N25" s="6"/>
      <c r="O25" s="19"/>
      <c r="P25" s="20"/>
      <c r="Q25" s="6"/>
      <c r="R25" s="19"/>
      <c r="S25" s="20"/>
      <c r="T25" s="6"/>
      <c r="U25" s="19"/>
      <c r="V25" s="20"/>
      <c r="W25" s="6"/>
      <c r="X25" s="19"/>
      <c r="Y25" s="20"/>
      <c r="Z25" s="6"/>
      <c r="AA25" s="19"/>
      <c r="AB25" s="20"/>
      <c r="AC25" s="6"/>
      <c r="AD25" s="19"/>
      <c r="AE25" s="20"/>
      <c r="AF25" s="6"/>
      <c r="AG25" s="19"/>
      <c r="AH25" s="20"/>
      <c r="AI25" s="6"/>
      <c r="AJ25" s="19"/>
      <c r="AK25" s="20"/>
      <c r="AL25" s="6"/>
      <c r="AM25" s="22"/>
      <c r="AN25" s="20"/>
      <c r="AO25" s="6"/>
      <c r="AP25" s="22"/>
      <c r="AQ25" s="20"/>
      <c r="AR25" s="6"/>
      <c r="AS25" s="22"/>
      <c r="AT25" s="20"/>
      <c r="AU25" s="6"/>
      <c r="AV25" s="22"/>
      <c r="AW25" s="20"/>
      <c r="AX25" s="6"/>
      <c r="AY25" s="20"/>
      <c r="AZ25" s="20"/>
      <c r="BA25" s="20"/>
      <c r="BB25" s="20"/>
      <c r="BC25" s="20"/>
      <c r="BD25" s="20"/>
      <c r="BE25" s="20"/>
      <c r="BF25" s="20"/>
      <c r="BG25" s="6"/>
      <c r="BH25" s="19"/>
      <c r="BI25" s="20"/>
      <c r="BJ25" s="6"/>
      <c r="BK25" s="20"/>
      <c r="BL25" s="20"/>
      <c r="BM25" s="20"/>
      <c r="BN25" s="20"/>
    </row>
    <row r="26" spans="2:66" ht="14.5" customHeight="1" x14ac:dyDescent="0.35">
      <c r="B26" s="23"/>
      <c r="C26" s="138" t="s">
        <v>29</v>
      </c>
      <c r="D26" s="11" t="s">
        <v>134</v>
      </c>
      <c r="E26" s="6"/>
      <c r="F26" s="12"/>
      <c r="G26" s="81">
        <f t="shared" ref="G26:G28" si="15">G12+2.5%</f>
        <v>0.125</v>
      </c>
      <c r="H26" s="6"/>
      <c r="I26" s="12"/>
      <c r="J26" s="81">
        <f t="shared" ref="J26:J28" si="16">J12+2.5%</f>
        <v>0.125</v>
      </c>
      <c r="K26" s="6"/>
      <c r="L26" s="12"/>
      <c r="M26" s="81">
        <f t="shared" ref="M26:M28" si="17">M12+2.5%</f>
        <v>0.215</v>
      </c>
      <c r="N26" s="6"/>
      <c r="O26" s="12"/>
      <c r="P26" s="81">
        <f t="shared" ref="P26:P28" si="18">P12+2.5%</f>
        <v>0.215</v>
      </c>
      <c r="Q26" s="6"/>
      <c r="R26" s="12"/>
      <c r="S26" s="81">
        <f t="shared" ref="S26:S28" si="19">S12+2.5%</f>
        <v>0.125</v>
      </c>
      <c r="T26" s="6"/>
      <c r="U26" s="12"/>
      <c r="V26" s="79">
        <v>0.1</v>
      </c>
      <c r="W26" s="6"/>
      <c r="X26" s="12"/>
      <c r="Y26" s="81">
        <f t="shared" ref="Y26:Y28" si="20">Y12+2.5%</f>
        <v>0.215</v>
      </c>
      <c r="Z26" s="6"/>
      <c r="AA26" s="12"/>
      <c r="AB26" s="81">
        <f t="shared" ref="AB26:AB28" si="21">AB12+2.5%</f>
        <v>0.125</v>
      </c>
      <c r="AC26" s="6"/>
      <c r="AD26" s="12"/>
      <c r="AE26" s="81">
        <f t="shared" ref="AE26:AE28" si="22">AE12+2.5%</f>
        <v>0.125</v>
      </c>
      <c r="AF26" s="6"/>
      <c r="AG26" s="12"/>
      <c r="AH26" s="79">
        <v>0.1</v>
      </c>
      <c r="AI26" s="6"/>
      <c r="AJ26" s="12"/>
      <c r="AK26" s="81">
        <f t="shared" ref="AK26:AK28" si="23">AK12+2.5%</f>
        <v>0.215</v>
      </c>
      <c r="AL26" s="6"/>
      <c r="AM26" s="14"/>
      <c r="AN26" s="81">
        <f t="shared" ref="AN26:AN28" si="24">AN12+2.5%</f>
        <v>0.125</v>
      </c>
      <c r="AO26" s="6"/>
      <c r="AP26" s="12"/>
      <c r="AQ26" s="79">
        <v>0.1</v>
      </c>
      <c r="AR26" s="6"/>
      <c r="AS26" s="12"/>
      <c r="AT26" s="81">
        <f t="shared" ref="AT26:AT28" si="25">AT12+2.5%</f>
        <v>0.125</v>
      </c>
      <c r="AU26" s="6"/>
      <c r="AV26" s="12"/>
      <c r="AW26" s="79">
        <v>0.1</v>
      </c>
      <c r="AX26" s="6"/>
      <c r="AY26" s="12"/>
      <c r="AZ26" s="81">
        <f t="shared" ref="AZ26:AZ28" si="26">AZ12+2.5%</f>
        <v>0.17500000000000002</v>
      </c>
      <c r="BA26" s="6"/>
      <c r="BB26" s="12"/>
      <c r="BC26" s="81">
        <f t="shared" ref="BC26:BC28" si="27">BC12+2.5%</f>
        <v>0.125</v>
      </c>
      <c r="BD26" s="6"/>
      <c r="BE26" s="12"/>
      <c r="BF26" s="81">
        <f t="shared" ref="BF26:BF28" si="28">BF12+2.5%</f>
        <v>0.17500000000000002</v>
      </c>
      <c r="BG26" s="6"/>
      <c r="BH26" s="12"/>
      <c r="BI26" s="81">
        <f t="shared" ref="BI26:BI28" si="29">BI12+2.5%</f>
        <v>0.125</v>
      </c>
      <c r="BJ26" s="6"/>
      <c r="BK26" s="12"/>
      <c r="BL26" s="12"/>
      <c r="BM26" s="12"/>
      <c r="BN26" s="12"/>
    </row>
    <row r="27" spans="2:66" x14ac:dyDescent="0.35">
      <c r="B27" s="10"/>
      <c r="C27" s="138"/>
      <c r="D27" s="11" t="s">
        <v>135</v>
      </c>
      <c r="E27" s="6"/>
      <c r="F27" s="12"/>
      <c r="G27" s="81">
        <f t="shared" si="15"/>
        <v>0.215</v>
      </c>
      <c r="H27" s="6"/>
      <c r="I27" s="12"/>
      <c r="J27" s="81">
        <f t="shared" si="16"/>
        <v>0.185</v>
      </c>
      <c r="K27" s="6"/>
      <c r="L27" s="12"/>
      <c r="M27" s="81">
        <f t="shared" si="17"/>
        <v>0.215</v>
      </c>
      <c r="N27" s="6"/>
      <c r="O27" s="12"/>
      <c r="P27" s="81">
        <f t="shared" si="18"/>
        <v>0.215</v>
      </c>
      <c r="Q27" s="6"/>
      <c r="R27" s="12"/>
      <c r="S27" s="81">
        <f t="shared" si="19"/>
        <v>0.185</v>
      </c>
      <c r="T27" s="6"/>
      <c r="U27" s="12"/>
      <c r="V27" s="79">
        <v>0.15</v>
      </c>
      <c r="W27" s="6"/>
      <c r="X27" s="12"/>
      <c r="Y27" s="81">
        <f t="shared" si="20"/>
        <v>0.215</v>
      </c>
      <c r="Z27" s="6"/>
      <c r="AA27" s="12"/>
      <c r="AB27" s="81">
        <f t="shared" si="21"/>
        <v>0.185</v>
      </c>
      <c r="AC27" s="6"/>
      <c r="AD27" s="12"/>
      <c r="AE27" s="81">
        <f t="shared" si="22"/>
        <v>0.215</v>
      </c>
      <c r="AF27" s="6"/>
      <c r="AG27" s="12"/>
      <c r="AH27" s="79">
        <v>0.15</v>
      </c>
      <c r="AI27" s="6"/>
      <c r="AJ27" s="12"/>
      <c r="AK27" s="81">
        <f t="shared" si="23"/>
        <v>0.215</v>
      </c>
      <c r="AL27" s="6"/>
      <c r="AM27" s="14"/>
      <c r="AN27" s="81">
        <f t="shared" si="24"/>
        <v>0.17499999999999999</v>
      </c>
      <c r="AO27" s="6"/>
      <c r="AP27" s="12"/>
      <c r="AQ27" s="79">
        <v>0.15</v>
      </c>
      <c r="AR27" s="6"/>
      <c r="AS27" s="12"/>
      <c r="AT27" s="81">
        <f t="shared" si="25"/>
        <v>0.17499999999999999</v>
      </c>
      <c r="AU27" s="6"/>
      <c r="AV27" s="12"/>
      <c r="AW27" s="79">
        <v>0.15</v>
      </c>
      <c r="AX27" s="6"/>
      <c r="AY27" s="12"/>
      <c r="AZ27" s="81">
        <f t="shared" si="26"/>
        <v>0.22500000000000001</v>
      </c>
      <c r="BA27" s="6"/>
      <c r="BB27" s="12"/>
      <c r="BC27" s="81">
        <f t="shared" si="27"/>
        <v>0.17500000000000002</v>
      </c>
      <c r="BD27" s="6"/>
      <c r="BE27" s="12"/>
      <c r="BF27" s="81">
        <f t="shared" si="28"/>
        <v>0.22500000000000001</v>
      </c>
      <c r="BG27" s="6"/>
      <c r="BH27" s="12"/>
      <c r="BI27" s="81">
        <f t="shared" si="29"/>
        <v>0.17499999999999999</v>
      </c>
      <c r="BJ27" s="6"/>
      <c r="BK27" s="12"/>
      <c r="BL27" s="12"/>
      <c r="BM27" s="12"/>
      <c r="BN27" s="12"/>
    </row>
    <row r="28" spans="2:66" x14ac:dyDescent="0.35">
      <c r="B28" s="24"/>
      <c r="C28" s="138"/>
      <c r="D28" s="11" t="s">
        <v>136</v>
      </c>
      <c r="E28" s="6"/>
      <c r="F28" s="12"/>
      <c r="G28" s="81">
        <f t="shared" si="15"/>
        <v>0.22500000000000001</v>
      </c>
      <c r="H28" s="6"/>
      <c r="I28" s="12"/>
      <c r="J28" s="81">
        <f t="shared" si="16"/>
        <v>0.22500000000000001</v>
      </c>
      <c r="K28" s="6"/>
      <c r="L28" s="12"/>
      <c r="M28" s="81">
        <f t="shared" si="17"/>
        <v>0.22500000000000001</v>
      </c>
      <c r="N28" s="6"/>
      <c r="O28" s="12"/>
      <c r="P28" s="81">
        <f t="shared" si="18"/>
        <v>0.22500000000000001</v>
      </c>
      <c r="Q28" s="6"/>
      <c r="R28" s="12"/>
      <c r="S28" s="81">
        <f t="shared" si="19"/>
        <v>0.22500000000000001</v>
      </c>
      <c r="T28" s="6"/>
      <c r="U28" s="12"/>
      <c r="V28" s="79">
        <v>0.2</v>
      </c>
      <c r="W28" s="6"/>
      <c r="X28" s="12"/>
      <c r="Y28" s="81">
        <f t="shared" si="20"/>
        <v>0.22500000000000001</v>
      </c>
      <c r="Z28" s="6"/>
      <c r="AA28" s="12"/>
      <c r="AB28" s="81">
        <f t="shared" si="21"/>
        <v>0.22500000000000001</v>
      </c>
      <c r="AC28" s="6"/>
      <c r="AD28" s="12"/>
      <c r="AE28" s="81">
        <f t="shared" si="22"/>
        <v>0.22500000000000001</v>
      </c>
      <c r="AF28" s="6"/>
      <c r="AG28" s="12"/>
      <c r="AH28" s="79">
        <v>0.2</v>
      </c>
      <c r="AI28" s="6"/>
      <c r="AJ28" s="12"/>
      <c r="AK28" s="81">
        <f t="shared" si="23"/>
        <v>0.22500000000000001</v>
      </c>
      <c r="AL28" s="6"/>
      <c r="AM28" s="14"/>
      <c r="AN28" s="81">
        <f t="shared" si="24"/>
        <v>0.22500000000000001</v>
      </c>
      <c r="AO28" s="6"/>
      <c r="AP28" s="12"/>
      <c r="AQ28" s="79">
        <v>0.2</v>
      </c>
      <c r="AR28" s="6"/>
      <c r="AS28" s="12"/>
      <c r="AT28" s="81">
        <f t="shared" si="25"/>
        <v>0.22500000000000001</v>
      </c>
      <c r="AU28" s="6"/>
      <c r="AV28" s="12"/>
      <c r="AW28" s="79">
        <v>0.2</v>
      </c>
      <c r="AX28" s="6"/>
      <c r="AY28" s="12"/>
      <c r="AZ28" s="81">
        <f t="shared" si="26"/>
        <v>0.27500000000000002</v>
      </c>
      <c r="BA28" s="6"/>
      <c r="BB28" s="12"/>
      <c r="BC28" s="81">
        <f t="shared" si="27"/>
        <v>0.27500000000000002</v>
      </c>
      <c r="BD28" s="6"/>
      <c r="BE28" s="12"/>
      <c r="BF28" s="81">
        <f t="shared" si="28"/>
        <v>0.27500000000000002</v>
      </c>
      <c r="BG28" s="6"/>
      <c r="BH28" s="12"/>
      <c r="BI28" s="81">
        <f t="shared" si="29"/>
        <v>0.22500000000000001</v>
      </c>
      <c r="BJ28" s="6"/>
      <c r="BK28" s="12"/>
      <c r="BL28" s="12"/>
      <c r="BM28" s="12"/>
      <c r="BN28" s="12"/>
    </row>
    <row r="29" spans="2:66" ht="4.5" customHeight="1" x14ac:dyDescent="0.35">
      <c r="B29" s="17"/>
      <c r="C29" s="138"/>
      <c r="D29" s="18"/>
      <c r="E29" s="6"/>
      <c r="F29" s="19"/>
      <c r="G29" s="20"/>
      <c r="H29" s="6"/>
      <c r="I29" s="19"/>
      <c r="J29" s="20"/>
      <c r="K29" s="6"/>
      <c r="L29" s="19"/>
      <c r="M29" s="20"/>
      <c r="N29" s="6"/>
      <c r="O29" s="19"/>
      <c r="P29" s="20"/>
      <c r="Q29" s="6"/>
      <c r="R29" s="19"/>
      <c r="S29" s="20"/>
      <c r="T29" s="6"/>
      <c r="U29" s="19"/>
      <c r="V29" s="20"/>
      <c r="W29" s="6"/>
      <c r="X29" s="19"/>
      <c r="Y29" s="20"/>
      <c r="Z29" s="6"/>
      <c r="AA29" s="19"/>
      <c r="AB29" s="20"/>
      <c r="AC29" s="6"/>
      <c r="AD29" s="19"/>
      <c r="AE29" s="20"/>
      <c r="AF29" s="6"/>
      <c r="AG29" s="19"/>
      <c r="AH29" s="20"/>
      <c r="AI29" s="6"/>
      <c r="AJ29" s="19"/>
      <c r="AK29" s="20"/>
      <c r="AL29" s="6"/>
      <c r="AM29" s="19"/>
      <c r="AN29" s="20"/>
      <c r="AO29" s="6"/>
      <c r="AP29" s="19"/>
      <c r="AQ29" s="20"/>
      <c r="AR29" s="6"/>
      <c r="AS29" s="19"/>
      <c r="AT29" s="20"/>
      <c r="AU29" s="6"/>
      <c r="AV29" s="19"/>
      <c r="AW29" s="20"/>
      <c r="AX29" s="6"/>
      <c r="AY29" s="20"/>
      <c r="AZ29" s="20"/>
      <c r="BA29" s="20"/>
      <c r="BB29" s="20"/>
      <c r="BC29" s="20"/>
      <c r="BD29" s="20"/>
      <c r="BE29" s="20"/>
      <c r="BF29" s="20"/>
      <c r="BG29" s="6"/>
      <c r="BH29" s="19"/>
      <c r="BI29" s="20"/>
      <c r="BJ29" s="6"/>
      <c r="BK29" s="20"/>
      <c r="BL29" s="20"/>
      <c r="BM29" s="20"/>
      <c r="BN29" s="20"/>
    </row>
    <row r="30" spans="2:66" ht="14.5" customHeight="1" x14ac:dyDescent="0.35">
      <c r="B30" s="23"/>
      <c r="C30" s="138"/>
      <c r="D30" s="11" t="s">
        <v>137</v>
      </c>
      <c r="E30" s="6"/>
      <c r="F30" s="12"/>
      <c r="G30" s="81">
        <f t="shared" ref="G30:G32" si="30">G16+2.5%</f>
        <v>0.125</v>
      </c>
      <c r="H30" s="6"/>
      <c r="I30" s="12"/>
      <c r="J30" s="81">
        <f t="shared" ref="J30:J32" si="31">J16+2.5%</f>
        <v>0.125</v>
      </c>
      <c r="K30" s="6"/>
      <c r="L30" s="12"/>
      <c r="M30" s="81">
        <f t="shared" ref="M30:M32" si="32">M16+2.5%</f>
        <v>0.125</v>
      </c>
      <c r="N30" s="6"/>
      <c r="O30" s="12"/>
      <c r="P30" s="81">
        <f t="shared" ref="P30:P32" si="33">P16+2.5%</f>
        <v>0.125</v>
      </c>
      <c r="Q30" s="6"/>
      <c r="R30" s="12"/>
      <c r="S30" s="81">
        <f t="shared" ref="S30:S32" si="34">S16+2.5%</f>
        <v>0.125</v>
      </c>
      <c r="T30" s="6"/>
      <c r="U30" s="12"/>
      <c r="V30" s="79">
        <v>0.1</v>
      </c>
      <c r="W30" s="6"/>
      <c r="X30" s="12"/>
      <c r="Y30" s="81">
        <f t="shared" ref="Y30:Y32" si="35">Y16+2.5%</f>
        <v>0.125</v>
      </c>
      <c r="Z30" s="6"/>
      <c r="AA30" s="12"/>
      <c r="AB30" s="81">
        <f t="shared" ref="AB30:AB32" si="36">AB16+2.5%</f>
        <v>0.125</v>
      </c>
      <c r="AC30" s="6"/>
      <c r="AD30" s="12"/>
      <c r="AE30" s="81">
        <f t="shared" ref="AE30:AE32" si="37">AE16+2.5%</f>
        <v>0.125</v>
      </c>
      <c r="AF30" s="6"/>
      <c r="AG30" s="12"/>
      <c r="AH30" s="79">
        <v>0.1</v>
      </c>
      <c r="AI30" s="6"/>
      <c r="AJ30" s="12"/>
      <c r="AK30" s="81">
        <f t="shared" ref="AK30:AK32" si="38">AK16+2.5%</f>
        <v>0.125</v>
      </c>
      <c r="AL30" s="6"/>
      <c r="AM30" s="14"/>
      <c r="AN30" s="81">
        <f t="shared" ref="AN30:AN32" si="39">AN16+2.5%</f>
        <v>0.125</v>
      </c>
      <c r="AO30" s="6"/>
      <c r="AP30" s="12"/>
      <c r="AQ30" s="79">
        <v>0.1</v>
      </c>
      <c r="AR30" s="6"/>
      <c r="AS30" s="12"/>
      <c r="AT30" s="81">
        <f t="shared" ref="AT30:AT32" si="40">AT16+2.5%</f>
        <v>0.125</v>
      </c>
      <c r="AU30" s="6"/>
      <c r="AV30" s="12"/>
      <c r="AW30" s="79">
        <v>0.1</v>
      </c>
      <c r="AX30" s="6"/>
      <c r="AY30" s="12"/>
      <c r="AZ30" s="81">
        <f t="shared" ref="AZ30:AZ32" si="41">AZ16+2.5%</f>
        <v>0.125</v>
      </c>
      <c r="BA30" s="6"/>
      <c r="BB30" s="12"/>
      <c r="BC30" s="81">
        <f t="shared" ref="BC30:BC32" si="42">BC16+2.5%</f>
        <v>0.125</v>
      </c>
      <c r="BD30" s="6"/>
      <c r="BE30" s="12"/>
      <c r="BF30" s="81">
        <f t="shared" ref="BF30:BF32" si="43">BF16+2.5%</f>
        <v>0.125</v>
      </c>
      <c r="BG30" s="6"/>
      <c r="BH30" s="12"/>
      <c r="BI30" s="81">
        <f t="shared" ref="BI30:BI32" si="44">BI16+2.5%</f>
        <v>0.125</v>
      </c>
      <c r="BJ30" s="6"/>
      <c r="BK30" s="12"/>
      <c r="BL30" s="12"/>
      <c r="BM30" s="12"/>
      <c r="BN30" s="12"/>
    </row>
    <row r="31" spans="2:66" x14ac:dyDescent="0.35">
      <c r="B31" s="10"/>
      <c r="C31" s="138"/>
      <c r="D31" s="11" t="s">
        <v>138</v>
      </c>
      <c r="E31" s="6"/>
      <c r="F31" s="12"/>
      <c r="G31" s="81">
        <f t="shared" si="30"/>
        <v>0.125</v>
      </c>
      <c r="H31" s="6"/>
      <c r="I31" s="12"/>
      <c r="J31" s="81">
        <f t="shared" si="31"/>
        <v>0.125</v>
      </c>
      <c r="K31" s="6"/>
      <c r="L31" s="12"/>
      <c r="M31" s="81">
        <f t="shared" si="32"/>
        <v>0.125</v>
      </c>
      <c r="N31" s="6"/>
      <c r="O31" s="12"/>
      <c r="P31" s="81">
        <f t="shared" si="33"/>
        <v>0.125</v>
      </c>
      <c r="Q31" s="6"/>
      <c r="R31" s="12"/>
      <c r="S31" s="81">
        <f t="shared" si="34"/>
        <v>0.125</v>
      </c>
      <c r="T31" s="6"/>
      <c r="U31" s="12"/>
      <c r="V31" s="79">
        <v>0.1</v>
      </c>
      <c r="W31" s="6"/>
      <c r="X31" s="12"/>
      <c r="Y31" s="81">
        <f t="shared" si="35"/>
        <v>0.125</v>
      </c>
      <c r="Z31" s="6"/>
      <c r="AA31" s="12"/>
      <c r="AB31" s="81">
        <f t="shared" si="36"/>
        <v>0.125</v>
      </c>
      <c r="AC31" s="6"/>
      <c r="AD31" s="12"/>
      <c r="AE31" s="81">
        <f t="shared" si="37"/>
        <v>0.125</v>
      </c>
      <c r="AF31" s="6"/>
      <c r="AG31" s="12"/>
      <c r="AH31" s="79">
        <v>0.1</v>
      </c>
      <c r="AI31" s="6"/>
      <c r="AJ31" s="12"/>
      <c r="AK31" s="81">
        <f t="shared" si="38"/>
        <v>0.125</v>
      </c>
      <c r="AL31" s="6"/>
      <c r="AM31" s="14"/>
      <c r="AN31" s="81">
        <f t="shared" si="39"/>
        <v>0.125</v>
      </c>
      <c r="AO31" s="6"/>
      <c r="AP31" s="12"/>
      <c r="AQ31" s="79">
        <v>0.1</v>
      </c>
      <c r="AR31" s="6"/>
      <c r="AS31" s="12"/>
      <c r="AT31" s="81">
        <f t="shared" si="40"/>
        <v>0.125</v>
      </c>
      <c r="AU31" s="6"/>
      <c r="AV31" s="12"/>
      <c r="AW31" s="79">
        <v>0.1</v>
      </c>
      <c r="AX31" s="6"/>
      <c r="AY31" s="12"/>
      <c r="AZ31" s="81">
        <f t="shared" si="41"/>
        <v>0.17499999999999999</v>
      </c>
      <c r="BA31" s="6"/>
      <c r="BB31" s="12"/>
      <c r="BC31" s="81">
        <f t="shared" si="42"/>
        <v>0.125</v>
      </c>
      <c r="BD31" s="6"/>
      <c r="BE31" s="12"/>
      <c r="BF31" s="81">
        <f t="shared" si="43"/>
        <v>0.17499999999999999</v>
      </c>
      <c r="BG31" s="6"/>
      <c r="BH31" s="12"/>
      <c r="BI31" s="81">
        <f t="shared" si="44"/>
        <v>0.125</v>
      </c>
      <c r="BJ31" s="6"/>
      <c r="BK31" s="12"/>
      <c r="BL31" s="12"/>
      <c r="BM31" s="12"/>
      <c r="BN31" s="12"/>
    </row>
    <row r="32" spans="2:66" x14ac:dyDescent="0.35">
      <c r="B32" s="10"/>
      <c r="C32" s="138"/>
      <c r="D32" s="11" t="s">
        <v>139</v>
      </c>
      <c r="E32" s="6"/>
      <c r="F32" s="12"/>
      <c r="G32" s="81">
        <f t="shared" si="30"/>
        <v>0.17499999999999999</v>
      </c>
      <c r="H32" s="6"/>
      <c r="I32" s="12"/>
      <c r="J32" s="81">
        <f t="shared" si="31"/>
        <v>0.17499999999999999</v>
      </c>
      <c r="K32" s="6"/>
      <c r="L32" s="12"/>
      <c r="M32" s="81">
        <f t="shared" si="32"/>
        <v>0.17499999999999999</v>
      </c>
      <c r="N32" s="6"/>
      <c r="O32" s="12"/>
      <c r="P32" s="81">
        <f t="shared" si="33"/>
        <v>0.17499999999999999</v>
      </c>
      <c r="Q32" s="6"/>
      <c r="R32" s="12"/>
      <c r="S32" s="81">
        <f t="shared" si="34"/>
        <v>0.17499999999999999</v>
      </c>
      <c r="T32" s="6"/>
      <c r="U32" s="12"/>
      <c r="V32" s="79">
        <v>0.15</v>
      </c>
      <c r="W32" s="6"/>
      <c r="X32" s="12"/>
      <c r="Y32" s="81">
        <f t="shared" si="35"/>
        <v>0.17499999999999999</v>
      </c>
      <c r="Z32" s="6"/>
      <c r="AA32" s="12"/>
      <c r="AB32" s="81">
        <f t="shared" si="36"/>
        <v>0.17499999999999999</v>
      </c>
      <c r="AC32" s="6"/>
      <c r="AD32" s="12"/>
      <c r="AE32" s="81">
        <f t="shared" si="37"/>
        <v>0.17499999999999999</v>
      </c>
      <c r="AF32" s="6"/>
      <c r="AG32" s="12"/>
      <c r="AH32" s="79">
        <v>0.15</v>
      </c>
      <c r="AI32" s="6"/>
      <c r="AJ32" s="12"/>
      <c r="AK32" s="81">
        <f t="shared" si="38"/>
        <v>0.17499999999999999</v>
      </c>
      <c r="AL32" s="6"/>
      <c r="AM32" s="14"/>
      <c r="AN32" s="81">
        <f t="shared" si="39"/>
        <v>0.17499999999999999</v>
      </c>
      <c r="AO32" s="6"/>
      <c r="AP32" s="12"/>
      <c r="AQ32" s="79">
        <v>0.15</v>
      </c>
      <c r="AR32" s="6"/>
      <c r="AS32" s="12"/>
      <c r="AT32" s="81">
        <f t="shared" si="40"/>
        <v>0.17499999999999999</v>
      </c>
      <c r="AU32" s="6"/>
      <c r="AV32" s="12"/>
      <c r="AW32" s="79">
        <v>0.15</v>
      </c>
      <c r="AX32" s="6"/>
      <c r="AY32" s="12"/>
      <c r="AZ32" s="81">
        <f t="shared" si="41"/>
        <v>0.22500000000000001</v>
      </c>
      <c r="BA32" s="6"/>
      <c r="BB32" s="12"/>
      <c r="BC32" s="81">
        <f t="shared" si="42"/>
        <v>0.22500000000000001</v>
      </c>
      <c r="BD32" s="6"/>
      <c r="BE32" s="12"/>
      <c r="BF32" s="81">
        <f t="shared" si="43"/>
        <v>0.22500000000000001</v>
      </c>
      <c r="BG32" s="6"/>
      <c r="BH32" s="12"/>
      <c r="BI32" s="81">
        <f t="shared" si="44"/>
        <v>0.17499999999999999</v>
      </c>
      <c r="BJ32" s="6"/>
      <c r="BK32" s="12"/>
      <c r="BL32" s="12"/>
      <c r="BM32" s="12"/>
      <c r="BN32" s="12"/>
    </row>
    <row r="33" spans="2:64" ht="5.25" customHeight="1" x14ac:dyDescent="0.35">
      <c r="B33" s="2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</row>
    <row r="34" spans="2:64" ht="5.25" customHeight="1" thickBot="1" x14ac:dyDescent="0.4">
      <c r="B34" s="25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2:64" s="26" customFormat="1" ht="18.5" x14ac:dyDescent="0.35">
      <c r="C35" s="27" t="s">
        <v>36</v>
      </c>
      <c r="D35" s="28"/>
      <c r="E35" s="28"/>
      <c r="F35" s="29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30"/>
      <c r="BJ35" s="28"/>
      <c r="BK35" s="2"/>
      <c r="BL35" s="2"/>
    </row>
    <row r="36" spans="2:64" s="26" customFormat="1" ht="18.5" x14ac:dyDescent="0.35">
      <c r="C36" s="31" t="s">
        <v>37</v>
      </c>
      <c r="D36" s="32"/>
      <c r="E36" s="32"/>
      <c r="F36" s="3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4"/>
      <c r="BJ36" s="32"/>
      <c r="BK36" s="2"/>
      <c r="BL36" s="2"/>
    </row>
    <row r="37" spans="2:64" s="26" customFormat="1" ht="18.5" x14ac:dyDescent="0.35">
      <c r="C37" s="31" t="s">
        <v>38</v>
      </c>
      <c r="D37" s="32"/>
      <c r="E37" s="32"/>
      <c r="F37" s="3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4"/>
      <c r="BJ37" s="32"/>
      <c r="BK37" s="2"/>
      <c r="BL37" s="2"/>
    </row>
    <row r="38" spans="2:64" s="26" customFormat="1" ht="18.5" x14ac:dyDescent="0.35">
      <c r="C38" s="31"/>
      <c r="D38" s="35" t="s">
        <v>40</v>
      </c>
      <c r="E38" s="32"/>
      <c r="F38" s="33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4"/>
      <c r="BJ38" s="32"/>
      <c r="BK38" s="2"/>
      <c r="BL38" s="2"/>
    </row>
    <row r="39" spans="2:64" s="26" customFormat="1" ht="19" thickBot="1" x14ac:dyDescent="0.4">
      <c r="C39" s="36" t="s">
        <v>39</v>
      </c>
      <c r="D39" s="37"/>
      <c r="E39" s="37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9"/>
      <c r="BJ39" s="37"/>
      <c r="BK39" s="2"/>
      <c r="BL39" s="2"/>
    </row>
    <row r="42" spans="2:64" x14ac:dyDescent="0.35">
      <c r="O42" s="3"/>
    </row>
    <row r="43" spans="2:64" x14ac:dyDescent="0.35">
      <c r="AD43" s="1"/>
    </row>
  </sheetData>
  <mergeCells count="28">
    <mergeCell ref="C26:C32"/>
    <mergeCell ref="B2:BN2"/>
    <mergeCell ref="C21:C24"/>
    <mergeCell ref="AP4:AQ5"/>
    <mergeCell ref="C4:C6"/>
    <mergeCell ref="D4:D6"/>
    <mergeCell ref="F4:G5"/>
    <mergeCell ref="I4:J5"/>
    <mergeCell ref="L4:M5"/>
    <mergeCell ref="O4:P5"/>
    <mergeCell ref="R4:S5"/>
    <mergeCell ref="U4:V5"/>
    <mergeCell ref="X4:Y5"/>
    <mergeCell ref="AA4:AB5"/>
    <mergeCell ref="AD4:AE5"/>
    <mergeCell ref="AG4:AH5"/>
    <mergeCell ref="C12:C18"/>
    <mergeCell ref="AJ4:AK5"/>
    <mergeCell ref="AM4:AN5"/>
    <mergeCell ref="BK4:BL5"/>
    <mergeCell ref="BM4:BN5"/>
    <mergeCell ref="C7:C10"/>
    <mergeCell ref="AS4:AT5"/>
    <mergeCell ref="AV4:AW5"/>
    <mergeCell ref="AY4:AZ5"/>
    <mergeCell ref="BB4:BC5"/>
    <mergeCell ref="BE4:BF5"/>
    <mergeCell ref="BH4:BI5"/>
  </mergeCells>
  <conditionalFormatting sqref="B7:B19">
    <cfRule type="cellIs" dxfId="41" priority="283" operator="equal">
      <formula>"NA"</formula>
    </cfRule>
  </conditionalFormatting>
  <conditionalFormatting sqref="B21:B34">
    <cfRule type="cellIs" dxfId="40" priority="166" operator="equal">
      <formula>"NA"</formula>
    </cfRule>
  </conditionalFormatting>
  <conditionalFormatting sqref="E10:BN11">
    <cfRule type="cellIs" dxfId="39" priority="179" operator="equal">
      <formula>"NA"</formula>
    </cfRule>
  </conditionalFormatting>
  <conditionalFormatting sqref="E15:BN15">
    <cfRule type="cellIs" dxfId="38" priority="178" operator="equal">
      <formula>"NA"</formula>
    </cfRule>
  </conditionalFormatting>
  <conditionalFormatting sqref="E24:BN25">
    <cfRule type="cellIs" dxfId="37" priority="1" operator="equal">
      <formula>"NA"</formula>
    </cfRule>
  </conditionalFormatting>
  <conditionalFormatting sqref="E29:BN29">
    <cfRule type="cellIs" dxfId="36" priority="2" operator="equal">
      <formula>"NA"</formula>
    </cfRule>
  </conditionalFormatting>
  <conditionalFormatting sqref="AM19:BJ19">
    <cfRule type="cellIs" dxfId="35" priority="188" operator="equal">
      <formula>"NA"</formula>
    </cfRule>
  </conditionalFormatting>
  <conditionalFormatting sqref="AM33:BJ34">
    <cfRule type="cellIs" dxfId="34" priority="71" operator="equal">
      <formula>"NA"</formula>
    </cfRule>
  </conditionalFormatting>
  <pageMargins left="0.7" right="0.7" top="0.75" bottom="0.75" header="0.3" footer="0.3"/>
  <pageSetup paperSize="8" scale="75" fitToHeight="0" orientation="landscape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F397-A305-4F2B-A312-47C633FE465E}">
  <sheetPr>
    <tabColor theme="9" tint="-0.499984740745262"/>
  </sheetPr>
  <dimension ref="B1:BN43"/>
  <sheetViews>
    <sheetView zoomScale="80" zoomScaleNormal="80" workbookViewId="0">
      <selection activeCell="A8" sqref="A8"/>
    </sheetView>
  </sheetViews>
  <sheetFormatPr defaultColWidth="9.1796875" defaultRowHeight="14.5" x14ac:dyDescent="0.35"/>
  <cols>
    <col min="1" max="1" width="0.54296875" style="2" customWidth="1"/>
    <col min="2" max="2" width="1" style="2" customWidth="1"/>
    <col min="3" max="3" width="6.1796875" style="2" customWidth="1"/>
    <col min="4" max="4" width="32" style="2" customWidth="1"/>
    <col min="5" max="5" width="0.54296875" style="2" customWidth="1"/>
    <col min="6" max="7" width="6.453125" style="2" bestFit="1" customWidth="1"/>
    <col min="8" max="8" width="0.54296875" style="2" customWidth="1"/>
    <col min="9" max="9" width="4.453125" style="2" bestFit="1" customWidth="1"/>
    <col min="10" max="10" width="6.453125" style="2" bestFit="1" customWidth="1"/>
    <col min="11" max="11" width="0.54296875" style="2" customWidth="1"/>
    <col min="12" max="13" width="6.453125" style="2" bestFit="1" customWidth="1"/>
    <col min="14" max="14" width="0.54296875" style="2" customWidth="1"/>
    <col min="15" max="16" width="6.453125" style="2" bestFit="1" customWidth="1"/>
    <col min="17" max="17" width="0.81640625" style="2" customWidth="1"/>
    <col min="18" max="19" width="6.453125" style="2" bestFit="1" customWidth="1"/>
    <col min="20" max="20" width="0.81640625" style="2" customWidth="1"/>
    <col min="21" max="22" width="6.453125" style="2" bestFit="1" customWidth="1"/>
    <col min="23" max="23" width="0.81640625" style="2" customWidth="1"/>
    <col min="24" max="25" width="6.453125" style="2" bestFit="1" customWidth="1"/>
    <col min="26" max="26" width="0.81640625" style="2" customWidth="1"/>
    <col min="27" max="28" width="6.453125" style="2" bestFit="1" customWidth="1"/>
    <col min="29" max="29" width="0.453125" style="2" customWidth="1"/>
    <col min="30" max="31" width="6.453125" style="2" bestFit="1" customWidth="1"/>
    <col min="32" max="32" width="0.54296875" style="2" customWidth="1"/>
    <col min="33" max="34" width="6.453125" style="2" bestFit="1" customWidth="1"/>
    <col min="35" max="35" width="0.7265625" style="2" customWidth="1"/>
    <col min="36" max="37" width="6.453125" style="2" bestFit="1" customWidth="1"/>
    <col min="38" max="38" width="0.54296875" style="2" customWidth="1"/>
    <col min="39" max="40" width="6.453125" style="2" bestFit="1" customWidth="1"/>
    <col min="41" max="41" width="0.54296875" style="2" customWidth="1"/>
    <col min="42" max="42" width="4.453125" style="2" customWidth="1"/>
    <col min="43" max="43" width="6.453125" style="2" bestFit="1" customWidth="1"/>
    <col min="44" max="44" width="0.54296875" style="2" customWidth="1"/>
    <col min="45" max="45" width="4.453125" style="2" customWidth="1"/>
    <col min="46" max="46" width="6.453125" style="2" bestFit="1" customWidth="1"/>
    <col min="47" max="47" width="0.54296875" style="2" customWidth="1"/>
    <col min="48" max="48" width="4.453125" style="2" customWidth="1"/>
    <col min="49" max="49" width="6.453125" style="2" bestFit="1" customWidth="1"/>
    <col min="50" max="50" width="0.54296875" style="2" customWidth="1"/>
    <col min="51" max="51" width="4.453125" style="2" customWidth="1"/>
    <col min="52" max="52" width="6.453125" style="2" bestFit="1" customWidth="1"/>
    <col min="53" max="53" width="0.54296875" style="2" customWidth="1"/>
    <col min="54" max="54" width="4.453125" style="2" customWidth="1"/>
    <col min="55" max="55" width="6.453125" style="2" bestFit="1" customWidth="1"/>
    <col min="56" max="56" width="0.54296875" style="2" customWidth="1"/>
    <col min="57" max="57" width="4.453125" style="2" customWidth="1"/>
    <col min="58" max="58" width="6.453125" style="2" bestFit="1" customWidth="1"/>
    <col min="59" max="59" width="0.54296875" style="2" customWidth="1"/>
    <col min="60" max="61" width="6.453125" style="2" bestFit="1" customWidth="1"/>
    <col min="62" max="62" width="0.54296875" style="2" customWidth="1"/>
    <col min="63" max="16384" width="9.1796875" style="2"/>
  </cols>
  <sheetData>
    <row r="1" spans="2:66" ht="4.5" customHeight="1" x14ac:dyDescent="0.35">
      <c r="B1"/>
      <c r="C1" s="1"/>
      <c r="I1" s="3"/>
    </row>
    <row r="2" spans="2:66" ht="21.65" customHeight="1" x14ac:dyDescent="0.35">
      <c r="B2" s="145" t="s">
        <v>140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</row>
    <row r="3" spans="2:66" ht="4.5" customHeight="1" x14ac:dyDescent="0.35">
      <c r="C3" s="1"/>
      <c r="I3" s="3"/>
    </row>
    <row r="4" spans="2:66" ht="14.5" customHeight="1" x14ac:dyDescent="0.35">
      <c r="B4" s="4"/>
      <c r="C4" s="126" t="s">
        <v>0</v>
      </c>
      <c r="D4" s="126" t="s">
        <v>1</v>
      </c>
      <c r="E4" s="5"/>
      <c r="F4" s="139" t="s">
        <v>2</v>
      </c>
      <c r="G4" s="140"/>
      <c r="H4" s="5"/>
      <c r="I4" s="139" t="s">
        <v>3</v>
      </c>
      <c r="J4" s="140"/>
      <c r="K4" s="5"/>
      <c r="L4" s="139" t="s">
        <v>4</v>
      </c>
      <c r="M4" s="140"/>
      <c r="N4" s="5"/>
      <c r="O4" s="139" t="s">
        <v>5</v>
      </c>
      <c r="P4" s="140"/>
      <c r="Q4" s="5"/>
      <c r="R4" s="139" t="s">
        <v>6</v>
      </c>
      <c r="S4" s="139"/>
      <c r="T4" s="5"/>
      <c r="U4" s="140" t="s">
        <v>7</v>
      </c>
      <c r="V4" s="140"/>
      <c r="W4" s="5"/>
      <c r="X4" s="140" t="s">
        <v>8</v>
      </c>
      <c r="Y4" s="140"/>
      <c r="Z4" s="5"/>
      <c r="AA4" s="140" t="s">
        <v>9</v>
      </c>
      <c r="AB4" s="140"/>
      <c r="AC4" s="5"/>
      <c r="AD4" s="140" t="s">
        <v>10</v>
      </c>
      <c r="AE4" s="140"/>
      <c r="AF4" s="5"/>
      <c r="AG4" s="140" t="s">
        <v>11</v>
      </c>
      <c r="AH4" s="140"/>
      <c r="AI4" s="5"/>
      <c r="AJ4" s="139" t="s">
        <v>12</v>
      </c>
      <c r="AK4" s="139"/>
      <c r="AL4" s="5"/>
      <c r="AM4" s="140" t="s">
        <v>13</v>
      </c>
      <c r="AN4" s="140"/>
      <c r="AO4" s="5"/>
      <c r="AP4" s="140" t="s">
        <v>14</v>
      </c>
      <c r="AQ4" s="140"/>
      <c r="AR4" s="5"/>
      <c r="AS4" s="140" t="s">
        <v>15</v>
      </c>
      <c r="AT4" s="140"/>
      <c r="AU4" s="5"/>
      <c r="AV4" s="140" t="s">
        <v>16</v>
      </c>
      <c r="AW4" s="140"/>
      <c r="AX4" s="5"/>
      <c r="AY4" s="139" t="s">
        <v>17</v>
      </c>
      <c r="AZ4" s="139"/>
      <c r="BA4" s="5"/>
      <c r="BB4" s="139" t="s">
        <v>18</v>
      </c>
      <c r="BC4" s="139"/>
      <c r="BD4" s="6"/>
      <c r="BE4" s="139" t="s">
        <v>19</v>
      </c>
      <c r="BF4" s="139"/>
      <c r="BG4" s="5"/>
      <c r="BH4" s="139" t="s">
        <v>20</v>
      </c>
      <c r="BI4" s="139"/>
      <c r="BJ4" s="5"/>
      <c r="BK4" s="141" t="s">
        <v>21</v>
      </c>
      <c r="BL4" s="142"/>
      <c r="BM4" s="141" t="s">
        <v>22</v>
      </c>
      <c r="BN4" s="142"/>
    </row>
    <row r="5" spans="2:66" ht="14.5" customHeight="1" x14ac:dyDescent="0.35">
      <c r="B5" s="4"/>
      <c r="C5" s="126"/>
      <c r="D5" s="126"/>
      <c r="E5" s="5"/>
      <c r="F5" s="139"/>
      <c r="G5" s="140"/>
      <c r="H5" s="5"/>
      <c r="I5" s="139"/>
      <c r="J5" s="140"/>
      <c r="K5" s="5"/>
      <c r="L5" s="139"/>
      <c r="M5" s="140"/>
      <c r="N5" s="5"/>
      <c r="O5" s="139"/>
      <c r="P5" s="140"/>
      <c r="Q5" s="5"/>
      <c r="R5" s="139"/>
      <c r="S5" s="139"/>
      <c r="T5" s="5"/>
      <c r="U5" s="140"/>
      <c r="V5" s="140"/>
      <c r="W5" s="5"/>
      <c r="X5" s="140"/>
      <c r="Y5" s="140"/>
      <c r="Z5" s="5"/>
      <c r="AA5" s="140"/>
      <c r="AB5" s="140"/>
      <c r="AC5" s="5"/>
      <c r="AD5" s="140"/>
      <c r="AE5" s="140"/>
      <c r="AF5" s="5"/>
      <c r="AG5" s="140"/>
      <c r="AH5" s="140"/>
      <c r="AI5" s="5"/>
      <c r="AJ5" s="139"/>
      <c r="AK5" s="139"/>
      <c r="AL5" s="5"/>
      <c r="AM5" s="140"/>
      <c r="AN5" s="140"/>
      <c r="AO5" s="5"/>
      <c r="AP5" s="140"/>
      <c r="AQ5" s="140"/>
      <c r="AR5" s="5"/>
      <c r="AS5" s="140"/>
      <c r="AT5" s="140"/>
      <c r="AU5" s="5"/>
      <c r="AV5" s="140"/>
      <c r="AW5" s="140"/>
      <c r="AX5" s="5"/>
      <c r="AY5" s="139"/>
      <c r="AZ5" s="139"/>
      <c r="BA5" s="5"/>
      <c r="BB5" s="139"/>
      <c r="BC5" s="139"/>
      <c r="BD5" s="6"/>
      <c r="BE5" s="139"/>
      <c r="BF5" s="139"/>
      <c r="BG5" s="5"/>
      <c r="BH5" s="139"/>
      <c r="BI5" s="139"/>
      <c r="BJ5" s="5"/>
      <c r="BK5" s="143"/>
      <c r="BL5" s="144"/>
      <c r="BM5" s="143"/>
      <c r="BN5" s="144"/>
    </row>
    <row r="6" spans="2:66" x14ac:dyDescent="0.35">
      <c r="B6" s="7"/>
      <c r="C6" s="126"/>
      <c r="D6" s="126"/>
      <c r="E6" s="8"/>
      <c r="F6" s="9" t="s">
        <v>23</v>
      </c>
      <c r="G6" s="9" t="s">
        <v>24</v>
      </c>
      <c r="H6" s="8"/>
      <c r="I6" s="9" t="s">
        <v>23</v>
      </c>
      <c r="J6" s="9" t="s">
        <v>24</v>
      </c>
      <c r="K6" s="8"/>
      <c r="L6" s="9" t="s">
        <v>23</v>
      </c>
      <c r="M6" s="9" t="s">
        <v>24</v>
      </c>
      <c r="N6" s="8"/>
      <c r="O6" s="9" t="s">
        <v>23</v>
      </c>
      <c r="P6" s="9" t="s">
        <v>24</v>
      </c>
      <c r="Q6" s="8"/>
      <c r="R6" s="9" t="s">
        <v>23</v>
      </c>
      <c r="S6" s="9" t="s">
        <v>24</v>
      </c>
      <c r="T6" s="8"/>
      <c r="U6" s="9" t="s">
        <v>23</v>
      </c>
      <c r="V6" s="9" t="s">
        <v>24</v>
      </c>
      <c r="W6" s="8"/>
      <c r="X6" s="9" t="s">
        <v>23</v>
      </c>
      <c r="Y6" s="9" t="s">
        <v>24</v>
      </c>
      <c r="Z6" s="8"/>
      <c r="AA6" s="9" t="s">
        <v>23</v>
      </c>
      <c r="AB6" s="9" t="s">
        <v>24</v>
      </c>
      <c r="AC6" s="8"/>
      <c r="AD6" s="9" t="s">
        <v>23</v>
      </c>
      <c r="AE6" s="9" t="s">
        <v>24</v>
      </c>
      <c r="AF6" s="8"/>
      <c r="AG6" s="9" t="s">
        <v>23</v>
      </c>
      <c r="AH6" s="9" t="s">
        <v>24</v>
      </c>
      <c r="AI6" s="8"/>
      <c r="AJ6" s="9" t="s">
        <v>23</v>
      </c>
      <c r="AK6" s="9" t="s">
        <v>24</v>
      </c>
      <c r="AL6" s="8"/>
      <c r="AM6" s="9" t="s">
        <v>23</v>
      </c>
      <c r="AN6" s="9" t="s">
        <v>24</v>
      </c>
      <c r="AO6" s="8"/>
      <c r="AP6" s="9" t="s">
        <v>23</v>
      </c>
      <c r="AQ6" s="9" t="s">
        <v>24</v>
      </c>
      <c r="AR6" s="8"/>
      <c r="AS6" s="9" t="s">
        <v>23</v>
      </c>
      <c r="AT6" s="9" t="s">
        <v>24</v>
      </c>
      <c r="AU6" s="8"/>
      <c r="AV6" s="9" t="s">
        <v>23</v>
      </c>
      <c r="AW6" s="9" t="s">
        <v>24</v>
      </c>
      <c r="AX6" s="8"/>
      <c r="AY6" s="9" t="s">
        <v>23</v>
      </c>
      <c r="AZ6" s="9" t="s">
        <v>24</v>
      </c>
      <c r="BA6" s="8"/>
      <c r="BB6" s="9" t="s">
        <v>23</v>
      </c>
      <c r="BC6" s="9" t="s">
        <v>24</v>
      </c>
      <c r="BD6" s="6"/>
      <c r="BE6" s="9" t="s">
        <v>23</v>
      </c>
      <c r="BF6" s="9" t="s">
        <v>24</v>
      </c>
      <c r="BG6" s="8"/>
      <c r="BH6" s="9" t="s">
        <v>23</v>
      </c>
      <c r="BI6" s="9" t="s">
        <v>24</v>
      </c>
      <c r="BJ6" s="8"/>
      <c r="BK6" s="9" t="s">
        <v>23</v>
      </c>
      <c r="BL6" s="9" t="s">
        <v>24</v>
      </c>
      <c r="BM6" s="9" t="s">
        <v>23</v>
      </c>
      <c r="BN6" s="9" t="s">
        <v>24</v>
      </c>
    </row>
    <row r="7" spans="2:66" ht="19" customHeight="1" x14ac:dyDescent="0.35">
      <c r="B7" s="10"/>
      <c r="C7" s="138" t="s">
        <v>25</v>
      </c>
      <c r="D7" s="11" t="s">
        <v>26</v>
      </c>
      <c r="E7" s="6"/>
      <c r="F7" s="12"/>
      <c r="G7" s="79">
        <v>0.3</v>
      </c>
      <c r="H7" s="6"/>
      <c r="I7" s="12"/>
      <c r="J7" s="79">
        <v>0.25</v>
      </c>
      <c r="K7" s="6"/>
      <c r="L7" s="12"/>
      <c r="M7" s="79">
        <v>0.3</v>
      </c>
      <c r="N7" s="6"/>
      <c r="O7" s="79">
        <v>0.25</v>
      </c>
      <c r="P7" s="79">
        <v>0.3</v>
      </c>
      <c r="Q7" s="6"/>
      <c r="R7" s="12"/>
      <c r="S7" s="79">
        <v>0.3</v>
      </c>
      <c r="T7" s="6"/>
      <c r="U7" s="79">
        <v>0.3</v>
      </c>
      <c r="V7" s="79">
        <v>0.3</v>
      </c>
      <c r="W7" s="6"/>
      <c r="X7" s="79">
        <v>0.3</v>
      </c>
      <c r="Y7" s="79">
        <v>0.3</v>
      </c>
      <c r="Z7" s="6"/>
      <c r="AA7" s="12"/>
      <c r="AB7" s="79">
        <v>0.25</v>
      </c>
      <c r="AC7" s="6"/>
      <c r="AD7" s="12"/>
      <c r="AE7" s="13">
        <v>0.2</v>
      </c>
      <c r="AF7" s="6"/>
      <c r="AG7" s="12"/>
      <c r="AH7" s="13">
        <v>0.15</v>
      </c>
      <c r="AI7" s="6"/>
      <c r="AJ7" s="12"/>
      <c r="AK7" s="79">
        <v>0.25</v>
      </c>
      <c r="AL7" s="6"/>
      <c r="AM7" s="14"/>
      <c r="AN7" s="79">
        <v>0.25</v>
      </c>
      <c r="AO7" s="6"/>
      <c r="AP7" s="12"/>
      <c r="AQ7" s="79">
        <v>0.25</v>
      </c>
      <c r="AR7" s="6"/>
      <c r="AS7" s="12"/>
      <c r="AT7" s="79">
        <v>0.25</v>
      </c>
      <c r="AU7" s="6"/>
      <c r="AV7" s="12"/>
      <c r="AW7" s="79">
        <v>0.25</v>
      </c>
      <c r="AX7" s="6"/>
      <c r="AY7" s="12"/>
      <c r="AZ7" s="79">
        <v>0.25</v>
      </c>
      <c r="BA7" s="6"/>
      <c r="BB7" s="12"/>
      <c r="BC7" s="15">
        <v>0.15</v>
      </c>
      <c r="BD7" s="6"/>
      <c r="BE7" s="12"/>
      <c r="BF7" s="80">
        <v>0.3</v>
      </c>
      <c r="BG7" s="6"/>
      <c r="BH7" s="12"/>
      <c r="BI7" s="79">
        <v>0.3</v>
      </c>
      <c r="BJ7" s="6"/>
      <c r="BK7" s="12"/>
      <c r="BL7" s="13">
        <v>0.15</v>
      </c>
      <c r="BM7" s="12"/>
      <c r="BN7" s="13">
        <v>0.15</v>
      </c>
    </row>
    <row r="8" spans="2:66" x14ac:dyDescent="0.35">
      <c r="B8" s="10"/>
      <c r="C8" s="138"/>
      <c r="D8" s="11" t="s">
        <v>27</v>
      </c>
      <c r="E8" s="6"/>
      <c r="F8" s="13">
        <v>0.2</v>
      </c>
      <c r="G8" s="79">
        <v>0.3</v>
      </c>
      <c r="H8" s="6"/>
      <c r="I8" s="12"/>
      <c r="J8" s="79">
        <v>0.25</v>
      </c>
      <c r="K8" s="6"/>
      <c r="L8" s="12"/>
      <c r="M8" s="79">
        <v>0.3</v>
      </c>
      <c r="N8" s="6"/>
      <c r="O8" s="79">
        <v>0.25</v>
      </c>
      <c r="P8" s="79">
        <v>0.3</v>
      </c>
      <c r="Q8" s="6"/>
      <c r="R8" s="13">
        <v>0.25</v>
      </c>
      <c r="S8" s="79">
        <v>0.3</v>
      </c>
      <c r="T8" s="6"/>
      <c r="U8" s="79">
        <v>0.3</v>
      </c>
      <c r="V8" s="79">
        <v>0.3</v>
      </c>
      <c r="W8" s="6"/>
      <c r="X8" s="79">
        <v>0.3</v>
      </c>
      <c r="Y8" s="79">
        <v>0.3</v>
      </c>
      <c r="Z8" s="6"/>
      <c r="AA8" s="13">
        <v>0.25</v>
      </c>
      <c r="AB8" s="79">
        <v>0.25</v>
      </c>
      <c r="AC8" s="6"/>
      <c r="AD8" s="13">
        <v>0.25</v>
      </c>
      <c r="AE8" s="13">
        <v>0.27500000000000002</v>
      </c>
      <c r="AF8" s="6"/>
      <c r="AG8" s="13">
        <v>0</v>
      </c>
      <c r="AH8" s="13">
        <v>0.24</v>
      </c>
      <c r="AI8" s="6"/>
      <c r="AJ8" s="13">
        <v>0.25</v>
      </c>
      <c r="AK8" s="79">
        <v>0.25</v>
      </c>
      <c r="AL8" s="6"/>
      <c r="AM8" s="13">
        <v>0.3</v>
      </c>
      <c r="AN8" s="79">
        <v>0.25</v>
      </c>
      <c r="AO8" s="6"/>
      <c r="AP8" s="12"/>
      <c r="AQ8" s="79">
        <v>0.25</v>
      </c>
      <c r="AR8" s="6"/>
      <c r="AS8" s="12"/>
      <c r="AT8" s="79">
        <v>0.25</v>
      </c>
      <c r="AU8" s="6"/>
      <c r="AV8" s="12"/>
      <c r="AW8" s="79">
        <v>0.25</v>
      </c>
      <c r="AX8" s="6"/>
      <c r="AY8" s="12"/>
      <c r="AZ8" s="79">
        <v>0.25</v>
      </c>
      <c r="BA8" s="6"/>
      <c r="BB8" s="12"/>
      <c r="BC8" s="15">
        <v>0.2</v>
      </c>
      <c r="BD8" s="6"/>
      <c r="BE8" s="12"/>
      <c r="BF8" s="80">
        <v>0.3</v>
      </c>
      <c r="BG8" s="6"/>
      <c r="BH8" s="79">
        <v>0.25</v>
      </c>
      <c r="BI8" s="79">
        <v>0.3</v>
      </c>
      <c r="BJ8" s="6"/>
      <c r="BK8" s="12"/>
      <c r="BL8" s="13">
        <v>0.2</v>
      </c>
      <c r="BM8" s="12"/>
      <c r="BN8" s="13">
        <v>0.2</v>
      </c>
    </row>
    <row r="9" spans="2:66" x14ac:dyDescent="0.35">
      <c r="B9" s="10"/>
      <c r="C9" s="138"/>
      <c r="D9" s="11" t="s">
        <v>28</v>
      </c>
      <c r="E9" s="6"/>
      <c r="F9" s="13">
        <v>0.2</v>
      </c>
      <c r="G9" s="79">
        <v>0.3</v>
      </c>
      <c r="H9" s="6"/>
      <c r="I9" s="12"/>
      <c r="J9" s="13">
        <v>0.3</v>
      </c>
      <c r="K9" s="6"/>
      <c r="L9" s="13">
        <v>0.1</v>
      </c>
      <c r="M9" s="79">
        <v>0.3</v>
      </c>
      <c r="N9" s="6"/>
      <c r="O9" s="79">
        <v>0.25</v>
      </c>
      <c r="P9" s="79">
        <v>0.3</v>
      </c>
      <c r="Q9" s="6"/>
      <c r="R9" s="13">
        <v>0.2</v>
      </c>
      <c r="S9" s="79">
        <v>0.3</v>
      </c>
      <c r="T9" s="6"/>
      <c r="U9" s="79">
        <v>0.3</v>
      </c>
      <c r="V9" s="79">
        <v>0.3</v>
      </c>
      <c r="W9" s="6"/>
      <c r="X9" s="79">
        <v>0.3</v>
      </c>
      <c r="Y9" s="79">
        <v>0.3</v>
      </c>
      <c r="Z9" s="6"/>
      <c r="AA9" s="13">
        <v>0.3</v>
      </c>
      <c r="AB9" s="13">
        <v>0.3</v>
      </c>
      <c r="AC9" s="6"/>
      <c r="AD9" s="13">
        <v>0.25</v>
      </c>
      <c r="AE9" s="13">
        <v>0.3</v>
      </c>
      <c r="AF9" s="6"/>
      <c r="AG9" s="13">
        <v>0</v>
      </c>
      <c r="AH9" s="13">
        <v>0.3</v>
      </c>
      <c r="AI9" s="6"/>
      <c r="AJ9" s="13">
        <v>0.2</v>
      </c>
      <c r="AK9" s="13">
        <v>0.3</v>
      </c>
      <c r="AL9" s="6"/>
      <c r="AM9" s="13">
        <v>0.3</v>
      </c>
      <c r="AN9" s="13">
        <v>0.3</v>
      </c>
      <c r="AO9" s="6"/>
      <c r="AP9" s="12"/>
      <c r="AQ9" s="13">
        <v>0.3</v>
      </c>
      <c r="AR9" s="6"/>
      <c r="AS9" s="12"/>
      <c r="AT9" s="13">
        <v>0.3</v>
      </c>
      <c r="AU9" s="6"/>
      <c r="AV9" s="12"/>
      <c r="AW9" s="13">
        <v>0.3</v>
      </c>
      <c r="AX9" s="6"/>
      <c r="AY9" s="12"/>
      <c r="AZ9" s="15">
        <v>0.3</v>
      </c>
      <c r="BA9" s="6"/>
      <c r="BB9" s="12"/>
      <c r="BC9" s="15">
        <v>0.3</v>
      </c>
      <c r="BD9" s="6"/>
      <c r="BE9" s="12"/>
      <c r="BF9" s="80">
        <v>0.3</v>
      </c>
      <c r="BG9" s="6"/>
      <c r="BH9" s="79">
        <v>0.25</v>
      </c>
      <c r="BI9" s="79">
        <v>0.3</v>
      </c>
      <c r="BJ9" s="6"/>
      <c r="BK9" s="12"/>
      <c r="BL9" s="13">
        <v>0.25</v>
      </c>
      <c r="BM9" s="12"/>
      <c r="BN9" s="13">
        <v>0.25</v>
      </c>
    </row>
    <row r="10" spans="2:66" ht="4.5" customHeight="1" x14ac:dyDescent="0.35">
      <c r="B10" s="17"/>
      <c r="C10" s="138"/>
      <c r="D10" s="18"/>
      <c r="E10" s="6"/>
      <c r="F10" s="19"/>
      <c r="G10" s="20"/>
      <c r="H10" s="6"/>
      <c r="I10" s="19"/>
      <c r="J10" s="20"/>
      <c r="K10" s="6"/>
      <c r="L10" s="19"/>
      <c r="M10" s="20"/>
      <c r="N10" s="6"/>
      <c r="O10" s="19"/>
      <c r="P10" s="20"/>
      <c r="Q10" s="6"/>
      <c r="R10" s="19"/>
      <c r="S10" s="20"/>
      <c r="T10" s="6"/>
      <c r="U10" s="19"/>
      <c r="V10" s="20"/>
      <c r="W10" s="6"/>
      <c r="X10" s="19"/>
      <c r="Y10" s="20"/>
      <c r="Z10" s="6"/>
      <c r="AA10" s="19"/>
      <c r="AB10" s="20"/>
      <c r="AC10" s="6"/>
      <c r="AD10" s="19"/>
      <c r="AE10" s="20"/>
      <c r="AF10" s="6"/>
      <c r="AG10" s="19"/>
      <c r="AH10" s="20"/>
      <c r="AI10" s="6"/>
      <c r="AJ10" s="19"/>
      <c r="AK10" s="20"/>
      <c r="AL10" s="6"/>
      <c r="AM10" s="19"/>
      <c r="AN10" s="20"/>
      <c r="AO10" s="6"/>
      <c r="AP10" s="19"/>
      <c r="AQ10" s="20"/>
      <c r="AR10" s="6"/>
      <c r="AS10" s="19"/>
      <c r="AT10" s="20"/>
      <c r="AU10" s="6"/>
      <c r="AV10" s="19"/>
      <c r="AW10" s="20"/>
      <c r="AX10" s="6"/>
      <c r="AY10" s="20"/>
      <c r="AZ10" s="20"/>
      <c r="BA10" s="20"/>
      <c r="BB10" s="20"/>
      <c r="BC10" s="20"/>
      <c r="BD10" s="20"/>
      <c r="BE10" s="20"/>
      <c r="BF10" s="20"/>
      <c r="BG10" s="20"/>
      <c r="BH10" s="19"/>
      <c r="BI10" s="20"/>
      <c r="BJ10" s="20"/>
      <c r="BK10" s="20"/>
      <c r="BL10" s="20"/>
      <c r="BM10" s="20"/>
      <c r="BN10" s="20"/>
    </row>
    <row r="11" spans="2:66" ht="4.5" customHeight="1" x14ac:dyDescent="0.35">
      <c r="B11" s="17"/>
      <c r="C11" s="21"/>
      <c r="D11" s="18"/>
      <c r="E11" s="6"/>
      <c r="F11" s="19"/>
      <c r="G11" s="20"/>
      <c r="H11" s="6"/>
      <c r="I11" s="19"/>
      <c r="J11" s="20"/>
      <c r="K11" s="6"/>
      <c r="L11" s="19"/>
      <c r="M11" s="20"/>
      <c r="N11" s="6"/>
      <c r="O11" s="19"/>
      <c r="P11" s="20"/>
      <c r="Q11" s="6"/>
      <c r="R11" s="19"/>
      <c r="S11" s="20"/>
      <c r="T11" s="6"/>
      <c r="U11" s="19"/>
      <c r="V11" s="20"/>
      <c r="W11" s="6"/>
      <c r="X11" s="19"/>
      <c r="Y11" s="20"/>
      <c r="Z11" s="6"/>
      <c r="AA11" s="19"/>
      <c r="AB11" s="20"/>
      <c r="AC11" s="6"/>
      <c r="AD11" s="19"/>
      <c r="AE11" s="20"/>
      <c r="AF11" s="6"/>
      <c r="AG11" s="19"/>
      <c r="AH11" s="20"/>
      <c r="AI11" s="6"/>
      <c r="AJ11" s="19"/>
      <c r="AK11" s="20"/>
      <c r="AL11" s="6"/>
      <c r="AM11" s="22"/>
      <c r="AN11" s="20"/>
      <c r="AO11" s="6"/>
      <c r="AP11" s="22"/>
      <c r="AQ11" s="20"/>
      <c r="AR11" s="6"/>
      <c r="AS11" s="22"/>
      <c r="AT11" s="20"/>
      <c r="AU11" s="6"/>
      <c r="AV11" s="22"/>
      <c r="AW11" s="20"/>
      <c r="AX11" s="6"/>
      <c r="AY11" s="20"/>
      <c r="AZ11" s="20"/>
      <c r="BA11" s="20"/>
      <c r="BB11" s="20"/>
      <c r="BC11" s="20"/>
      <c r="BD11" s="20"/>
      <c r="BE11" s="20"/>
      <c r="BF11" s="20"/>
      <c r="BG11" s="6"/>
      <c r="BH11" s="19"/>
      <c r="BI11" s="20"/>
      <c r="BJ11" s="6"/>
      <c r="BK11" s="20"/>
      <c r="BL11" s="20"/>
      <c r="BM11" s="20"/>
      <c r="BN11" s="20"/>
    </row>
    <row r="12" spans="2:66" ht="14.5" customHeight="1" x14ac:dyDescent="0.35">
      <c r="B12" s="23"/>
      <c r="C12" s="138" t="s">
        <v>29</v>
      </c>
      <c r="D12" s="11" t="s">
        <v>30</v>
      </c>
      <c r="E12" s="6"/>
      <c r="F12" s="12"/>
      <c r="G12" s="13">
        <v>0.1</v>
      </c>
      <c r="H12" s="6"/>
      <c r="I12" s="12"/>
      <c r="J12" s="13">
        <v>0.1</v>
      </c>
      <c r="K12" s="6"/>
      <c r="L12" s="12"/>
      <c r="M12" s="13">
        <v>0.19</v>
      </c>
      <c r="N12" s="6"/>
      <c r="O12" s="12"/>
      <c r="P12" s="13">
        <v>0.19</v>
      </c>
      <c r="Q12" s="6"/>
      <c r="R12" s="12"/>
      <c r="S12" s="13">
        <v>0.1</v>
      </c>
      <c r="T12" s="6"/>
      <c r="U12" s="12"/>
      <c r="V12" s="13">
        <v>0.1</v>
      </c>
      <c r="W12" s="6"/>
      <c r="X12" s="12"/>
      <c r="Y12" s="13">
        <v>0.19</v>
      </c>
      <c r="Z12" s="6"/>
      <c r="AA12" s="12"/>
      <c r="AB12" s="13">
        <v>0.1</v>
      </c>
      <c r="AC12" s="6"/>
      <c r="AD12" s="12"/>
      <c r="AE12" s="13">
        <v>0.1</v>
      </c>
      <c r="AF12" s="6"/>
      <c r="AG12" s="12"/>
      <c r="AH12" s="13">
        <v>0.1</v>
      </c>
      <c r="AI12" s="6"/>
      <c r="AJ12" s="12"/>
      <c r="AK12" s="13">
        <v>0.19</v>
      </c>
      <c r="AL12" s="6"/>
      <c r="AM12" s="14"/>
      <c r="AN12" s="13">
        <v>0.1</v>
      </c>
      <c r="AO12" s="6"/>
      <c r="AP12" s="12"/>
      <c r="AQ12" s="13">
        <v>0.1</v>
      </c>
      <c r="AR12" s="6"/>
      <c r="AS12" s="12"/>
      <c r="AT12" s="13">
        <v>0.1</v>
      </c>
      <c r="AU12" s="6"/>
      <c r="AV12" s="12"/>
      <c r="AW12" s="13">
        <v>0.1</v>
      </c>
      <c r="AX12" s="6"/>
      <c r="AY12" s="12"/>
      <c r="AZ12" s="15">
        <v>0.15000000000000002</v>
      </c>
      <c r="BA12" s="6"/>
      <c r="BB12" s="12"/>
      <c r="BC12" s="15">
        <v>9.9999999999999992E-2</v>
      </c>
      <c r="BD12" s="6"/>
      <c r="BE12" s="12"/>
      <c r="BF12" s="15">
        <v>0.15000000000000002</v>
      </c>
      <c r="BG12" s="6"/>
      <c r="BH12" s="12"/>
      <c r="BI12" s="13">
        <v>0.1</v>
      </c>
      <c r="BJ12" s="6"/>
      <c r="BK12" s="12"/>
      <c r="BL12" s="12"/>
      <c r="BM12" s="12"/>
      <c r="BN12" s="12"/>
    </row>
    <row r="13" spans="2:66" x14ac:dyDescent="0.35">
      <c r="B13" s="10"/>
      <c r="C13" s="138"/>
      <c r="D13" s="11" t="s">
        <v>31</v>
      </c>
      <c r="E13" s="6"/>
      <c r="F13" s="12"/>
      <c r="G13" s="13">
        <v>0.19</v>
      </c>
      <c r="H13" s="6"/>
      <c r="I13" s="12"/>
      <c r="J13" s="13">
        <v>0.16</v>
      </c>
      <c r="K13" s="6"/>
      <c r="L13" s="12"/>
      <c r="M13" s="13">
        <v>0.19</v>
      </c>
      <c r="N13" s="6"/>
      <c r="O13" s="12"/>
      <c r="P13" s="13">
        <v>0.19</v>
      </c>
      <c r="Q13" s="6"/>
      <c r="R13" s="12"/>
      <c r="S13" s="13">
        <v>0.16</v>
      </c>
      <c r="T13" s="6"/>
      <c r="U13" s="12"/>
      <c r="V13" s="13">
        <v>0.15</v>
      </c>
      <c r="W13" s="6"/>
      <c r="X13" s="12"/>
      <c r="Y13" s="13">
        <v>0.19</v>
      </c>
      <c r="Z13" s="6"/>
      <c r="AA13" s="12"/>
      <c r="AB13" s="13">
        <v>0.16</v>
      </c>
      <c r="AC13" s="6"/>
      <c r="AD13" s="12"/>
      <c r="AE13" s="13">
        <v>0.19</v>
      </c>
      <c r="AF13" s="6"/>
      <c r="AG13" s="12"/>
      <c r="AH13" s="13">
        <v>0.15</v>
      </c>
      <c r="AI13" s="6"/>
      <c r="AJ13" s="12"/>
      <c r="AK13" s="13">
        <v>0.19</v>
      </c>
      <c r="AL13" s="6"/>
      <c r="AM13" s="14"/>
      <c r="AN13" s="13">
        <v>0.15</v>
      </c>
      <c r="AO13" s="6"/>
      <c r="AP13" s="12"/>
      <c r="AQ13" s="13">
        <v>0.15</v>
      </c>
      <c r="AR13" s="6"/>
      <c r="AS13" s="12"/>
      <c r="AT13" s="13">
        <v>0.15</v>
      </c>
      <c r="AU13" s="6"/>
      <c r="AV13" s="12"/>
      <c r="AW13" s="13">
        <v>0.15</v>
      </c>
      <c r="AX13" s="6"/>
      <c r="AY13" s="12"/>
      <c r="AZ13" s="15">
        <v>0.2</v>
      </c>
      <c r="BA13" s="6"/>
      <c r="BB13" s="12"/>
      <c r="BC13" s="15">
        <v>0.15000000000000002</v>
      </c>
      <c r="BD13" s="6"/>
      <c r="BE13" s="12"/>
      <c r="BF13" s="15">
        <v>0.2</v>
      </c>
      <c r="BG13" s="6"/>
      <c r="BH13" s="12"/>
      <c r="BI13" s="13">
        <v>0.15</v>
      </c>
      <c r="BJ13" s="6"/>
      <c r="BK13" s="12"/>
      <c r="BL13" s="12"/>
      <c r="BM13" s="12"/>
      <c r="BN13" s="12"/>
    </row>
    <row r="14" spans="2:66" x14ac:dyDescent="0.35">
      <c r="B14" s="24"/>
      <c r="C14" s="138"/>
      <c r="D14" s="11" t="s">
        <v>32</v>
      </c>
      <c r="E14" s="6"/>
      <c r="F14" s="12"/>
      <c r="G14" s="13">
        <v>0.2</v>
      </c>
      <c r="H14" s="6"/>
      <c r="I14" s="12"/>
      <c r="J14" s="13">
        <v>0.2</v>
      </c>
      <c r="K14" s="6"/>
      <c r="L14" s="12"/>
      <c r="M14" s="13">
        <v>0.2</v>
      </c>
      <c r="N14" s="6"/>
      <c r="O14" s="12"/>
      <c r="P14" s="13">
        <v>0.2</v>
      </c>
      <c r="Q14" s="6"/>
      <c r="R14" s="12"/>
      <c r="S14" s="13">
        <v>0.2</v>
      </c>
      <c r="T14" s="6"/>
      <c r="U14" s="12"/>
      <c r="V14" s="13">
        <v>0.2</v>
      </c>
      <c r="W14" s="6"/>
      <c r="X14" s="12"/>
      <c r="Y14" s="13">
        <v>0.2</v>
      </c>
      <c r="Z14" s="6"/>
      <c r="AA14" s="12"/>
      <c r="AB14" s="13">
        <v>0.2</v>
      </c>
      <c r="AC14" s="6"/>
      <c r="AD14" s="12"/>
      <c r="AE14" s="13">
        <v>0.2</v>
      </c>
      <c r="AF14" s="6"/>
      <c r="AG14" s="12"/>
      <c r="AH14" s="13">
        <v>0.2</v>
      </c>
      <c r="AI14" s="6"/>
      <c r="AJ14" s="12"/>
      <c r="AK14" s="13">
        <v>0.2</v>
      </c>
      <c r="AL14" s="6"/>
      <c r="AM14" s="14"/>
      <c r="AN14" s="13">
        <v>0.2</v>
      </c>
      <c r="AO14" s="6"/>
      <c r="AP14" s="12"/>
      <c r="AQ14" s="13">
        <v>0.2</v>
      </c>
      <c r="AR14" s="6"/>
      <c r="AS14" s="12"/>
      <c r="AT14" s="13">
        <v>0.2</v>
      </c>
      <c r="AU14" s="6"/>
      <c r="AV14" s="12"/>
      <c r="AW14" s="13">
        <v>0.2</v>
      </c>
      <c r="AX14" s="6"/>
      <c r="AY14" s="12"/>
      <c r="AZ14" s="15">
        <v>0.25</v>
      </c>
      <c r="BA14" s="6"/>
      <c r="BB14" s="12"/>
      <c r="BC14" s="15">
        <v>0.25</v>
      </c>
      <c r="BD14" s="6"/>
      <c r="BE14" s="12"/>
      <c r="BF14" s="15">
        <v>0.25</v>
      </c>
      <c r="BG14" s="6"/>
      <c r="BH14" s="12"/>
      <c r="BI14" s="13">
        <v>0.2</v>
      </c>
      <c r="BJ14" s="6"/>
      <c r="BK14" s="12"/>
      <c r="BL14" s="12"/>
      <c r="BM14" s="12"/>
      <c r="BN14" s="12"/>
    </row>
    <row r="15" spans="2:66" ht="4.5" customHeight="1" x14ac:dyDescent="0.35">
      <c r="B15" s="17"/>
      <c r="C15" s="138"/>
      <c r="D15" s="18"/>
      <c r="E15" s="6"/>
      <c r="F15" s="19"/>
      <c r="G15" s="20"/>
      <c r="H15" s="6"/>
      <c r="I15" s="19"/>
      <c r="J15" s="20"/>
      <c r="K15" s="6"/>
      <c r="L15" s="19"/>
      <c r="M15" s="20"/>
      <c r="N15" s="6"/>
      <c r="O15" s="19"/>
      <c r="P15" s="20"/>
      <c r="Q15" s="6"/>
      <c r="R15" s="19"/>
      <c r="S15" s="20"/>
      <c r="T15" s="6"/>
      <c r="U15" s="19"/>
      <c r="V15" s="20"/>
      <c r="W15" s="6"/>
      <c r="X15" s="19"/>
      <c r="Y15" s="20"/>
      <c r="Z15" s="6"/>
      <c r="AA15" s="19"/>
      <c r="AB15" s="20"/>
      <c r="AC15" s="6"/>
      <c r="AD15" s="19"/>
      <c r="AE15" s="20"/>
      <c r="AF15" s="6"/>
      <c r="AG15" s="19"/>
      <c r="AH15" s="20"/>
      <c r="AI15" s="6"/>
      <c r="AJ15" s="19"/>
      <c r="AK15" s="20"/>
      <c r="AL15" s="6"/>
      <c r="AM15" s="19"/>
      <c r="AN15" s="20"/>
      <c r="AO15" s="6"/>
      <c r="AP15" s="19"/>
      <c r="AQ15" s="20"/>
      <c r="AR15" s="6"/>
      <c r="AS15" s="19"/>
      <c r="AT15" s="20"/>
      <c r="AU15" s="6"/>
      <c r="AV15" s="19"/>
      <c r="AW15" s="20"/>
      <c r="AX15" s="6"/>
      <c r="AY15" s="20"/>
      <c r="AZ15" s="20"/>
      <c r="BA15" s="20"/>
      <c r="BB15" s="20"/>
      <c r="BC15" s="20"/>
      <c r="BD15" s="20"/>
      <c r="BE15" s="20"/>
      <c r="BF15" s="20"/>
      <c r="BG15" s="6"/>
      <c r="BH15" s="19"/>
      <c r="BI15" s="20"/>
      <c r="BJ15" s="6"/>
      <c r="BK15" s="20"/>
      <c r="BL15" s="20"/>
      <c r="BM15" s="20"/>
      <c r="BN15" s="20"/>
    </row>
    <row r="16" spans="2:66" ht="14.5" customHeight="1" x14ac:dyDescent="0.35">
      <c r="B16" s="23"/>
      <c r="C16" s="138"/>
      <c r="D16" s="11" t="s">
        <v>33</v>
      </c>
      <c r="E16" s="6"/>
      <c r="F16" s="12"/>
      <c r="G16" s="13">
        <v>0.1</v>
      </c>
      <c r="H16" s="6"/>
      <c r="I16" s="12"/>
      <c r="J16" s="13">
        <v>0.1</v>
      </c>
      <c r="K16" s="6"/>
      <c r="L16" s="12"/>
      <c r="M16" s="13">
        <v>0.1</v>
      </c>
      <c r="N16" s="6"/>
      <c r="O16" s="12"/>
      <c r="P16" s="13">
        <v>0.1</v>
      </c>
      <c r="Q16" s="6"/>
      <c r="R16" s="12"/>
      <c r="S16" s="13">
        <v>0.1</v>
      </c>
      <c r="T16" s="6"/>
      <c r="U16" s="12"/>
      <c r="V16" s="13">
        <v>0.1</v>
      </c>
      <c r="W16" s="6"/>
      <c r="X16" s="12"/>
      <c r="Y16" s="13">
        <v>0.1</v>
      </c>
      <c r="Z16" s="6"/>
      <c r="AA16" s="12"/>
      <c r="AB16" s="13">
        <v>0.1</v>
      </c>
      <c r="AC16" s="6"/>
      <c r="AD16" s="12"/>
      <c r="AE16" s="13">
        <v>0.1</v>
      </c>
      <c r="AF16" s="6"/>
      <c r="AG16" s="12"/>
      <c r="AH16" s="13">
        <v>0.1</v>
      </c>
      <c r="AI16" s="6"/>
      <c r="AJ16" s="12"/>
      <c r="AK16" s="13">
        <v>0.1</v>
      </c>
      <c r="AL16" s="6"/>
      <c r="AM16" s="14"/>
      <c r="AN16" s="13">
        <v>0.1</v>
      </c>
      <c r="AO16" s="6"/>
      <c r="AP16" s="12"/>
      <c r="AQ16" s="13">
        <v>0.1</v>
      </c>
      <c r="AR16" s="6"/>
      <c r="AS16" s="12"/>
      <c r="AT16" s="13">
        <v>0.1</v>
      </c>
      <c r="AU16" s="6"/>
      <c r="AV16" s="12"/>
      <c r="AW16" s="13">
        <v>0.1</v>
      </c>
      <c r="AX16" s="6"/>
      <c r="AY16" s="12"/>
      <c r="AZ16" s="15">
        <v>0.1</v>
      </c>
      <c r="BA16" s="6"/>
      <c r="BB16" s="12"/>
      <c r="BC16" s="15">
        <v>0.1</v>
      </c>
      <c r="BD16" s="6"/>
      <c r="BE16" s="12"/>
      <c r="BF16" s="15">
        <v>0.1</v>
      </c>
      <c r="BG16" s="6"/>
      <c r="BH16" s="12"/>
      <c r="BI16" s="13">
        <v>0.1</v>
      </c>
      <c r="BJ16" s="6"/>
      <c r="BK16" s="12"/>
      <c r="BL16" s="12"/>
      <c r="BM16" s="12"/>
      <c r="BN16" s="12"/>
    </row>
    <row r="17" spans="2:66" x14ac:dyDescent="0.35">
      <c r="B17" s="10"/>
      <c r="C17" s="138"/>
      <c r="D17" s="11" t="s">
        <v>34</v>
      </c>
      <c r="E17" s="6"/>
      <c r="F17" s="12"/>
      <c r="G17" s="13">
        <v>0.1</v>
      </c>
      <c r="H17" s="6"/>
      <c r="I17" s="12"/>
      <c r="J17" s="13">
        <v>0.1</v>
      </c>
      <c r="K17" s="6"/>
      <c r="L17" s="12"/>
      <c r="M17" s="13">
        <v>0.1</v>
      </c>
      <c r="N17" s="6"/>
      <c r="O17" s="12"/>
      <c r="P17" s="13">
        <v>0.1</v>
      </c>
      <c r="Q17" s="6"/>
      <c r="R17" s="12"/>
      <c r="S17" s="13">
        <v>0.1</v>
      </c>
      <c r="T17" s="6"/>
      <c r="U17" s="12"/>
      <c r="V17" s="13">
        <v>0.1</v>
      </c>
      <c r="W17" s="6"/>
      <c r="X17" s="12"/>
      <c r="Y17" s="13">
        <v>0.1</v>
      </c>
      <c r="Z17" s="6"/>
      <c r="AA17" s="12"/>
      <c r="AB17" s="13">
        <v>0.1</v>
      </c>
      <c r="AC17" s="6"/>
      <c r="AD17" s="12"/>
      <c r="AE17" s="13">
        <v>0.1</v>
      </c>
      <c r="AF17" s="6"/>
      <c r="AG17" s="12"/>
      <c r="AH17" s="13">
        <v>0.1</v>
      </c>
      <c r="AI17" s="6"/>
      <c r="AJ17" s="12"/>
      <c r="AK17" s="13">
        <v>0.1</v>
      </c>
      <c r="AL17" s="6"/>
      <c r="AM17" s="14"/>
      <c r="AN17" s="13">
        <v>0.1</v>
      </c>
      <c r="AO17" s="6"/>
      <c r="AP17" s="12"/>
      <c r="AQ17" s="13">
        <v>0.1</v>
      </c>
      <c r="AR17" s="6"/>
      <c r="AS17" s="12"/>
      <c r="AT17" s="13">
        <v>0.1</v>
      </c>
      <c r="AU17" s="6"/>
      <c r="AV17" s="12"/>
      <c r="AW17" s="13">
        <v>0.1</v>
      </c>
      <c r="AX17" s="6"/>
      <c r="AY17" s="12"/>
      <c r="AZ17" s="15">
        <v>0.15</v>
      </c>
      <c r="BA17" s="6"/>
      <c r="BB17" s="12"/>
      <c r="BC17" s="15">
        <v>0.1</v>
      </c>
      <c r="BD17" s="6"/>
      <c r="BE17" s="12"/>
      <c r="BF17" s="15">
        <v>0.15</v>
      </c>
      <c r="BG17" s="6"/>
      <c r="BH17" s="12"/>
      <c r="BI17" s="13">
        <v>0.1</v>
      </c>
      <c r="BJ17" s="6"/>
      <c r="BK17" s="12"/>
      <c r="BL17" s="12"/>
      <c r="BM17" s="12"/>
      <c r="BN17" s="12"/>
    </row>
    <row r="18" spans="2:66" x14ac:dyDescent="0.35">
      <c r="B18" s="10"/>
      <c r="C18" s="138"/>
      <c r="D18" s="11" t="s">
        <v>35</v>
      </c>
      <c r="E18" s="6"/>
      <c r="F18" s="12"/>
      <c r="G18" s="13">
        <v>0.15</v>
      </c>
      <c r="H18" s="6"/>
      <c r="I18" s="12"/>
      <c r="J18" s="13">
        <v>0.15</v>
      </c>
      <c r="K18" s="6"/>
      <c r="L18" s="12"/>
      <c r="M18" s="13">
        <v>0.15</v>
      </c>
      <c r="N18" s="6"/>
      <c r="O18" s="12"/>
      <c r="P18" s="13">
        <v>0.15</v>
      </c>
      <c r="Q18" s="6"/>
      <c r="R18" s="12"/>
      <c r="S18" s="13">
        <v>0.15</v>
      </c>
      <c r="T18" s="6"/>
      <c r="U18" s="12"/>
      <c r="V18" s="13">
        <v>0.15</v>
      </c>
      <c r="W18" s="6"/>
      <c r="X18" s="12"/>
      <c r="Y18" s="13">
        <v>0.15</v>
      </c>
      <c r="Z18" s="6"/>
      <c r="AA18" s="12"/>
      <c r="AB18" s="13">
        <v>0.15</v>
      </c>
      <c r="AC18" s="6"/>
      <c r="AD18" s="12"/>
      <c r="AE18" s="13">
        <v>0.15</v>
      </c>
      <c r="AF18" s="6"/>
      <c r="AG18" s="12"/>
      <c r="AH18" s="13">
        <v>0.15</v>
      </c>
      <c r="AI18" s="6"/>
      <c r="AJ18" s="12"/>
      <c r="AK18" s="13">
        <v>0.15</v>
      </c>
      <c r="AL18" s="6"/>
      <c r="AM18" s="14"/>
      <c r="AN18" s="13">
        <v>0.15</v>
      </c>
      <c r="AO18" s="6"/>
      <c r="AP18" s="12"/>
      <c r="AQ18" s="13">
        <v>0.15</v>
      </c>
      <c r="AR18" s="6"/>
      <c r="AS18" s="12"/>
      <c r="AT18" s="13">
        <v>0.15</v>
      </c>
      <c r="AU18" s="6"/>
      <c r="AV18" s="12"/>
      <c r="AW18" s="13">
        <v>0.15</v>
      </c>
      <c r="AX18" s="6"/>
      <c r="AY18" s="12"/>
      <c r="AZ18" s="15">
        <v>0.2</v>
      </c>
      <c r="BA18" s="6"/>
      <c r="BB18" s="12"/>
      <c r="BC18" s="15">
        <v>0.2</v>
      </c>
      <c r="BD18" s="6"/>
      <c r="BE18" s="12"/>
      <c r="BF18" s="15">
        <v>0.2</v>
      </c>
      <c r="BG18" s="6"/>
      <c r="BH18" s="12"/>
      <c r="BI18" s="13">
        <v>0.15</v>
      </c>
      <c r="BJ18" s="6"/>
      <c r="BK18" s="12"/>
      <c r="BL18" s="12"/>
      <c r="BM18" s="12"/>
      <c r="BN18" s="12"/>
    </row>
    <row r="19" spans="2:66" ht="5.25" customHeight="1" x14ac:dyDescent="0.35">
      <c r="B19" s="2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</row>
    <row r="20" spans="2:66" ht="6" customHeight="1" x14ac:dyDescent="0.35"/>
    <row r="21" spans="2:66" ht="19" customHeight="1" x14ac:dyDescent="0.35">
      <c r="B21" s="10"/>
      <c r="C21" s="138" t="s">
        <v>25</v>
      </c>
      <c r="D21" s="11" t="s">
        <v>131</v>
      </c>
      <c r="E21" s="6"/>
      <c r="F21" s="12"/>
      <c r="G21" s="81">
        <v>0.35</v>
      </c>
      <c r="H21" s="6"/>
      <c r="I21" s="12"/>
      <c r="J21" s="81">
        <v>0.3</v>
      </c>
      <c r="K21" s="6"/>
      <c r="L21" s="12"/>
      <c r="M21" s="81">
        <v>0.35</v>
      </c>
      <c r="N21" s="6"/>
      <c r="O21" s="79">
        <v>0.25</v>
      </c>
      <c r="P21" s="81">
        <v>0.35</v>
      </c>
      <c r="Q21" s="6"/>
      <c r="R21" s="12"/>
      <c r="S21" s="81">
        <v>0.35</v>
      </c>
      <c r="T21" s="6"/>
      <c r="U21" s="79">
        <v>0.3</v>
      </c>
      <c r="V21" s="79">
        <v>0.3</v>
      </c>
      <c r="W21" s="6"/>
      <c r="X21" s="79">
        <v>0.3</v>
      </c>
      <c r="Y21" s="81">
        <v>0.35</v>
      </c>
      <c r="Z21" s="6"/>
      <c r="AA21" s="12"/>
      <c r="AB21" s="81">
        <v>0.3</v>
      </c>
      <c r="AC21" s="6"/>
      <c r="AD21" s="12"/>
      <c r="AE21" s="81">
        <v>0.25</v>
      </c>
      <c r="AF21" s="6"/>
      <c r="AG21" s="12"/>
      <c r="AH21" s="79">
        <v>0.15</v>
      </c>
      <c r="AI21" s="6"/>
      <c r="AJ21" s="12"/>
      <c r="AK21" s="81">
        <v>0.3</v>
      </c>
      <c r="AL21" s="6"/>
      <c r="AM21" s="14"/>
      <c r="AN21" s="81">
        <v>0.3</v>
      </c>
      <c r="AO21" s="6"/>
      <c r="AP21" s="12"/>
      <c r="AQ21" s="79">
        <v>0.25</v>
      </c>
      <c r="AR21" s="6"/>
      <c r="AS21" s="12"/>
      <c r="AT21" s="81">
        <v>0.3</v>
      </c>
      <c r="AU21" s="6"/>
      <c r="AV21" s="12"/>
      <c r="AW21" s="79">
        <v>0.25</v>
      </c>
      <c r="AX21" s="6"/>
      <c r="AY21" s="12"/>
      <c r="AZ21" s="81">
        <v>0.3</v>
      </c>
      <c r="BA21" s="6"/>
      <c r="BB21" s="12"/>
      <c r="BC21" s="81">
        <v>0.2</v>
      </c>
      <c r="BD21" s="6"/>
      <c r="BE21" s="12"/>
      <c r="BF21" s="81">
        <v>0.35</v>
      </c>
      <c r="BG21" s="6"/>
      <c r="BH21" s="12"/>
      <c r="BI21" s="81">
        <v>0.35</v>
      </c>
      <c r="BJ21" s="6"/>
      <c r="BK21" s="12"/>
      <c r="BL21" s="79">
        <v>0.15</v>
      </c>
      <c r="BM21" s="12"/>
      <c r="BN21" s="79">
        <v>0.15</v>
      </c>
    </row>
    <row r="22" spans="2:66" x14ac:dyDescent="0.35">
      <c r="B22" s="10"/>
      <c r="C22" s="138"/>
      <c r="D22" s="11" t="s">
        <v>132</v>
      </c>
      <c r="E22" s="6"/>
      <c r="F22" s="13">
        <v>0.2</v>
      </c>
      <c r="G22" s="81">
        <v>0.35</v>
      </c>
      <c r="H22" s="6"/>
      <c r="I22" s="12"/>
      <c r="J22" s="81">
        <v>0.3</v>
      </c>
      <c r="K22" s="6"/>
      <c r="L22" s="12"/>
      <c r="M22" s="81">
        <v>0.35</v>
      </c>
      <c r="N22" s="6"/>
      <c r="O22" s="79">
        <v>0.25</v>
      </c>
      <c r="P22" s="81">
        <v>0.35</v>
      </c>
      <c r="Q22" s="6"/>
      <c r="R22" s="13">
        <v>0.25</v>
      </c>
      <c r="S22" s="81">
        <v>0.35</v>
      </c>
      <c r="T22" s="6"/>
      <c r="U22" s="79">
        <v>0.3</v>
      </c>
      <c r="V22" s="79">
        <v>0.3</v>
      </c>
      <c r="W22" s="6"/>
      <c r="X22" s="79">
        <v>0.3</v>
      </c>
      <c r="Y22" s="81">
        <v>0.35</v>
      </c>
      <c r="Z22" s="6"/>
      <c r="AA22" s="13">
        <v>0.25</v>
      </c>
      <c r="AB22" s="81">
        <v>0.3</v>
      </c>
      <c r="AC22" s="6"/>
      <c r="AD22" s="13">
        <v>0.25</v>
      </c>
      <c r="AE22" s="81">
        <v>0.32500000000000001</v>
      </c>
      <c r="AF22" s="6"/>
      <c r="AG22" s="13">
        <v>0</v>
      </c>
      <c r="AH22" s="79">
        <v>0.24</v>
      </c>
      <c r="AI22" s="6"/>
      <c r="AJ22" s="13">
        <v>0.25</v>
      </c>
      <c r="AK22" s="81">
        <v>0.3</v>
      </c>
      <c r="AL22" s="6"/>
      <c r="AM22" s="13">
        <v>0.3</v>
      </c>
      <c r="AN22" s="81">
        <v>0.3</v>
      </c>
      <c r="AO22" s="6"/>
      <c r="AP22" s="12"/>
      <c r="AQ22" s="79">
        <v>0.25</v>
      </c>
      <c r="AR22" s="6"/>
      <c r="AS22" s="12"/>
      <c r="AT22" s="81">
        <v>0.3</v>
      </c>
      <c r="AU22" s="6"/>
      <c r="AV22" s="12"/>
      <c r="AW22" s="79">
        <v>0.25</v>
      </c>
      <c r="AX22" s="6"/>
      <c r="AY22" s="12"/>
      <c r="AZ22" s="81">
        <v>0.3</v>
      </c>
      <c r="BA22" s="6"/>
      <c r="BB22" s="12"/>
      <c r="BC22" s="81">
        <v>0.25</v>
      </c>
      <c r="BD22" s="6"/>
      <c r="BE22" s="12"/>
      <c r="BF22" s="81">
        <v>0.35</v>
      </c>
      <c r="BG22" s="6"/>
      <c r="BH22" s="79">
        <v>0.25</v>
      </c>
      <c r="BI22" s="81">
        <v>0.35</v>
      </c>
      <c r="BJ22" s="6"/>
      <c r="BK22" s="12"/>
      <c r="BL22" s="79">
        <v>0.2</v>
      </c>
      <c r="BM22" s="12"/>
      <c r="BN22" s="79">
        <v>0.2</v>
      </c>
    </row>
    <row r="23" spans="2:66" x14ac:dyDescent="0.35">
      <c r="B23" s="10"/>
      <c r="C23" s="138"/>
      <c r="D23" s="11" t="s">
        <v>133</v>
      </c>
      <c r="E23" s="6"/>
      <c r="F23" s="13">
        <v>0.2</v>
      </c>
      <c r="G23" s="81">
        <v>0.35</v>
      </c>
      <c r="H23" s="6"/>
      <c r="I23" s="12"/>
      <c r="J23" s="81">
        <v>0.35</v>
      </c>
      <c r="K23" s="6"/>
      <c r="L23" s="13">
        <v>0.1</v>
      </c>
      <c r="M23" s="81">
        <v>0.35</v>
      </c>
      <c r="N23" s="6"/>
      <c r="O23" s="79">
        <v>0.25</v>
      </c>
      <c r="P23" s="81">
        <v>0.35</v>
      </c>
      <c r="Q23" s="6"/>
      <c r="R23" s="13">
        <v>0.2</v>
      </c>
      <c r="S23" s="81">
        <v>0.35</v>
      </c>
      <c r="T23" s="6"/>
      <c r="U23" s="79">
        <v>0.3</v>
      </c>
      <c r="V23" s="79">
        <v>0.3</v>
      </c>
      <c r="W23" s="6"/>
      <c r="X23" s="79">
        <v>0.3</v>
      </c>
      <c r="Y23" s="81">
        <v>0.35</v>
      </c>
      <c r="Z23" s="6"/>
      <c r="AA23" s="13">
        <v>0.3</v>
      </c>
      <c r="AB23" s="81">
        <v>0.35</v>
      </c>
      <c r="AC23" s="6"/>
      <c r="AD23" s="16">
        <v>0.25</v>
      </c>
      <c r="AE23" s="81">
        <v>0.35</v>
      </c>
      <c r="AF23" s="6"/>
      <c r="AG23" s="13">
        <v>0</v>
      </c>
      <c r="AH23" s="79">
        <v>0.3</v>
      </c>
      <c r="AI23" s="6"/>
      <c r="AJ23" s="13">
        <v>0.2</v>
      </c>
      <c r="AK23" s="81">
        <v>0.35</v>
      </c>
      <c r="AL23" s="6"/>
      <c r="AM23" s="13">
        <v>0.3</v>
      </c>
      <c r="AN23" s="81">
        <v>0.35</v>
      </c>
      <c r="AO23" s="6"/>
      <c r="AP23" s="12"/>
      <c r="AQ23" s="79">
        <v>0.3</v>
      </c>
      <c r="AR23" s="6"/>
      <c r="AS23" s="12"/>
      <c r="AT23" s="81">
        <v>0.35</v>
      </c>
      <c r="AU23" s="6"/>
      <c r="AV23" s="12"/>
      <c r="AW23" s="79">
        <v>0.3</v>
      </c>
      <c r="AX23" s="6"/>
      <c r="AY23" s="12"/>
      <c r="AZ23" s="81">
        <v>0.35</v>
      </c>
      <c r="BA23" s="6"/>
      <c r="BB23" s="12"/>
      <c r="BC23" s="81">
        <v>0.35</v>
      </c>
      <c r="BD23" s="6"/>
      <c r="BE23" s="12"/>
      <c r="BF23" s="81">
        <v>0.35</v>
      </c>
      <c r="BG23" s="6"/>
      <c r="BH23" s="79">
        <v>0.25</v>
      </c>
      <c r="BI23" s="81">
        <v>0.35</v>
      </c>
      <c r="BJ23" s="6"/>
      <c r="BK23" s="12"/>
      <c r="BL23" s="79">
        <v>0.25</v>
      </c>
      <c r="BM23" s="12"/>
      <c r="BN23" s="79">
        <v>0.25</v>
      </c>
    </row>
    <row r="24" spans="2:66" ht="4.5" customHeight="1" x14ac:dyDescent="0.35">
      <c r="B24" s="17"/>
      <c r="C24" s="138"/>
      <c r="D24" s="18"/>
      <c r="E24" s="6"/>
      <c r="F24" s="19"/>
      <c r="G24" s="20"/>
      <c r="H24" s="6"/>
      <c r="I24" s="19"/>
      <c r="J24" s="20"/>
      <c r="K24" s="6"/>
      <c r="L24" s="19"/>
      <c r="M24" s="20"/>
      <c r="N24" s="6"/>
      <c r="O24" s="19"/>
      <c r="P24" s="20"/>
      <c r="Q24" s="6"/>
      <c r="R24" s="19"/>
      <c r="S24" s="20"/>
      <c r="T24" s="6"/>
      <c r="U24" s="19"/>
      <c r="V24" s="20"/>
      <c r="W24" s="6"/>
      <c r="X24" s="19"/>
      <c r="Y24" s="20"/>
      <c r="Z24" s="6"/>
      <c r="AA24" s="19"/>
      <c r="AB24" s="20"/>
      <c r="AC24" s="6"/>
      <c r="AD24" s="19"/>
      <c r="AE24" s="20"/>
      <c r="AF24" s="6"/>
      <c r="AG24" s="19"/>
      <c r="AH24" s="20"/>
      <c r="AI24" s="6"/>
      <c r="AJ24" s="19"/>
      <c r="AK24" s="20"/>
      <c r="AL24" s="6"/>
      <c r="AM24" s="19"/>
      <c r="AN24" s="20"/>
      <c r="AO24" s="6"/>
      <c r="AP24" s="19"/>
      <c r="AQ24" s="20"/>
      <c r="AR24" s="6"/>
      <c r="AS24" s="19"/>
      <c r="AT24" s="20"/>
      <c r="AU24" s="6"/>
      <c r="AV24" s="19"/>
      <c r="AW24" s="20"/>
      <c r="AX24" s="6"/>
      <c r="AY24" s="20"/>
      <c r="AZ24" s="20"/>
      <c r="BA24" s="20"/>
      <c r="BB24" s="20"/>
      <c r="BC24" s="20"/>
      <c r="BD24" s="20"/>
      <c r="BE24" s="20"/>
      <c r="BF24" s="20"/>
      <c r="BG24" s="20"/>
      <c r="BH24" s="19"/>
      <c r="BI24" s="20"/>
      <c r="BJ24" s="20"/>
      <c r="BK24" s="20"/>
      <c r="BL24" s="20"/>
      <c r="BM24" s="20"/>
      <c r="BN24" s="20"/>
    </row>
    <row r="25" spans="2:66" ht="4.5" customHeight="1" x14ac:dyDescent="0.35">
      <c r="B25" s="17"/>
      <c r="C25" s="21"/>
      <c r="D25" s="18"/>
      <c r="E25" s="6"/>
      <c r="F25" s="19"/>
      <c r="G25" s="20"/>
      <c r="H25" s="6"/>
      <c r="I25" s="19"/>
      <c r="J25" s="20"/>
      <c r="K25" s="6"/>
      <c r="L25" s="19"/>
      <c r="M25" s="20"/>
      <c r="N25" s="6"/>
      <c r="O25" s="19"/>
      <c r="P25" s="20"/>
      <c r="Q25" s="6"/>
      <c r="R25" s="19"/>
      <c r="S25" s="20"/>
      <c r="T25" s="6"/>
      <c r="U25" s="19"/>
      <c r="V25" s="20"/>
      <c r="W25" s="6"/>
      <c r="X25" s="19"/>
      <c r="Y25" s="20"/>
      <c r="Z25" s="6"/>
      <c r="AA25" s="19"/>
      <c r="AB25" s="20"/>
      <c r="AC25" s="6"/>
      <c r="AD25" s="19"/>
      <c r="AE25" s="20"/>
      <c r="AF25" s="6"/>
      <c r="AG25" s="19"/>
      <c r="AH25" s="20"/>
      <c r="AI25" s="6"/>
      <c r="AJ25" s="19"/>
      <c r="AK25" s="20"/>
      <c r="AL25" s="6"/>
      <c r="AM25" s="22"/>
      <c r="AN25" s="20"/>
      <c r="AO25" s="6"/>
      <c r="AP25" s="22"/>
      <c r="AQ25" s="20"/>
      <c r="AR25" s="6"/>
      <c r="AS25" s="22"/>
      <c r="AT25" s="20"/>
      <c r="AU25" s="6"/>
      <c r="AV25" s="22"/>
      <c r="AW25" s="20"/>
      <c r="AX25" s="6"/>
      <c r="AY25" s="20"/>
      <c r="AZ25" s="20"/>
      <c r="BA25" s="20"/>
      <c r="BB25" s="20"/>
      <c r="BC25" s="20"/>
      <c r="BD25" s="20"/>
      <c r="BE25" s="20"/>
      <c r="BF25" s="20"/>
      <c r="BG25" s="6"/>
      <c r="BH25" s="19"/>
      <c r="BI25" s="20"/>
      <c r="BJ25" s="6"/>
      <c r="BK25" s="20"/>
      <c r="BL25" s="20"/>
      <c r="BM25" s="20"/>
      <c r="BN25" s="20"/>
    </row>
    <row r="26" spans="2:66" ht="14.5" customHeight="1" x14ac:dyDescent="0.35">
      <c r="B26" s="23"/>
      <c r="C26" s="138" t="s">
        <v>29</v>
      </c>
      <c r="D26" s="11" t="s">
        <v>134</v>
      </c>
      <c r="E26" s="6"/>
      <c r="F26" s="12"/>
      <c r="G26" s="81">
        <v>0.15000000000000002</v>
      </c>
      <c r="H26" s="6"/>
      <c r="I26" s="12"/>
      <c r="J26" s="81">
        <v>0.15000000000000002</v>
      </c>
      <c r="K26" s="6"/>
      <c r="L26" s="12"/>
      <c r="M26" s="81">
        <v>0.24</v>
      </c>
      <c r="N26" s="6"/>
      <c r="O26" s="12"/>
      <c r="P26" s="81">
        <v>0.24</v>
      </c>
      <c r="Q26" s="6"/>
      <c r="R26" s="12"/>
      <c r="S26" s="81">
        <v>0.15000000000000002</v>
      </c>
      <c r="T26" s="6"/>
      <c r="U26" s="12"/>
      <c r="V26" s="79">
        <v>0.1</v>
      </c>
      <c r="W26" s="6"/>
      <c r="X26" s="12"/>
      <c r="Y26" s="81">
        <v>0.24</v>
      </c>
      <c r="Z26" s="6"/>
      <c r="AA26" s="12"/>
      <c r="AB26" s="81">
        <v>0.15000000000000002</v>
      </c>
      <c r="AC26" s="6"/>
      <c r="AD26" s="12"/>
      <c r="AE26" s="81">
        <v>0.15000000000000002</v>
      </c>
      <c r="AF26" s="6"/>
      <c r="AG26" s="12"/>
      <c r="AH26" s="79">
        <v>0.1</v>
      </c>
      <c r="AI26" s="6"/>
      <c r="AJ26" s="12"/>
      <c r="AK26" s="81">
        <v>0.24</v>
      </c>
      <c r="AL26" s="6"/>
      <c r="AM26" s="14"/>
      <c r="AN26" s="81">
        <v>0.15000000000000002</v>
      </c>
      <c r="AO26" s="6"/>
      <c r="AP26" s="12"/>
      <c r="AQ26" s="79">
        <v>0.1</v>
      </c>
      <c r="AR26" s="6"/>
      <c r="AS26" s="12"/>
      <c r="AT26" s="81">
        <v>0.15000000000000002</v>
      </c>
      <c r="AU26" s="6"/>
      <c r="AV26" s="12"/>
      <c r="AW26" s="79">
        <v>0.1</v>
      </c>
      <c r="AX26" s="6"/>
      <c r="AY26" s="12"/>
      <c r="AZ26" s="81">
        <v>0.2</v>
      </c>
      <c r="BA26" s="6"/>
      <c r="BB26" s="12"/>
      <c r="BC26" s="81">
        <v>0.15</v>
      </c>
      <c r="BD26" s="6"/>
      <c r="BE26" s="12"/>
      <c r="BF26" s="81">
        <v>0.2</v>
      </c>
      <c r="BG26" s="6"/>
      <c r="BH26" s="12"/>
      <c r="BI26" s="81">
        <v>0.15000000000000002</v>
      </c>
      <c r="BJ26" s="6"/>
      <c r="BK26" s="12"/>
      <c r="BL26" s="12"/>
      <c r="BM26" s="12"/>
      <c r="BN26" s="12"/>
    </row>
    <row r="27" spans="2:66" x14ac:dyDescent="0.35">
      <c r="B27" s="10"/>
      <c r="C27" s="138"/>
      <c r="D27" s="11" t="s">
        <v>135</v>
      </c>
      <c r="E27" s="6"/>
      <c r="F27" s="12"/>
      <c r="G27" s="81">
        <v>0.24</v>
      </c>
      <c r="H27" s="6"/>
      <c r="I27" s="12"/>
      <c r="J27" s="81">
        <v>0.21000000000000002</v>
      </c>
      <c r="K27" s="6"/>
      <c r="L27" s="12"/>
      <c r="M27" s="81">
        <v>0.24</v>
      </c>
      <c r="N27" s="6"/>
      <c r="O27" s="12"/>
      <c r="P27" s="81">
        <v>0.24</v>
      </c>
      <c r="Q27" s="6"/>
      <c r="R27" s="12"/>
      <c r="S27" s="81">
        <v>0.21000000000000002</v>
      </c>
      <c r="T27" s="6"/>
      <c r="U27" s="12"/>
      <c r="V27" s="79">
        <v>0.15</v>
      </c>
      <c r="W27" s="6"/>
      <c r="X27" s="12"/>
      <c r="Y27" s="81">
        <v>0.24</v>
      </c>
      <c r="Z27" s="6"/>
      <c r="AA27" s="12"/>
      <c r="AB27" s="81">
        <v>0.21000000000000002</v>
      </c>
      <c r="AC27" s="6"/>
      <c r="AD27" s="12"/>
      <c r="AE27" s="81">
        <v>0.24</v>
      </c>
      <c r="AF27" s="6"/>
      <c r="AG27" s="12"/>
      <c r="AH27" s="79">
        <v>0.15</v>
      </c>
      <c r="AI27" s="6"/>
      <c r="AJ27" s="12"/>
      <c r="AK27" s="81">
        <v>0.24</v>
      </c>
      <c r="AL27" s="6"/>
      <c r="AM27" s="14"/>
      <c r="AN27" s="81">
        <v>0.2</v>
      </c>
      <c r="AO27" s="6"/>
      <c r="AP27" s="12"/>
      <c r="AQ27" s="79">
        <v>0.15</v>
      </c>
      <c r="AR27" s="6"/>
      <c r="AS27" s="12"/>
      <c r="AT27" s="81">
        <v>0.2</v>
      </c>
      <c r="AU27" s="6"/>
      <c r="AV27" s="12"/>
      <c r="AW27" s="79">
        <v>0.15</v>
      </c>
      <c r="AX27" s="6"/>
      <c r="AY27" s="12"/>
      <c r="AZ27" s="81">
        <v>0.25</v>
      </c>
      <c r="BA27" s="6"/>
      <c r="BB27" s="12"/>
      <c r="BC27" s="81">
        <v>0.2</v>
      </c>
      <c r="BD27" s="6"/>
      <c r="BE27" s="12"/>
      <c r="BF27" s="81">
        <v>0.25</v>
      </c>
      <c r="BG27" s="6"/>
      <c r="BH27" s="12"/>
      <c r="BI27" s="81">
        <v>0.2</v>
      </c>
      <c r="BJ27" s="6"/>
      <c r="BK27" s="12"/>
      <c r="BL27" s="12"/>
      <c r="BM27" s="12"/>
      <c r="BN27" s="12"/>
    </row>
    <row r="28" spans="2:66" x14ac:dyDescent="0.35">
      <c r="B28" s="24"/>
      <c r="C28" s="138"/>
      <c r="D28" s="11" t="s">
        <v>136</v>
      </c>
      <c r="E28" s="6"/>
      <c r="F28" s="12"/>
      <c r="G28" s="81">
        <v>0.25</v>
      </c>
      <c r="H28" s="6"/>
      <c r="I28" s="12"/>
      <c r="J28" s="81">
        <v>0.25</v>
      </c>
      <c r="K28" s="6"/>
      <c r="L28" s="12"/>
      <c r="M28" s="81">
        <v>0.25</v>
      </c>
      <c r="N28" s="6"/>
      <c r="O28" s="12"/>
      <c r="P28" s="81">
        <v>0.25</v>
      </c>
      <c r="Q28" s="6"/>
      <c r="R28" s="12"/>
      <c r="S28" s="81">
        <v>0.25</v>
      </c>
      <c r="T28" s="6"/>
      <c r="U28" s="12"/>
      <c r="V28" s="79">
        <v>0.2</v>
      </c>
      <c r="W28" s="6"/>
      <c r="X28" s="12"/>
      <c r="Y28" s="81">
        <v>0.25</v>
      </c>
      <c r="Z28" s="6"/>
      <c r="AA28" s="12"/>
      <c r="AB28" s="81">
        <v>0.25</v>
      </c>
      <c r="AC28" s="6"/>
      <c r="AD28" s="12"/>
      <c r="AE28" s="81">
        <v>0.25</v>
      </c>
      <c r="AF28" s="6"/>
      <c r="AG28" s="12"/>
      <c r="AH28" s="79">
        <v>0.2</v>
      </c>
      <c r="AI28" s="6"/>
      <c r="AJ28" s="12"/>
      <c r="AK28" s="81">
        <v>0.25</v>
      </c>
      <c r="AL28" s="6"/>
      <c r="AM28" s="14"/>
      <c r="AN28" s="81">
        <v>0.25</v>
      </c>
      <c r="AO28" s="6"/>
      <c r="AP28" s="12"/>
      <c r="AQ28" s="79">
        <v>0.2</v>
      </c>
      <c r="AR28" s="6"/>
      <c r="AS28" s="12"/>
      <c r="AT28" s="81">
        <v>0.25</v>
      </c>
      <c r="AU28" s="6"/>
      <c r="AV28" s="12"/>
      <c r="AW28" s="79">
        <v>0.2</v>
      </c>
      <c r="AX28" s="6"/>
      <c r="AY28" s="12"/>
      <c r="AZ28" s="81">
        <v>0.3</v>
      </c>
      <c r="BA28" s="6"/>
      <c r="BB28" s="12"/>
      <c r="BC28" s="81">
        <v>0.3</v>
      </c>
      <c r="BD28" s="6"/>
      <c r="BE28" s="12"/>
      <c r="BF28" s="81">
        <v>0.3</v>
      </c>
      <c r="BG28" s="6"/>
      <c r="BH28" s="12"/>
      <c r="BI28" s="81">
        <v>0.25</v>
      </c>
      <c r="BJ28" s="6"/>
      <c r="BK28" s="12"/>
      <c r="BL28" s="12"/>
      <c r="BM28" s="12"/>
      <c r="BN28" s="12"/>
    </row>
    <row r="29" spans="2:66" ht="4.5" customHeight="1" x14ac:dyDescent="0.35">
      <c r="B29" s="17"/>
      <c r="C29" s="138"/>
      <c r="D29" s="18"/>
      <c r="E29" s="6"/>
      <c r="F29" s="19"/>
      <c r="G29" s="20"/>
      <c r="H29" s="6"/>
      <c r="I29" s="19"/>
      <c r="J29" s="20"/>
      <c r="K29" s="6"/>
      <c r="L29" s="19"/>
      <c r="M29" s="20"/>
      <c r="N29" s="6"/>
      <c r="O29" s="19"/>
      <c r="P29" s="20"/>
      <c r="Q29" s="6"/>
      <c r="R29" s="19"/>
      <c r="S29" s="20"/>
      <c r="T29" s="6"/>
      <c r="U29" s="19"/>
      <c r="V29" s="20"/>
      <c r="W29" s="6"/>
      <c r="X29" s="19"/>
      <c r="Y29" s="20"/>
      <c r="Z29" s="6"/>
      <c r="AA29" s="19"/>
      <c r="AB29" s="20"/>
      <c r="AC29" s="6"/>
      <c r="AD29" s="19"/>
      <c r="AE29" s="20"/>
      <c r="AF29" s="6"/>
      <c r="AG29" s="19"/>
      <c r="AH29" s="20"/>
      <c r="AI29" s="6"/>
      <c r="AJ29" s="19"/>
      <c r="AK29" s="20"/>
      <c r="AL29" s="6"/>
      <c r="AM29" s="19"/>
      <c r="AN29" s="20"/>
      <c r="AO29" s="6"/>
      <c r="AP29" s="19"/>
      <c r="AQ29" s="20"/>
      <c r="AR29" s="6"/>
      <c r="AS29" s="19"/>
      <c r="AT29" s="20"/>
      <c r="AU29" s="6"/>
      <c r="AV29" s="19"/>
      <c r="AW29" s="20"/>
      <c r="AX29" s="6"/>
      <c r="AY29" s="20"/>
      <c r="AZ29" s="20"/>
      <c r="BA29" s="20"/>
      <c r="BB29" s="20"/>
      <c r="BC29" s="20"/>
      <c r="BD29" s="20"/>
      <c r="BE29" s="20"/>
      <c r="BF29" s="20"/>
      <c r="BG29" s="6"/>
      <c r="BH29" s="19"/>
      <c r="BI29" s="20"/>
      <c r="BJ29" s="6"/>
      <c r="BK29" s="20"/>
      <c r="BL29" s="20"/>
      <c r="BM29" s="20"/>
      <c r="BN29" s="20"/>
    </row>
    <row r="30" spans="2:66" ht="14.5" customHeight="1" x14ac:dyDescent="0.35">
      <c r="B30" s="23"/>
      <c r="C30" s="138"/>
      <c r="D30" s="11" t="s">
        <v>137</v>
      </c>
      <c r="E30" s="6"/>
      <c r="F30" s="12"/>
      <c r="G30" s="81">
        <v>0.15000000000000002</v>
      </c>
      <c r="H30" s="6"/>
      <c r="I30" s="12"/>
      <c r="J30" s="81">
        <v>0.15000000000000002</v>
      </c>
      <c r="K30" s="6"/>
      <c r="L30" s="12"/>
      <c r="M30" s="81">
        <v>0.15000000000000002</v>
      </c>
      <c r="N30" s="6"/>
      <c r="O30" s="12"/>
      <c r="P30" s="81">
        <v>0.15000000000000002</v>
      </c>
      <c r="Q30" s="6"/>
      <c r="R30" s="12"/>
      <c r="S30" s="81">
        <v>0.15000000000000002</v>
      </c>
      <c r="T30" s="6"/>
      <c r="U30" s="12"/>
      <c r="V30" s="79">
        <v>0.1</v>
      </c>
      <c r="W30" s="6"/>
      <c r="X30" s="12"/>
      <c r="Y30" s="81">
        <v>0.15000000000000002</v>
      </c>
      <c r="Z30" s="6"/>
      <c r="AA30" s="12"/>
      <c r="AB30" s="81">
        <v>0.15000000000000002</v>
      </c>
      <c r="AC30" s="6"/>
      <c r="AD30" s="12"/>
      <c r="AE30" s="81">
        <v>0.15000000000000002</v>
      </c>
      <c r="AF30" s="6"/>
      <c r="AG30" s="12"/>
      <c r="AH30" s="79">
        <v>0.1</v>
      </c>
      <c r="AI30" s="6"/>
      <c r="AJ30" s="12"/>
      <c r="AK30" s="81">
        <v>0.15000000000000002</v>
      </c>
      <c r="AL30" s="6"/>
      <c r="AM30" s="14"/>
      <c r="AN30" s="81">
        <v>0.15000000000000002</v>
      </c>
      <c r="AO30" s="6"/>
      <c r="AP30" s="12"/>
      <c r="AQ30" s="79">
        <v>0.1</v>
      </c>
      <c r="AR30" s="6"/>
      <c r="AS30" s="12"/>
      <c r="AT30" s="81">
        <v>0.15000000000000002</v>
      </c>
      <c r="AU30" s="6"/>
      <c r="AV30" s="12"/>
      <c r="AW30" s="79">
        <v>0.1</v>
      </c>
      <c r="AX30" s="6"/>
      <c r="AY30" s="12"/>
      <c r="AZ30" s="81">
        <v>0.15000000000000002</v>
      </c>
      <c r="BA30" s="6"/>
      <c r="BB30" s="12"/>
      <c r="BC30" s="81">
        <v>0.15000000000000002</v>
      </c>
      <c r="BD30" s="6"/>
      <c r="BE30" s="12"/>
      <c r="BF30" s="81">
        <v>0.15000000000000002</v>
      </c>
      <c r="BG30" s="6"/>
      <c r="BH30" s="12"/>
      <c r="BI30" s="81">
        <v>0.15000000000000002</v>
      </c>
      <c r="BJ30" s="6"/>
      <c r="BK30" s="12"/>
      <c r="BL30" s="12"/>
      <c r="BM30" s="12"/>
      <c r="BN30" s="12"/>
    </row>
    <row r="31" spans="2:66" x14ac:dyDescent="0.35">
      <c r="B31" s="10"/>
      <c r="C31" s="138"/>
      <c r="D31" s="11" t="s">
        <v>138</v>
      </c>
      <c r="E31" s="6"/>
      <c r="F31" s="12"/>
      <c r="G31" s="81">
        <v>0.15000000000000002</v>
      </c>
      <c r="H31" s="6"/>
      <c r="I31" s="12"/>
      <c r="J31" s="81">
        <v>0.15000000000000002</v>
      </c>
      <c r="K31" s="6"/>
      <c r="L31" s="12"/>
      <c r="M31" s="81">
        <v>0.15000000000000002</v>
      </c>
      <c r="N31" s="6"/>
      <c r="O31" s="12"/>
      <c r="P31" s="81">
        <v>0.15000000000000002</v>
      </c>
      <c r="Q31" s="6"/>
      <c r="R31" s="12"/>
      <c r="S31" s="81">
        <v>0.15000000000000002</v>
      </c>
      <c r="T31" s="6"/>
      <c r="U31" s="12"/>
      <c r="V31" s="79">
        <v>0.1</v>
      </c>
      <c r="W31" s="6"/>
      <c r="X31" s="12"/>
      <c r="Y31" s="81">
        <v>0.15000000000000002</v>
      </c>
      <c r="Z31" s="6"/>
      <c r="AA31" s="12"/>
      <c r="AB31" s="81">
        <v>0.15000000000000002</v>
      </c>
      <c r="AC31" s="6"/>
      <c r="AD31" s="12"/>
      <c r="AE31" s="81">
        <v>0.15000000000000002</v>
      </c>
      <c r="AF31" s="6"/>
      <c r="AG31" s="12"/>
      <c r="AH31" s="79">
        <v>0.1</v>
      </c>
      <c r="AI31" s="6"/>
      <c r="AJ31" s="12"/>
      <c r="AK31" s="81">
        <v>0.15000000000000002</v>
      </c>
      <c r="AL31" s="6"/>
      <c r="AM31" s="14"/>
      <c r="AN31" s="81">
        <v>0.15000000000000002</v>
      </c>
      <c r="AO31" s="6"/>
      <c r="AP31" s="12"/>
      <c r="AQ31" s="79">
        <v>0.1</v>
      </c>
      <c r="AR31" s="6"/>
      <c r="AS31" s="12"/>
      <c r="AT31" s="81">
        <v>0.15000000000000002</v>
      </c>
      <c r="AU31" s="6"/>
      <c r="AV31" s="12"/>
      <c r="AW31" s="79">
        <v>0.1</v>
      </c>
      <c r="AX31" s="6"/>
      <c r="AY31" s="12"/>
      <c r="AZ31" s="81">
        <v>0.2</v>
      </c>
      <c r="BA31" s="6"/>
      <c r="BB31" s="12"/>
      <c r="BC31" s="81">
        <v>0.15000000000000002</v>
      </c>
      <c r="BD31" s="6"/>
      <c r="BE31" s="12"/>
      <c r="BF31" s="81">
        <v>0.2</v>
      </c>
      <c r="BG31" s="6"/>
      <c r="BH31" s="12"/>
      <c r="BI31" s="81">
        <v>0.15000000000000002</v>
      </c>
      <c r="BJ31" s="6"/>
      <c r="BK31" s="12"/>
      <c r="BL31" s="12"/>
      <c r="BM31" s="12"/>
      <c r="BN31" s="12"/>
    </row>
    <row r="32" spans="2:66" x14ac:dyDescent="0.35">
      <c r="B32" s="10"/>
      <c r="C32" s="138"/>
      <c r="D32" s="11" t="s">
        <v>139</v>
      </c>
      <c r="E32" s="6"/>
      <c r="F32" s="12"/>
      <c r="G32" s="81">
        <v>0.2</v>
      </c>
      <c r="H32" s="6"/>
      <c r="I32" s="12"/>
      <c r="J32" s="81">
        <v>0.2</v>
      </c>
      <c r="K32" s="6"/>
      <c r="L32" s="12"/>
      <c r="M32" s="81">
        <v>0.2</v>
      </c>
      <c r="N32" s="6"/>
      <c r="O32" s="12"/>
      <c r="P32" s="81">
        <v>0.2</v>
      </c>
      <c r="Q32" s="6"/>
      <c r="R32" s="12"/>
      <c r="S32" s="81">
        <v>0.2</v>
      </c>
      <c r="T32" s="6"/>
      <c r="U32" s="12"/>
      <c r="V32" s="79">
        <v>0.15</v>
      </c>
      <c r="W32" s="6"/>
      <c r="X32" s="12"/>
      <c r="Y32" s="81">
        <v>0.2</v>
      </c>
      <c r="Z32" s="6"/>
      <c r="AA32" s="12"/>
      <c r="AB32" s="81">
        <v>0.2</v>
      </c>
      <c r="AC32" s="6"/>
      <c r="AD32" s="12"/>
      <c r="AE32" s="81">
        <v>0.2</v>
      </c>
      <c r="AF32" s="6"/>
      <c r="AG32" s="12"/>
      <c r="AH32" s="79">
        <v>0.15</v>
      </c>
      <c r="AI32" s="6"/>
      <c r="AJ32" s="12"/>
      <c r="AK32" s="81">
        <v>0.2</v>
      </c>
      <c r="AL32" s="6"/>
      <c r="AM32" s="14"/>
      <c r="AN32" s="81">
        <v>0.2</v>
      </c>
      <c r="AO32" s="6"/>
      <c r="AP32" s="12"/>
      <c r="AQ32" s="79">
        <v>0.15</v>
      </c>
      <c r="AR32" s="6"/>
      <c r="AS32" s="12"/>
      <c r="AT32" s="81">
        <v>0.2</v>
      </c>
      <c r="AU32" s="6"/>
      <c r="AV32" s="12"/>
      <c r="AW32" s="79">
        <v>0.15</v>
      </c>
      <c r="AX32" s="6"/>
      <c r="AY32" s="12"/>
      <c r="AZ32" s="81">
        <v>0.25</v>
      </c>
      <c r="BA32" s="6"/>
      <c r="BB32" s="12"/>
      <c r="BC32" s="81">
        <v>0.25</v>
      </c>
      <c r="BD32" s="6"/>
      <c r="BE32" s="12"/>
      <c r="BF32" s="81">
        <v>0.25</v>
      </c>
      <c r="BG32" s="6"/>
      <c r="BH32" s="12"/>
      <c r="BI32" s="81">
        <v>0.2</v>
      </c>
      <c r="BJ32" s="6"/>
      <c r="BK32" s="12"/>
      <c r="BL32" s="12"/>
      <c r="BM32" s="12"/>
      <c r="BN32" s="12"/>
    </row>
    <row r="33" spans="2:64" ht="5.25" customHeight="1" x14ac:dyDescent="0.35">
      <c r="B33" s="2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</row>
    <row r="34" spans="2:64" ht="5.25" customHeight="1" thickBot="1" x14ac:dyDescent="0.4">
      <c r="B34" s="25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</row>
    <row r="35" spans="2:64" s="26" customFormat="1" ht="18.5" x14ac:dyDescent="0.35">
      <c r="C35" s="27" t="s">
        <v>36</v>
      </c>
      <c r="D35" s="28"/>
      <c r="E35" s="28"/>
      <c r="F35" s="29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30"/>
      <c r="BJ35" s="28"/>
      <c r="BK35" s="2"/>
      <c r="BL35" s="2"/>
    </row>
    <row r="36" spans="2:64" s="26" customFormat="1" ht="18.5" x14ac:dyDescent="0.35">
      <c r="C36" s="31" t="s">
        <v>37</v>
      </c>
      <c r="D36" s="32"/>
      <c r="E36" s="32"/>
      <c r="F36" s="33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4"/>
      <c r="BJ36" s="32"/>
      <c r="BK36" s="2"/>
      <c r="BL36" s="2"/>
    </row>
    <row r="37" spans="2:64" s="26" customFormat="1" ht="18.5" x14ac:dyDescent="0.35">
      <c r="C37" s="31" t="s">
        <v>38</v>
      </c>
      <c r="D37" s="32"/>
      <c r="E37" s="32"/>
      <c r="F37" s="33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4"/>
      <c r="BJ37" s="32"/>
      <c r="BK37" s="2"/>
      <c r="BL37" s="2"/>
    </row>
    <row r="38" spans="2:64" s="26" customFormat="1" ht="18.5" x14ac:dyDescent="0.35">
      <c r="C38" s="31"/>
      <c r="D38" s="35" t="s">
        <v>40</v>
      </c>
      <c r="E38" s="32"/>
      <c r="F38" s="33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4"/>
      <c r="BJ38" s="32"/>
      <c r="BK38" s="2"/>
      <c r="BL38" s="2"/>
    </row>
    <row r="39" spans="2:64" s="26" customFormat="1" ht="19" thickBot="1" x14ac:dyDescent="0.4">
      <c r="C39" s="36" t="s">
        <v>39</v>
      </c>
      <c r="D39" s="37"/>
      <c r="E39" s="37"/>
      <c r="F39" s="38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9"/>
      <c r="BJ39" s="37"/>
      <c r="BK39" s="2"/>
      <c r="BL39" s="2"/>
    </row>
    <row r="42" spans="2:64" x14ac:dyDescent="0.35">
      <c r="O42" s="3"/>
    </row>
    <row r="43" spans="2:64" x14ac:dyDescent="0.35">
      <c r="AD43" s="1"/>
    </row>
  </sheetData>
  <mergeCells count="28">
    <mergeCell ref="AM4:AN5"/>
    <mergeCell ref="AP4:AQ5"/>
    <mergeCell ref="C4:C6"/>
    <mergeCell ref="D4:D6"/>
    <mergeCell ref="F4:G5"/>
    <mergeCell ref="I4:J5"/>
    <mergeCell ref="L4:M5"/>
    <mergeCell ref="O4:P5"/>
    <mergeCell ref="R4:S5"/>
    <mergeCell ref="U4:V5"/>
    <mergeCell ref="X4:Y5"/>
    <mergeCell ref="AJ4:AK5"/>
    <mergeCell ref="B2:BN2"/>
    <mergeCell ref="C21:C24"/>
    <mergeCell ref="C26:C32"/>
    <mergeCell ref="C12:C18"/>
    <mergeCell ref="BK4:BL5"/>
    <mergeCell ref="BM4:BN5"/>
    <mergeCell ref="C7:C10"/>
    <mergeCell ref="AS4:AT5"/>
    <mergeCell ref="AV4:AW5"/>
    <mergeCell ref="AY4:AZ5"/>
    <mergeCell ref="BB4:BC5"/>
    <mergeCell ref="BE4:BF5"/>
    <mergeCell ref="BH4:BI5"/>
    <mergeCell ref="AA4:AB5"/>
    <mergeCell ref="AD4:AE5"/>
    <mergeCell ref="AG4:AH5"/>
  </mergeCells>
  <conditionalFormatting sqref="B7:B19">
    <cfRule type="cellIs" dxfId="33" priority="229" operator="equal">
      <formula>"NA"</formula>
    </cfRule>
  </conditionalFormatting>
  <conditionalFormatting sqref="B21:B34">
    <cfRule type="cellIs" dxfId="32" priority="112" operator="equal">
      <formula>"NA"</formula>
    </cfRule>
  </conditionalFormatting>
  <conditionalFormatting sqref="E10:BN11">
    <cfRule type="cellIs" dxfId="31" priority="125" operator="equal">
      <formula>"NA"</formula>
    </cfRule>
  </conditionalFormatting>
  <conditionalFormatting sqref="E15:BN15">
    <cfRule type="cellIs" dxfId="30" priority="124" operator="equal">
      <formula>"NA"</formula>
    </cfRule>
  </conditionalFormatting>
  <conditionalFormatting sqref="E24:BN25">
    <cfRule type="cellIs" dxfId="29" priority="20" operator="equal">
      <formula>"NA"</formula>
    </cfRule>
  </conditionalFormatting>
  <conditionalFormatting sqref="E29:BN29">
    <cfRule type="cellIs" dxfId="28" priority="1" operator="equal">
      <formula>"NA"</formula>
    </cfRule>
  </conditionalFormatting>
  <conditionalFormatting sqref="AM19:BJ19">
    <cfRule type="cellIs" dxfId="27" priority="134" operator="equal">
      <formula>"NA"</formula>
    </cfRule>
  </conditionalFormatting>
  <conditionalFormatting sqref="AM33:BJ34">
    <cfRule type="cellIs" dxfId="26" priority="28" operator="equal">
      <formula>"NA"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410B-B6B8-406D-9E93-BEBA201707F9}">
  <sheetPr>
    <tabColor theme="9" tint="-0.499984740745262"/>
  </sheetPr>
  <dimension ref="B1:BN32"/>
  <sheetViews>
    <sheetView topLeftCell="AE4" zoomScale="80" zoomScaleNormal="80" workbookViewId="0">
      <selection activeCell="BU11" sqref="BU11"/>
    </sheetView>
  </sheetViews>
  <sheetFormatPr defaultColWidth="9.1796875" defaultRowHeight="14.5" x14ac:dyDescent="0.35"/>
  <cols>
    <col min="1" max="1" width="0.54296875" style="2" customWidth="1"/>
    <col min="2" max="2" width="1" style="2" customWidth="1"/>
    <col min="3" max="3" width="6.1796875" style="2" customWidth="1"/>
    <col min="4" max="4" width="30.54296875" style="2" bestFit="1" customWidth="1"/>
    <col min="5" max="5" width="0.54296875" style="2" customWidth="1"/>
    <col min="6" max="7" width="6.453125" style="2" bestFit="1" customWidth="1"/>
    <col min="8" max="8" width="0.54296875" style="2" customWidth="1"/>
    <col min="9" max="9" width="5.26953125" style="2" customWidth="1"/>
    <col min="10" max="10" width="6.453125" style="2" bestFit="1" customWidth="1"/>
    <col min="11" max="11" width="0.54296875" style="2" customWidth="1"/>
    <col min="12" max="13" width="6.453125" style="2" bestFit="1" customWidth="1"/>
    <col min="14" max="14" width="0.54296875" style="2" customWidth="1"/>
    <col min="15" max="16" width="6.453125" style="2" bestFit="1" customWidth="1"/>
    <col min="17" max="17" width="0.81640625" style="2" customWidth="1"/>
    <col min="18" max="19" width="6.453125" style="2" bestFit="1" customWidth="1"/>
    <col min="20" max="20" width="0.81640625" style="2" customWidth="1"/>
    <col min="21" max="22" width="6.453125" style="2" bestFit="1" customWidth="1"/>
    <col min="23" max="23" width="0.81640625" style="2" customWidth="1"/>
    <col min="24" max="25" width="6.453125" style="2" bestFit="1" customWidth="1"/>
    <col min="26" max="26" width="0.81640625" style="2" customWidth="1"/>
    <col min="27" max="28" width="6.453125" style="2" bestFit="1" customWidth="1"/>
    <col min="29" max="29" width="0.453125" style="2" customWidth="1"/>
    <col min="30" max="31" width="6.453125" style="2" bestFit="1" customWidth="1"/>
    <col min="32" max="32" width="0.54296875" style="2" customWidth="1"/>
    <col min="33" max="34" width="6.453125" style="2" bestFit="1" customWidth="1"/>
    <col min="35" max="35" width="0.7265625" style="2" customWidth="1"/>
    <col min="36" max="37" width="6.453125" style="2" bestFit="1" customWidth="1"/>
    <col min="38" max="38" width="0.54296875" style="2" customWidth="1"/>
    <col min="39" max="40" width="6.453125" style="2" bestFit="1" customWidth="1"/>
    <col min="41" max="41" width="0.54296875" style="2" customWidth="1"/>
    <col min="42" max="42" width="5.26953125" style="2" bestFit="1" customWidth="1"/>
    <col min="43" max="43" width="6.453125" style="2" bestFit="1" customWidth="1"/>
    <col min="44" max="44" width="0.54296875" style="2" customWidth="1"/>
    <col min="45" max="45" width="5.26953125" style="2" bestFit="1" customWidth="1"/>
    <col min="46" max="46" width="6.453125" style="2" bestFit="1" customWidth="1"/>
    <col min="47" max="47" width="0.54296875" style="2" customWidth="1"/>
    <col min="48" max="48" width="5.26953125" style="2" bestFit="1" customWidth="1"/>
    <col min="49" max="49" width="6.453125" style="2" bestFit="1" customWidth="1"/>
    <col min="50" max="50" width="0.54296875" style="2" customWidth="1"/>
    <col min="51" max="51" width="5.26953125" style="2" bestFit="1" customWidth="1"/>
    <col min="52" max="52" width="6.453125" style="2" bestFit="1" customWidth="1"/>
    <col min="53" max="53" width="0.54296875" style="2" customWidth="1"/>
    <col min="54" max="54" width="5.26953125" style="2" bestFit="1" customWidth="1"/>
    <col min="55" max="55" width="6.453125" style="2" bestFit="1" customWidth="1"/>
    <col min="56" max="56" width="0.54296875" style="2" customWidth="1"/>
    <col min="57" max="57" width="5.26953125" style="2" bestFit="1" customWidth="1"/>
    <col min="58" max="58" width="6.453125" style="2" bestFit="1" customWidth="1"/>
    <col min="59" max="59" width="0.54296875" style="2" customWidth="1"/>
    <col min="60" max="61" width="6.453125" style="2" bestFit="1" customWidth="1"/>
    <col min="62" max="62" width="0.54296875" style="2" customWidth="1"/>
    <col min="63" max="16384" width="9.1796875" style="2"/>
  </cols>
  <sheetData>
    <row r="1" spans="2:66" ht="4.5" customHeight="1" x14ac:dyDescent="0.35">
      <c r="B1"/>
      <c r="C1" s="1"/>
      <c r="I1" s="3"/>
    </row>
    <row r="2" spans="2:66" ht="23.5" x14ac:dyDescent="0.35">
      <c r="B2" s="145" t="s">
        <v>145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83"/>
      <c r="BI2" s="83"/>
    </row>
    <row r="3" spans="2:66" ht="4.5" customHeight="1" x14ac:dyDescent="0.35">
      <c r="C3" s="1"/>
      <c r="I3" s="3"/>
    </row>
    <row r="4" spans="2:66" ht="14.5" customHeight="1" x14ac:dyDescent="0.35">
      <c r="B4" s="4"/>
      <c r="C4" s="126" t="s">
        <v>0</v>
      </c>
      <c r="D4" s="126" t="s">
        <v>1</v>
      </c>
      <c r="E4" s="5"/>
      <c r="F4" s="139" t="s">
        <v>2</v>
      </c>
      <c r="G4" s="140"/>
      <c r="H4" s="5"/>
      <c r="I4" s="139" t="s">
        <v>3</v>
      </c>
      <c r="J4" s="140"/>
      <c r="K4" s="5"/>
      <c r="L4" s="139" t="s">
        <v>4</v>
      </c>
      <c r="M4" s="140"/>
      <c r="N4" s="5"/>
      <c r="O4" s="139" t="s">
        <v>5</v>
      </c>
      <c r="P4" s="140"/>
      <c r="Q4" s="5"/>
      <c r="R4" s="139" t="s">
        <v>6</v>
      </c>
      <c r="S4" s="139"/>
      <c r="T4" s="5"/>
      <c r="U4" s="140" t="s">
        <v>7</v>
      </c>
      <c r="V4" s="140"/>
      <c r="W4" s="5"/>
      <c r="X4" s="140" t="s">
        <v>8</v>
      </c>
      <c r="Y4" s="140"/>
      <c r="Z4" s="5"/>
      <c r="AA4" s="140" t="s">
        <v>9</v>
      </c>
      <c r="AB4" s="140"/>
      <c r="AC4" s="5"/>
      <c r="AD4" s="140" t="s">
        <v>10</v>
      </c>
      <c r="AE4" s="140"/>
      <c r="AF4" s="5"/>
      <c r="AG4" s="140" t="s">
        <v>11</v>
      </c>
      <c r="AH4" s="140"/>
      <c r="AI4" s="5"/>
      <c r="AJ4" s="139" t="s">
        <v>12</v>
      </c>
      <c r="AK4" s="139"/>
      <c r="AL4" s="5"/>
      <c r="AM4" s="140" t="s">
        <v>13</v>
      </c>
      <c r="AN4" s="140"/>
      <c r="AO4" s="5"/>
      <c r="AP4" s="140" t="s">
        <v>14</v>
      </c>
      <c r="AQ4" s="140"/>
      <c r="AR4" s="5"/>
      <c r="AS4" s="140" t="s">
        <v>15</v>
      </c>
      <c r="AT4" s="140"/>
      <c r="AU4" s="5"/>
      <c r="AV4" s="140" t="s">
        <v>16</v>
      </c>
      <c r="AW4" s="140"/>
      <c r="AX4" s="5"/>
      <c r="AY4" s="139" t="s">
        <v>17</v>
      </c>
      <c r="AZ4" s="139"/>
      <c r="BA4" s="5"/>
      <c r="BB4" s="139" t="s">
        <v>18</v>
      </c>
      <c r="BC4" s="139"/>
      <c r="BD4" s="6"/>
      <c r="BE4" s="139" t="s">
        <v>19</v>
      </c>
      <c r="BF4" s="139"/>
      <c r="BG4" s="5"/>
      <c r="BH4" s="139" t="s">
        <v>20</v>
      </c>
      <c r="BI4" s="139"/>
      <c r="BJ4" s="5"/>
      <c r="BK4" s="141" t="s">
        <v>21</v>
      </c>
      <c r="BL4" s="142"/>
      <c r="BM4" s="141" t="s">
        <v>22</v>
      </c>
      <c r="BN4" s="142"/>
    </row>
    <row r="5" spans="2:66" ht="14.5" customHeight="1" x14ac:dyDescent="0.35">
      <c r="B5" s="4"/>
      <c r="C5" s="126"/>
      <c r="D5" s="126"/>
      <c r="E5" s="5"/>
      <c r="F5" s="139"/>
      <c r="G5" s="140"/>
      <c r="H5" s="5"/>
      <c r="I5" s="139"/>
      <c r="J5" s="140"/>
      <c r="K5" s="5"/>
      <c r="L5" s="139"/>
      <c r="M5" s="140"/>
      <c r="N5" s="5"/>
      <c r="O5" s="139"/>
      <c r="P5" s="140"/>
      <c r="Q5" s="5"/>
      <c r="R5" s="139"/>
      <c r="S5" s="139"/>
      <c r="T5" s="5"/>
      <c r="U5" s="140"/>
      <c r="V5" s="140"/>
      <c r="W5" s="5"/>
      <c r="X5" s="140"/>
      <c r="Y5" s="140"/>
      <c r="Z5" s="5"/>
      <c r="AA5" s="140"/>
      <c r="AB5" s="140"/>
      <c r="AC5" s="5"/>
      <c r="AD5" s="140"/>
      <c r="AE5" s="140"/>
      <c r="AF5" s="5"/>
      <c r="AG5" s="140"/>
      <c r="AH5" s="140"/>
      <c r="AI5" s="5"/>
      <c r="AJ5" s="139"/>
      <c r="AK5" s="139"/>
      <c r="AL5" s="5"/>
      <c r="AM5" s="140"/>
      <c r="AN5" s="140"/>
      <c r="AO5" s="5"/>
      <c r="AP5" s="140"/>
      <c r="AQ5" s="140"/>
      <c r="AR5" s="5"/>
      <c r="AS5" s="140"/>
      <c r="AT5" s="140"/>
      <c r="AU5" s="5"/>
      <c r="AV5" s="140"/>
      <c r="AW5" s="140"/>
      <c r="AX5" s="5"/>
      <c r="AY5" s="139"/>
      <c r="AZ5" s="139"/>
      <c r="BA5" s="5"/>
      <c r="BB5" s="139"/>
      <c r="BC5" s="139"/>
      <c r="BD5" s="6"/>
      <c r="BE5" s="139"/>
      <c r="BF5" s="139"/>
      <c r="BG5" s="5"/>
      <c r="BH5" s="139"/>
      <c r="BI5" s="139"/>
      <c r="BJ5" s="5"/>
      <c r="BK5" s="143"/>
      <c r="BL5" s="144"/>
      <c r="BM5" s="143"/>
      <c r="BN5" s="144"/>
    </row>
    <row r="6" spans="2:66" x14ac:dyDescent="0.35">
      <c r="B6" s="7"/>
      <c r="C6" s="126"/>
      <c r="D6" s="126"/>
      <c r="E6" s="8"/>
      <c r="F6" s="9" t="s">
        <v>23</v>
      </c>
      <c r="G6" s="9" t="s">
        <v>24</v>
      </c>
      <c r="H6" s="8"/>
      <c r="I6" s="9" t="s">
        <v>23</v>
      </c>
      <c r="J6" s="9" t="s">
        <v>24</v>
      </c>
      <c r="K6" s="8"/>
      <c r="L6" s="9" t="s">
        <v>23</v>
      </c>
      <c r="M6" s="9" t="s">
        <v>24</v>
      </c>
      <c r="N6" s="8"/>
      <c r="O6" s="9" t="s">
        <v>23</v>
      </c>
      <c r="P6" s="9" t="s">
        <v>24</v>
      </c>
      <c r="Q6" s="8"/>
      <c r="R6" s="9" t="s">
        <v>23</v>
      </c>
      <c r="S6" s="9" t="s">
        <v>24</v>
      </c>
      <c r="T6" s="8"/>
      <c r="U6" s="9" t="s">
        <v>23</v>
      </c>
      <c r="V6" s="9" t="s">
        <v>24</v>
      </c>
      <c r="W6" s="8"/>
      <c r="X6" s="9" t="s">
        <v>23</v>
      </c>
      <c r="Y6" s="9" t="s">
        <v>24</v>
      </c>
      <c r="Z6" s="8"/>
      <c r="AA6" s="9" t="s">
        <v>23</v>
      </c>
      <c r="AB6" s="9" t="s">
        <v>24</v>
      </c>
      <c r="AC6" s="8"/>
      <c r="AD6" s="9" t="s">
        <v>23</v>
      </c>
      <c r="AE6" s="9" t="s">
        <v>24</v>
      </c>
      <c r="AF6" s="8"/>
      <c r="AG6" s="9" t="s">
        <v>23</v>
      </c>
      <c r="AH6" s="9" t="s">
        <v>24</v>
      </c>
      <c r="AI6" s="8"/>
      <c r="AJ6" s="9" t="s">
        <v>23</v>
      </c>
      <c r="AK6" s="9" t="s">
        <v>24</v>
      </c>
      <c r="AL6" s="8"/>
      <c r="AM6" s="9" t="s">
        <v>23</v>
      </c>
      <c r="AN6" s="9" t="s">
        <v>24</v>
      </c>
      <c r="AO6" s="8"/>
      <c r="AP6" s="9" t="s">
        <v>23</v>
      </c>
      <c r="AQ6" s="9" t="s">
        <v>24</v>
      </c>
      <c r="AR6" s="8"/>
      <c r="AS6" s="9" t="s">
        <v>23</v>
      </c>
      <c r="AT6" s="9" t="s">
        <v>24</v>
      </c>
      <c r="AU6" s="8"/>
      <c r="AV6" s="9" t="s">
        <v>23</v>
      </c>
      <c r="AW6" s="9" t="s">
        <v>24</v>
      </c>
      <c r="AX6" s="8"/>
      <c r="AY6" s="9" t="s">
        <v>23</v>
      </c>
      <c r="AZ6" s="9" t="s">
        <v>24</v>
      </c>
      <c r="BA6" s="8"/>
      <c r="BB6" s="9" t="s">
        <v>23</v>
      </c>
      <c r="BC6" s="9" t="s">
        <v>24</v>
      </c>
      <c r="BD6" s="6"/>
      <c r="BE6" s="9" t="s">
        <v>23</v>
      </c>
      <c r="BF6" s="9" t="s">
        <v>24</v>
      </c>
      <c r="BG6" s="8"/>
      <c r="BH6" s="9" t="s">
        <v>23</v>
      </c>
      <c r="BI6" s="9" t="s">
        <v>24</v>
      </c>
      <c r="BJ6" s="8"/>
      <c r="BK6" s="9" t="s">
        <v>23</v>
      </c>
      <c r="BL6" s="9" t="s">
        <v>24</v>
      </c>
      <c r="BM6" s="9" t="s">
        <v>23</v>
      </c>
      <c r="BN6" s="9" t="s">
        <v>24</v>
      </c>
    </row>
    <row r="7" spans="2:66" ht="19" customHeight="1" x14ac:dyDescent="0.35">
      <c r="B7" s="10"/>
      <c r="C7" s="138" t="s">
        <v>25</v>
      </c>
      <c r="D7" s="11" t="s">
        <v>26</v>
      </c>
      <c r="E7" s="6"/>
      <c r="F7" s="79">
        <f>'Private car Nov-25 '!F7-'Private car AUG-25 '!F7</f>
        <v>0</v>
      </c>
      <c r="G7" s="79">
        <f>'Private car Nov-25 '!G7-'Private car AUG-25 '!G7</f>
        <v>0</v>
      </c>
      <c r="H7" s="6"/>
      <c r="I7" s="79">
        <f>'Private car Nov-25 '!I7-'Private car AUG-25 '!I7</f>
        <v>0</v>
      </c>
      <c r="J7" s="79">
        <f>'Private car Nov-25 '!J7-'Private car AUG-25 '!J7</f>
        <v>0</v>
      </c>
      <c r="K7" s="6"/>
      <c r="L7" s="79">
        <f>'Private car Nov-25 '!L7-'Private car AUG-25 '!L7</f>
        <v>0</v>
      </c>
      <c r="M7" s="79">
        <f>'Private car Nov-25 '!M7-'Private car AUG-25 '!M7</f>
        <v>0</v>
      </c>
      <c r="N7" s="6"/>
      <c r="O7" s="79">
        <f>'Private car Nov-25 '!O7-'Private car AUG-25 '!O7</f>
        <v>0</v>
      </c>
      <c r="P7" s="79">
        <f>'Private car Nov-25 '!P7-'Private car AUG-25 '!P7</f>
        <v>0</v>
      </c>
      <c r="Q7" s="6"/>
      <c r="R7" s="79">
        <f>'Private car Nov-25 '!R7-'Private car AUG-25 '!R7</f>
        <v>0</v>
      </c>
      <c r="S7" s="79">
        <f>'Private car Nov-25 '!S7-'Private car AUG-25 '!S7</f>
        <v>0</v>
      </c>
      <c r="T7" s="6"/>
      <c r="U7" s="79">
        <f>'Private car Nov-25 '!U7-'Private car AUG-25 '!U7</f>
        <v>0</v>
      </c>
      <c r="V7" s="79">
        <f>'Private car Nov-25 '!V7-'Private car AUG-25 '!V7</f>
        <v>0</v>
      </c>
      <c r="W7" s="6"/>
      <c r="X7" s="79">
        <f>'Private car Nov-25 '!X7-'Private car AUG-25 '!X7</f>
        <v>0</v>
      </c>
      <c r="Y7" s="79">
        <f>'Private car Nov-25 '!Y7-'Private car AUG-25 '!Y7</f>
        <v>0</v>
      </c>
      <c r="Z7" s="6"/>
      <c r="AA7" s="79">
        <f>'Private car Nov-25 '!AA7-'Private car AUG-25 '!AA7</f>
        <v>0</v>
      </c>
      <c r="AB7" s="79">
        <f>'Private car Nov-25 '!AB7-'Private car AUG-25 '!AB7</f>
        <v>0</v>
      </c>
      <c r="AC7" s="6"/>
      <c r="AD7" s="79">
        <f>'Private car Nov-25 '!AD7-'Private car AUG-25 '!AD7</f>
        <v>0</v>
      </c>
      <c r="AE7" s="79">
        <f>'Private car Nov-25 '!AE7-'Private car AUG-25 '!AE7</f>
        <v>0</v>
      </c>
      <c r="AF7" s="6"/>
      <c r="AG7" s="79">
        <f>'Private car Nov-25 '!AG7-'Private car AUG-25 '!AG7</f>
        <v>0</v>
      </c>
      <c r="AH7" s="79">
        <f>'Private car Nov-25 '!AH7-'Private car AUG-25 '!AH7</f>
        <v>0</v>
      </c>
      <c r="AI7" s="6"/>
      <c r="AJ7" s="79">
        <f>'Private car Nov-25 '!AJ7-'Private car AUG-25 '!AJ7</f>
        <v>0</v>
      </c>
      <c r="AK7" s="79">
        <f>'Private car Nov-25 '!AK7-'Private car AUG-25 '!AK7</f>
        <v>0</v>
      </c>
      <c r="AL7" s="6"/>
      <c r="AM7" s="79">
        <f>'Private car Nov-25 '!AM7-'Private car AUG-25 '!AM7</f>
        <v>0</v>
      </c>
      <c r="AN7" s="79">
        <f>'Private car Nov-25 '!AN7-'Private car AUG-25 '!AN7</f>
        <v>0</v>
      </c>
      <c r="AO7" s="6"/>
      <c r="AP7" s="79">
        <f>'Private car Nov-25 '!AP7-'Private car AUG-25 '!AP7</f>
        <v>0</v>
      </c>
      <c r="AQ7" s="79">
        <f>'Private car Nov-25 '!AQ7-'Private car AUG-25 '!AQ7</f>
        <v>0</v>
      </c>
      <c r="AR7" s="6"/>
      <c r="AS7" s="79">
        <f>'Private car Nov-25 '!AS7-'Private car AUG-25 '!AS7</f>
        <v>0</v>
      </c>
      <c r="AT7" s="79">
        <f>'Private car Nov-25 '!AT7-'Private car AUG-25 '!AT7</f>
        <v>0</v>
      </c>
      <c r="AU7" s="6"/>
      <c r="AV7" s="79">
        <f>'Private car Nov-25 '!AV7-'Private car AUG-25 '!AV7</f>
        <v>0</v>
      </c>
      <c r="AW7" s="79">
        <f>'Private car Nov-25 '!AW7-'Private car AUG-25 '!AW7</f>
        <v>0</v>
      </c>
      <c r="AX7" s="6"/>
      <c r="AY7" s="79">
        <f>'Private car Nov-25 '!AY7-'Private car AUG-25 '!AY7</f>
        <v>0</v>
      </c>
      <c r="AZ7" s="79">
        <f>'Private car Nov-25 '!AZ7-'Private car AUG-25 '!AZ7</f>
        <v>0</v>
      </c>
      <c r="BA7" s="6"/>
      <c r="BB7" s="79">
        <f>'Private car Nov-25 '!BB7-'Private car AUG-25 '!BB7</f>
        <v>0</v>
      </c>
      <c r="BC7" s="79">
        <f>'Private car Nov-25 '!BC7-'Private car AUG-25 '!BC7</f>
        <v>0</v>
      </c>
      <c r="BD7" s="6"/>
      <c r="BE7" s="79">
        <f>'Private car Nov-25 '!BE7-'Private car AUG-25 '!BE7</f>
        <v>0</v>
      </c>
      <c r="BF7" s="79">
        <f>'Private car Nov-25 '!BF7-'Private car AUG-25 '!BF7</f>
        <v>0</v>
      </c>
      <c r="BG7" s="6"/>
      <c r="BH7" s="79">
        <f>'Private car Nov-25 '!BH7-'Private car AUG-25 '!BH7</f>
        <v>0</v>
      </c>
      <c r="BI7" s="79">
        <f>'Private car Nov-25 '!BI7-'Private car AUG-25 '!BI7</f>
        <v>0</v>
      </c>
      <c r="BJ7" s="6"/>
      <c r="BK7" s="79">
        <f>'Private car Nov-25 '!BK7-'Private car AUG-25 '!BK7</f>
        <v>0</v>
      </c>
      <c r="BL7" s="79">
        <f>'Private car Nov-25 '!BL7-'Private car AUG-25 '!BL7</f>
        <v>0</v>
      </c>
      <c r="BM7" s="79">
        <f>'Private car Nov-25 '!BM7-'Private car AUG-25 '!BM7</f>
        <v>0</v>
      </c>
      <c r="BN7" s="79">
        <f>'Private car Nov-25 '!BN7-'Private car AUG-25 '!BN7</f>
        <v>0</v>
      </c>
    </row>
    <row r="8" spans="2:66" x14ac:dyDescent="0.35">
      <c r="B8" s="10"/>
      <c r="C8" s="138"/>
      <c r="D8" s="11" t="s">
        <v>27</v>
      </c>
      <c r="E8" s="6"/>
      <c r="F8" s="79">
        <f>'Private car Nov-25 '!F8-'Private car AUG-25 '!F8</f>
        <v>0</v>
      </c>
      <c r="G8" s="79">
        <f>'Private car Nov-25 '!G8-'Private car AUG-25 '!G8</f>
        <v>0</v>
      </c>
      <c r="H8" s="6"/>
      <c r="I8" s="79">
        <f>'Private car Nov-25 '!I8-'Private car AUG-25 '!I8</f>
        <v>0</v>
      </c>
      <c r="J8" s="79">
        <f>'Private car Nov-25 '!J8-'Private car AUG-25 '!J8</f>
        <v>0</v>
      </c>
      <c r="K8" s="6"/>
      <c r="L8" s="79">
        <f>'Private car Nov-25 '!L8-'Private car AUG-25 '!L8</f>
        <v>0</v>
      </c>
      <c r="M8" s="79">
        <f>'Private car Nov-25 '!M8-'Private car AUG-25 '!M8</f>
        <v>0</v>
      </c>
      <c r="N8" s="6"/>
      <c r="O8" s="79">
        <f>'Private car Nov-25 '!O8-'Private car AUG-25 '!O8</f>
        <v>0</v>
      </c>
      <c r="P8" s="79">
        <f>'Private car Nov-25 '!P8-'Private car AUG-25 '!P8</f>
        <v>0</v>
      </c>
      <c r="Q8" s="6"/>
      <c r="R8" s="79">
        <f>'Private car Nov-25 '!R8-'Private car AUG-25 '!R8</f>
        <v>0</v>
      </c>
      <c r="S8" s="79">
        <f>'Private car Nov-25 '!S8-'Private car AUG-25 '!S8</f>
        <v>0</v>
      </c>
      <c r="T8" s="6"/>
      <c r="U8" s="79">
        <f>'Private car Nov-25 '!U8-'Private car AUG-25 '!U8</f>
        <v>0</v>
      </c>
      <c r="V8" s="79">
        <f>'Private car Nov-25 '!V8-'Private car AUG-25 '!V8</f>
        <v>0</v>
      </c>
      <c r="W8" s="6"/>
      <c r="X8" s="79">
        <f>'Private car Nov-25 '!X8-'Private car AUG-25 '!X8</f>
        <v>0</v>
      </c>
      <c r="Y8" s="79">
        <f>'Private car Nov-25 '!Y8-'Private car AUG-25 '!Y8</f>
        <v>0</v>
      </c>
      <c r="Z8" s="6"/>
      <c r="AA8" s="79">
        <f>'Private car Nov-25 '!AA8-'Private car AUG-25 '!AA8</f>
        <v>0</v>
      </c>
      <c r="AB8" s="79">
        <f>'Private car Nov-25 '!AB8-'Private car AUG-25 '!AB8</f>
        <v>0</v>
      </c>
      <c r="AC8" s="6"/>
      <c r="AD8" s="79">
        <f>'Private car Nov-25 '!AD8-'Private car AUG-25 '!AD8</f>
        <v>0</v>
      </c>
      <c r="AE8" s="79">
        <f>'Private car Nov-25 '!AE8-'Private car AUG-25 '!AE8</f>
        <v>0</v>
      </c>
      <c r="AF8" s="6"/>
      <c r="AG8" s="79">
        <f>'Private car Nov-25 '!AG8-'Private car AUG-25 '!AG8</f>
        <v>0</v>
      </c>
      <c r="AH8" s="79">
        <f>'Private car Nov-25 '!AH8-'Private car AUG-25 '!AH8</f>
        <v>0</v>
      </c>
      <c r="AI8" s="6"/>
      <c r="AJ8" s="79">
        <f>'Private car Nov-25 '!AJ8-'Private car AUG-25 '!AJ8</f>
        <v>0</v>
      </c>
      <c r="AK8" s="79">
        <f>'Private car Nov-25 '!AK8-'Private car AUG-25 '!AK8</f>
        <v>0</v>
      </c>
      <c r="AL8" s="6"/>
      <c r="AM8" s="79">
        <f>'Private car Nov-25 '!AM8-'Private car AUG-25 '!AM8</f>
        <v>0</v>
      </c>
      <c r="AN8" s="79">
        <f>'Private car Nov-25 '!AN8-'Private car AUG-25 '!AN8</f>
        <v>0</v>
      </c>
      <c r="AO8" s="6"/>
      <c r="AP8" s="79">
        <f>'Private car Nov-25 '!AP8-'Private car AUG-25 '!AP8</f>
        <v>0</v>
      </c>
      <c r="AQ8" s="79">
        <f>'Private car Nov-25 '!AQ8-'Private car AUG-25 '!AQ8</f>
        <v>0</v>
      </c>
      <c r="AR8" s="6"/>
      <c r="AS8" s="79">
        <f>'Private car Nov-25 '!AS8-'Private car AUG-25 '!AS8</f>
        <v>0</v>
      </c>
      <c r="AT8" s="79">
        <f>'Private car Nov-25 '!AT8-'Private car AUG-25 '!AT8</f>
        <v>0</v>
      </c>
      <c r="AU8" s="6"/>
      <c r="AV8" s="79">
        <f>'Private car Nov-25 '!AV8-'Private car AUG-25 '!AV8</f>
        <v>0</v>
      </c>
      <c r="AW8" s="79">
        <f>'Private car Nov-25 '!AW8-'Private car AUG-25 '!AW8</f>
        <v>0</v>
      </c>
      <c r="AX8" s="6"/>
      <c r="AY8" s="79">
        <f>'Private car Nov-25 '!AY8-'Private car AUG-25 '!AY8</f>
        <v>0</v>
      </c>
      <c r="AZ8" s="79">
        <f>'Private car Nov-25 '!AZ8-'Private car AUG-25 '!AZ8</f>
        <v>0</v>
      </c>
      <c r="BA8" s="6"/>
      <c r="BB8" s="79">
        <f>'Private car Nov-25 '!BB8-'Private car AUG-25 '!BB8</f>
        <v>0</v>
      </c>
      <c r="BC8" s="79">
        <f>'Private car Nov-25 '!BC8-'Private car AUG-25 '!BC8</f>
        <v>0</v>
      </c>
      <c r="BD8" s="6"/>
      <c r="BE8" s="79">
        <f>'Private car Nov-25 '!BE8-'Private car AUG-25 '!BE8</f>
        <v>0</v>
      </c>
      <c r="BF8" s="79">
        <f>'Private car Nov-25 '!BF8-'Private car AUG-25 '!BF8</f>
        <v>0</v>
      </c>
      <c r="BG8" s="6"/>
      <c r="BH8" s="79">
        <f>'Private car Nov-25 '!BH8-'Private car AUG-25 '!BH8</f>
        <v>0</v>
      </c>
      <c r="BI8" s="79">
        <f>'Private car Nov-25 '!BI8-'Private car AUG-25 '!BI8</f>
        <v>0</v>
      </c>
      <c r="BJ8" s="6"/>
      <c r="BK8" s="79">
        <f>'Private car Nov-25 '!BK8-'Private car AUG-25 '!BK8</f>
        <v>0</v>
      </c>
      <c r="BL8" s="79">
        <f>'Private car Nov-25 '!BL8-'Private car AUG-25 '!BL8</f>
        <v>0</v>
      </c>
      <c r="BM8" s="79">
        <f>'Private car Nov-25 '!BM8-'Private car AUG-25 '!BM8</f>
        <v>0</v>
      </c>
      <c r="BN8" s="79">
        <f>'Private car Nov-25 '!BN8-'Private car AUG-25 '!BN8</f>
        <v>0</v>
      </c>
    </row>
    <row r="9" spans="2:66" x14ac:dyDescent="0.35">
      <c r="B9" s="10"/>
      <c r="C9" s="138"/>
      <c r="D9" s="11" t="s">
        <v>28</v>
      </c>
      <c r="E9" s="6"/>
      <c r="F9" s="79">
        <f>'Private car Nov-25 '!F9-'Private car AUG-25 '!F9</f>
        <v>0</v>
      </c>
      <c r="G9" s="79">
        <f>'Private car Nov-25 '!G9-'Private car AUG-25 '!G9</f>
        <v>0</v>
      </c>
      <c r="H9" s="6"/>
      <c r="I9" s="79">
        <f>'Private car Nov-25 '!I9-'Private car AUG-25 '!I9</f>
        <v>0</v>
      </c>
      <c r="J9" s="79">
        <f>'Private car Nov-25 '!J9-'Private car AUG-25 '!J9</f>
        <v>0</v>
      </c>
      <c r="K9" s="6"/>
      <c r="L9" s="79">
        <f>'Private car Nov-25 '!L9-'Private car AUG-25 '!L9</f>
        <v>0</v>
      </c>
      <c r="M9" s="79">
        <f>'Private car Nov-25 '!M9-'Private car AUG-25 '!M9</f>
        <v>0</v>
      </c>
      <c r="N9" s="6"/>
      <c r="O9" s="79">
        <f>'Private car Nov-25 '!O9-'Private car AUG-25 '!O9</f>
        <v>0</v>
      </c>
      <c r="P9" s="79">
        <f>'Private car Nov-25 '!P9-'Private car AUG-25 '!P9</f>
        <v>0</v>
      </c>
      <c r="Q9" s="6"/>
      <c r="R9" s="79">
        <f>'Private car Nov-25 '!R9-'Private car AUG-25 '!R9</f>
        <v>0</v>
      </c>
      <c r="S9" s="79">
        <f>'Private car Nov-25 '!S9-'Private car AUG-25 '!S9</f>
        <v>0</v>
      </c>
      <c r="T9" s="6"/>
      <c r="U9" s="79">
        <f>'Private car Nov-25 '!U9-'Private car AUG-25 '!U9</f>
        <v>0</v>
      </c>
      <c r="V9" s="79">
        <f>'Private car Nov-25 '!V9-'Private car AUG-25 '!V9</f>
        <v>0</v>
      </c>
      <c r="W9" s="6"/>
      <c r="X9" s="79">
        <f>'Private car Nov-25 '!X9-'Private car AUG-25 '!X9</f>
        <v>0</v>
      </c>
      <c r="Y9" s="79">
        <f>'Private car Nov-25 '!Y9-'Private car AUG-25 '!Y9</f>
        <v>0</v>
      </c>
      <c r="Z9" s="6"/>
      <c r="AA9" s="79">
        <f>'Private car Nov-25 '!AA9-'Private car AUG-25 '!AA9</f>
        <v>0</v>
      </c>
      <c r="AB9" s="79">
        <f>'Private car Nov-25 '!AB9-'Private car AUG-25 '!AB9</f>
        <v>0</v>
      </c>
      <c r="AC9" s="6"/>
      <c r="AD9" s="79">
        <f>'Private car Nov-25 '!AD9-'Private car AUG-25 '!AD9</f>
        <v>0</v>
      </c>
      <c r="AE9" s="79">
        <f>'Private car Nov-25 '!AE9-'Private car AUG-25 '!AE9</f>
        <v>0</v>
      </c>
      <c r="AF9" s="6"/>
      <c r="AG9" s="79">
        <f>'Private car Nov-25 '!AG9-'Private car AUG-25 '!AG9</f>
        <v>0</v>
      </c>
      <c r="AH9" s="79">
        <f>'Private car Nov-25 '!AH9-'Private car AUG-25 '!AH9</f>
        <v>0</v>
      </c>
      <c r="AI9" s="6"/>
      <c r="AJ9" s="79">
        <f>'Private car Nov-25 '!AJ9-'Private car AUG-25 '!AJ9</f>
        <v>0</v>
      </c>
      <c r="AK9" s="79">
        <f>'Private car Nov-25 '!AK9-'Private car AUG-25 '!AK9</f>
        <v>0</v>
      </c>
      <c r="AL9" s="6"/>
      <c r="AM9" s="79">
        <f>'Private car Nov-25 '!AM9-'Private car AUG-25 '!AM9</f>
        <v>0</v>
      </c>
      <c r="AN9" s="79">
        <f>'Private car Nov-25 '!AN9-'Private car AUG-25 '!AN9</f>
        <v>0</v>
      </c>
      <c r="AO9" s="6"/>
      <c r="AP9" s="79">
        <f>'Private car Nov-25 '!AP9-'Private car AUG-25 '!AP9</f>
        <v>0</v>
      </c>
      <c r="AQ9" s="79">
        <f>'Private car Nov-25 '!AQ9-'Private car AUG-25 '!AQ9</f>
        <v>0</v>
      </c>
      <c r="AR9" s="6"/>
      <c r="AS9" s="79">
        <f>'Private car Nov-25 '!AS9-'Private car AUG-25 '!AS9</f>
        <v>0</v>
      </c>
      <c r="AT9" s="79">
        <f>'Private car Nov-25 '!AT9-'Private car AUG-25 '!AT9</f>
        <v>0</v>
      </c>
      <c r="AU9" s="6"/>
      <c r="AV9" s="79">
        <f>'Private car Nov-25 '!AV9-'Private car AUG-25 '!AV9</f>
        <v>0</v>
      </c>
      <c r="AW9" s="79">
        <f>'Private car Nov-25 '!AW9-'Private car AUG-25 '!AW9</f>
        <v>0</v>
      </c>
      <c r="AX9" s="6"/>
      <c r="AY9" s="79">
        <f>'Private car Nov-25 '!AY9-'Private car AUG-25 '!AY9</f>
        <v>0</v>
      </c>
      <c r="AZ9" s="79">
        <f>'Private car Nov-25 '!AZ9-'Private car AUG-25 '!AZ9</f>
        <v>0</v>
      </c>
      <c r="BA9" s="6"/>
      <c r="BB9" s="79">
        <f>'Private car Nov-25 '!BB9-'Private car AUG-25 '!BB9</f>
        <v>0</v>
      </c>
      <c r="BC9" s="79">
        <f>'Private car Nov-25 '!BC9-'Private car AUG-25 '!BC9</f>
        <v>0</v>
      </c>
      <c r="BD9" s="6"/>
      <c r="BE9" s="79">
        <f>'Private car Nov-25 '!BE9-'Private car AUG-25 '!BE9</f>
        <v>0</v>
      </c>
      <c r="BF9" s="79">
        <f>'Private car Nov-25 '!BF9-'Private car AUG-25 '!BF9</f>
        <v>0</v>
      </c>
      <c r="BG9" s="6"/>
      <c r="BH9" s="79">
        <f>'Private car Nov-25 '!BH9-'Private car AUG-25 '!BH9</f>
        <v>0</v>
      </c>
      <c r="BI9" s="79">
        <f>'Private car Nov-25 '!BI9-'Private car AUG-25 '!BI9</f>
        <v>0</v>
      </c>
      <c r="BJ9" s="6"/>
      <c r="BK9" s="79">
        <f>'Private car Nov-25 '!BK9-'Private car AUG-25 '!BK9</f>
        <v>0</v>
      </c>
      <c r="BL9" s="79">
        <f>'Private car Nov-25 '!BL9-'Private car AUG-25 '!BL9</f>
        <v>0</v>
      </c>
      <c r="BM9" s="79">
        <f>'Private car Nov-25 '!BM9-'Private car AUG-25 '!BM9</f>
        <v>0</v>
      </c>
      <c r="BN9" s="79">
        <f>'Private car Nov-25 '!BN9-'Private car AUG-25 '!BN9</f>
        <v>0</v>
      </c>
    </row>
    <row r="10" spans="2:66" ht="4.5" customHeight="1" x14ac:dyDescent="0.35">
      <c r="B10" s="17"/>
      <c r="C10" s="138"/>
      <c r="D10" s="18"/>
      <c r="E10" s="6"/>
      <c r="F10" s="19"/>
      <c r="G10" s="20"/>
      <c r="H10" s="6"/>
      <c r="I10" s="19"/>
      <c r="J10" s="20"/>
      <c r="K10" s="6"/>
      <c r="L10" s="19"/>
      <c r="M10" s="20"/>
      <c r="N10" s="6"/>
      <c r="O10" s="19"/>
      <c r="P10" s="20"/>
      <c r="Q10" s="6"/>
      <c r="R10" s="19"/>
      <c r="S10" s="20"/>
      <c r="T10" s="6"/>
      <c r="U10" s="19"/>
      <c r="V10" s="20"/>
      <c r="W10" s="6"/>
      <c r="X10" s="19"/>
      <c r="Y10" s="20"/>
      <c r="Z10" s="6"/>
      <c r="AA10" s="19"/>
      <c r="AB10" s="20"/>
      <c r="AC10" s="6"/>
      <c r="AD10" s="19"/>
      <c r="AE10" s="20"/>
      <c r="AF10" s="6"/>
      <c r="AG10" s="19"/>
      <c r="AH10" s="20"/>
      <c r="AI10" s="6"/>
      <c r="AJ10" s="19"/>
      <c r="AK10" s="20"/>
      <c r="AL10" s="6"/>
      <c r="AM10" s="19"/>
      <c r="AN10" s="20"/>
      <c r="AO10" s="6"/>
      <c r="AP10" s="19"/>
      <c r="AQ10" s="20"/>
      <c r="AR10" s="6"/>
      <c r="AS10" s="19"/>
      <c r="AT10" s="20"/>
      <c r="AU10" s="6"/>
      <c r="AV10" s="19"/>
      <c r="AW10" s="20"/>
      <c r="AX10" s="6"/>
      <c r="AY10" s="20"/>
      <c r="AZ10" s="20"/>
      <c r="BA10" s="20"/>
      <c r="BB10" s="20"/>
      <c r="BC10" s="20"/>
      <c r="BD10" s="20"/>
      <c r="BE10" s="20"/>
      <c r="BF10" s="20"/>
      <c r="BG10" s="20"/>
      <c r="BH10" s="19"/>
      <c r="BI10" s="20"/>
      <c r="BJ10" s="20"/>
      <c r="BK10" s="20"/>
      <c r="BL10" s="20"/>
      <c r="BM10" s="20"/>
      <c r="BN10" s="20"/>
    </row>
    <row r="11" spans="2:66" ht="4.5" customHeight="1" x14ac:dyDescent="0.35">
      <c r="B11" s="17"/>
      <c r="C11" s="21"/>
      <c r="D11" s="18"/>
      <c r="E11" s="6"/>
      <c r="F11" s="19"/>
      <c r="G11" s="20"/>
      <c r="H11" s="6"/>
      <c r="I11" s="19"/>
      <c r="J11" s="20"/>
      <c r="K11" s="6"/>
      <c r="L11" s="19"/>
      <c r="M11" s="20"/>
      <c r="N11" s="6"/>
      <c r="O11" s="19"/>
      <c r="P11" s="20"/>
      <c r="Q11" s="6"/>
      <c r="R11" s="19"/>
      <c r="S11" s="20"/>
      <c r="T11" s="6"/>
      <c r="U11" s="19"/>
      <c r="V11" s="20"/>
      <c r="W11" s="6"/>
      <c r="X11" s="19"/>
      <c r="Y11" s="20"/>
      <c r="Z11" s="6"/>
      <c r="AA11" s="19"/>
      <c r="AB11" s="20"/>
      <c r="AC11" s="6"/>
      <c r="AD11" s="19"/>
      <c r="AE11" s="20"/>
      <c r="AF11" s="6"/>
      <c r="AG11" s="19"/>
      <c r="AH11" s="20"/>
      <c r="AI11" s="6"/>
      <c r="AJ11" s="19"/>
      <c r="AK11" s="20"/>
      <c r="AL11" s="6"/>
      <c r="AM11" s="22"/>
      <c r="AN11" s="20"/>
      <c r="AO11" s="6"/>
      <c r="AP11" s="22"/>
      <c r="AQ11" s="20"/>
      <c r="AR11" s="6"/>
      <c r="AS11" s="22"/>
      <c r="AT11" s="20"/>
      <c r="AU11" s="6"/>
      <c r="AV11" s="22"/>
      <c r="AW11" s="20"/>
      <c r="AX11" s="6"/>
      <c r="AY11" s="20"/>
      <c r="AZ11" s="20"/>
      <c r="BA11" s="20"/>
      <c r="BB11" s="20"/>
      <c r="BC11" s="20"/>
      <c r="BD11" s="20"/>
      <c r="BE11" s="20"/>
      <c r="BF11" s="20"/>
      <c r="BG11" s="6"/>
      <c r="BH11" s="19"/>
      <c r="BI11" s="20"/>
      <c r="BJ11" s="6"/>
      <c r="BK11" s="20"/>
      <c r="BL11" s="20"/>
      <c r="BM11" s="20"/>
      <c r="BN11" s="20"/>
    </row>
    <row r="12" spans="2:66" ht="14.5" customHeight="1" x14ac:dyDescent="0.35">
      <c r="B12" s="23"/>
      <c r="C12" s="138" t="s">
        <v>29</v>
      </c>
      <c r="D12" s="11" t="s">
        <v>30</v>
      </c>
      <c r="E12" s="6"/>
      <c r="F12" s="79">
        <f>'Private car Nov-25 '!F12-'Private car AUG-25 '!F12</f>
        <v>0</v>
      </c>
      <c r="G12" s="79">
        <f>'Private car Nov-25 '!G12-'Private car AUG-25 '!G12</f>
        <v>0</v>
      </c>
      <c r="H12" s="6"/>
      <c r="I12" s="79">
        <f>'Private car Nov-25 '!I12-'Private car AUG-25 '!I12</f>
        <v>0</v>
      </c>
      <c r="J12" s="79">
        <f>'Private car Nov-25 '!J12-'Private car AUG-25 '!J12</f>
        <v>0</v>
      </c>
      <c r="K12" s="6"/>
      <c r="L12" s="79">
        <f>'Private car Nov-25 '!L12-'Private car AUG-25 '!L12</f>
        <v>0</v>
      </c>
      <c r="M12" s="79">
        <f>'Private car Nov-25 '!M12-'Private car AUG-25 '!M12</f>
        <v>0</v>
      </c>
      <c r="N12" s="6"/>
      <c r="O12" s="79">
        <f>'Private car Nov-25 '!O12-'Private car AUG-25 '!O12</f>
        <v>0</v>
      </c>
      <c r="P12" s="79">
        <f>'Private car Nov-25 '!P12-'Private car AUG-25 '!P12</f>
        <v>0</v>
      </c>
      <c r="Q12" s="6"/>
      <c r="R12" s="79">
        <f>'Private car Nov-25 '!R12-'Private car AUG-25 '!R12</f>
        <v>0</v>
      </c>
      <c r="S12" s="79">
        <f>'Private car Nov-25 '!S12-'Private car AUG-25 '!S12</f>
        <v>0</v>
      </c>
      <c r="T12" s="6"/>
      <c r="U12" s="79">
        <f>'Private car Nov-25 '!U12-'Private car AUG-25 '!U12</f>
        <v>0</v>
      </c>
      <c r="V12" s="79">
        <f>'Private car Nov-25 '!V12-'Private car AUG-25 '!V12</f>
        <v>0</v>
      </c>
      <c r="W12" s="6"/>
      <c r="X12" s="79">
        <f>'Private car Nov-25 '!X12-'Private car AUG-25 '!X12</f>
        <v>0</v>
      </c>
      <c r="Y12" s="79">
        <f>'Private car Nov-25 '!Y12-'Private car AUG-25 '!Y12</f>
        <v>0</v>
      </c>
      <c r="Z12" s="6"/>
      <c r="AA12" s="79">
        <f>'Private car Nov-25 '!AA12-'Private car AUG-25 '!AA12</f>
        <v>0</v>
      </c>
      <c r="AB12" s="79">
        <f>'Private car Nov-25 '!AB12-'Private car AUG-25 '!AB12</f>
        <v>0</v>
      </c>
      <c r="AC12" s="6"/>
      <c r="AD12" s="79">
        <f>'Private car Nov-25 '!AD12-'Private car AUG-25 '!AD12</f>
        <v>0</v>
      </c>
      <c r="AE12" s="79">
        <f>'Private car Nov-25 '!AE12-'Private car AUG-25 '!AE12</f>
        <v>0</v>
      </c>
      <c r="AF12" s="6"/>
      <c r="AG12" s="79">
        <f>'Private car Nov-25 '!AG12-'Private car AUG-25 '!AG12</f>
        <v>0</v>
      </c>
      <c r="AH12" s="79">
        <f>'Private car Nov-25 '!AH12-'Private car AUG-25 '!AH12</f>
        <v>0</v>
      </c>
      <c r="AI12" s="6"/>
      <c r="AJ12" s="79">
        <f>'Private car Nov-25 '!AJ12-'Private car AUG-25 '!AJ12</f>
        <v>0</v>
      </c>
      <c r="AK12" s="79">
        <f>'Private car Nov-25 '!AK12-'Private car AUG-25 '!AK12</f>
        <v>0</v>
      </c>
      <c r="AL12" s="6"/>
      <c r="AM12" s="79">
        <f>'Private car Nov-25 '!AM12-'Private car AUG-25 '!AM12</f>
        <v>0</v>
      </c>
      <c r="AN12" s="79">
        <f>'Private car Nov-25 '!AN12-'Private car AUG-25 '!AN12</f>
        <v>0</v>
      </c>
      <c r="AO12" s="6"/>
      <c r="AP12" s="79">
        <f>'Private car Nov-25 '!AP12-'Private car AUG-25 '!AP12</f>
        <v>0</v>
      </c>
      <c r="AQ12" s="79">
        <f>'Private car Nov-25 '!AQ12-'Private car AUG-25 '!AQ12</f>
        <v>0</v>
      </c>
      <c r="AR12" s="6"/>
      <c r="AS12" s="79">
        <f>'Private car Nov-25 '!AS12-'Private car AUG-25 '!AS12</f>
        <v>0</v>
      </c>
      <c r="AT12" s="79">
        <f>'Private car Nov-25 '!AT12-'Private car AUG-25 '!AT12</f>
        <v>0</v>
      </c>
      <c r="AU12" s="6"/>
      <c r="AV12" s="79">
        <f>'Private car Nov-25 '!AV12-'Private car AUG-25 '!AV12</f>
        <v>0</v>
      </c>
      <c r="AW12" s="79">
        <f>'Private car Nov-25 '!AW12-'Private car AUG-25 '!AW12</f>
        <v>0</v>
      </c>
      <c r="AX12" s="6"/>
      <c r="AY12" s="79">
        <f>'Private car Nov-25 '!AY12-'Private car AUG-25 '!AY12</f>
        <v>0</v>
      </c>
      <c r="AZ12" s="79">
        <f>'Private car Nov-25 '!AZ12-'Private car AUG-25 '!AZ12</f>
        <v>0</v>
      </c>
      <c r="BA12" s="6"/>
      <c r="BB12" s="79">
        <f>'Private car Nov-25 '!BB12-'Private car AUG-25 '!BB12</f>
        <v>0</v>
      </c>
      <c r="BC12" s="79">
        <f>'Private car Nov-25 '!BC12-'Private car AUG-25 '!BC12</f>
        <v>0</v>
      </c>
      <c r="BD12" s="6"/>
      <c r="BE12" s="79">
        <f>'Private car Nov-25 '!BE12-'Private car AUG-25 '!BE12</f>
        <v>0</v>
      </c>
      <c r="BF12" s="79">
        <f>'Private car Nov-25 '!BF12-'Private car AUG-25 '!BF12</f>
        <v>0</v>
      </c>
      <c r="BG12" s="6"/>
      <c r="BH12" s="79">
        <f>'Private car Nov-25 '!BH12-'Private car AUG-25 '!BH12</f>
        <v>0</v>
      </c>
      <c r="BI12" s="79">
        <f>'Private car Nov-25 '!BI12-'Private car AUG-25 '!BI12</f>
        <v>0</v>
      </c>
      <c r="BJ12" s="6"/>
      <c r="BK12" s="79">
        <f>'Private car Nov-25 '!BK12-'Private car AUG-25 '!BK12</f>
        <v>0</v>
      </c>
      <c r="BL12" s="79">
        <f>'Private car Nov-25 '!BL12-'Private car AUG-25 '!BL12</f>
        <v>0</v>
      </c>
      <c r="BM12" s="79">
        <f>'Private car Nov-25 '!BM12-'Private car AUG-25 '!BM12</f>
        <v>0</v>
      </c>
      <c r="BN12" s="79">
        <f>'Private car Nov-25 '!BN12-'Private car AUG-25 '!BN12</f>
        <v>0</v>
      </c>
    </row>
    <row r="13" spans="2:66" x14ac:dyDescent="0.35">
      <c r="B13" s="10"/>
      <c r="C13" s="138"/>
      <c r="D13" s="11" t="s">
        <v>31</v>
      </c>
      <c r="E13" s="6"/>
      <c r="F13" s="79">
        <f>'Private car Nov-25 '!F13-'Private car AUG-25 '!F13</f>
        <v>0</v>
      </c>
      <c r="G13" s="79">
        <f>'Private car Nov-25 '!G13-'Private car AUG-25 '!G13</f>
        <v>0</v>
      </c>
      <c r="H13" s="6"/>
      <c r="I13" s="79">
        <f>'Private car Nov-25 '!I13-'Private car AUG-25 '!I13</f>
        <v>0</v>
      </c>
      <c r="J13" s="79">
        <f>'Private car Nov-25 '!J13-'Private car AUG-25 '!J13</f>
        <v>0</v>
      </c>
      <c r="K13" s="6"/>
      <c r="L13" s="79">
        <f>'Private car Nov-25 '!L13-'Private car AUG-25 '!L13</f>
        <v>0</v>
      </c>
      <c r="M13" s="79">
        <f>'Private car Nov-25 '!M13-'Private car AUG-25 '!M13</f>
        <v>0</v>
      </c>
      <c r="N13" s="6"/>
      <c r="O13" s="79">
        <f>'Private car Nov-25 '!O13-'Private car AUG-25 '!O13</f>
        <v>0</v>
      </c>
      <c r="P13" s="79">
        <f>'Private car Nov-25 '!P13-'Private car AUG-25 '!P13</f>
        <v>0</v>
      </c>
      <c r="Q13" s="6"/>
      <c r="R13" s="79">
        <f>'Private car Nov-25 '!R13-'Private car AUG-25 '!R13</f>
        <v>0</v>
      </c>
      <c r="S13" s="79">
        <f>'Private car Nov-25 '!S13-'Private car AUG-25 '!S13</f>
        <v>0</v>
      </c>
      <c r="T13" s="6"/>
      <c r="U13" s="79">
        <f>'Private car Nov-25 '!U13-'Private car AUG-25 '!U13</f>
        <v>0</v>
      </c>
      <c r="V13" s="79">
        <f>'Private car Nov-25 '!V13-'Private car AUG-25 '!V13</f>
        <v>0</v>
      </c>
      <c r="W13" s="6"/>
      <c r="X13" s="79">
        <f>'Private car Nov-25 '!X13-'Private car AUG-25 '!X13</f>
        <v>0</v>
      </c>
      <c r="Y13" s="79">
        <f>'Private car Nov-25 '!Y13-'Private car AUG-25 '!Y13</f>
        <v>0</v>
      </c>
      <c r="Z13" s="6"/>
      <c r="AA13" s="79">
        <f>'Private car Nov-25 '!AA13-'Private car AUG-25 '!AA13</f>
        <v>0</v>
      </c>
      <c r="AB13" s="79">
        <f>'Private car Nov-25 '!AB13-'Private car AUG-25 '!AB13</f>
        <v>0</v>
      </c>
      <c r="AC13" s="6"/>
      <c r="AD13" s="79">
        <f>'Private car Nov-25 '!AD13-'Private car AUG-25 '!AD13</f>
        <v>0</v>
      </c>
      <c r="AE13" s="79">
        <f>'Private car Nov-25 '!AE13-'Private car AUG-25 '!AE13</f>
        <v>0</v>
      </c>
      <c r="AF13" s="6"/>
      <c r="AG13" s="79">
        <f>'Private car Nov-25 '!AG13-'Private car AUG-25 '!AG13</f>
        <v>0</v>
      </c>
      <c r="AH13" s="79">
        <f>'Private car Nov-25 '!AH13-'Private car AUG-25 '!AH13</f>
        <v>0</v>
      </c>
      <c r="AI13" s="6"/>
      <c r="AJ13" s="79">
        <f>'Private car Nov-25 '!AJ13-'Private car AUG-25 '!AJ13</f>
        <v>0</v>
      </c>
      <c r="AK13" s="79">
        <f>'Private car Nov-25 '!AK13-'Private car AUG-25 '!AK13</f>
        <v>0</v>
      </c>
      <c r="AL13" s="6"/>
      <c r="AM13" s="79">
        <f>'Private car Nov-25 '!AM13-'Private car AUG-25 '!AM13</f>
        <v>0</v>
      </c>
      <c r="AN13" s="79">
        <f>'Private car Nov-25 '!AN13-'Private car AUG-25 '!AN13</f>
        <v>0</v>
      </c>
      <c r="AO13" s="6"/>
      <c r="AP13" s="79">
        <f>'Private car Nov-25 '!AP13-'Private car AUG-25 '!AP13</f>
        <v>0</v>
      </c>
      <c r="AQ13" s="79">
        <f>'Private car Nov-25 '!AQ13-'Private car AUG-25 '!AQ13</f>
        <v>0</v>
      </c>
      <c r="AR13" s="6"/>
      <c r="AS13" s="79">
        <f>'Private car Nov-25 '!AS13-'Private car AUG-25 '!AS13</f>
        <v>0</v>
      </c>
      <c r="AT13" s="79">
        <f>'Private car Nov-25 '!AT13-'Private car AUG-25 '!AT13</f>
        <v>0</v>
      </c>
      <c r="AU13" s="6"/>
      <c r="AV13" s="79">
        <f>'Private car Nov-25 '!AV13-'Private car AUG-25 '!AV13</f>
        <v>0</v>
      </c>
      <c r="AW13" s="79">
        <f>'Private car Nov-25 '!AW13-'Private car AUG-25 '!AW13</f>
        <v>0</v>
      </c>
      <c r="AX13" s="6"/>
      <c r="AY13" s="79">
        <f>'Private car Nov-25 '!AY13-'Private car AUG-25 '!AY13</f>
        <v>0</v>
      </c>
      <c r="AZ13" s="79">
        <f>'Private car Nov-25 '!AZ13-'Private car AUG-25 '!AZ13</f>
        <v>0</v>
      </c>
      <c r="BA13" s="6"/>
      <c r="BB13" s="79">
        <f>'Private car Nov-25 '!BB13-'Private car AUG-25 '!BB13</f>
        <v>0</v>
      </c>
      <c r="BC13" s="79">
        <f>'Private car Nov-25 '!BC13-'Private car AUG-25 '!BC13</f>
        <v>0</v>
      </c>
      <c r="BD13" s="6"/>
      <c r="BE13" s="79">
        <f>'Private car Nov-25 '!BE13-'Private car AUG-25 '!BE13</f>
        <v>0</v>
      </c>
      <c r="BF13" s="79">
        <f>'Private car Nov-25 '!BF13-'Private car AUG-25 '!BF13</f>
        <v>0</v>
      </c>
      <c r="BG13" s="6"/>
      <c r="BH13" s="79">
        <f>'Private car Nov-25 '!BH13-'Private car AUG-25 '!BH13</f>
        <v>0</v>
      </c>
      <c r="BI13" s="79">
        <f>'Private car Nov-25 '!BI13-'Private car AUG-25 '!BI13</f>
        <v>0</v>
      </c>
      <c r="BJ13" s="6"/>
      <c r="BK13" s="79">
        <f>'Private car Nov-25 '!BK13-'Private car AUG-25 '!BK13</f>
        <v>0</v>
      </c>
      <c r="BL13" s="79">
        <f>'Private car Nov-25 '!BL13-'Private car AUG-25 '!BL13</f>
        <v>0</v>
      </c>
      <c r="BM13" s="79">
        <f>'Private car Nov-25 '!BM13-'Private car AUG-25 '!BM13</f>
        <v>0</v>
      </c>
      <c r="BN13" s="79">
        <f>'Private car Nov-25 '!BN13-'Private car AUG-25 '!BN13</f>
        <v>0</v>
      </c>
    </row>
    <row r="14" spans="2:66" x14ac:dyDescent="0.35">
      <c r="B14" s="24"/>
      <c r="C14" s="138"/>
      <c r="D14" s="11" t="s">
        <v>32</v>
      </c>
      <c r="E14" s="6"/>
      <c r="F14" s="79">
        <f>'Private car Nov-25 '!F14-'Private car AUG-25 '!F14</f>
        <v>0</v>
      </c>
      <c r="G14" s="79">
        <f>'Private car Nov-25 '!G14-'Private car AUG-25 '!G14</f>
        <v>0</v>
      </c>
      <c r="H14" s="6"/>
      <c r="I14" s="79">
        <f>'Private car Nov-25 '!I14-'Private car AUG-25 '!I14</f>
        <v>0</v>
      </c>
      <c r="J14" s="79">
        <f>'Private car Nov-25 '!J14-'Private car AUG-25 '!J14</f>
        <v>0</v>
      </c>
      <c r="K14" s="6"/>
      <c r="L14" s="79">
        <f>'Private car Nov-25 '!L14-'Private car AUG-25 '!L14</f>
        <v>0</v>
      </c>
      <c r="M14" s="79">
        <f>'Private car Nov-25 '!M14-'Private car AUG-25 '!M14</f>
        <v>0</v>
      </c>
      <c r="N14" s="6"/>
      <c r="O14" s="79">
        <f>'Private car Nov-25 '!O14-'Private car AUG-25 '!O14</f>
        <v>0</v>
      </c>
      <c r="P14" s="79">
        <f>'Private car Nov-25 '!P14-'Private car AUG-25 '!P14</f>
        <v>0</v>
      </c>
      <c r="Q14" s="6"/>
      <c r="R14" s="79">
        <f>'Private car Nov-25 '!R14-'Private car AUG-25 '!R14</f>
        <v>0</v>
      </c>
      <c r="S14" s="79">
        <f>'Private car Nov-25 '!S14-'Private car AUG-25 '!S14</f>
        <v>0</v>
      </c>
      <c r="T14" s="6"/>
      <c r="U14" s="79">
        <f>'Private car Nov-25 '!U14-'Private car AUG-25 '!U14</f>
        <v>0</v>
      </c>
      <c r="V14" s="79">
        <f>'Private car Nov-25 '!V14-'Private car AUG-25 '!V14</f>
        <v>0</v>
      </c>
      <c r="W14" s="6"/>
      <c r="X14" s="79">
        <f>'Private car Nov-25 '!X14-'Private car AUG-25 '!X14</f>
        <v>0</v>
      </c>
      <c r="Y14" s="79">
        <f>'Private car Nov-25 '!Y14-'Private car AUG-25 '!Y14</f>
        <v>0</v>
      </c>
      <c r="Z14" s="6"/>
      <c r="AA14" s="79">
        <f>'Private car Nov-25 '!AA14-'Private car AUG-25 '!AA14</f>
        <v>0</v>
      </c>
      <c r="AB14" s="79">
        <f>'Private car Nov-25 '!AB14-'Private car AUG-25 '!AB14</f>
        <v>0</v>
      </c>
      <c r="AC14" s="6"/>
      <c r="AD14" s="79">
        <f>'Private car Nov-25 '!AD14-'Private car AUG-25 '!AD14</f>
        <v>0</v>
      </c>
      <c r="AE14" s="79">
        <f>'Private car Nov-25 '!AE14-'Private car AUG-25 '!AE14</f>
        <v>0</v>
      </c>
      <c r="AF14" s="6"/>
      <c r="AG14" s="79">
        <f>'Private car Nov-25 '!AG14-'Private car AUG-25 '!AG14</f>
        <v>0</v>
      </c>
      <c r="AH14" s="79">
        <f>'Private car Nov-25 '!AH14-'Private car AUG-25 '!AH14</f>
        <v>0</v>
      </c>
      <c r="AI14" s="6"/>
      <c r="AJ14" s="79">
        <f>'Private car Nov-25 '!AJ14-'Private car AUG-25 '!AJ14</f>
        <v>0</v>
      </c>
      <c r="AK14" s="79">
        <f>'Private car Nov-25 '!AK14-'Private car AUG-25 '!AK14</f>
        <v>0</v>
      </c>
      <c r="AL14" s="6"/>
      <c r="AM14" s="79">
        <f>'Private car Nov-25 '!AM14-'Private car AUG-25 '!AM14</f>
        <v>0</v>
      </c>
      <c r="AN14" s="79">
        <f>'Private car Nov-25 '!AN14-'Private car AUG-25 '!AN14</f>
        <v>0</v>
      </c>
      <c r="AO14" s="6"/>
      <c r="AP14" s="79">
        <f>'Private car Nov-25 '!AP14-'Private car AUG-25 '!AP14</f>
        <v>0</v>
      </c>
      <c r="AQ14" s="79">
        <f>'Private car Nov-25 '!AQ14-'Private car AUG-25 '!AQ14</f>
        <v>0</v>
      </c>
      <c r="AR14" s="6"/>
      <c r="AS14" s="79">
        <f>'Private car Nov-25 '!AS14-'Private car AUG-25 '!AS14</f>
        <v>0</v>
      </c>
      <c r="AT14" s="79">
        <f>'Private car Nov-25 '!AT14-'Private car AUG-25 '!AT14</f>
        <v>0</v>
      </c>
      <c r="AU14" s="6"/>
      <c r="AV14" s="79">
        <f>'Private car Nov-25 '!AV14-'Private car AUG-25 '!AV14</f>
        <v>0</v>
      </c>
      <c r="AW14" s="79">
        <f>'Private car Nov-25 '!AW14-'Private car AUG-25 '!AW14</f>
        <v>0</v>
      </c>
      <c r="AX14" s="6"/>
      <c r="AY14" s="79">
        <f>'Private car Nov-25 '!AY14-'Private car AUG-25 '!AY14</f>
        <v>0</v>
      </c>
      <c r="AZ14" s="79">
        <f>'Private car Nov-25 '!AZ14-'Private car AUG-25 '!AZ14</f>
        <v>0</v>
      </c>
      <c r="BA14" s="6"/>
      <c r="BB14" s="79">
        <f>'Private car Nov-25 '!BB14-'Private car AUG-25 '!BB14</f>
        <v>0</v>
      </c>
      <c r="BC14" s="79">
        <f>'Private car Nov-25 '!BC14-'Private car AUG-25 '!BC14</f>
        <v>0</v>
      </c>
      <c r="BD14" s="6"/>
      <c r="BE14" s="79">
        <f>'Private car Nov-25 '!BE14-'Private car AUG-25 '!BE14</f>
        <v>0</v>
      </c>
      <c r="BF14" s="79">
        <f>'Private car Nov-25 '!BF14-'Private car AUG-25 '!BF14</f>
        <v>0</v>
      </c>
      <c r="BG14" s="6"/>
      <c r="BH14" s="79">
        <f>'Private car Nov-25 '!BH14-'Private car AUG-25 '!BH14</f>
        <v>0</v>
      </c>
      <c r="BI14" s="79">
        <f>'Private car Nov-25 '!BI14-'Private car AUG-25 '!BI14</f>
        <v>0</v>
      </c>
      <c r="BJ14" s="6"/>
      <c r="BK14" s="79">
        <f>'Private car Nov-25 '!BK14-'Private car AUG-25 '!BK14</f>
        <v>0</v>
      </c>
      <c r="BL14" s="79">
        <f>'Private car Nov-25 '!BL14-'Private car AUG-25 '!BL14</f>
        <v>0</v>
      </c>
      <c r="BM14" s="79">
        <f>'Private car Nov-25 '!BM14-'Private car AUG-25 '!BM14</f>
        <v>0</v>
      </c>
      <c r="BN14" s="79">
        <f>'Private car Nov-25 '!BN14-'Private car AUG-25 '!BN14</f>
        <v>0</v>
      </c>
    </row>
    <row r="15" spans="2:66" ht="4.5" customHeight="1" x14ac:dyDescent="0.35">
      <c r="B15" s="17"/>
      <c r="C15" s="138"/>
      <c r="D15" s="18"/>
      <c r="E15" s="6"/>
      <c r="F15" s="19"/>
      <c r="G15" s="20"/>
      <c r="H15" s="6"/>
      <c r="I15" s="19"/>
      <c r="J15" s="20"/>
      <c r="K15" s="6"/>
      <c r="L15" s="19"/>
      <c r="M15" s="20"/>
      <c r="N15" s="6"/>
      <c r="O15" s="19"/>
      <c r="P15" s="20"/>
      <c r="Q15" s="6"/>
      <c r="R15" s="19"/>
      <c r="S15" s="20"/>
      <c r="T15" s="6"/>
      <c r="U15" s="19"/>
      <c r="V15" s="20"/>
      <c r="W15" s="6"/>
      <c r="X15" s="19"/>
      <c r="Y15" s="20"/>
      <c r="Z15" s="6"/>
      <c r="AA15" s="19"/>
      <c r="AB15" s="20"/>
      <c r="AC15" s="6"/>
      <c r="AD15" s="19"/>
      <c r="AE15" s="20"/>
      <c r="AF15" s="6"/>
      <c r="AG15" s="19"/>
      <c r="AH15" s="20"/>
      <c r="AI15" s="6"/>
      <c r="AJ15" s="19"/>
      <c r="AK15" s="20"/>
      <c r="AL15" s="6"/>
      <c r="AM15" s="19"/>
      <c r="AN15" s="20"/>
      <c r="AO15" s="6"/>
      <c r="AP15" s="19"/>
      <c r="AQ15" s="20"/>
      <c r="AR15" s="6"/>
      <c r="AS15" s="19"/>
      <c r="AT15" s="20"/>
      <c r="AU15" s="6"/>
      <c r="AV15" s="19"/>
      <c r="AW15" s="20"/>
      <c r="AX15" s="6"/>
      <c r="AY15" s="20"/>
      <c r="AZ15" s="20"/>
      <c r="BA15" s="20"/>
      <c r="BB15" s="20"/>
      <c r="BC15" s="20"/>
      <c r="BD15" s="20"/>
      <c r="BE15" s="20"/>
      <c r="BF15" s="20"/>
      <c r="BG15" s="6"/>
      <c r="BH15" s="19"/>
      <c r="BI15" s="20"/>
      <c r="BJ15" s="6"/>
      <c r="BK15" s="20"/>
      <c r="BL15" s="20"/>
      <c r="BM15" s="20"/>
      <c r="BN15" s="20"/>
    </row>
    <row r="16" spans="2:66" ht="14.5" customHeight="1" x14ac:dyDescent="0.35">
      <c r="B16" s="23"/>
      <c r="C16" s="138"/>
      <c r="D16" s="11" t="s">
        <v>33</v>
      </c>
      <c r="E16" s="6"/>
      <c r="F16" s="79">
        <f>'Private car Nov-25 '!F16-'Private car AUG-25 '!F16</f>
        <v>0</v>
      </c>
      <c r="G16" s="79">
        <f>'Private car Nov-25 '!G16-'Private car AUG-25 '!G16</f>
        <v>0</v>
      </c>
      <c r="H16" s="6"/>
      <c r="I16" s="79">
        <f>'Private car Nov-25 '!I16-'Private car AUG-25 '!I16</f>
        <v>0</v>
      </c>
      <c r="J16" s="79">
        <f>'Private car Nov-25 '!J16-'Private car AUG-25 '!J16</f>
        <v>0</v>
      </c>
      <c r="K16" s="6"/>
      <c r="L16" s="79">
        <f>'Private car Nov-25 '!L16-'Private car AUG-25 '!L16</f>
        <v>0</v>
      </c>
      <c r="M16" s="79">
        <f>'Private car Nov-25 '!M16-'Private car AUG-25 '!M16</f>
        <v>0</v>
      </c>
      <c r="N16" s="6"/>
      <c r="O16" s="79">
        <f>'Private car Nov-25 '!O16-'Private car AUG-25 '!O16</f>
        <v>0</v>
      </c>
      <c r="P16" s="79">
        <f>'Private car Nov-25 '!P16-'Private car AUG-25 '!P16</f>
        <v>0</v>
      </c>
      <c r="Q16" s="6"/>
      <c r="R16" s="79">
        <f>'Private car Nov-25 '!R16-'Private car AUG-25 '!R16</f>
        <v>0</v>
      </c>
      <c r="S16" s="79">
        <f>'Private car Nov-25 '!S16-'Private car AUG-25 '!S16</f>
        <v>0</v>
      </c>
      <c r="T16" s="6"/>
      <c r="U16" s="79">
        <f>'Private car Nov-25 '!U16-'Private car AUG-25 '!U16</f>
        <v>0</v>
      </c>
      <c r="V16" s="79">
        <f>'Private car Nov-25 '!V16-'Private car AUG-25 '!V16</f>
        <v>0</v>
      </c>
      <c r="W16" s="6"/>
      <c r="X16" s="79">
        <f>'Private car Nov-25 '!X16-'Private car AUG-25 '!X16</f>
        <v>0</v>
      </c>
      <c r="Y16" s="79">
        <f>'Private car Nov-25 '!Y16-'Private car AUG-25 '!Y16</f>
        <v>0</v>
      </c>
      <c r="Z16" s="6"/>
      <c r="AA16" s="79">
        <f>'Private car Nov-25 '!AA16-'Private car AUG-25 '!AA16</f>
        <v>0</v>
      </c>
      <c r="AB16" s="79">
        <f>'Private car Nov-25 '!AB16-'Private car AUG-25 '!AB16</f>
        <v>0</v>
      </c>
      <c r="AC16" s="6"/>
      <c r="AD16" s="79">
        <f>'Private car Nov-25 '!AD16-'Private car AUG-25 '!AD16</f>
        <v>0</v>
      </c>
      <c r="AE16" s="79">
        <f>'Private car Nov-25 '!AE16-'Private car AUG-25 '!AE16</f>
        <v>0</v>
      </c>
      <c r="AF16" s="6"/>
      <c r="AG16" s="79">
        <f>'Private car Nov-25 '!AG16-'Private car AUG-25 '!AG16</f>
        <v>0</v>
      </c>
      <c r="AH16" s="79">
        <f>'Private car Nov-25 '!AH16-'Private car AUG-25 '!AH16</f>
        <v>0</v>
      </c>
      <c r="AI16" s="6"/>
      <c r="AJ16" s="79">
        <f>'Private car Nov-25 '!AJ16-'Private car AUG-25 '!AJ16</f>
        <v>0</v>
      </c>
      <c r="AK16" s="79">
        <f>'Private car Nov-25 '!AK16-'Private car AUG-25 '!AK16</f>
        <v>0</v>
      </c>
      <c r="AL16" s="6"/>
      <c r="AM16" s="79">
        <f>'Private car Nov-25 '!AM16-'Private car AUG-25 '!AM16</f>
        <v>0</v>
      </c>
      <c r="AN16" s="79">
        <f>'Private car Nov-25 '!AN16-'Private car AUG-25 '!AN16</f>
        <v>0</v>
      </c>
      <c r="AO16" s="6"/>
      <c r="AP16" s="79">
        <f>'Private car Nov-25 '!AP16-'Private car AUG-25 '!AP16</f>
        <v>0</v>
      </c>
      <c r="AQ16" s="79">
        <f>'Private car Nov-25 '!AQ16-'Private car AUG-25 '!AQ16</f>
        <v>0</v>
      </c>
      <c r="AR16" s="6"/>
      <c r="AS16" s="79">
        <f>'Private car Nov-25 '!AS16-'Private car AUG-25 '!AS16</f>
        <v>0</v>
      </c>
      <c r="AT16" s="79">
        <f>'Private car Nov-25 '!AT16-'Private car AUG-25 '!AT16</f>
        <v>0</v>
      </c>
      <c r="AU16" s="6"/>
      <c r="AV16" s="79">
        <f>'Private car Nov-25 '!AV16-'Private car AUG-25 '!AV16</f>
        <v>0</v>
      </c>
      <c r="AW16" s="79">
        <f>'Private car Nov-25 '!AW16-'Private car AUG-25 '!AW16</f>
        <v>0</v>
      </c>
      <c r="AX16" s="6"/>
      <c r="AY16" s="79">
        <f>'Private car Nov-25 '!AY16-'Private car AUG-25 '!AY16</f>
        <v>0</v>
      </c>
      <c r="AZ16" s="79">
        <f>'Private car Nov-25 '!AZ16-'Private car AUG-25 '!AZ16</f>
        <v>0</v>
      </c>
      <c r="BA16" s="6"/>
      <c r="BB16" s="79">
        <f>'Private car Nov-25 '!BB16-'Private car AUG-25 '!BB16</f>
        <v>0</v>
      </c>
      <c r="BC16" s="79">
        <f>'Private car Nov-25 '!BC16-'Private car AUG-25 '!BC16</f>
        <v>0</v>
      </c>
      <c r="BD16" s="6"/>
      <c r="BE16" s="79">
        <f>'Private car Nov-25 '!BE16-'Private car AUG-25 '!BE16</f>
        <v>0</v>
      </c>
      <c r="BF16" s="79">
        <f>'Private car Nov-25 '!BF16-'Private car AUG-25 '!BF16</f>
        <v>0</v>
      </c>
      <c r="BG16" s="6"/>
      <c r="BH16" s="79">
        <f>'Private car Nov-25 '!BH16-'Private car AUG-25 '!BH16</f>
        <v>0</v>
      </c>
      <c r="BI16" s="79">
        <f>'Private car Nov-25 '!BI16-'Private car AUG-25 '!BI16</f>
        <v>0</v>
      </c>
      <c r="BJ16" s="6"/>
      <c r="BK16" s="79">
        <f>'Private car Nov-25 '!BK16-'Private car AUG-25 '!BK16</f>
        <v>0</v>
      </c>
      <c r="BL16" s="79">
        <f>'Private car Nov-25 '!BL16-'Private car AUG-25 '!BL16</f>
        <v>0</v>
      </c>
      <c r="BM16" s="79">
        <f>'Private car Nov-25 '!BM16-'Private car AUG-25 '!BM16</f>
        <v>0</v>
      </c>
      <c r="BN16" s="79">
        <f>'Private car Nov-25 '!BN16-'Private car AUG-25 '!BN16</f>
        <v>0</v>
      </c>
    </row>
    <row r="17" spans="2:66" x14ac:dyDescent="0.35">
      <c r="B17" s="10"/>
      <c r="C17" s="138"/>
      <c r="D17" s="11" t="s">
        <v>34</v>
      </c>
      <c r="E17" s="6"/>
      <c r="F17" s="79">
        <f>'Private car Nov-25 '!F17-'Private car AUG-25 '!F17</f>
        <v>0</v>
      </c>
      <c r="G17" s="79">
        <f>'Private car Nov-25 '!G17-'Private car AUG-25 '!G17</f>
        <v>0</v>
      </c>
      <c r="H17" s="6"/>
      <c r="I17" s="79">
        <f>'Private car Nov-25 '!I17-'Private car AUG-25 '!I17</f>
        <v>0</v>
      </c>
      <c r="J17" s="79">
        <f>'Private car Nov-25 '!J17-'Private car AUG-25 '!J17</f>
        <v>0</v>
      </c>
      <c r="K17" s="6"/>
      <c r="L17" s="79">
        <f>'Private car Nov-25 '!L17-'Private car AUG-25 '!L17</f>
        <v>0</v>
      </c>
      <c r="M17" s="79">
        <f>'Private car Nov-25 '!M17-'Private car AUG-25 '!M17</f>
        <v>0</v>
      </c>
      <c r="N17" s="6"/>
      <c r="O17" s="79">
        <f>'Private car Nov-25 '!O17-'Private car AUG-25 '!O17</f>
        <v>0</v>
      </c>
      <c r="P17" s="79">
        <f>'Private car Nov-25 '!P17-'Private car AUG-25 '!P17</f>
        <v>0</v>
      </c>
      <c r="Q17" s="6"/>
      <c r="R17" s="79">
        <f>'Private car Nov-25 '!R17-'Private car AUG-25 '!R17</f>
        <v>0</v>
      </c>
      <c r="S17" s="79">
        <f>'Private car Nov-25 '!S17-'Private car AUG-25 '!S17</f>
        <v>0</v>
      </c>
      <c r="T17" s="6"/>
      <c r="U17" s="79">
        <f>'Private car Nov-25 '!U17-'Private car AUG-25 '!U17</f>
        <v>0</v>
      </c>
      <c r="V17" s="79">
        <f>'Private car Nov-25 '!V17-'Private car AUG-25 '!V17</f>
        <v>0</v>
      </c>
      <c r="W17" s="6"/>
      <c r="X17" s="79">
        <f>'Private car Nov-25 '!X17-'Private car AUG-25 '!X17</f>
        <v>0</v>
      </c>
      <c r="Y17" s="79">
        <f>'Private car Nov-25 '!Y17-'Private car AUG-25 '!Y17</f>
        <v>0</v>
      </c>
      <c r="Z17" s="6"/>
      <c r="AA17" s="79">
        <f>'Private car Nov-25 '!AA17-'Private car AUG-25 '!AA17</f>
        <v>0</v>
      </c>
      <c r="AB17" s="79">
        <f>'Private car Nov-25 '!AB17-'Private car AUG-25 '!AB17</f>
        <v>0</v>
      </c>
      <c r="AC17" s="6"/>
      <c r="AD17" s="79">
        <f>'Private car Nov-25 '!AD17-'Private car AUG-25 '!AD17</f>
        <v>0</v>
      </c>
      <c r="AE17" s="79">
        <f>'Private car Nov-25 '!AE17-'Private car AUG-25 '!AE17</f>
        <v>0</v>
      </c>
      <c r="AF17" s="6"/>
      <c r="AG17" s="79">
        <f>'Private car Nov-25 '!AG17-'Private car AUG-25 '!AG17</f>
        <v>0</v>
      </c>
      <c r="AH17" s="79">
        <f>'Private car Nov-25 '!AH17-'Private car AUG-25 '!AH17</f>
        <v>0</v>
      </c>
      <c r="AI17" s="6"/>
      <c r="AJ17" s="79">
        <f>'Private car Nov-25 '!AJ17-'Private car AUG-25 '!AJ17</f>
        <v>0</v>
      </c>
      <c r="AK17" s="79">
        <f>'Private car Nov-25 '!AK17-'Private car AUG-25 '!AK17</f>
        <v>0</v>
      </c>
      <c r="AL17" s="6"/>
      <c r="AM17" s="79">
        <f>'Private car Nov-25 '!AM17-'Private car AUG-25 '!AM17</f>
        <v>0</v>
      </c>
      <c r="AN17" s="79">
        <f>'Private car Nov-25 '!AN17-'Private car AUG-25 '!AN17</f>
        <v>0</v>
      </c>
      <c r="AO17" s="6"/>
      <c r="AP17" s="79">
        <f>'Private car Nov-25 '!AP17-'Private car AUG-25 '!AP17</f>
        <v>0</v>
      </c>
      <c r="AQ17" s="79">
        <f>'Private car Nov-25 '!AQ17-'Private car AUG-25 '!AQ17</f>
        <v>0</v>
      </c>
      <c r="AR17" s="6"/>
      <c r="AS17" s="79">
        <f>'Private car Nov-25 '!AS17-'Private car AUG-25 '!AS17</f>
        <v>0</v>
      </c>
      <c r="AT17" s="79">
        <f>'Private car Nov-25 '!AT17-'Private car AUG-25 '!AT17</f>
        <v>0</v>
      </c>
      <c r="AU17" s="6"/>
      <c r="AV17" s="79">
        <f>'Private car Nov-25 '!AV17-'Private car AUG-25 '!AV17</f>
        <v>0</v>
      </c>
      <c r="AW17" s="79">
        <f>'Private car Nov-25 '!AW17-'Private car AUG-25 '!AW17</f>
        <v>0</v>
      </c>
      <c r="AX17" s="6"/>
      <c r="AY17" s="79">
        <f>'Private car Nov-25 '!AY17-'Private car AUG-25 '!AY17</f>
        <v>0</v>
      </c>
      <c r="AZ17" s="79">
        <f>'Private car Nov-25 '!AZ17-'Private car AUG-25 '!AZ17</f>
        <v>0</v>
      </c>
      <c r="BA17" s="6"/>
      <c r="BB17" s="79">
        <f>'Private car Nov-25 '!BB17-'Private car AUG-25 '!BB17</f>
        <v>0</v>
      </c>
      <c r="BC17" s="79">
        <f>'Private car Nov-25 '!BC17-'Private car AUG-25 '!BC17</f>
        <v>0</v>
      </c>
      <c r="BD17" s="6"/>
      <c r="BE17" s="79">
        <f>'Private car Nov-25 '!BE17-'Private car AUG-25 '!BE17</f>
        <v>0</v>
      </c>
      <c r="BF17" s="79">
        <f>'Private car Nov-25 '!BF17-'Private car AUG-25 '!BF17</f>
        <v>0</v>
      </c>
      <c r="BG17" s="6"/>
      <c r="BH17" s="79">
        <f>'Private car Nov-25 '!BH17-'Private car AUG-25 '!BH17</f>
        <v>0</v>
      </c>
      <c r="BI17" s="79">
        <f>'Private car Nov-25 '!BI17-'Private car AUG-25 '!BI17</f>
        <v>0</v>
      </c>
      <c r="BJ17" s="6"/>
      <c r="BK17" s="79">
        <f>'Private car Nov-25 '!BK17-'Private car AUG-25 '!BK17</f>
        <v>0</v>
      </c>
      <c r="BL17" s="79">
        <f>'Private car Nov-25 '!BL17-'Private car AUG-25 '!BL17</f>
        <v>0</v>
      </c>
      <c r="BM17" s="79">
        <f>'Private car Nov-25 '!BM17-'Private car AUG-25 '!BM17</f>
        <v>0</v>
      </c>
      <c r="BN17" s="79">
        <f>'Private car Nov-25 '!BN17-'Private car AUG-25 '!BN17</f>
        <v>0</v>
      </c>
    </row>
    <row r="18" spans="2:66" x14ac:dyDescent="0.35">
      <c r="B18" s="10"/>
      <c r="C18" s="138"/>
      <c r="D18" s="11" t="s">
        <v>35</v>
      </c>
      <c r="E18" s="6"/>
      <c r="F18" s="79">
        <f>'Private car Nov-25 '!F18-'Private car AUG-25 '!F18</f>
        <v>0</v>
      </c>
      <c r="G18" s="79">
        <f>'Private car Nov-25 '!G18-'Private car AUG-25 '!G18</f>
        <v>0</v>
      </c>
      <c r="H18" s="6"/>
      <c r="I18" s="79">
        <f>'Private car Nov-25 '!I18-'Private car AUG-25 '!I18</f>
        <v>0</v>
      </c>
      <c r="J18" s="79">
        <f>'Private car Nov-25 '!J18-'Private car AUG-25 '!J18</f>
        <v>0</v>
      </c>
      <c r="K18" s="6"/>
      <c r="L18" s="79">
        <f>'Private car Nov-25 '!L18-'Private car AUG-25 '!L18</f>
        <v>0</v>
      </c>
      <c r="M18" s="79">
        <f>'Private car Nov-25 '!M18-'Private car AUG-25 '!M18</f>
        <v>0</v>
      </c>
      <c r="N18" s="6"/>
      <c r="O18" s="79">
        <f>'Private car Nov-25 '!O18-'Private car AUG-25 '!O18</f>
        <v>0</v>
      </c>
      <c r="P18" s="79">
        <f>'Private car Nov-25 '!P18-'Private car AUG-25 '!P18</f>
        <v>0</v>
      </c>
      <c r="Q18" s="6"/>
      <c r="R18" s="79">
        <f>'Private car Nov-25 '!R18-'Private car AUG-25 '!R18</f>
        <v>0</v>
      </c>
      <c r="S18" s="79">
        <f>'Private car Nov-25 '!S18-'Private car AUG-25 '!S18</f>
        <v>0</v>
      </c>
      <c r="T18" s="6"/>
      <c r="U18" s="79">
        <f>'Private car Nov-25 '!U18-'Private car AUG-25 '!U18</f>
        <v>0</v>
      </c>
      <c r="V18" s="79">
        <f>'Private car Nov-25 '!V18-'Private car AUG-25 '!V18</f>
        <v>0</v>
      </c>
      <c r="W18" s="6"/>
      <c r="X18" s="79">
        <f>'Private car Nov-25 '!X18-'Private car AUG-25 '!X18</f>
        <v>0</v>
      </c>
      <c r="Y18" s="79">
        <f>'Private car Nov-25 '!Y18-'Private car AUG-25 '!Y18</f>
        <v>0</v>
      </c>
      <c r="Z18" s="6"/>
      <c r="AA18" s="79">
        <f>'Private car Nov-25 '!AA18-'Private car AUG-25 '!AA18</f>
        <v>0</v>
      </c>
      <c r="AB18" s="79">
        <f>'Private car Nov-25 '!AB18-'Private car AUG-25 '!AB18</f>
        <v>0</v>
      </c>
      <c r="AC18" s="6"/>
      <c r="AD18" s="79">
        <f>'Private car Nov-25 '!AD18-'Private car AUG-25 '!AD18</f>
        <v>0</v>
      </c>
      <c r="AE18" s="79">
        <f>'Private car Nov-25 '!AE18-'Private car AUG-25 '!AE18</f>
        <v>0</v>
      </c>
      <c r="AF18" s="6"/>
      <c r="AG18" s="79">
        <f>'Private car Nov-25 '!AG18-'Private car AUG-25 '!AG18</f>
        <v>0</v>
      </c>
      <c r="AH18" s="79">
        <f>'Private car Nov-25 '!AH18-'Private car AUG-25 '!AH18</f>
        <v>0</v>
      </c>
      <c r="AI18" s="6"/>
      <c r="AJ18" s="79">
        <f>'Private car Nov-25 '!AJ18-'Private car AUG-25 '!AJ18</f>
        <v>0</v>
      </c>
      <c r="AK18" s="79">
        <f>'Private car Nov-25 '!AK18-'Private car AUG-25 '!AK18</f>
        <v>0</v>
      </c>
      <c r="AL18" s="6"/>
      <c r="AM18" s="79">
        <f>'Private car Nov-25 '!AM18-'Private car AUG-25 '!AM18</f>
        <v>0</v>
      </c>
      <c r="AN18" s="79">
        <f>'Private car Nov-25 '!AN18-'Private car AUG-25 '!AN18</f>
        <v>0</v>
      </c>
      <c r="AO18" s="6"/>
      <c r="AP18" s="79">
        <f>'Private car Nov-25 '!AP18-'Private car AUG-25 '!AP18</f>
        <v>0</v>
      </c>
      <c r="AQ18" s="79">
        <f>'Private car Nov-25 '!AQ18-'Private car AUG-25 '!AQ18</f>
        <v>0</v>
      </c>
      <c r="AR18" s="6"/>
      <c r="AS18" s="79">
        <f>'Private car Nov-25 '!AS18-'Private car AUG-25 '!AS18</f>
        <v>0</v>
      </c>
      <c r="AT18" s="79">
        <f>'Private car Nov-25 '!AT18-'Private car AUG-25 '!AT18</f>
        <v>0</v>
      </c>
      <c r="AU18" s="6"/>
      <c r="AV18" s="79">
        <f>'Private car Nov-25 '!AV18-'Private car AUG-25 '!AV18</f>
        <v>0</v>
      </c>
      <c r="AW18" s="79">
        <f>'Private car Nov-25 '!AW18-'Private car AUG-25 '!AW18</f>
        <v>0</v>
      </c>
      <c r="AX18" s="6"/>
      <c r="AY18" s="79">
        <f>'Private car Nov-25 '!AY18-'Private car AUG-25 '!AY18</f>
        <v>0</v>
      </c>
      <c r="AZ18" s="79">
        <f>'Private car Nov-25 '!AZ18-'Private car AUG-25 '!AZ18</f>
        <v>0</v>
      </c>
      <c r="BA18" s="6"/>
      <c r="BB18" s="79">
        <f>'Private car Nov-25 '!BB18-'Private car AUG-25 '!BB18</f>
        <v>0</v>
      </c>
      <c r="BC18" s="79">
        <f>'Private car Nov-25 '!BC18-'Private car AUG-25 '!BC18</f>
        <v>0</v>
      </c>
      <c r="BD18" s="6"/>
      <c r="BE18" s="79">
        <f>'Private car Nov-25 '!BE18-'Private car AUG-25 '!BE18</f>
        <v>0</v>
      </c>
      <c r="BF18" s="79">
        <f>'Private car Nov-25 '!BF18-'Private car AUG-25 '!BF18</f>
        <v>0</v>
      </c>
      <c r="BG18" s="6"/>
      <c r="BH18" s="79">
        <f>'Private car Nov-25 '!BH18-'Private car AUG-25 '!BH18</f>
        <v>0</v>
      </c>
      <c r="BI18" s="79">
        <f>'Private car Nov-25 '!BI18-'Private car AUG-25 '!BI18</f>
        <v>0</v>
      </c>
      <c r="BJ18" s="6"/>
      <c r="BK18" s="79">
        <f>'Private car Nov-25 '!BK18-'Private car AUG-25 '!BK18</f>
        <v>0</v>
      </c>
      <c r="BL18" s="79">
        <f>'Private car Nov-25 '!BL18-'Private car AUG-25 '!BL18</f>
        <v>0</v>
      </c>
      <c r="BM18" s="79">
        <f>'Private car Nov-25 '!BM18-'Private car AUG-25 '!BM18</f>
        <v>0</v>
      </c>
      <c r="BN18" s="79">
        <f>'Private car Nov-25 '!BN18-'Private car AUG-25 '!BN18</f>
        <v>0</v>
      </c>
    </row>
    <row r="19" spans="2:66" customFormat="1" ht="3.75" customHeight="1" x14ac:dyDescent="0.35"/>
    <row r="20" spans="2:66" customFormat="1" ht="3.75" customHeight="1" x14ac:dyDescent="0.35"/>
    <row r="21" spans="2:66" ht="19" customHeight="1" x14ac:dyDescent="0.35">
      <c r="B21" s="10"/>
      <c r="C21" s="138" t="s">
        <v>25</v>
      </c>
      <c r="D21" s="11" t="s">
        <v>131</v>
      </c>
      <c r="E21" s="6"/>
      <c r="F21" s="79">
        <f>'Private car Nov-25 '!F21-'Private car AUG-25 '!F21</f>
        <v>0</v>
      </c>
      <c r="G21" s="79">
        <f>'Private car Nov-25 '!G21-'Private car AUG-25 '!G21</f>
        <v>-2.4999999999999967E-2</v>
      </c>
      <c r="H21" s="6"/>
      <c r="I21" s="79">
        <f>'Private car Nov-25 '!I21-'Private car AUG-25 '!I21</f>
        <v>0</v>
      </c>
      <c r="J21" s="79">
        <f>'Private car Nov-25 '!J21-'Private car AUG-25 '!J21</f>
        <v>-2.4999999999999967E-2</v>
      </c>
      <c r="K21" s="6"/>
      <c r="L21" s="79">
        <f>'Private car Nov-25 '!L21-'Private car AUG-25 '!L21</f>
        <v>0</v>
      </c>
      <c r="M21" s="79">
        <f>'Private car Nov-25 '!M21-'Private car AUG-25 '!M21</f>
        <v>-2.4999999999999967E-2</v>
      </c>
      <c r="N21" s="6"/>
      <c r="O21" s="79">
        <f>'Private car Nov-25 '!O21-'Private car AUG-25 '!O21</f>
        <v>0</v>
      </c>
      <c r="P21" s="79">
        <f>'Private car Nov-25 '!P21-'Private car AUG-25 '!P21</f>
        <v>-2.4999999999999967E-2</v>
      </c>
      <c r="Q21" s="6"/>
      <c r="R21" s="79">
        <f>'Private car Nov-25 '!R21-'Private car AUG-25 '!R21</f>
        <v>0</v>
      </c>
      <c r="S21" s="79">
        <f>'Private car Nov-25 '!S21-'Private car AUG-25 '!S21</f>
        <v>-2.4999999999999967E-2</v>
      </c>
      <c r="T21" s="6"/>
      <c r="U21" s="79">
        <f>'Private car Nov-25 '!U21-'Private car AUG-25 '!U21</f>
        <v>0</v>
      </c>
      <c r="V21" s="79">
        <f>'Private car Nov-25 '!V21-'Private car AUG-25 '!V21</f>
        <v>0</v>
      </c>
      <c r="W21" s="6"/>
      <c r="X21" s="79">
        <f>'Private car Nov-25 '!X21-'Private car AUG-25 '!X21</f>
        <v>0</v>
      </c>
      <c r="Y21" s="79">
        <f>'Private car Nov-25 '!Y21-'Private car AUG-25 '!Y21</f>
        <v>-2.4999999999999967E-2</v>
      </c>
      <c r="Z21" s="6"/>
      <c r="AA21" s="79">
        <f>'Private car Nov-25 '!AA21-'Private car AUG-25 '!AA21</f>
        <v>0</v>
      </c>
      <c r="AB21" s="79">
        <f>'Private car Nov-25 '!AB21-'Private car AUG-25 '!AB21</f>
        <v>-2.4999999999999967E-2</v>
      </c>
      <c r="AC21" s="6"/>
      <c r="AD21" s="79">
        <f>'Private car Nov-25 '!AD21-'Private car AUG-25 '!AD21</f>
        <v>0</v>
      </c>
      <c r="AE21" s="79">
        <f>'Private car Nov-25 '!AE21-'Private car AUG-25 '!AE21</f>
        <v>-2.4999999999999994E-2</v>
      </c>
      <c r="AF21" s="6"/>
      <c r="AG21" s="79">
        <f>'Private car Nov-25 '!AG21-'Private car AUG-25 '!AG21</f>
        <v>0</v>
      </c>
      <c r="AH21" s="79">
        <f>'Private car Nov-25 '!AH21-'Private car AUG-25 '!AH21</f>
        <v>0</v>
      </c>
      <c r="AI21" s="6"/>
      <c r="AJ21" s="79">
        <f>'Private car Nov-25 '!AJ21-'Private car AUG-25 '!AJ21</f>
        <v>0</v>
      </c>
      <c r="AK21" s="79">
        <f>'Private car Nov-25 '!AK21-'Private car AUG-25 '!AK21</f>
        <v>-2.4999999999999967E-2</v>
      </c>
      <c r="AL21" s="6"/>
      <c r="AM21" s="79">
        <f>'Private car Nov-25 '!AM21-'Private car AUG-25 '!AM21</f>
        <v>0</v>
      </c>
      <c r="AN21" s="79">
        <f>'Private car Nov-25 '!AN21-'Private car AUG-25 '!AN21</f>
        <v>-2.4999999999999967E-2</v>
      </c>
      <c r="AO21" s="6"/>
      <c r="AP21" s="79">
        <f>'Private car Nov-25 '!AP21-'Private car AUG-25 '!AP21</f>
        <v>0</v>
      </c>
      <c r="AQ21" s="79">
        <f>'Private car Nov-25 '!AQ21-'Private car AUG-25 '!AQ21</f>
        <v>0</v>
      </c>
      <c r="AR21" s="6"/>
      <c r="AS21" s="79">
        <f>'Private car Nov-25 '!AS21-'Private car AUG-25 '!AS21</f>
        <v>0</v>
      </c>
      <c r="AT21" s="79">
        <f>'Private car Nov-25 '!AT21-'Private car AUG-25 '!AT21</f>
        <v>-2.4999999999999967E-2</v>
      </c>
      <c r="AU21" s="6"/>
      <c r="AV21" s="79">
        <f>'Private car Nov-25 '!AV21-'Private car AUG-25 '!AV21</f>
        <v>0</v>
      </c>
      <c r="AW21" s="79">
        <f>'Private car Nov-25 '!AW21-'Private car AUG-25 '!AW21</f>
        <v>0</v>
      </c>
      <c r="AX21" s="6"/>
      <c r="AY21" s="79">
        <f>'Private car Nov-25 '!AY21-'Private car AUG-25 '!AY21</f>
        <v>0</v>
      </c>
      <c r="AZ21" s="79">
        <f>'Private car Nov-25 '!AZ21-'Private car AUG-25 '!AZ21</f>
        <v>-2.4999999999999967E-2</v>
      </c>
      <c r="BA21" s="6"/>
      <c r="BB21" s="79">
        <f>'Private car Nov-25 '!BB21-'Private car AUG-25 '!BB21</f>
        <v>0</v>
      </c>
      <c r="BC21" s="79">
        <f>'Private car Nov-25 '!BC21-'Private car AUG-25 '!BC21</f>
        <v>-2.5000000000000022E-2</v>
      </c>
      <c r="BD21" s="6"/>
      <c r="BE21" s="79">
        <f>'Private car Nov-25 '!BE21-'Private car AUG-25 '!BE21</f>
        <v>0</v>
      </c>
      <c r="BF21" s="79">
        <f>'Private car Nov-25 '!BF21-'Private car AUG-25 '!BF21</f>
        <v>-2.4999999999999967E-2</v>
      </c>
      <c r="BG21" s="6"/>
      <c r="BH21" s="79">
        <f>'Private car Nov-25 '!BH21-'Private car AUG-25 '!BH21</f>
        <v>0</v>
      </c>
      <c r="BI21" s="79">
        <f>'Private car Nov-25 '!BI21-'Private car AUG-25 '!BI21</f>
        <v>-2.4999999999999967E-2</v>
      </c>
      <c r="BJ21" s="6"/>
      <c r="BK21" s="79">
        <f>'Private car Nov-25 '!BK21-'Private car AUG-25 '!BK21</f>
        <v>0</v>
      </c>
      <c r="BL21" s="79">
        <f>'Private car Nov-25 '!BL21-'Private car AUG-25 '!BL21</f>
        <v>0</v>
      </c>
      <c r="BM21" s="79">
        <f>'Private car Nov-25 '!BM21-'Private car AUG-25 '!BM21</f>
        <v>0</v>
      </c>
      <c r="BN21" s="79">
        <f>'Private car Nov-25 '!BN21-'Private car AUG-25 '!BN21</f>
        <v>0</v>
      </c>
    </row>
    <row r="22" spans="2:66" x14ac:dyDescent="0.35">
      <c r="B22" s="10"/>
      <c r="C22" s="138"/>
      <c r="D22" s="11" t="s">
        <v>132</v>
      </c>
      <c r="E22" s="6"/>
      <c r="F22" s="79">
        <f>'Private car Nov-25 '!F22-'Private car AUG-25 '!F22</f>
        <v>0</v>
      </c>
      <c r="G22" s="79">
        <f>'Private car Nov-25 '!G22-'Private car AUG-25 '!G22</f>
        <v>-2.4999999999999967E-2</v>
      </c>
      <c r="H22" s="6"/>
      <c r="I22" s="79">
        <f>'Private car Nov-25 '!I22-'Private car AUG-25 '!I22</f>
        <v>0</v>
      </c>
      <c r="J22" s="79">
        <f>'Private car Nov-25 '!J22-'Private car AUG-25 '!J22</f>
        <v>-2.4999999999999967E-2</v>
      </c>
      <c r="K22" s="6"/>
      <c r="L22" s="79">
        <f>'Private car Nov-25 '!L22-'Private car AUG-25 '!L22</f>
        <v>0</v>
      </c>
      <c r="M22" s="79">
        <f>'Private car Nov-25 '!M22-'Private car AUG-25 '!M22</f>
        <v>-2.4999999999999967E-2</v>
      </c>
      <c r="N22" s="6"/>
      <c r="O22" s="79">
        <f>'Private car Nov-25 '!O22-'Private car AUG-25 '!O22</f>
        <v>0</v>
      </c>
      <c r="P22" s="79">
        <f>'Private car Nov-25 '!P22-'Private car AUG-25 '!P22</f>
        <v>-2.4999999999999967E-2</v>
      </c>
      <c r="Q22" s="6"/>
      <c r="R22" s="79">
        <f>'Private car Nov-25 '!R22-'Private car AUG-25 '!R22</f>
        <v>0</v>
      </c>
      <c r="S22" s="79">
        <f>'Private car Nov-25 '!S22-'Private car AUG-25 '!S22</f>
        <v>-2.4999999999999967E-2</v>
      </c>
      <c r="T22" s="6"/>
      <c r="U22" s="79">
        <f>'Private car Nov-25 '!U22-'Private car AUG-25 '!U22</f>
        <v>0</v>
      </c>
      <c r="V22" s="79">
        <f>'Private car Nov-25 '!V22-'Private car AUG-25 '!V22</f>
        <v>0</v>
      </c>
      <c r="W22" s="6"/>
      <c r="X22" s="79">
        <f>'Private car Nov-25 '!X22-'Private car AUG-25 '!X22</f>
        <v>0</v>
      </c>
      <c r="Y22" s="79">
        <f>'Private car Nov-25 '!Y22-'Private car AUG-25 '!Y22</f>
        <v>-2.4999999999999967E-2</v>
      </c>
      <c r="Z22" s="6"/>
      <c r="AA22" s="79">
        <f>'Private car Nov-25 '!AA22-'Private car AUG-25 '!AA22</f>
        <v>0</v>
      </c>
      <c r="AB22" s="79">
        <f>'Private car Nov-25 '!AB22-'Private car AUG-25 '!AB22</f>
        <v>-2.4999999999999967E-2</v>
      </c>
      <c r="AC22" s="6"/>
      <c r="AD22" s="79">
        <f>'Private car Nov-25 '!AD22-'Private car AUG-25 '!AD22</f>
        <v>0</v>
      </c>
      <c r="AE22" s="79">
        <f>'Private car Nov-25 '!AE22-'Private car AUG-25 '!AE22</f>
        <v>-2.4999999999999967E-2</v>
      </c>
      <c r="AF22" s="6"/>
      <c r="AG22" s="79">
        <f>'Private car Nov-25 '!AG22-'Private car AUG-25 '!AG22</f>
        <v>0</v>
      </c>
      <c r="AH22" s="79">
        <f>'Private car Nov-25 '!AH22-'Private car AUG-25 '!AH22</f>
        <v>0</v>
      </c>
      <c r="AI22" s="6"/>
      <c r="AJ22" s="79">
        <f>'Private car Nov-25 '!AJ22-'Private car AUG-25 '!AJ22</f>
        <v>0</v>
      </c>
      <c r="AK22" s="79">
        <f>'Private car Nov-25 '!AK22-'Private car AUG-25 '!AK22</f>
        <v>-2.4999999999999967E-2</v>
      </c>
      <c r="AL22" s="6"/>
      <c r="AM22" s="79">
        <f>'Private car Nov-25 '!AM22-'Private car AUG-25 '!AM22</f>
        <v>0</v>
      </c>
      <c r="AN22" s="79">
        <f>'Private car Nov-25 '!AN22-'Private car AUG-25 '!AN22</f>
        <v>-2.4999999999999967E-2</v>
      </c>
      <c r="AO22" s="6"/>
      <c r="AP22" s="79">
        <f>'Private car Nov-25 '!AP22-'Private car AUG-25 '!AP22</f>
        <v>0</v>
      </c>
      <c r="AQ22" s="79">
        <f>'Private car Nov-25 '!AQ22-'Private car AUG-25 '!AQ22</f>
        <v>0</v>
      </c>
      <c r="AR22" s="6"/>
      <c r="AS22" s="79">
        <f>'Private car Nov-25 '!AS22-'Private car AUG-25 '!AS22</f>
        <v>0</v>
      </c>
      <c r="AT22" s="79">
        <f>'Private car Nov-25 '!AT22-'Private car AUG-25 '!AT22</f>
        <v>-2.4999999999999967E-2</v>
      </c>
      <c r="AU22" s="6"/>
      <c r="AV22" s="79">
        <f>'Private car Nov-25 '!AV22-'Private car AUG-25 '!AV22</f>
        <v>0</v>
      </c>
      <c r="AW22" s="79">
        <f>'Private car Nov-25 '!AW22-'Private car AUG-25 '!AW22</f>
        <v>0</v>
      </c>
      <c r="AX22" s="6"/>
      <c r="AY22" s="79">
        <f>'Private car Nov-25 '!AY22-'Private car AUG-25 '!AY22</f>
        <v>0</v>
      </c>
      <c r="AZ22" s="79">
        <f>'Private car Nov-25 '!AZ22-'Private car AUG-25 '!AZ22</f>
        <v>-2.4999999999999967E-2</v>
      </c>
      <c r="BA22" s="6"/>
      <c r="BB22" s="79">
        <f>'Private car Nov-25 '!BB22-'Private car AUG-25 '!BB22</f>
        <v>0</v>
      </c>
      <c r="BC22" s="79">
        <f>'Private car Nov-25 '!BC22-'Private car AUG-25 '!BC22</f>
        <v>-2.4999999999999994E-2</v>
      </c>
      <c r="BD22" s="6"/>
      <c r="BE22" s="79">
        <f>'Private car Nov-25 '!BE22-'Private car AUG-25 '!BE22</f>
        <v>0</v>
      </c>
      <c r="BF22" s="79">
        <f>'Private car Nov-25 '!BF22-'Private car AUG-25 '!BF22</f>
        <v>-2.4999999999999967E-2</v>
      </c>
      <c r="BG22" s="6"/>
      <c r="BH22" s="79">
        <f>'Private car Nov-25 '!BH22-'Private car AUG-25 '!BH22</f>
        <v>0</v>
      </c>
      <c r="BI22" s="79">
        <f>'Private car Nov-25 '!BI22-'Private car AUG-25 '!BI22</f>
        <v>-2.4999999999999967E-2</v>
      </c>
      <c r="BJ22" s="6"/>
      <c r="BK22" s="79">
        <f>'Private car Nov-25 '!BK22-'Private car AUG-25 '!BK22</f>
        <v>0</v>
      </c>
      <c r="BL22" s="79">
        <f>'Private car Nov-25 '!BL22-'Private car AUG-25 '!BL22</f>
        <v>0</v>
      </c>
      <c r="BM22" s="79">
        <f>'Private car Nov-25 '!BM22-'Private car AUG-25 '!BM22</f>
        <v>0</v>
      </c>
      <c r="BN22" s="79">
        <f>'Private car Nov-25 '!BN22-'Private car AUG-25 '!BN22</f>
        <v>0</v>
      </c>
    </row>
    <row r="23" spans="2:66" x14ac:dyDescent="0.35">
      <c r="B23" s="10"/>
      <c r="C23" s="138"/>
      <c r="D23" s="11" t="s">
        <v>133</v>
      </c>
      <c r="E23" s="6"/>
      <c r="F23" s="79">
        <f>'Private car Nov-25 '!F23-'Private car AUG-25 '!F23</f>
        <v>0</v>
      </c>
      <c r="G23" s="79">
        <f>'Private car Nov-25 '!G23-'Private car AUG-25 '!G23</f>
        <v>-2.4999999999999967E-2</v>
      </c>
      <c r="H23" s="6"/>
      <c r="I23" s="79">
        <f>'Private car Nov-25 '!I23-'Private car AUG-25 '!I23</f>
        <v>0</v>
      </c>
      <c r="J23" s="79">
        <f>'Private car Nov-25 '!J23-'Private car AUG-25 '!J23</f>
        <v>-2.4999999999999967E-2</v>
      </c>
      <c r="K23" s="6"/>
      <c r="L23" s="79">
        <f>'Private car Nov-25 '!L23-'Private car AUG-25 '!L23</f>
        <v>0</v>
      </c>
      <c r="M23" s="79">
        <f>'Private car Nov-25 '!M23-'Private car AUG-25 '!M23</f>
        <v>-2.4999999999999967E-2</v>
      </c>
      <c r="N23" s="6"/>
      <c r="O23" s="79">
        <f>'Private car Nov-25 '!O23-'Private car AUG-25 '!O23</f>
        <v>0</v>
      </c>
      <c r="P23" s="79">
        <f>'Private car Nov-25 '!P23-'Private car AUG-25 '!P23</f>
        <v>-2.4999999999999967E-2</v>
      </c>
      <c r="Q23" s="6"/>
      <c r="R23" s="79">
        <f>'Private car Nov-25 '!R23-'Private car AUG-25 '!R23</f>
        <v>0</v>
      </c>
      <c r="S23" s="79">
        <f>'Private car Nov-25 '!S23-'Private car AUG-25 '!S23</f>
        <v>-2.4999999999999967E-2</v>
      </c>
      <c r="T23" s="6"/>
      <c r="U23" s="79">
        <f>'Private car Nov-25 '!U23-'Private car AUG-25 '!U23</f>
        <v>0</v>
      </c>
      <c r="V23" s="79">
        <f>'Private car Nov-25 '!V23-'Private car AUG-25 '!V23</f>
        <v>0</v>
      </c>
      <c r="W23" s="6"/>
      <c r="X23" s="79">
        <f>'Private car Nov-25 '!X23-'Private car AUG-25 '!X23</f>
        <v>0</v>
      </c>
      <c r="Y23" s="79">
        <f>'Private car Nov-25 '!Y23-'Private car AUG-25 '!Y23</f>
        <v>-2.4999999999999967E-2</v>
      </c>
      <c r="Z23" s="6"/>
      <c r="AA23" s="79">
        <f>'Private car Nov-25 '!AA23-'Private car AUG-25 '!AA23</f>
        <v>0</v>
      </c>
      <c r="AB23" s="79">
        <f>'Private car Nov-25 '!AB23-'Private car AUG-25 '!AB23</f>
        <v>-2.4999999999999967E-2</v>
      </c>
      <c r="AC23" s="6"/>
      <c r="AD23" s="79">
        <f>'Private car Nov-25 '!AD23-'Private car AUG-25 '!AD23</f>
        <v>0</v>
      </c>
      <c r="AE23" s="79">
        <f>'Private car Nov-25 '!AE23-'Private car AUG-25 '!AE23</f>
        <v>-2.4999999999999967E-2</v>
      </c>
      <c r="AF23" s="6"/>
      <c r="AG23" s="79">
        <f>'Private car Nov-25 '!AG23-'Private car AUG-25 '!AG23</f>
        <v>0</v>
      </c>
      <c r="AH23" s="79">
        <f>'Private car Nov-25 '!AH23-'Private car AUG-25 '!AH23</f>
        <v>0</v>
      </c>
      <c r="AI23" s="6"/>
      <c r="AJ23" s="79">
        <f>'Private car Nov-25 '!AJ23-'Private car AUG-25 '!AJ23</f>
        <v>0</v>
      </c>
      <c r="AK23" s="79">
        <f>'Private car Nov-25 '!AK23-'Private car AUG-25 '!AK23</f>
        <v>-2.4999999999999967E-2</v>
      </c>
      <c r="AL23" s="6"/>
      <c r="AM23" s="79">
        <f>'Private car Nov-25 '!AM23-'Private car AUG-25 '!AM23</f>
        <v>0</v>
      </c>
      <c r="AN23" s="79">
        <f>'Private car Nov-25 '!AN23-'Private car AUG-25 '!AN23</f>
        <v>-2.4999999999999967E-2</v>
      </c>
      <c r="AO23" s="6"/>
      <c r="AP23" s="79">
        <f>'Private car Nov-25 '!AP23-'Private car AUG-25 '!AP23</f>
        <v>0</v>
      </c>
      <c r="AQ23" s="79">
        <f>'Private car Nov-25 '!AQ23-'Private car AUG-25 '!AQ23</f>
        <v>0</v>
      </c>
      <c r="AR23" s="6"/>
      <c r="AS23" s="79">
        <f>'Private car Nov-25 '!AS23-'Private car AUG-25 '!AS23</f>
        <v>0</v>
      </c>
      <c r="AT23" s="79">
        <f>'Private car Nov-25 '!AT23-'Private car AUG-25 '!AT23</f>
        <v>-2.4999999999999967E-2</v>
      </c>
      <c r="AU23" s="6"/>
      <c r="AV23" s="79">
        <f>'Private car Nov-25 '!AV23-'Private car AUG-25 '!AV23</f>
        <v>0</v>
      </c>
      <c r="AW23" s="79">
        <f>'Private car Nov-25 '!AW23-'Private car AUG-25 '!AW23</f>
        <v>0</v>
      </c>
      <c r="AX23" s="6"/>
      <c r="AY23" s="79">
        <f>'Private car Nov-25 '!AY23-'Private car AUG-25 '!AY23</f>
        <v>0</v>
      </c>
      <c r="AZ23" s="79">
        <f>'Private car Nov-25 '!AZ23-'Private car AUG-25 '!AZ23</f>
        <v>-2.4999999999999967E-2</v>
      </c>
      <c r="BA23" s="6"/>
      <c r="BB23" s="79">
        <f>'Private car Nov-25 '!BB23-'Private car AUG-25 '!BB23</f>
        <v>0</v>
      </c>
      <c r="BC23" s="79">
        <f>'Private car Nov-25 '!BC23-'Private car AUG-25 '!BC23</f>
        <v>-2.4999999999999967E-2</v>
      </c>
      <c r="BD23" s="6"/>
      <c r="BE23" s="79">
        <f>'Private car Nov-25 '!BE23-'Private car AUG-25 '!BE23</f>
        <v>0</v>
      </c>
      <c r="BF23" s="79">
        <f>'Private car Nov-25 '!BF23-'Private car AUG-25 '!BF23</f>
        <v>-2.4999999999999967E-2</v>
      </c>
      <c r="BG23" s="6"/>
      <c r="BH23" s="79">
        <f>'Private car Nov-25 '!BH23-'Private car AUG-25 '!BH23</f>
        <v>0</v>
      </c>
      <c r="BI23" s="79">
        <f>'Private car Nov-25 '!BI23-'Private car AUG-25 '!BI23</f>
        <v>-2.4999999999999967E-2</v>
      </c>
      <c r="BJ23" s="6"/>
      <c r="BK23" s="79">
        <f>'Private car Nov-25 '!BK23-'Private car AUG-25 '!BK23</f>
        <v>0</v>
      </c>
      <c r="BL23" s="79">
        <f>'Private car Nov-25 '!BL23-'Private car AUG-25 '!BL23</f>
        <v>0</v>
      </c>
      <c r="BM23" s="79">
        <f>'Private car Nov-25 '!BM23-'Private car AUG-25 '!BM23</f>
        <v>0</v>
      </c>
      <c r="BN23" s="79">
        <f>'Private car Nov-25 '!BN23-'Private car AUG-25 '!BN23</f>
        <v>0</v>
      </c>
    </row>
    <row r="24" spans="2:66" ht="4.5" customHeight="1" x14ac:dyDescent="0.35">
      <c r="B24" s="17"/>
      <c r="C24" s="138"/>
      <c r="D24" s="18"/>
      <c r="E24" s="6"/>
      <c r="F24" s="19"/>
      <c r="G24" s="20"/>
      <c r="H24" s="6"/>
      <c r="I24" s="19"/>
      <c r="J24" s="20"/>
      <c r="K24" s="6"/>
      <c r="L24" s="19"/>
      <c r="M24" s="20"/>
      <c r="N24" s="6"/>
      <c r="O24" s="19"/>
      <c r="P24" s="20"/>
      <c r="Q24" s="6"/>
      <c r="R24" s="19"/>
      <c r="S24" s="20"/>
      <c r="T24" s="6"/>
      <c r="U24" s="19"/>
      <c r="V24" s="20"/>
      <c r="W24" s="6"/>
      <c r="X24" s="19"/>
      <c r="Y24" s="20"/>
      <c r="Z24" s="6"/>
      <c r="AA24" s="19"/>
      <c r="AB24" s="20"/>
      <c r="AC24" s="6"/>
      <c r="AD24" s="19"/>
      <c r="AE24" s="20"/>
      <c r="AF24" s="6"/>
      <c r="AG24" s="19"/>
      <c r="AH24" s="20"/>
      <c r="AI24" s="6"/>
      <c r="AJ24" s="19"/>
      <c r="AK24" s="20"/>
      <c r="AL24" s="6"/>
      <c r="AM24" s="19"/>
      <c r="AN24" s="20"/>
      <c r="AO24" s="6"/>
      <c r="AP24" s="19"/>
      <c r="AQ24" s="20"/>
      <c r="AR24" s="6"/>
      <c r="AS24" s="19"/>
      <c r="AT24" s="20"/>
      <c r="AU24" s="6"/>
      <c r="AV24" s="19"/>
      <c r="AW24" s="20"/>
      <c r="AX24" s="6"/>
      <c r="AY24" s="20"/>
      <c r="AZ24" s="20"/>
      <c r="BA24" s="20"/>
      <c r="BB24" s="20"/>
      <c r="BC24" s="20"/>
      <c r="BD24" s="20"/>
      <c r="BE24" s="20"/>
      <c r="BF24" s="20"/>
      <c r="BG24" s="20"/>
      <c r="BH24" s="19"/>
      <c r="BI24" s="20"/>
      <c r="BJ24" s="20"/>
      <c r="BK24" s="20"/>
      <c r="BL24" s="20"/>
      <c r="BM24" s="20"/>
      <c r="BN24" s="20"/>
    </row>
    <row r="25" spans="2:66" ht="4.5" customHeight="1" x14ac:dyDescent="0.35">
      <c r="B25" s="17"/>
      <c r="C25" s="21"/>
      <c r="D25" s="18"/>
      <c r="E25" s="6"/>
      <c r="F25" s="19"/>
      <c r="G25" s="20"/>
      <c r="H25" s="6"/>
      <c r="I25" s="19"/>
      <c r="J25" s="20"/>
      <c r="K25" s="6"/>
      <c r="L25" s="19"/>
      <c r="M25" s="20"/>
      <c r="N25" s="6"/>
      <c r="O25" s="19"/>
      <c r="P25" s="20"/>
      <c r="Q25" s="6"/>
      <c r="R25" s="19"/>
      <c r="S25" s="20"/>
      <c r="T25" s="6"/>
      <c r="U25" s="19"/>
      <c r="V25" s="20"/>
      <c r="W25" s="6"/>
      <c r="X25" s="19"/>
      <c r="Y25" s="20"/>
      <c r="Z25" s="6"/>
      <c r="AA25" s="19"/>
      <c r="AB25" s="20"/>
      <c r="AC25" s="6"/>
      <c r="AD25" s="19"/>
      <c r="AE25" s="20"/>
      <c r="AF25" s="6"/>
      <c r="AG25" s="19"/>
      <c r="AH25" s="20"/>
      <c r="AI25" s="6"/>
      <c r="AJ25" s="19"/>
      <c r="AK25" s="20"/>
      <c r="AL25" s="6"/>
      <c r="AM25" s="22"/>
      <c r="AN25" s="20"/>
      <c r="AO25" s="6"/>
      <c r="AP25" s="22"/>
      <c r="AQ25" s="20"/>
      <c r="AR25" s="6"/>
      <c r="AS25" s="22"/>
      <c r="AT25" s="20"/>
      <c r="AU25" s="6"/>
      <c r="AV25" s="22"/>
      <c r="AW25" s="20"/>
      <c r="AX25" s="6"/>
      <c r="AY25" s="20"/>
      <c r="AZ25" s="20"/>
      <c r="BA25" s="20"/>
      <c r="BB25" s="20"/>
      <c r="BC25" s="20"/>
      <c r="BD25" s="20"/>
      <c r="BE25" s="20"/>
      <c r="BF25" s="20"/>
      <c r="BG25" s="6"/>
      <c r="BH25" s="19"/>
      <c r="BI25" s="20"/>
      <c r="BJ25" s="6"/>
      <c r="BK25" s="20"/>
      <c r="BL25" s="20"/>
      <c r="BM25" s="20"/>
      <c r="BN25" s="20"/>
    </row>
    <row r="26" spans="2:66" ht="14.5" customHeight="1" x14ac:dyDescent="0.35">
      <c r="B26" s="23"/>
      <c r="C26" s="138" t="s">
        <v>29</v>
      </c>
      <c r="D26" s="11" t="s">
        <v>134</v>
      </c>
      <c r="E26" s="6"/>
      <c r="F26" s="79">
        <f>'Private car Nov-25 '!F26-'Private car AUG-25 '!F26</f>
        <v>0</v>
      </c>
      <c r="G26" s="79">
        <f>'Private car Nov-25 '!G26-'Private car AUG-25 '!G26</f>
        <v>-2.5000000000000022E-2</v>
      </c>
      <c r="H26" s="6"/>
      <c r="I26" s="79">
        <f>'Private car Nov-25 '!I26-'Private car AUG-25 '!I26</f>
        <v>0</v>
      </c>
      <c r="J26" s="79">
        <f>'Private car Nov-25 '!J26-'Private car AUG-25 '!J26</f>
        <v>-2.5000000000000022E-2</v>
      </c>
      <c r="K26" s="6"/>
      <c r="L26" s="79">
        <f>'Private car Nov-25 '!L26-'Private car AUG-25 '!L26</f>
        <v>0</v>
      </c>
      <c r="M26" s="79">
        <f>'Private car Nov-25 '!M26-'Private car AUG-25 '!M26</f>
        <v>-2.4999999999999994E-2</v>
      </c>
      <c r="N26" s="6"/>
      <c r="O26" s="79">
        <f>'Private car Nov-25 '!O26-'Private car AUG-25 '!O26</f>
        <v>0</v>
      </c>
      <c r="P26" s="79">
        <f>'Private car Nov-25 '!P26-'Private car AUG-25 '!P26</f>
        <v>-2.4999999999999994E-2</v>
      </c>
      <c r="Q26" s="6"/>
      <c r="R26" s="79">
        <f>'Private car Nov-25 '!R26-'Private car AUG-25 '!R26</f>
        <v>0</v>
      </c>
      <c r="S26" s="79">
        <f>'Private car Nov-25 '!S26-'Private car AUG-25 '!S26</f>
        <v>-2.5000000000000022E-2</v>
      </c>
      <c r="T26" s="6"/>
      <c r="U26" s="79">
        <f>'Private car Nov-25 '!U26-'Private car AUG-25 '!U26</f>
        <v>0</v>
      </c>
      <c r="V26" s="79">
        <f>'Private car Nov-25 '!V26-'Private car AUG-25 '!V26</f>
        <v>0</v>
      </c>
      <c r="W26" s="6"/>
      <c r="X26" s="79">
        <f>'Private car Nov-25 '!X26-'Private car AUG-25 '!X26</f>
        <v>0</v>
      </c>
      <c r="Y26" s="79">
        <f>'Private car Nov-25 '!Y26-'Private car AUG-25 '!Y26</f>
        <v>-2.4999999999999994E-2</v>
      </c>
      <c r="Z26" s="6"/>
      <c r="AA26" s="79">
        <f>'Private car Nov-25 '!AA26-'Private car AUG-25 '!AA26</f>
        <v>0</v>
      </c>
      <c r="AB26" s="79">
        <f>'Private car Nov-25 '!AB26-'Private car AUG-25 '!AB26</f>
        <v>-2.5000000000000022E-2</v>
      </c>
      <c r="AC26" s="6"/>
      <c r="AD26" s="79">
        <f>'Private car Nov-25 '!AD26-'Private car AUG-25 '!AD26</f>
        <v>0</v>
      </c>
      <c r="AE26" s="79">
        <f>'Private car Nov-25 '!AE26-'Private car AUG-25 '!AE26</f>
        <v>-2.5000000000000022E-2</v>
      </c>
      <c r="AF26" s="6"/>
      <c r="AG26" s="79">
        <f>'Private car Nov-25 '!AG26-'Private car AUG-25 '!AG26</f>
        <v>0</v>
      </c>
      <c r="AH26" s="79">
        <f>'Private car Nov-25 '!AH26-'Private car AUG-25 '!AH26</f>
        <v>0</v>
      </c>
      <c r="AI26" s="6"/>
      <c r="AJ26" s="79">
        <f>'Private car Nov-25 '!AJ26-'Private car AUG-25 '!AJ26</f>
        <v>0</v>
      </c>
      <c r="AK26" s="79">
        <f>'Private car Nov-25 '!AK26-'Private car AUG-25 '!AK26</f>
        <v>-2.4999999999999994E-2</v>
      </c>
      <c r="AL26" s="6"/>
      <c r="AM26" s="79">
        <f>'Private car Nov-25 '!AM26-'Private car AUG-25 '!AM26</f>
        <v>0</v>
      </c>
      <c r="AN26" s="79">
        <f>'Private car Nov-25 '!AN26-'Private car AUG-25 '!AN26</f>
        <v>-2.5000000000000022E-2</v>
      </c>
      <c r="AO26" s="6"/>
      <c r="AP26" s="79">
        <f>'Private car Nov-25 '!AP26-'Private car AUG-25 '!AP26</f>
        <v>0</v>
      </c>
      <c r="AQ26" s="79">
        <f>'Private car Nov-25 '!AQ26-'Private car AUG-25 '!AQ26</f>
        <v>0</v>
      </c>
      <c r="AR26" s="6"/>
      <c r="AS26" s="79">
        <f>'Private car Nov-25 '!AS26-'Private car AUG-25 '!AS26</f>
        <v>0</v>
      </c>
      <c r="AT26" s="79">
        <f>'Private car Nov-25 '!AT26-'Private car AUG-25 '!AT26</f>
        <v>-2.5000000000000022E-2</v>
      </c>
      <c r="AU26" s="6"/>
      <c r="AV26" s="79">
        <f>'Private car Nov-25 '!AV26-'Private car AUG-25 '!AV26</f>
        <v>0</v>
      </c>
      <c r="AW26" s="79">
        <f>'Private car Nov-25 '!AW26-'Private car AUG-25 '!AW26</f>
        <v>0</v>
      </c>
      <c r="AX26" s="6"/>
      <c r="AY26" s="79">
        <f>'Private car Nov-25 '!AY26-'Private car AUG-25 '!AY26</f>
        <v>0</v>
      </c>
      <c r="AZ26" s="79">
        <f>'Private car Nov-25 '!AZ26-'Private car AUG-25 '!AZ26</f>
        <v>-2.4999999999999994E-2</v>
      </c>
      <c r="BA26" s="6"/>
      <c r="BB26" s="79">
        <f>'Private car Nov-25 '!BB26-'Private car AUG-25 '!BB26</f>
        <v>0</v>
      </c>
      <c r="BC26" s="79">
        <f>'Private car Nov-25 '!BC26-'Private car AUG-25 '!BC26</f>
        <v>-2.4999999999999994E-2</v>
      </c>
      <c r="BD26" s="6"/>
      <c r="BE26" s="79">
        <f>'Private car Nov-25 '!BE26-'Private car AUG-25 '!BE26</f>
        <v>0</v>
      </c>
      <c r="BF26" s="79">
        <f>'Private car Nov-25 '!BF26-'Private car AUG-25 '!BF26</f>
        <v>-2.4999999999999994E-2</v>
      </c>
      <c r="BG26" s="6"/>
      <c r="BH26" s="79">
        <f>'Private car Nov-25 '!BH26-'Private car AUG-25 '!BH26</f>
        <v>0</v>
      </c>
      <c r="BI26" s="79">
        <f>'Private car Nov-25 '!BI26-'Private car AUG-25 '!BI26</f>
        <v>-2.5000000000000022E-2</v>
      </c>
      <c r="BJ26" s="6"/>
      <c r="BK26" s="79">
        <f>'Private car Nov-25 '!BK26-'Private car AUG-25 '!BK26</f>
        <v>0</v>
      </c>
      <c r="BL26" s="79">
        <f>'Private car Nov-25 '!BL26-'Private car AUG-25 '!BL26</f>
        <v>0</v>
      </c>
      <c r="BM26" s="79">
        <f>'Private car Nov-25 '!BM26-'Private car AUG-25 '!BM26</f>
        <v>0</v>
      </c>
      <c r="BN26" s="79">
        <f>'Private car Nov-25 '!BN26-'Private car AUG-25 '!BN26</f>
        <v>0</v>
      </c>
    </row>
    <row r="27" spans="2:66" x14ac:dyDescent="0.35">
      <c r="B27" s="10"/>
      <c r="C27" s="138"/>
      <c r="D27" s="11" t="s">
        <v>135</v>
      </c>
      <c r="E27" s="6"/>
      <c r="F27" s="79">
        <f>'Private car Nov-25 '!F27-'Private car AUG-25 '!F27</f>
        <v>0</v>
      </c>
      <c r="G27" s="79">
        <f>'Private car Nov-25 '!G27-'Private car AUG-25 '!G27</f>
        <v>-2.4999999999999994E-2</v>
      </c>
      <c r="H27" s="6"/>
      <c r="I27" s="79">
        <f>'Private car Nov-25 '!I27-'Private car AUG-25 '!I27</f>
        <v>0</v>
      </c>
      <c r="J27" s="79">
        <f>'Private car Nov-25 '!J27-'Private car AUG-25 '!J27</f>
        <v>-2.5000000000000022E-2</v>
      </c>
      <c r="K27" s="6"/>
      <c r="L27" s="79">
        <f>'Private car Nov-25 '!L27-'Private car AUG-25 '!L27</f>
        <v>0</v>
      </c>
      <c r="M27" s="79">
        <f>'Private car Nov-25 '!M27-'Private car AUG-25 '!M27</f>
        <v>-2.4999999999999994E-2</v>
      </c>
      <c r="N27" s="6"/>
      <c r="O27" s="79">
        <f>'Private car Nov-25 '!O27-'Private car AUG-25 '!O27</f>
        <v>0</v>
      </c>
      <c r="P27" s="79">
        <f>'Private car Nov-25 '!P27-'Private car AUG-25 '!P27</f>
        <v>-2.4999999999999994E-2</v>
      </c>
      <c r="Q27" s="6"/>
      <c r="R27" s="79">
        <f>'Private car Nov-25 '!R27-'Private car AUG-25 '!R27</f>
        <v>0</v>
      </c>
      <c r="S27" s="79">
        <f>'Private car Nov-25 '!S27-'Private car AUG-25 '!S27</f>
        <v>-2.5000000000000022E-2</v>
      </c>
      <c r="T27" s="6"/>
      <c r="U27" s="79">
        <f>'Private car Nov-25 '!U27-'Private car AUG-25 '!U27</f>
        <v>0</v>
      </c>
      <c r="V27" s="79">
        <f>'Private car Nov-25 '!V27-'Private car AUG-25 '!V27</f>
        <v>0</v>
      </c>
      <c r="W27" s="6"/>
      <c r="X27" s="79">
        <f>'Private car Nov-25 '!X27-'Private car AUG-25 '!X27</f>
        <v>0</v>
      </c>
      <c r="Y27" s="79">
        <f>'Private car Nov-25 '!Y27-'Private car AUG-25 '!Y27</f>
        <v>-2.4999999999999994E-2</v>
      </c>
      <c r="Z27" s="6"/>
      <c r="AA27" s="79">
        <f>'Private car Nov-25 '!AA27-'Private car AUG-25 '!AA27</f>
        <v>0</v>
      </c>
      <c r="AB27" s="79">
        <f>'Private car Nov-25 '!AB27-'Private car AUG-25 '!AB27</f>
        <v>-2.5000000000000022E-2</v>
      </c>
      <c r="AC27" s="6"/>
      <c r="AD27" s="79">
        <f>'Private car Nov-25 '!AD27-'Private car AUG-25 '!AD27</f>
        <v>0</v>
      </c>
      <c r="AE27" s="79">
        <f>'Private car Nov-25 '!AE27-'Private car AUG-25 '!AE27</f>
        <v>-2.4999999999999994E-2</v>
      </c>
      <c r="AF27" s="6"/>
      <c r="AG27" s="79">
        <f>'Private car Nov-25 '!AG27-'Private car AUG-25 '!AG27</f>
        <v>0</v>
      </c>
      <c r="AH27" s="79">
        <f>'Private car Nov-25 '!AH27-'Private car AUG-25 '!AH27</f>
        <v>0</v>
      </c>
      <c r="AI27" s="6"/>
      <c r="AJ27" s="79">
        <f>'Private car Nov-25 '!AJ27-'Private car AUG-25 '!AJ27</f>
        <v>0</v>
      </c>
      <c r="AK27" s="79">
        <f>'Private car Nov-25 '!AK27-'Private car AUG-25 '!AK27</f>
        <v>-2.4999999999999994E-2</v>
      </c>
      <c r="AL27" s="6"/>
      <c r="AM27" s="79">
        <f>'Private car Nov-25 '!AM27-'Private car AUG-25 '!AM27</f>
        <v>0</v>
      </c>
      <c r="AN27" s="79">
        <f>'Private car Nov-25 '!AN27-'Private car AUG-25 '!AN27</f>
        <v>-2.5000000000000022E-2</v>
      </c>
      <c r="AO27" s="6"/>
      <c r="AP27" s="79">
        <f>'Private car Nov-25 '!AP27-'Private car AUG-25 '!AP27</f>
        <v>0</v>
      </c>
      <c r="AQ27" s="79">
        <f>'Private car Nov-25 '!AQ27-'Private car AUG-25 '!AQ27</f>
        <v>0</v>
      </c>
      <c r="AR27" s="6"/>
      <c r="AS27" s="79">
        <f>'Private car Nov-25 '!AS27-'Private car AUG-25 '!AS27</f>
        <v>0</v>
      </c>
      <c r="AT27" s="79">
        <f>'Private car Nov-25 '!AT27-'Private car AUG-25 '!AT27</f>
        <v>-2.5000000000000022E-2</v>
      </c>
      <c r="AU27" s="6"/>
      <c r="AV27" s="79">
        <f>'Private car Nov-25 '!AV27-'Private car AUG-25 '!AV27</f>
        <v>0</v>
      </c>
      <c r="AW27" s="79">
        <f>'Private car Nov-25 '!AW27-'Private car AUG-25 '!AW27</f>
        <v>0</v>
      </c>
      <c r="AX27" s="6"/>
      <c r="AY27" s="79">
        <f>'Private car Nov-25 '!AY27-'Private car AUG-25 '!AY27</f>
        <v>0</v>
      </c>
      <c r="AZ27" s="79">
        <f>'Private car Nov-25 '!AZ27-'Private car AUG-25 '!AZ27</f>
        <v>-2.4999999999999994E-2</v>
      </c>
      <c r="BA27" s="6"/>
      <c r="BB27" s="79">
        <f>'Private car Nov-25 '!BB27-'Private car AUG-25 '!BB27</f>
        <v>0</v>
      </c>
      <c r="BC27" s="79">
        <f>'Private car Nov-25 '!BC27-'Private car AUG-25 '!BC27</f>
        <v>-2.4999999999999994E-2</v>
      </c>
      <c r="BD27" s="6"/>
      <c r="BE27" s="79">
        <f>'Private car Nov-25 '!BE27-'Private car AUG-25 '!BE27</f>
        <v>0</v>
      </c>
      <c r="BF27" s="79">
        <f>'Private car Nov-25 '!BF27-'Private car AUG-25 '!BF27</f>
        <v>-2.4999999999999994E-2</v>
      </c>
      <c r="BG27" s="6"/>
      <c r="BH27" s="79">
        <f>'Private car Nov-25 '!BH27-'Private car AUG-25 '!BH27</f>
        <v>0</v>
      </c>
      <c r="BI27" s="79">
        <f>'Private car Nov-25 '!BI27-'Private car AUG-25 '!BI27</f>
        <v>-2.5000000000000022E-2</v>
      </c>
      <c r="BJ27" s="6"/>
      <c r="BK27" s="79">
        <f>'Private car Nov-25 '!BK27-'Private car AUG-25 '!BK27</f>
        <v>0</v>
      </c>
      <c r="BL27" s="79">
        <f>'Private car Nov-25 '!BL27-'Private car AUG-25 '!BL27</f>
        <v>0</v>
      </c>
      <c r="BM27" s="79">
        <f>'Private car Nov-25 '!BM27-'Private car AUG-25 '!BM27</f>
        <v>0</v>
      </c>
      <c r="BN27" s="79">
        <f>'Private car Nov-25 '!BN27-'Private car AUG-25 '!BN27</f>
        <v>0</v>
      </c>
    </row>
    <row r="28" spans="2:66" x14ac:dyDescent="0.35">
      <c r="B28" s="24"/>
      <c r="C28" s="138"/>
      <c r="D28" s="11" t="s">
        <v>136</v>
      </c>
      <c r="E28" s="6"/>
      <c r="F28" s="79">
        <f>'Private car Nov-25 '!F28-'Private car AUG-25 '!F28</f>
        <v>0</v>
      </c>
      <c r="G28" s="79">
        <f>'Private car Nov-25 '!G28-'Private car AUG-25 '!G28</f>
        <v>-2.4999999999999994E-2</v>
      </c>
      <c r="H28" s="6"/>
      <c r="I28" s="79">
        <f>'Private car Nov-25 '!I28-'Private car AUG-25 '!I28</f>
        <v>0</v>
      </c>
      <c r="J28" s="79">
        <f>'Private car Nov-25 '!J28-'Private car AUG-25 '!J28</f>
        <v>-2.4999999999999994E-2</v>
      </c>
      <c r="K28" s="6"/>
      <c r="L28" s="79">
        <f>'Private car Nov-25 '!L28-'Private car AUG-25 '!L28</f>
        <v>0</v>
      </c>
      <c r="M28" s="79">
        <f>'Private car Nov-25 '!M28-'Private car AUG-25 '!M28</f>
        <v>-2.4999999999999994E-2</v>
      </c>
      <c r="N28" s="6"/>
      <c r="O28" s="79">
        <f>'Private car Nov-25 '!O28-'Private car AUG-25 '!O28</f>
        <v>0</v>
      </c>
      <c r="P28" s="79">
        <f>'Private car Nov-25 '!P28-'Private car AUG-25 '!P28</f>
        <v>-2.4999999999999994E-2</v>
      </c>
      <c r="Q28" s="6"/>
      <c r="R28" s="79">
        <f>'Private car Nov-25 '!R28-'Private car AUG-25 '!R28</f>
        <v>0</v>
      </c>
      <c r="S28" s="79">
        <f>'Private car Nov-25 '!S28-'Private car AUG-25 '!S28</f>
        <v>-2.4999999999999994E-2</v>
      </c>
      <c r="T28" s="6"/>
      <c r="U28" s="79">
        <f>'Private car Nov-25 '!U28-'Private car AUG-25 '!U28</f>
        <v>0</v>
      </c>
      <c r="V28" s="79">
        <f>'Private car Nov-25 '!V28-'Private car AUG-25 '!V28</f>
        <v>0</v>
      </c>
      <c r="W28" s="6"/>
      <c r="X28" s="79">
        <f>'Private car Nov-25 '!X28-'Private car AUG-25 '!X28</f>
        <v>0</v>
      </c>
      <c r="Y28" s="79">
        <f>'Private car Nov-25 '!Y28-'Private car AUG-25 '!Y28</f>
        <v>-2.4999999999999994E-2</v>
      </c>
      <c r="Z28" s="6"/>
      <c r="AA28" s="79">
        <f>'Private car Nov-25 '!AA28-'Private car AUG-25 '!AA28</f>
        <v>0</v>
      </c>
      <c r="AB28" s="79">
        <f>'Private car Nov-25 '!AB28-'Private car AUG-25 '!AB28</f>
        <v>-2.4999999999999994E-2</v>
      </c>
      <c r="AC28" s="6"/>
      <c r="AD28" s="79">
        <f>'Private car Nov-25 '!AD28-'Private car AUG-25 '!AD28</f>
        <v>0</v>
      </c>
      <c r="AE28" s="79">
        <f>'Private car Nov-25 '!AE28-'Private car AUG-25 '!AE28</f>
        <v>-2.4999999999999994E-2</v>
      </c>
      <c r="AF28" s="6"/>
      <c r="AG28" s="79">
        <f>'Private car Nov-25 '!AG28-'Private car AUG-25 '!AG28</f>
        <v>0</v>
      </c>
      <c r="AH28" s="79">
        <f>'Private car Nov-25 '!AH28-'Private car AUG-25 '!AH28</f>
        <v>0</v>
      </c>
      <c r="AI28" s="6"/>
      <c r="AJ28" s="79">
        <f>'Private car Nov-25 '!AJ28-'Private car AUG-25 '!AJ28</f>
        <v>0</v>
      </c>
      <c r="AK28" s="79">
        <f>'Private car Nov-25 '!AK28-'Private car AUG-25 '!AK28</f>
        <v>-2.4999999999999994E-2</v>
      </c>
      <c r="AL28" s="6"/>
      <c r="AM28" s="79">
        <f>'Private car Nov-25 '!AM28-'Private car AUG-25 '!AM28</f>
        <v>0</v>
      </c>
      <c r="AN28" s="79">
        <f>'Private car Nov-25 '!AN28-'Private car AUG-25 '!AN28</f>
        <v>-2.4999999999999994E-2</v>
      </c>
      <c r="AO28" s="6"/>
      <c r="AP28" s="79">
        <f>'Private car Nov-25 '!AP28-'Private car AUG-25 '!AP28</f>
        <v>0</v>
      </c>
      <c r="AQ28" s="79">
        <f>'Private car Nov-25 '!AQ28-'Private car AUG-25 '!AQ28</f>
        <v>0</v>
      </c>
      <c r="AR28" s="6"/>
      <c r="AS28" s="79">
        <f>'Private car Nov-25 '!AS28-'Private car AUG-25 '!AS28</f>
        <v>0</v>
      </c>
      <c r="AT28" s="79">
        <f>'Private car Nov-25 '!AT28-'Private car AUG-25 '!AT28</f>
        <v>-2.4999999999999994E-2</v>
      </c>
      <c r="AU28" s="6"/>
      <c r="AV28" s="79">
        <f>'Private car Nov-25 '!AV28-'Private car AUG-25 '!AV28</f>
        <v>0</v>
      </c>
      <c r="AW28" s="79">
        <f>'Private car Nov-25 '!AW28-'Private car AUG-25 '!AW28</f>
        <v>0</v>
      </c>
      <c r="AX28" s="6"/>
      <c r="AY28" s="79">
        <f>'Private car Nov-25 '!AY28-'Private car AUG-25 '!AY28</f>
        <v>0</v>
      </c>
      <c r="AZ28" s="79">
        <f>'Private car Nov-25 '!AZ28-'Private car AUG-25 '!AZ28</f>
        <v>-2.4999999999999967E-2</v>
      </c>
      <c r="BA28" s="6"/>
      <c r="BB28" s="79">
        <f>'Private car Nov-25 '!BB28-'Private car AUG-25 '!BB28</f>
        <v>0</v>
      </c>
      <c r="BC28" s="79">
        <f>'Private car Nov-25 '!BC28-'Private car AUG-25 '!BC28</f>
        <v>-2.4999999999999967E-2</v>
      </c>
      <c r="BD28" s="6"/>
      <c r="BE28" s="79">
        <f>'Private car Nov-25 '!BE28-'Private car AUG-25 '!BE28</f>
        <v>0</v>
      </c>
      <c r="BF28" s="79">
        <f>'Private car Nov-25 '!BF28-'Private car AUG-25 '!BF28</f>
        <v>-2.4999999999999967E-2</v>
      </c>
      <c r="BG28" s="6"/>
      <c r="BH28" s="79">
        <f>'Private car Nov-25 '!BH28-'Private car AUG-25 '!BH28</f>
        <v>0</v>
      </c>
      <c r="BI28" s="79">
        <f>'Private car Nov-25 '!BI28-'Private car AUG-25 '!BI28</f>
        <v>-2.4999999999999994E-2</v>
      </c>
      <c r="BJ28" s="6"/>
      <c r="BK28" s="79">
        <f>'Private car Nov-25 '!BK28-'Private car AUG-25 '!BK28</f>
        <v>0</v>
      </c>
      <c r="BL28" s="79">
        <f>'Private car Nov-25 '!BL28-'Private car AUG-25 '!BL28</f>
        <v>0</v>
      </c>
      <c r="BM28" s="79">
        <f>'Private car Nov-25 '!BM28-'Private car AUG-25 '!BM28</f>
        <v>0</v>
      </c>
      <c r="BN28" s="79">
        <f>'Private car Nov-25 '!BN28-'Private car AUG-25 '!BN28</f>
        <v>0</v>
      </c>
    </row>
    <row r="29" spans="2:66" ht="4.5" customHeight="1" x14ac:dyDescent="0.35">
      <c r="B29" s="17"/>
      <c r="C29" s="138"/>
      <c r="D29" s="18"/>
      <c r="E29" s="6"/>
      <c r="F29" s="19"/>
      <c r="G29" s="20"/>
      <c r="H29" s="6"/>
      <c r="I29" s="19"/>
      <c r="J29" s="20"/>
      <c r="K29" s="6"/>
      <c r="L29" s="19"/>
      <c r="M29" s="20"/>
      <c r="N29" s="6"/>
      <c r="O29" s="19"/>
      <c r="P29" s="20"/>
      <c r="Q29" s="6"/>
      <c r="R29" s="19"/>
      <c r="S29" s="20"/>
      <c r="T29" s="6"/>
      <c r="U29" s="19"/>
      <c r="V29" s="20"/>
      <c r="W29" s="6"/>
      <c r="X29" s="19"/>
      <c r="Y29" s="20"/>
      <c r="Z29" s="6"/>
      <c r="AA29" s="19"/>
      <c r="AB29" s="20"/>
      <c r="AC29" s="6"/>
      <c r="AD29" s="19"/>
      <c r="AE29" s="20"/>
      <c r="AF29" s="6"/>
      <c r="AG29" s="19"/>
      <c r="AH29" s="20"/>
      <c r="AI29" s="6"/>
      <c r="AJ29" s="19"/>
      <c r="AK29" s="20"/>
      <c r="AL29" s="6"/>
      <c r="AM29" s="19"/>
      <c r="AN29" s="20"/>
      <c r="AO29" s="6"/>
      <c r="AP29" s="19"/>
      <c r="AQ29" s="20"/>
      <c r="AR29" s="6"/>
      <c r="AS29" s="19"/>
      <c r="AT29" s="20"/>
      <c r="AU29" s="6"/>
      <c r="AV29" s="19"/>
      <c r="AW29" s="20"/>
      <c r="AX29" s="6"/>
      <c r="AY29" s="20"/>
      <c r="AZ29" s="20"/>
      <c r="BA29" s="20"/>
      <c r="BB29" s="20"/>
      <c r="BC29" s="20"/>
      <c r="BD29" s="20"/>
      <c r="BE29" s="20"/>
      <c r="BF29" s="20"/>
      <c r="BG29" s="6"/>
      <c r="BH29" s="19"/>
      <c r="BI29" s="20"/>
      <c r="BJ29" s="6"/>
      <c r="BK29" s="20"/>
      <c r="BL29" s="20"/>
      <c r="BM29" s="20"/>
      <c r="BN29" s="20"/>
    </row>
    <row r="30" spans="2:66" ht="14.5" customHeight="1" x14ac:dyDescent="0.35">
      <c r="B30" s="23"/>
      <c r="C30" s="138"/>
      <c r="D30" s="11" t="s">
        <v>137</v>
      </c>
      <c r="E30" s="6"/>
      <c r="F30" s="79">
        <f>'Private car Nov-25 '!F30-'Private car AUG-25 '!F30</f>
        <v>0</v>
      </c>
      <c r="G30" s="79">
        <f>'Private car Nov-25 '!G30-'Private car AUG-25 '!G30</f>
        <v>-2.5000000000000022E-2</v>
      </c>
      <c r="H30" s="6"/>
      <c r="I30" s="79">
        <f>'Private car Nov-25 '!I30-'Private car AUG-25 '!I30</f>
        <v>0</v>
      </c>
      <c r="J30" s="79">
        <f>'Private car Nov-25 '!J30-'Private car AUG-25 '!J30</f>
        <v>-2.5000000000000022E-2</v>
      </c>
      <c r="K30" s="6"/>
      <c r="L30" s="79">
        <f>'Private car Nov-25 '!L30-'Private car AUG-25 '!L30</f>
        <v>0</v>
      </c>
      <c r="M30" s="79">
        <f>'Private car Nov-25 '!M30-'Private car AUG-25 '!M30</f>
        <v>-2.5000000000000022E-2</v>
      </c>
      <c r="N30" s="6"/>
      <c r="O30" s="79">
        <f>'Private car Nov-25 '!O30-'Private car AUG-25 '!O30</f>
        <v>0</v>
      </c>
      <c r="P30" s="79">
        <f>'Private car Nov-25 '!P30-'Private car AUG-25 '!P30</f>
        <v>-2.5000000000000022E-2</v>
      </c>
      <c r="Q30" s="6"/>
      <c r="R30" s="79">
        <f>'Private car Nov-25 '!R30-'Private car AUG-25 '!R30</f>
        <v>0</v>
      </c>
      <c r="S30" s="79">
        <f>'Private car Nov-25 '!S30-'Private car AUG-25 '!S30</f>
        <v>-2.5000000000000022E-2</v>
      </c>
      <c r="T30" s="6"/>
      <c r="U30" s="79">
        <f>'Private car Nov-25 '!U30-'Private car AUG-25 '!U30</f>
        <v>0</v>
      </c>
      <c r="V30" s="79">
        <f>'Private car Nov-25 '!V30-'Private car AUG-25 '!V30</f>
        <v>0</v>
      </c>
      <c r="W30" s="6"/>
      <c r="X30" s="79">
        <f>'Private car Nov-25 '!X30-'Private car AUG-25 '!X30</f>
        <v>0</v>
      </c>
      <c r="Y30" s="79">
        <f>'Private car Nov-25 '!Y30-'Private car AUG-25 '!Y30</f>
        <v>-2.5000000000000022E-2</v>
      </c>
      <c r="Z30" s="6"/>
      <c r="AA30" s="79">
        <f>'Private car Nov-25 '!AA30-'Private car AUG-25 '!AA30</f>
        <v>0</v>
      </c>
      <c r="AB30" s="79">
        <f>'Private car Nov-25 '!AB30-'Private car AUG-25 '!AB30</f>
        <v>-2.5000000000000022E-2</v>
      </c>
      <c r="AC30" s="6"/>
      <c r="AD30" s="79">
        <f>'Private car Nov-25 '!AD30-'Private car AUG-25 '!AD30</f>
        <v>0</v>
      </c>
      <c r="AE30" s="79">
        <f>'Private car Nov-25 '!AE30-'Private car AUG-25 '!AE30</f>
        <v>-2.5000000000000022E-2</v>
      </c>
      <c r="AF30" s="6"/>
      <c r="AG30" s="79">
        <f>'Private car Nov-25 '!AG30-'Private car AUG-25 '!AG30</f>
        <v>0</v>
      </c>
      <c r="AH30" s="79">
        <f>'Private car Nov-25 '!AH30-'Private car AUG-25 '!AH30</f>
        <v>0</v>
      </c>
      <c r="AI30" s="6"/>
      <c r="AJ30" s="79">
        <f>'Private car Nov-25 '!AJ30-'Private car AUG-25 '!AJ30</f>
        <v>0</v>
      </c>
      <c r="AK30" s="79">
        <f>'Private car Nov-25 '!AK30-'Private car AUG-25 '!AK30</f>
        <v>-2.5000000000000022E-2</v>
      </c>
      <c r="AL30" s="6"/>
      <c r="AM30" s="79">
        <f>'Private car Nov-25 '!AM30-'Private car AUG-25 '!AM30</f>
        <v>0</v>
      </c>
      <c r="AN30" s="79">
        <f>'Private car Nov-25 '!AN30-'Private car AUG-25 '!AN30</f>
        <v>-2.5000000000000022E-2</v>
      </c>
      <c r="AO30" s="6"/>
      <c r="AP30" s="79">
        <f>'Private car Nov-25 '!AP30-'Private car AUG-25 '!AP30</f>
        <v>0</v>
      </c>
      <c r="AQ30" s="79">
        <f>'Private car Nov-25 '!AQ30-'Private car AUG-25 '!AQ30</f>
        <v>0</v>
      </c>
      <c r="AR30" s="6"/>
      <c r="AS30" s="79">
        <f>'Private car Nov-25 '!AS30-'Private car AUG-25 '!AS30</f>
        <v>0</v>
      </c>
      <c r="AT30" s="79">
        <f>'Private car Nov-25 '!AT30-'Private car AUG-25 '!AT30</f>
        <v>-2.5000000000000022E-2</v>
      </c>
      <c r="AU30" s="6"/>
      <c r="AV30" s="79">
        <f>'Private car Nov-25 '!AV30-'Private car AUG-25 '!AV30</f>
        <v>0</v>
      </c>
      <c r="AW30" s="79">
        <f>'Private car Nov-25 '!AW30-'Private car AUG-25 '!AW30</f>
        <v>0</v>
      </c>
      <c r="AX30" s="6"/>
      <c r="AY30" s="79">
        <f>'Private car Nov-25 '!AY30-'Private car AUG-25 '!AY30</f>
        <v>0</v>
      </c>
      <c r="AZ30" s="79">
        <f>'Private car Nov-25 '!AZ30-'Private car AUG-25 '!AZ30</f>
        <v>-2.5000000000000022E-2</v>
      </c>
      <c r="BA30" s="6"/>
      <c r="BB30" s="79">
        <f>'Private car Nov-25 '!BB30-'Private car AUG-25 '!BB30</f>
        <v>0</v>
      </c>
      <c r="BC30" s="79">
        <f>'Private car Nov-25 '!BC30-'Private car AUG-25 '!BC30</f>
        <v>-2.5000000000000022E-2</v>
      </c>
      <c r="BD30" s="6"/>
      <c r="BE30" s="79">
        <f>'Private car Nov-25 '!BE30-'Private car AUG-25 '!BE30</f>
        <v>0</v>
      </c>
      <c r="BF30" s="79">
        <f>'Private car Nov-25 '!BF30-'Private car AUG-25 '!BF30</f>
        <v>-2.5000000000000022E-2</v>
      </c>
      <c r="BG30" s="6"/>
      <c r="BH30" s="79">
        <f>'Private car Nov-25 '!BH30-'Private car AUG-25 '!BH30</f>
        <v>0</v>
      </c>
      <c r="BI30" s="79">
        <f>'Private car Nov-25 '!BI30-'Private car AUG-25 '!BI30</f>
        <v>-2.5000000000000022E-2</v>
      </c>
      <c r="BJ30" s="6"/>
      <c r="BK30" s="79">
        <f>'Private car Nov-25 '!BK30-'Private car AUG-25 '!BK30</f>
        <v>0</v>
      </c>
      <c r="BL30" s="79">
        <f>'Private car Nov-25 '!BL30-'Private car AUG-25 '!BL30</f>
        <v>0</v>
      </c>
      <c r="BM30" s="79">
        <f>'Private car Nov-25 '!BM30-'Private car AUG-25 '!BM30</f>
        <v>0</v>
      </c>
      <c r="BN30" s="79">
        <f>'Private car Nov-25 '!BN30-'Private car AUG-25 '!BN30</f>
        <v>0</v>
      </c>
    </row>
    <row r="31" spans="2:66" x14ac:dyDescent="0.35">
      <c r="B31" s="10"/>
      <c r="C31" s="138"/>
      <c r="D31" s="11" t="s">
        <v>138</v>
      </c>
      <c r="E31" s="6"/>
      <c r="F31" s="79">
        <f>'Private car Nov-25 '!F31-'Private car AUG-25 '!F31</f>
        <v>0</v>
      </c>
      <c r="G31" s="79">
        <f>'Private car Nov-25 '!G31-'Private car AUG-25 '!G31</f>
        <v>-2.5000000000000022E-2</v>
      </c>
      <c r="H31" s="6"/>
      <c r="I31" s="79">
        <f>'Private car Nov-25 '!I31-'Private car AUG-25 '!I31</f>
        <v>0</v>
      </c>
      <c r="J31" s="79">
        <f>'Private car Nov-25 '!J31-'Private car AUG-25 '!J31</f>
        <v>-2.5000000000000022E-2</v>
      </c>
      <c r="K31" s="6"/>
      <c r="L31" s="79">
        <f>'Private car Nov-25 '!L31-'Private car AUG-25 '!L31</f>
        <v>0</v>
      </c>
      <c r="M31" s="79">
        <f>'Private car Nov-25 '!M31-'Private car AUG-25 '!M31</f>
        <v>-2.5000000000000022E-2</v>
      </c>
      <c r="N31" s="6"/>
      <c r="O31" s="79">
        <f>'Private car Nov-25 '!O31-'Private car AUG-25 '!O31</f>
        <v>0</v>
      </c>
      <c r="P31" s="79">
        <f>'Private car Nov-25 '!P31-'Private car AUG-25 '!P31</f>
        <v>-2.5000000000000022E-2</v>
      </c>
      <c r="Q31" s="6"/>
      <c r="R31" s="79">
        <f>'Private car Nov-25 '!R31-'Private car AUG-25 '!R31</f>
        <v>0</v>
      </c>
      <c r="S31" s="79">
        <f>'Private car Nov-25 '!S31-'Private car AUG-25 '!S31</f>
        <v>-2.5000000000000022E-2</v>
      </c>
      <c r="T31" s="6"/>
      <c r="U31" s="79">
        <f>'Private car Nov-25 '!U31-'Private car AUG-25 '!U31</f>
        <v>0</v>
      </c>
      <c r="V31" s="79">
        <f>'Private car Nov-25 '!V31-'Private car AUG-25 '!V31</f>
        <v>0</v>
      </c>
      <c r="W31" s="6"/>
      <c r="X31" s="79">
        <f>'Private car Nov-25 '!X31-'Private car AUG-25 '!X31</f>
        <v>0</v>
      </c>
      <c r="Y31" s="79">
        <f>'Private car Nov-25 '!Y31-'Private car AUG-25 '!Y31</f>
        <v>-2.5000000000000022E-2</v>
      </c>
      <c r="Z31" s="6"/>
      <c r="AA31" s="79">
        <f>'Private car Nov-25 '!AA31-'Private car AUG-25 '!AA31</f>
        <v>0</v>
      </c>
      <c r="AB31" s="79">
        <f>'Private car Nov-25 '!AB31-'Private car AUG-25 '!AB31</f>
        <v>-2.5000000000000022E-2</v>
      </c>
      <c r="AC31" s="6"/>
      <c r="AD31" s="79">
        <f>'Private car Nov-25 '!AD31-'Private car AUG-25 '!AD31</f>
        <v>0</v>
      </c>
      <c r="AE31" s="79">
        <f>'Private car Nov-25 '!AE31-'Private car AUG-25 '!AE31</f>
        <v>-2.5000000000000022E-2</v>
      </c>
      <c r="AF31" s="6"/>
      <c r="AG31" s="79">
        <f>'Private car Nov-25 '!AG31-'Private car AUG-25 '!AG31</f>
        <v>0</v>
      </c>
      <c r="AH31" s="79">
        <f>'Private car Nov-25 '!AH31-'Private car AUG-25 '!AH31</f>
        <v>0</v>
      </c>
      <c r="AI31" s="6"/>
      <c r="AJ31" s="79">
        <f>'Private car Nov-25 '!AJ31-'Private car AUG-25 '!AJ31</f>
        <v>0</v>
      </c>
      <c r="AK31" s="79">
        <f>'Private car Nov-25 '!AK31-'Private car AUG-25 '!AK31</f>
        <v>-2.5000000000000022E-2</v>
      </c>
      <c r="AL31" s="6"/>
      <c r="AM31" s="79">
        <f>'Private car Nov-25 '!AM31-'Private car AUG-25 '!AM31</f>
        <v>0</v>
      </c>
      <c r="AN31" s="79">
        <f>'Private car Nov-25 '!AN31-'Private car AUG-25 '!AN31</f>
        <v>-2.5000000000000022E-2</v>
      </c>
      <c r="AO31" s="6"/>
      <c r="AP31" s="79">
        <f>'Private car Nov-25 '!AP31-'Private car AUG-25 '!AP31</f>
        <v>0</v>
      </c>
      <c r="AQ31" s="79">
        <f>'Private car Nov-25 '!AQ31-'Private car AUG-25 '!AQ31</f>
        <v>0</v>
      </c>
      <c r="AR31" s="6"/>
      <c r="AS31" s="79">
        <f>'Private car Nov-25 '!AS31-'Private car AUG-25 '!AS31</f>
        <v>0</v>
      </c>
      <c r="AT31" s="79">
        <f>'Private car Nov-25 '!AT31-'Private car AUG-25 '!AT31</f>
        <v>-2.5000000000000022E-2</v>
      </c>
      <c r="AU31" s="6"/>
      <c r="AV31" s="79">
        <f>'Private car Nov-25 '!AV31-'Private car AUG-25 '!AV31</f>
        <v>0</v>
      </c>
      <c r="AW31" s="79">
        <f>'Private car Nov-25 '!AW31-'Private car AUG-25 '!AW31</f>
        <v>0</v>
      </c>
      <c r="AX31" s="6"/>
      <c r="AY31" s="79">
        <f>'Private car Nov-25 '!AY31-'Private car AUG-25 '!AY31</f>
        <v>0</v>
      </c>
      <c r="AZ31" s="79">
        <f>'Private car Nov-25 '!AZ31-'Private car AUG-25 '!AZ31</f>
        <v>-2.5000000000000022E-2</v>
      </c>
      <c r="BA31" s="6"/>
      <c r="BB31" s="79">
        <f>'Private car Nov-25 '!BB31-'Private car AUG-25 '!BB31</f>
        <v>0</v>
      </c>
      <c r="BC31" s="79">
        <f>'Private car Nov-25 '!BC31-'Private car AUG-25 '!BC31</f>
        <v>-2.5000000000000022E-2</v>
      </c>
      <c r="BD31" s="6"/>
      <c r="BE31" s="79">
        <f>'Private car Nov-25 '!BE31-'Private car AUG-25 '!BE31</f>
        <v>0</v>
      </c>
      <c r="BF31" s="79">
        <f>'Private car Nov-25 '!BF31-'Private car AUG-25 '!BF31</f>
        <v>-2.5000000000000022E-2</v>
      </c>
      <c r="BG31" s="6"/>
      <c r="BH31" s="79">
        <f>'Private car Nov-25 '!BH31-'Private car AUG-25 '!BH31</f>
        <v>0</v>
      </c>
      <c r="BI31" s="79">
        <f>'Private car Nov-25 '!BI31-'Private car AUG-25 '!BI31</f>
        <v>-2.5000000000000022E-2</v>
      </c>
      <c r="BJ31" s="6"/>
      <c r="BK31" s="79">
        <f>'Private car Nov-25 '!BK31-'Private car AUG-25 '!BK31</f>
        <v>0</v>
      </c>
      <c r="BL31" s="79">
        <f>'Private car Nov-25 '!BL31-'Private car AUG-25 '!BL31</f>
        <v>0</v>
      </c>
      <c r="BM31" s="79">
        <f>'Private car Nov-25 '!BM31-'Private car AUG-25 '!BM31</f>
        <v>0</v>
      </c>
      <c r="BN31" s="79">
        <f>'Private car Nov-25 '!BN31-'Private car AUG-25 '!BN31</f>
        <v>0</v>
      </c>
    </row>
    <row r="32" spans="2:66" x14ac:dyDescent="0.35">
      <c r="B32" s="10"/>
      <c r="C32" s="138"/>
      <c r="D32" s="11" t="s">
        <v>139</v>
      </c>
      <c r="E32" s="6"/>
      <c r="F32" s="79">
        <f>'Private car Nov-25 '!F32-'Private car AUG-25 '!F32</f>
        <v>0</v>
      </c>
      <c r="G32" s="79">
        <f>'Private car Nov-25 '!G32-'Private car AUG-25 '!G32</f>
        <v>-2.5000000000000022E-2</v>
      </c>
      <c r="H32" s="6"/>
      <c r="I32" s="79">
        <f>'Private car Nov-25 '!I32-'Private car AUG-25 '!I32</f>
        <v>0</v>
      </c>
      <c r="J32" s="79">
        <f>'Private car Nov-25 '!J32-'Private car AUG-25 '!J32</f>
        <v>-2.5000000000000022E-2</v>
      </c>
      <c r="K32" s="6"/>
      <c r="L32" s="79">
        <f>'Private car Nov-25 '!L32-'Private car AUG-25 '!L32</f>
        <v>0</v>
      </c>
      <c r="M32" s="79">
        <f>'Private car Nov-25 '!M32-'Private car AUG-25 '!M32</f>
        <v>-2.5000000000000022E-2</v>
      </c>
      <c r="N32" s="6"/>
      <c r="O32" s="79">
        <f>'Private car Nov-25 '!O32-'Private car AUG-25 '!O32</f>
        <v>0</v>
      </c>
      <c r="P32" s="79">
        <f>'Private car Nov-25 '!P32-'Private car AUG-25 '!P32</f>
        <v>-2.5000000000000022E-2</v>
      </c>
      <c r="Q32" s="6"/>
      <c r="R32" s="79">
        <f>'Private car Nov-25 '!R32-'Private car AUG-25 '!R32</f>
        <v>0</v>
      </c>
      <c r="S32" s="79">
        <f>'Private car Nov-25 '!S32-'Private car AUG-25 '!S32</f>
        <v>-2.5000000000000022E-2</v>
      </c>
      <c r="T32" s="6"/>
      <c r="U32" s="79">
        <f>'Private car Nov-25 '!U32-'Private car AUG-25 '!U32</f>
        <v>0</v>
      </c>
      <c r="V32" s="79">
        <f>'Private car Nov-25 '!V32-'Private car AUG-25 '!V32</f>
        <v>0</v>
      </c>
      <c r="W32" s="6"/>
      <c r="X32" s="79">
        <f>'Private car Nov-25 '!X32-'Private car AUG-25 '!X32</f>
        <v>0</v>
      </c>
      <c r="Y32" s="79">
        <f>'Private car Nov-25 '!Y32-'Private car AUG-25 '!Y32</f>
        <v>-2.5000000000000022E-2</v>
      </c>
      <c r="Z32" s="6"/>
      <c r="AA32" s="79">
        <f>'Private car Nov-25 '!AA32-'Private car AUG-25 '!AA32</f>
        <v>0</v>
      </c>
      <c r="AB32" s="79">
        <f>'Private car Nov-25 '!AB32-'Private car AUG-25 '!AB32</f>
        <v>-2.5000000000000022E-2</v>
      </c>
      <c r="AC32" s="6"/>
      <c r="AD32" s="79">
        <f>'Private car Nov-25 '!AD32-'Private car AUG-25 '!AD32</f>
        <v>0</v>
      </c>
      <c r="AE32" s="79">
        <f>'Private car Nov-25 '!AE32-'Private car AUG-25 '!AE32</f>
        <v>-2.5000000000000022E-2</v>
      </c>
      <c r="AF32" s="6"/>
      <c r="AG32" s="79">
        <f>'Private car Nov-25 '!AG32-'Private car AUG-25 '!AG32</f>
        <v>0</v>
      </c>
      <c r="AH32" s="79">
        <f>'Private car Nov-25 '!AH32-'Private car AUG-25 '!AH32</f>
        <v>0</v>
      </c>
      <c r="AI32" s="6"/>
      <c r="AJ32" s="79">
        <f>'Private car Nov-25 '!AJ32-'Private car AUG-25 '!AJ32</f>
        <v>0</v>
      </c>
      <c r="AK32" s="79">
        <f>'Private car Nov-25 '!AK32-'Private car AUG-25 '!AK32</f>
        <v>-2.5000000000000022E-2</v>
      </c>
      <c r="AL32" s="6"/>
      <c r="AM32" s="79">
        <f>'Private car Nov-25 '!AM32-'Private car AUG-25 '!AM32</f>
        <v>0</v>
      </c>
      <c r="AN32" s="79">
        <f>'Private car Nov-25 '!AN32-'Private car AUG-25 '!AN32</f>
        <v>-2.5000000000000022E-2</v>
      </c>
      <c r="AO32" s="6"/>
      <c r="AP32" s="79">
        <f>'Private car Nov-25 '!AP32-'Private car AUG-25 '!AP32</f>
        <v>0</v>
      </c>
      <c r="AQ32" s="79">
        <f>'Private car Nov-25 '!AQ32-'Private car AUG-25 '!AQ32</f>
        <v>0</v>
      </c>
      <c r="AR32" s="6"/>
      <c r="AS32" s="79">
        <f>'Private car Nov-25 '!AS32-'Private car AUG-25 '!AS32</f>
        <v>0</v>
      </c>
      <c r="AT32" s="79">
        <f>'Private car Nov-25 '!AT32-'Private car AUG-25 '!AT32</f>
        <v>-2.5000000000000022E-2</v>
      </c>
      <c r="AU32" s="6"/>
      <c r="AV32" s="79">
        <f>'Private car Nov-25 '!AV32-'Private car AUG-25 '!AV32</f>
        <v>0</v>
      </c>
      <c r="AW32" s="79">
        <f>'Private car Nov-25 '!AW32-'Private car AUG-25 '!AW32</f>
        <v>0</v>
      </c>
      <c r="AX32" s="6"/>
      <c r="AY32" s="79">
        <f>'Private car Nov-25 '!AY32-'Private car AUG-25 '!AY32</f>
        <v>0</v>
      </c>
      <c r="AZ32" s="79">
        <f>'Private car Nov-25 '!AZ32-'Private car AUG-25 '!AZ32</f>
        <v>-2.4999999999999994E-2</v>
      </c>
      <c r="BA32" s="6"/>
      <c r="BB32" s="79">
        <f>'Private car Nov-25 '!BB32-'Private car AUG-25 '!BB32</f>
        <v>0</v>
      </c>
      <c r="BC32" s="79">
        <f>'Private car Nov-25 '!BC32-'Private car AUG-25 '!BC32</f>
        <v>-2.4999999999999994E-2</v>
      </c>
      <c r="BD32" s="6"/>
      <c r="BE32" s="79">
        <f>'Private car Nov-25 '!BE32-'Private car AUG-25 '!BE32</f>
        <v>0</v>
      </c>
      <c r="BF32" s="79">
        <f>'Private car Nov-25 '!BF32-'Private car AUG-25 '!BF32</f>
        <v>-2.4999999999999994E-2</v>
      </c>
      <c r="BG32" s="6"/>
      <c r="BH32" s="79">
        <f>'Private car Nov-25 '!BH32-'Private car AUG-25 '!BH32</f>
        <v>0</v>
      </c>
      <c r="BI32" s="79">
        <f>'Private car Nov-25 '!BI32-'Private car AUG-25 '!BI32</f>
        <v>-2.5000000000000022E-2</v>
      </c>
      <c r="BJ32" s="6"/>
      <c r="BK32" s="79">
        <f>'Private car Nov-25 '!BK32-'Private car AUG-25 '!BK32</f>
        <v>0</v>
      </c>
      <c r="BL32" s="79">
        <f>'Private car Nov-25 '!BL32-'Private car AUG-25 '!BL32</f>
        <v>0</v>
      </c>
      <c r="BM32" s="79">
        <f>'Private car Nov-25 '!BM32-'Private car AUG-25 '!BM32</f>
        <v>0</v>
      </c>
      <c r="BN32" s="79">
        <f>'Private car Nov-25 '!BN32-'Private car AUG-25 '!BN32</f>
        <v>0</v>
      </c>
    </row>
  </sheetData>
  <mergeCells count="28">
    <mergeCell ref="B2:BG2"/>
    <mergeCell ref="C4:C6"/>
    <mergeCell ref="D4:D6"/>
    <mergeCell ref="F4:G5"/>
    <mergeCell ref="I4:J5"/>
    <mergeCell ref="L4:M5"/>
    <mergeCell ref="O4:P5"/>
    <mergeCell ref="R4:S5"/>
    <mergeCell ref="U4:V5"/>
    <mergeCell ref="X4:Y5"/>
    <mergeCell ref="C26:C32"/>
    <mergeCell ref="AS4:AT5"/>
    <mergeCell ref="AV4:AW5"/>
    <mergeCell ref="AY4:AZ5"/>
    <mergeCell ref="BB4:BC5"/>
    <mergeCell ref="AA4:AB5"/>
    <mergeCell ref="AD4:AE5"/>
    <mergeCell ref="AG4:AH5"/>
    <mergeCell ref="AJ4:AK5"/>
    <mergeCell ref="AM4:AN5"/>
    <mergeCell ref="AP4:AQ5"/>
    <mergeCell ref="BK4:BL5"/>
    <mergeCell ref="BM4:BN5"/>
    <mergeCell ref="C7:C10"/>
    <mergeCell ref="C12:C18"/>
    <mergeCell ref="C21:C24"/>
    <mergeCell ref="BE4:BF5"/>
    <mergeCell ref="BH4:BI5"/>
  </mergeCells>
  <conditionalFormatting sqref="B7:B18">
    <cfRule type="cellIs" dxfId="25" priority="216" operator="equal">
      <formula>"NA"</formula>
    </cfRule>
  </conditionalFormatting>
  <conditionalFormatting sqref="B21:B32">
    <cfRule type="cellIs" dxfId="24" priority="105" operator="equal">
      <formula>"NA"</formula>
    </cfRule>
  </conditionalFormatting>
  <conditionalFormatting sqref="E10:BN11">
    <cfRule type="cellIs" dxfId="23" priority="116" operator="equal">
      <formula>"NA"</formula>
    </cfRule>
  </conditionalFormatting>
  <conditionalFormatting sqref="E15:BN15">
    <cfRule type="cellIs" dxfId="22" priority="115" operator="equal">
      <formula>"NA"</formula>
    </cfRule>
  </conditionalFormatting>
  <conditionalFormatting sqref="E24:BN25">
    <cfRule type="cellIs" dxfId="21" priority="5" operator="equal">
      <formula>"NA"</formula>
    </cfRule>
  </conditionalFormatting>
  <conditionalFormatting sqref="E29:BN29">
    <cfRule type="cellIs" dxfId="20" priority="4" operator="equal">
      <formula>"NA"</formula>
    </cfRule>
  </conditionalFormatting>
  <conditionalFormatting sqref="F7:BN32">
    <cfRule type="cellIs" dxfId="19" priority="1" operator="greaterThan">
      <formula>0</formula>
    </cfRule>
    <cfRule type="cellIs" dxfId="18" priority="2" operator="lessThan">
      <formula>0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0A06-B947-40BF-847B-4853C83984C6}">
  <sheetPr>
    <tabColor theme="9" tint="-0.499984740745262"/>
    <pageSetUpPr fitToPage="1"/>
  </sheetPr>
  <dimension ref="A1:BO42"/>
  <sheetViews>
    <sheetView showGridLines="0" tabSelected="1" topLeftCell="B2" zoomScale="80" zoomScaleNormal="80" workbookViewId="0">
      <pane xSplit="5" ySplit="4" topLeftCell="G6" activePane="bottomRight" state="frozen"/>
      <selection activeCell="B2" sqref="B2"/>
      <selection pane="topRight" activeCell="G2" sqref="G2"/>
      <selection pane="bottomLeft" activeCell="B6" sqref="B6"/>
      <selection pane="bottomRight" activeCell="K15" sqref="K15"/>
    </sheetView>
  </sheetViews>
  <sheetFormatPr defaultColWidth="9.1796875" defaultRowHeight="14.5" x14ac:dyDescent="0.35"/>
  <cols>
    <col min="1" max="1" width="1.54296875" style="2" customWidth="1"/>
    <col min="2" max="2" width="1" style="2" customWidth="1"/>
    <col min="3" max="3" width="6.7265625" style="2" customWidth="1"/>
    <col min="4" max="4" width="11.81640625" style="2" customWidth="1"/>
    <col min="5" max="5" width="8.453125" style="2" customWidth="1"/>
    <col min="6" max="6" width="14.81640625" style="2" customWidth="1"/>
    <col min="7" max="8" width="6.453125" style="2" bestFit="1" customWidth="1"/>
    <col min="9" max="9" width="0.453125" style="2" customWidth="1"/>
    <col min="10" max="11" width="6.453125" style="2" customWidth="1"/>
    <col min="12" max="12" width="0.453125" style="2" customWidth="1"/>
    <col min="13" max="14" width="6.453125" style="2" customWidth="1"/>
    <col min="15" max="15" width="0.453125" style="2" customWidth="1"/>
    <col min="16" max="17" width="6.453125" style="2" bestFit="1" customWidth="1"/>
    <col min="18" max="18" width="0.453125" style="2" customWidth="1"/>
    <col min="19" max="22" width="6.453125" style="2" bestFit="1" customWidth="1"/>
    <col min="23" max="23" width="0.453125" style="2" customWidth="1"/>
    <col min="24" max="25" width="6.453125" style="2" bestFit="1" customWidth="1"/>
    <col min="26" max="26" width="0.453125" style="2" customWidth="1"/>
    <col min="27" max="30" width="6.453125" style="2" bestFit="1" customWidth="1"/>
    <col min="31" max="31" width="0.453125" style="2" customWidth="1"/>
    <col min="32" max="33" width="6.453125" style="2" customWidth="1"/>
    <col min="34" max="34" width="0.453125" style="2" customWidth="1"/>
    <col min="35" max="36" width="6.453125" style="2" customWidth="1"/>
    <col min="37" max="37" width="0.453125" style="2" customWidth="1"/>
    <col min="38" max="39" width="6.453125" style="2" customWidth="1"/>
    <col min="40" max="40" width="0.453125" style="2" customWidth="1"/>
    <col min="41" max="42" width="6.453125" style="2" customWidth="1"/>
    <col min="43" max="43" width="0.453125" style="2" customWidth="1"/>
    <col min="44" max="44" width="6.453125" style="2" bestFit="1" customWidth="1"/>
    <col min="45" max="45" width="6.453125" style="2" customWidth="1"/>
    <col min="46" max="46" width="0.453125" style="2" customWidth="1"/>
    <col min="47" max="48" width="6.453125" style="2" bestFit="1" customWidth="1"/>
    <col min="49" max="49" width="0.453125" style="2" customWidth="1"/>
    <col min="50" max="51" width="6.453125" style="2" customWidth="1"/>
    <col min="52" max="52" width="0.453125" style="2" customWidth="1"/>
    <col min="53" max="54" width="6.453125" style="2" customWidth="1"/>
    <col min="55" max="55" width="0.453125" style="2" customWidth="1"/>
    <col min="56" max="57" width="6.453125" style="2" customWidth="1"/>
    <col min="58" max="58" width="0.453125" style="2" customWidth="1"/>
    <col min="59" max="60" width="6.453125" style="2" customWidth="1"/>
    <col min="61" max="61" width="0.54296875" style="2" customWidth="1"/>
    <col min="62" max="63" width="6.453125" style="2" customWidth="1"/>
    <col min="64" max="67" width="9.1796875" style="2" customWidth="1"/>
    <col min="68" max="16384" width="9.1796875" style="2"/>
  </cols>
  <sheetData>
    <row r="1" spans="1:67" ht="4.5" customHeight="1" x14ac:dyDescent="0.35">
      <c r="C1" s="1"/>
      <c r="J1" s="3"/>
    </row>
    <row r="2" spans="1:67" ht="34" customHeight="1" x14ac:dyDescent="0.35">
      <c r="B2" s="160" t="s">
        <v>168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</row>
    <row r="3" spans="1:67" ht="14.5" customHeight="1" x14ac:dyDescent="0.35">
      <c r="B3" s="5"/>
      <c r="C3" s="126" t="s">
        <v>0</v>
      </c>
      <c r="D3" s="126" t="s">
        <v>1</v>
      </c>
      <c r="E3" s="161" t="s">
        <v>92</v>
      </c>
      <c r="F3" s="161" t="s">
        <v>93</v>
      </c>
      <c r="G3" s="141" t="s">
        <v>2</v>
      </c>
      <c r="H3" s="142"/>
      <c r="I3" s="5"/>
      <c r="J3" s="141" t="s">
        <v>3</v>
      </c>
      <c r="K3" s="142"/>
      <c r="L3" s="5"/>
      <c r="M3" s="141" t="s">
        <v>4</v>
      </c>
      <c r="N3" s="142"/>
      <c r="O3" s="5"/>
      <c r="P3" s="141" t="s">
        <v>150</v>
      </c>
      <c r="Q3" s="142"/>
      <c r="R3" s="5"/>
      <c r="S3" s="141" t="s">
        <v>151</v>
      </c>
      <c r="T3" s="142"/>
      <c r="U3" s="141" t="s">
        <v>6</v>
      </c>
      <c r="V3" s="142"/>
      <c r="W3" s="5"/>
      <c r="X3" s="141" t="s">
        <v>7</v>
      </c>
      <c r="Y3" s="142"/>
      <c r="Z3" s="5"/>
      <c r="AA3" s="141" t="s">
        <v>8</v>
      </c>
      <c r="AB3" s="142"/>
      <c r="AC3" s="141" t="s">
        <v>9</v>
      </c>
      <c r="AD3" s="142"/>
      <c r="AE3" s="5"/>
      <c r="AF3" s="141" t="s">
        <v>10</v>
      </c>
      <c r="AG3" s="142"/>
      <c r="AH3" s="5"/>
      <c r="AI3" s="141" t="s">
        <v>11</v>
      </c>
      <c r="AJ3" s="142"/>
      <c r="AK3" s="5"/>
      <c r="AL3" s="164" t="s">
        <v>80</v>
      </c>
      <c r="AM3" s="165"/>
      <c r="AN3" s="5"/>
      <c r="AO3" s="141" t="s">
        <v>13</v>
      </c>
      <c r="AP3" s="142"/>
      <c r="AQ3" s="5"/>
      <c r="AR3" s="141" t="s">
        <v>14</v>
      </c>
      <c r="AS3" s="142"/>
      <c r="AT3" s="5"/>
      <c r="AU3" s="141" t="s">
        <v>15</v>
      </c>
      <c r="AV3" s="142"/>
      <c r="AW3" s="5"/>
      <c r="AX3" s="141" t="s">
        <v>16</v>
      </c>
      <c r="AY3" s="142"/>
      <c r="AZ3" s="5"/>
      <c r="BA3" s="141" t="s">
        <v>17</v>
      </c>
      <c r="BB3" s="142"/>
      <c r="BC3" s="5"/>
      <c r="BD3" s="141" t="s">
        <v>18</v>
      </c>
      <c r="BE3" s="142"/>
      <c r="BF3" s="5"/>
      <c r="BG3" s="141" t="s">
        <v>19</v>
      </c>
      <c r="BH3" s="142"/>
      <c r="BI3" s="5"/>
      <c r="BJ3" s="141" t="s">
        <v>20</v>
      </c>
      <c r="BK3" s="142"/>
      <c r="BL3" s="141" t="s">
        <v>21</v>
      </c>
      <c r="BM3" s="142"/>
      <c r="BN3" s="141" t="s">
        <v>22</v>
      </c>
      <c r="BO3" s="142"/>
    </row>
    <row r="4" spans="1:67" x14ac:dyDescent="0.35">
      <c r="B4" s="5"/>
      <c r="C4" s="126"/>
      <c r="D4" s="126"/>
      <c r="E4" s="162"/>
      <c r="F4" s="162"/>
      <c r="G4" s="143"/>
      <c r="H4" s="144"/>
      <c r="I4" s="5"/>
      <c r="J4" s="143"/>
      <c r="K4" s="144"/>
      <c r="L4" s="5"/>
      <c r="M4" s="143"/>
      <c r="N4" s="144"/>
      <c r="O4" s="5"/>
      <c r="P4" s="143"/>
      <c r="Q4" s="144"/>
      <c r="R4" s="5"/>
      <c r="S4" s="143"/>
      <c r="T4" s="144"/>
      <c r="U4" s="143"/>
      <c r="V4" s="144"/>
      <c r="W4" s="5"/>
      <c r="X4" s="143"/>
      <c r="Y4" s="144"/>
      <c r="Z4" s="5"/>
      <c r="AA4" s="143"/>
      <c r="AB4" s="144"/>
      <c r="AC4" s="143"/>
      <c r="AD4" s="144"/>
      <c r="AE4" s="5"/>
      <c r="AF4" s="143"/>
      <c r="AG4" s="144"/>
      <c r="AH4" s="5"/>
      <c r="AI4" s="143"/>
      <c r="AJ4" s="144"/>
      <c r="AK4" s="5"/>
      <c r="AL4" s="166"/>
      <c r="AM4" s="167"/>
      <c r="AN4" s="5"/>
      <c r="AO4" s="143"/>
      <c r="AP4" s="144"/>
      <c r="AQ4" s="5"/>
      <c r="AR4" s="143"/>
      <c r="AS4" s="144"/>
      <c r="AT4" s="5"/>
      <c r="AU4" s="143"/>
      <c r="AV4" s="144"/>
      <c r="AW4" s="5"/>
      <c r="AX4" s="143"/>
      <c r="AY4" s="144"/>
      <c r="AZ4" s="5"/>
      <c r="BA4" s="143"/>
      <c r="BB4" s="144"/>
      <c r="BC4" s="5"/>
      <c r="BD4" s="143"/>
      <c r="BE4" s="144"/>
      <c r="BF4" s="5"/>
      <c r="BG4" s="143"/>
      <c r="BH4" s="144"/>
      <c r="BI4" s="5"/>
      <c r="BJ4" s="143"/>
      <c r="BK4" s="144"/>
      <c r="BL4" s="143"/>
      <c r="BM4" s="144"/>
      <c r="BN4" s="143"/>
      <c r="BO4" s="144"/>
    </row>
    <row r="5" spans="1:67" ht="31.5" customHeight="1" x14ac:dyDescent="0.35">
      <c r="B5" s="8"/>
      <c r="C5" s="126"/>
      <c r="D5" s="126"/>
      <c r="E5" s="163"/>
      <c r="F5" s="163"/>
      <c r="G5" s="9" t="s">
        <v>23</v>
      </c>
      <c r="H5" s="9" t="s">
        <v>24</v>
      </c>
      <c r="I5" s="8"/>
      <c r="J5" s="9" t="s">
        <v>23</v>
      </c>
      <c r="K5" s="9" t="s">
        <v>24</v>
      </c>
      <c r="L5" s="8"/>
      <c r="M5" s="9" t="s">
        <v>23</v>
      </c>
      <c r="N5" s="9" t="s">
        <v>24</v>
      </c>
      <c r="O5" s="8"/>
      <c r="P5" s="9" t="s">
        <v>23</v>
      </c>
      <c r="Q5" s="9" t="s">
        <v>24</v>
      </c>
      <c r="R5" s="8"/>
      <c r="S5" s="9" t="s">
        <v>23</v>
      </c>
      <c r="T5" s="9" t="s">
        <v>24</v>
      </c>
      <c r="U5" s="9" t="s">
        <v>23</v>
      </c>
      <c r="V5" s="9" t="s">
        <v>24</v>
      </c>
      <c r="W5" s="8"/>
      <c r="X5" s="9" t="s">
        <v>23</v>
      </c>
      <c r="Y5" s="9" t="s">
        <v>24</v>
      </c>
      <c r="Z5" s="8"/>
      <c r="AA5" s="9" t="s">
        <v>23</v>
      </c>
      <c r="AB5" s="9" t="s">
        <v>24</v>
      </c>
      <c r="AC5" s="9" t="s">
        <v>23</v>
      </c>
      <c r="AD5" s="9" t="s">
        <v>24</v>
      </c>
      <c r="AE5" s="8"/>
      <c r="AF5" s="9" t="s">
        <v>23</v>
      </c>
      <c r="AG5" s="9" t="s">
        <v>24</v>
      </c>
      <c r="AH5" s="8"/>
      <c r="AI5" s="9" t="s">
        <v>23</v>
      </c>
      <c r="AJ5" s="9" t="s">
        <v>24</v>
      </c>
      <c r="AK5" s="8"/>
      <c r="AL5" s="9" t="s">
        <v>23</v>
      </c>
      <c r="AM5" s="9" t="s">
        <v>24</v>
      </c>
      <c r="AN5" s="8"/>
      <c r="AO5" s="9" t="s">
        <v>23</v>
      </c>
      <c r="AP5" s="9" t="s">
        <v>24</v>
      </c>
      <c r="AQ5" s="8"/>
      <c r="AR5" s="9" t="s">
        <v>23</v>
      </c>
      <c r="AS5" s="9" t="s">
        <v>24</v>
      </c>
      <c r="AT5" s="8"/>
      <c r="AU5" s="9" t="s">
        <v>23</v>
      </c>
      <c r="AV5" s="9" t="s">
        <v>24</v>
      </c>
      <c r="AW5" s="8"/>
      <c r="AX5" s="9" t="s">
        <v>23</v>
      </c>
      <c r="AY5" s="9" t="s">
        <v>24</v>
      </c>
      <c r="AZ5" s="8"/>
      <c r="BA5" s="9" t="s">
        <v>23</v>
      </c>
      <c r="BB5" s="9" t="s">
        <v>24</v>
      </c>
      <c r="BC5" s="8"/>
      <c r="BD5" s="9" t="s">
        <v>23</v>
      </c>
      <c r="BE5" s="9" t="s">
        <v>24</v>
      </c>
      <c r="BF5" s="8"/>
      <c r="BG5" s="9" t="s">
        <v>23</v>
      </c>
      <c r="BH5" s="9" t="s">
        <v>24</v>
      </c>
      <c r="BI5" s="8"/>
      <c r="BJ5" s="9" t="s">
        <v>23</v>
      </c>
      <c r="BK5" s="9" t="s">
        <v>24</v>
      </c>
      <c r="BL5" s="9" t="s">
        <v>23</v>
      </c>
      <c r="BM5" s="9" t="s">
        <v>24</v>
      </c>
      <c r="BN5" s="9" t="s">
        <v>23</v>
      </c>
      <c r="BO5" s="9" t="s">
        <v>24</v>
      </c>
    </row>
    <row r="6" spans="1:67" s="84" customFormat="1" x14ac:dyDescent="0.35">
      <c r="A6" s="2"/>
      <c r="B6" s="20"/>
      <c r="C6" s="158" t="s">
        <v>95</v>
      </c>
      <c r="D6" s="147" t="s">
        <v>96</v>
      </c>
      <c r="E6" s="148"/>
      <c r="F6" s="151"/>
      <c r="G6" s="52">
        <v>0.32499999999999996</v>
      </c>
      <c r="H6" s="52">
        <v>0.375</v>
      </c>
      <c r="I6" s="52"/>
      <c r="J6" s="52"/>
      <c r="K6" s="52">
        <v>0.27499999999999997</v>
      </c>
      <c r="L6" s="52"/>
      <c r="M6" s="52"/>
      <c r="N6" s="52">
        <v>7.5000000000000011E-2</v>
      </c>
      <c r="O6" s="52"/>
      <c r="P6" s="52">
        <v>0.32499999999999996</v>
      </c>
      <c r="Q6" s="52">
        <v>0.47</v>
      </c>
      <c r="R6" s="52"/>
      <c r="S6" s="52">
        <v>0.32499999999999996</v>
      </c>
      <c r="T6" s="52">
        <v>0.47</v>
      </c>
      <c r="U6" s="52">
        <v>0.45</v>
      </c>
      <c r="V6" s="52">
        <v>0.5</v>
      </c>
      <c r="W6" s="52"/>
      <c r="X6" s="52">
        <v>0.375</v>
      </c>
      <c r="Y6" s="52">
        <v>0.37</v>
      </c>
      <c r="Z6" s="52"/>
      <c r="AA6" s="52">
        <v>0.375</v>
      </c>
      <c r="AB6" s="52">
        <v>0.37</v>
      </c>
      <c r="AC6" s="52">
        <v>7.5000000000000011E-2</v>
      </c>
      <c r="AD6" s="52">
        <v>0.125</v>
      </c>
      <c r="AE6" s="52"/>
      <c r="AF6" s="52">
        <v>0.32499999999999996</v>
      </c>
      <c r="AG6" s="52">
        <v>0.32499999999999996</v>
      </c>
      <c r="AH6" s="52"/>
      <c r="AI6" s="52">
        <v>0.22500000000000001</v>
      </c>
      <c r="AJ6" s="52">
        <v>0.22500000000000001</v>
      </c>
      <c r="AK6" s="52"/>
      <c r="AL6" s="52">
        <v>0.1</v>
      </c>
      <c r="AM6" s="52">
        <v>0.15</v>
      </c>
      <c r="AN6" s="52"/>
      <c r="AO6" s="52"/>
      <c r="AP6" s="52">
        <v>0.45</v>
      </c>
      <c r="AQ6" s="52"/>
      <c r="AR6" s="52">
        <v>0.19999999999999998</v>
      </c>
      <c r="AS6" s="52">
        <v>0.3</v>
      </c>
      <c r="AT6" s="52"/>
      <c r="AU6" s="52"/>
      <c r="AV6" s="52">
        <v>0.2</v>
      </c>
      <c r="AW6" s="52"/>
      <c r="AX6" s="52"/>
      <c r="AY6" s="52">
        <v>0.2</v>
      </c>
      <c r="AZ6" s="52"/>
      <c r="BA6" s="52"/>
      <c r="BB6" s="52">
        <v>0.2</v>
      </c>
      <c r="BC6" s="52"/>
      <c r="BD6" s="52"/>
      <c r="BE6" s="52">
        <v>0.2</v>
      </c>
      <c r="BF6" s="52"/>
      <c r="BG6" s="52"/>
      <c r="BH6" s="52">
        <v>0.2</v>
      </c>
      <c r="BI6" s="52"/>
      <c r="BJ6" s="52">
        <v>0.32499999999999996</v>
      </c>
      <c r="BK6" s="52">
        <v>0.32499999999999996</v>
      </c>
      <c r="BL6" s="52">
        <v>0</v>
      </c>
      <c r="BM6" s="52">
        <v>0.3</v>
      </c>
      <c r="BN6" s="52">
        <v>0</v>
      </c>
      <c r="BO6" s="52">
        <v>0.3</v>
      </c>
    </row>
    <row r="7" spans="1:67" s="84" customFormat="1" x14ac:dyDescent="0.35">
      <c r="A7" s="2"/>
      <c r="B7" s="20"/>
      <c r="C7" s="158"/>
      <c r="D7" s="155" t="s">
        <v>97</v>
      </c>
      <c r="E7" s="156"/>
      <c r="F7" s="157"/>
      <c r="G7" s="52">
        <v>0.32499999999999996</v>
      </c>
      <c r="H7" s="52">
        <v>0.375</v>
      </c>
      <c r="I7" s="52"/>
      <c r="J7" s="52"/>
      <c r="K7" s="52">
        <v>0.27499999999999997</v>
      </c>
      <c r="L7" s="52"/>
      <c r="M7" s="52"/>
      <c r="N7" s="52">
        <v>7.5000000000000011E-2</v>
      </c>
      <c r="O7" s="52"/>
      <c r="P7" s="52">
        <v>0.32499999999999996</v>
      </c>
      <c r="Q7" s="52">
        <v>0.45</v>
      </c>
      <c r="R7" s="52"/>
      <c r="S7" s="52">
        <v>0.32499999999999996</v>
      </c>
      <c r="T7" s="52">
        <v>0.45</v>
      </c>
      <c r="U7" s="52">
        <v>0.45</v>
      </c>
      <c r="V7" s="52">
        <v>0.5</v>
      </c>
      <c r="W7" s="52"/>
      <c r="X7" s="52">
        <v>0.375</v>
      </c>
      <c r="Y7" s="52">
        <v>0.35</v>
      </c>
      <c r="Z7" s="52"/>
      <c r="AA7" s="52">
        <v>0.375</v>
      </c>
      <c r="AB7" s="52">
        <v>0.35</v>
      </c>
      <c r="AC7" s="52">
        <v>7.5000000000000011E-2</v>
      </c>
      <c r="AD7" s="52">
        <v>0.125</v>
      </c>
      <c r="AE7" s="52"/>
      <c r="AF7" s="52">
        <v>0.32499999999999996</v>
      </c>
      <c r="AG7" s="52">
        <v>0.32499999999999996</v>
      </c>
      <c r="AH7" s="52"/>
      <c r="AI7" s="52">
        <v>0.22500000000000001</v>
      </c>
      <c r="AJ7" s="52">
        <v>0.22500000000000001</v>
      </c>
      <c r="AK7" s="52"/>
      <c r="AL7" s="52">
        <v>0.1</v>
      </c>
      <c r="AM7" s="52">
        <v>0.15</v>
      </c>
      <c r="AN7" s="52"/>
      <c r="AO7" s="52"/>
      <c r="AP7" s="52">
        <v>0.45</v>
      </c>
      <c r="AQ7" s="52"/>
      <c r="AR7" s="52">
        <v>0.19999999999999998</v>
      </c>
      <c r="AS7" s="52">
        <v>0.3</v>
      </c>
      <c r="AT7" s="52"/>
      <c r="AU7" s="52"/>
      <c r="AV7" s="52">
        <v>0.2</v>
      </c>
      <c r="AW7" s="52"/>
      <c r="AX7" s="52"/>
      <c r="AY7" s="52">
        <v>0.2</v>
      </c>
      <c r="AZ7" s="52"/>
      <c r="BA7" s="52"/>
      <c r="BB7" s="52">
        <v>0.2</v>
      </c>
      <c r="BC7" s="52"/>
      <c r="BD7" s="52"/>
      <c r="BE7" s="52">
        <v>0.2</v>
      </c>
      <c r="BF7" s="52"/>
      <c r="BG7" s="52"/>
      <c r="BH7" s="52">
        <v>0.2</v>
      </c>
      <c r="BI7" s="52"/>
      <c r="BJ7" s="52">
        <v>0.32499999999999996</v>
      </c>
      <c r="BK7" s="52">
        <v>0.32499999999999996</v>
      </c>
      <c r="BL7" s="52">
        <v>0</v>
      </c>
      <c r="BM7" s="52">
        <v>0.3</v>
      </c>
      <c r="BN7" s="52">
        <v>0</v>
      </c>
      <c r="BO7" s="52">
        <v>0.3</v>
      </c>
    </row>
    <row r="8" spans="1:67" s="84" customFormat="1" ht="109" customHeight="1" x14ac:dyDescent="0.35">
      <c r="A8" s="2"/>
      <c r="B8" s="20"/>
      <c r="C8" s="158"/>
      <c r="D8" s="159" t="s">
        <v>98</v>
      </c>
      <c r="E8" s="53" t="s">
        <v>99</v>
      </c>
      <c r="F8" s="53" t="s">
        <v>100</v>
      </c>
      <c r="G8" s="52">
        <v>0.42499999999999999</v>
      </c>
      <c r="H8" s="52">
        <v>0.47499999999999998</v>
      </c>
      <c r="I8" s="52"/>
      <c r="J8" s="52">
        <v>0.35</v>
      </c>
      <c r="K8" s="52">
        <v>0.45</v>
      </c>
      <c r="L8" s="52"/>
      <c r="M8" s="52">
        <v>0.35</v>
      </c>
      <c r="N8" s="52">
        <v>0.45</v>
      </c>
      <c r="O8" s="52"/>
      <c r="P8" s="52">
        <v>0.45</v>
      </c>
      <c r="Q8" s="94">
        <v>0.46</v>
      </c>
      <c r="R8" s="52"/>
      <c r="S8" s="52">
        <v>0.45</v>
      </c>
      <c r="T8" s="94">
        <v>0.46</v>
      </c>
      <c r="U8" s="52">
        <v>0.45</v>
      </c>
      <c r="V8" s="94">
        <v>0.5</v>
      </c>
      <c r="W8" s="52"/>
      <c r="X8" s="52">
        <v>0.45</v>
      </c>
      <c r="Y8" s="52">
        <v>0.45</v>
      </c>
      <c r="Z8" s="52"/>
      <c r="AA8" s="52">
        <v>0.45</v>
      </c>
      <c r="AB8" s="52">
        <v>0.45</v>
      </c>
      <c r="AC8" s="52">
        <v>0.45</v>
      </c>
      <c r="AD8" s="52">
        <v>0.45</v>
      </c>
      <c r="AE8" s="52"/>
      <c r="AF8" s="52">
        <v>0.45</v>
      </c>
      <c r="AG8" s="52">
        <v>0.45</v>
      </c>
      <c r="AH8" s="52"/>
      <c r="AI8" s="52">
        <v>0.32499999999999996</v>
      </c>
      <c r="AJ8" s="52">
        <v>0.4</v>
      </c>
      <c r="AK8" s="52"/>
      <c r="AL8" s="52">
        <v>0.375</v>
      </c>
      <c r="AM8" s="85">
        <v>0.45</v>
      </c>
      <c r="AN8" s="52"/>
      <c r="AO8" s="52">
        <v>0.32500000000000001</v>
      </c>
      <c r="AP8" s="52">
        <v>0.5</v>
      </c>
      <c r="AQ8" s="52"/>
      <c r="AR8" s="52">
        <v>0.35</v>
      </c>
      <c r="AS8" s="52">
        <v>0.45</v>
      </c>
      <c r="AT8" s="52"/>
      <c r="AU8" s="52">
        <v>0.35</v>
      </c>
      <c r="AV8" s="52">
        <v>0.45</v>
      </c>
      <c r="AW8" s="52"/>
      <c r="AX8" s="52">
        <v>0.35</v>
      </c>
      <c r="AY8" s="52">
        <v>0.45</v>
      </c>
      <c r="AZ8" s="52"/>
      <c r="BA8" s="52">
        <v>0.35</v>
      </c>
      <c r="BB8" s="52">
        <v>0.45</v>
      </c>
      <c r="BC8" s="52"/>
      <c r="BD8" s="52">
        <v>0.35</v>
      </c>
      <c r="BE8" s="52">
        <v>0.4</v>
      </c>
      <c r="BF8" s="52"/>
      <c r="BG8" s="52">
        <v>0.35</v>
      </c>
      <c r="BH8" s="52">
        <v>0.45</v>
      </c>
      <c r="BI8" s="52"/>
      <c r="BJ8" s="52">
        <v>0.47499999999999998</v>
      </c>
      <c r="BK8" s="52">
        <v>0.47499999999999998</v>
      </c>
      <c r="BL8" s="52">
        <v>0</v>
      </c>
      <c r="BM8" s="52">
        <v>0.3</v>
      </c>
      <c r="BN8" s="52">
        <v>0</v>
      </c>
      <c r="BO8" s="52">
        <v>0.15</v>
      </c>
    </row>
    <row r="9" spans="1:67" s="84" customFormat="1" x14ac:dyDescent="0.35">
      <c r="A9" s="2"/>
      <c r="B9" s="20"/>
      <c r="C9" s="158"/>
      <c r="D9" s="131"/>
      <c r="E9" s="147" t="s">
        <v>101</v>
      </c>
      <c r="F9" s="151"/>
      <c r="G9" s="52">
        <v>0.2</v>
      </c>
      <c r="H9" s="52">
        <v>0.3</v>
      </c>
      <c r="I9" s="52"/>
      <c r="J9" s="52"/>
      <c r="K9" s="52">
        <v>0.25</v>
      </c>
      <c r="L9" s="52"/>
      <c r="M9" s="52"/>
      <c r="N9" s="52">
        <v>0.25</v>
      </c>
      <c r="O9" s="52"/>
      <c r="P9" s="52">
        <v>0.35</v>
      </c>
      <c r="Q9" s="86">
        <v>0.55000000000000004</v>
      </c>
      <c r="R9" s="52"/>
      <c r="S9" s="52">
        <v>0.35</v>
      </c>
      <c r="T9" s="86">
        <v>0.55000000000000004</v>
      </c>
      <c r="U9" s="52">
        <v>0.45</v>
      </c>
      <c r="V9" s="86">
        <v>0.57999999999999996</v>
      </c>
      <c r="W9" s="52"/>
      <c r="X9" s="52">
        <v>0.27500000000000002</v>
      </c>
      <c r="Y9" s="52">
        <v>0.35</v>
      </c>
      <c r="Z9" s="52"/>
      <c r="AA9" s="52">
        <v>0.27500000000000002</v>
      </c>
      <c r="AB9" s="52">
        <v>0.35</v>
      </c>
      <c r="AC9" s="52">
        <v>0.25</v>
      </c>
      <c r="AD9" s="52">
        <v>0.35</v>
      </c>
      <c r="AE9" s="52"/>
      <c r="AF9" s="52"/>
      <c r="AG9" s="52">
        <v>0.22500000000000001</v>
      </c>
      <c r="AH9" s="52"/>
      <c r="AI9" s="52"/>
      <c r="AJ9" s="52"/>
      <c r="AK9" s="52"/>
      <c r="AL9" s="52"/>
      <c r="AM9" s="85">
        <v>0.3</v>
      </c>
      <c r="AN9" s="52"/>
      <c r="AO9" s="52"/>
      <c r="AP9" s="52">
        <v>0.35</v>
      </c>
      <c r="AQ9" s="52"/>
      <c r="AR9" s="52">
        <v>0.25</v>
      </c>
      <c r="AS9" s="52">
        <v>0.25</v>
      </c>
      <c r="AT9" s="52"/>
      <c r="AU9" s="52"/>
      <c r="AV9" s="52">
        <v>0.27500000000000002</v>
      </c>
      <c r="AW9" s="52"/>
      <c r="AX9" s="52"/>
      <c r="AY9" s="52">
        <v>0.3</v>
      </c>
      <c r="AZ9" s="52"/>
      <c r="BA9" s="52"/>
      <c r="BB9" s="52"/>
      <c r="BC9" s="52"/>
      <c r="BD9" s="52"/>
      <c r="BE9" s="52"/>
      <c r="BF9" s="52"/>
      <c r="BG9" s="52"/>
      <c r="BH9" s="52">
        <v>0.3</v>
      </c>
      <c r="BI9" s="52"/>
      <c r="BJ9" s="52">
        <v>0.47499999999999998</v>
      </c>
      <c r="BK9" s="52">
        <v>0.47499999999999998</v>
      </c>
      <c r="BL9" s="52">
        <v>0</v>
      </c>
      <c r="BM9" s="52">
        <v>0.1</v>
      </c>
      <c r="BN9" s="52">
        <v>0</v>
      </c>
      <c r="BO9" s="52">
        <v>0.1</v>
      </c>
    </row>
    <row r="10" spans="1:67" s="84" customFormat="1" x14ac:dyDescent="0.35">
      <c r="A10" s="2"/>
      <c r="B10" s="20"/>
      <c r="C10" s="158"/>
      <c r="D10" s="155" t="s">
        <v>102</v>
      </c>
      <c r="E10" s="156"/>
      <c r="F10" s="157"/>
      <c r="G10" s="52">
        <v>0.2</v>
      </c>
      <c r="H10" s="52">
        <v>0.3</v>
      </c>
      <c r="I10" s="52"/>
      <c r="J10" s="52"/>
      <c r="K10" s="52">
        <v>0.25</v>
      </c>
      <c r="L10" s="52"/>
      <c r="M10" s="52"/>
      <c r="N10" s="52">
        <v>0.25</v>
      </c>
      <c r="O10" s="52"/>
      <c r="P10" s="52">
        <v>0.35</v>
      </c>
      <c r="Q10" s="52">
        <v>0.45</v>
      </c>
      <c r="R10" s="52"/>
      <c r="S10" s="52">
        <v>0.35</v>
      </c>
      <c r="T10" s="52">
        <v>0.45</v>
      </c>
      <c r="U10" s="52">
        <v>0.42499999999999999</v>
      </c>
      <c r="V10" s="52">
        <v>0.45</v>
      </c>
      <c r="W10" s="52"/>
      <c r="X10" s="52">
        <v>0.27500000000000002</v>
      </c>
      <c r="Y10" s="52">
        <v>0.35</v>
      </c>
      <c r="Z10" s="52"/>
      <c r="AA10" s="52">
        <v>0.27500000000000002</v>
      </c>
      <c r="AB10" s="52">
        <v>0.35</v>
      </c>
      <c r="AC10" s="52">
        <v>0.25</v>
      </c>
      <c r="AD10" s="52">
        <v>0.32499999999999996</v>
      </c>
      <c r="AE10" s="52"/>
      <c r="AF10" s="52"/>
      <c r="AG10" s="52">
        <v>0.22500000000000001</v>
      </c>
      <c r="AH10" s="52"/>
      <c r="AI10" s="52"/>
      <c r="AJ10" s="52"/>
      <c r="AK10" s="52"/>
      <c r="AL10" s="52"/>
      <c r="AM10" s="52">
        <v>0.15</v>
      </c>
      <c r="AN10" s="52"/>
      <c r="AO10" s="52"/>
      <c r="AP10" s="52">
        <v>0.375</v>
      </c>
      <c r="AQ10" s="52"/>
      <c r="AR10" s="52">
        <v>0.25</v>
      </c>
      <c r="AS10" s="52">
        <v>0.25</v>
      </c>
      <c r="AT10" s="52"/>
      <c r="AU10" s="52"/>
      <c r="AV10" s="52">
        <v>0.27500000000000002</v>
      </c>
      <c r="AW10" s="52"/>
      <c r="AX10" s="52"/>
      <c r="AY10" s="52">
        <v>0.3</v>
      </c>
      <c r="AZ10" s="52"/>
      <c r="BA10" s="52"/>
      <c r="BB10" s="52"/>
      <c r="BC10" s="52"/>
      <c r="BD10" s="52"/>
      <c r="BE10" s="52"/>
      <c r="BF10" s="52"/>
      <c r="BG10" s="52"/>
      <c r="BH10" s="52">
        <v>0.3</v>
      </c>
      <c r="BI10" s="52"/>
      <c r="BJ10" s="52">
        <v>0.25</v>
      </c>
      <c r="BK10" s="52">
        <v>0.25</v>
      </c>
      <c r="BL10" s="52">
        <v>0</v>
      </c>
      <c r="BM10" s="52">
        <v>0</v>
      </c>
      <c r="BN10" s="52">
        <v>0</v>
      </c>
      <c r="BO10" s="52">
        <v>0</v>
      </c>
    </row>
    <row r="11" spans="1:67" s="84" customFormat="1" x14ac:dyDescent="0.35">
      <c r="A11" s="2">
        <v>30</v>
      </c>
      <c r="B11" s="20"/>
      <c r="C11" s="158"/>
      <c r="D11" s="147" t="s">
        <v>103</v>
      </c>
      <c r="E11" s="148"/>
      <c r="F11" s="151"/>
      <c r="G11" s="52">
        <v>0.1</v>
      </c>
      <c r="H11" s="52">
        <v>0.17499999999999999</v>
      </c>
      <c r="I11" s="52"/>
      <c r="J11" s="52"/>
      <c r="K11" s="52"/>
      <c r="L11" s="52"/>
      <c r="M11" s="52"/>
      <c r="N11" s="52">
        <v>0.125</v>
      </c>
      <c r="O11" s="52"/>
      <c r="P11" s="52">
        <v>0.1</v>
      </c>
      <c r="Q11" s="52">
        <v>0.2</v>
      </c>
      <c r="R11" s="52"/>
      <c r="S11" s="52">
        <v>0.1</v>
      </c>
      <c r="T11" s="52">
        <v>0.2</v>
      </c>
      <c r="U11" s="52">
        <v>0.125</v>
      </c>
      <c r="V11" s="52">
        <v>0.125</v>
      </c>
      <c r="W11" s="52"/>
      <c r="X11" s="52">
        <v>0.1</v>
      </c>
      <c r="Y11" s="52">
        <v>0.15</v>
      </c>
      <c r="Z11" s="52"/>
      <c r="AA11" s="52">
        <v>0.1</v>
      </c>
      <c r="AB11" s="52">
        <v>0.15</v>
      </c>
      <c r="AC11" s="52">
        <v>0.27499999999999997</v>
      </c>
      <c r="AD11" s="52">
        <v>0.3</v>
      </c>
      <c r="AE11" s="52"/>
      <c r="AF11" s="52"/>
      <c r="AG11" s="52">
        <v>0.1</v>
      </c>
      <c r="AH11" s="52"/>
      <c r="AI11" s="52"/>
      <c r="AJ11" s="52"/>
      <c r="AK11" s="52"/>
      <c r="AL11" s="52">
        <v>0.17500000000000002</v>
      </c>
      <c r="AM11" s="52">
        <v>0.17499999999999999</v>
      </c>
      <c r="AN11" s="52"/>
      <c r="AO11" s="52"/>
      <c r="AP11" s="52">
        <v>6.0000000000000005E-2</v>
      </c>
      <c r="AQ11" s="52"/>
      <c r="AR11" s="52"/>
      <c r="AS11" s="52">
        <v>0.15</v>
      </c>
      <c r="AT11" s="52"/>
      <c r="AU11" s="52"/>
      <c r="AV11" s="52">
        <v>0.125</v>
      </c>
      <c r="AW11" s="52"/>
      <c r="AX11" s="52"/>
      <c r="AY11" s="52">
        <v>0.15</v>
      </c>
      <c r="AZ11" s="52"/>
      <c r="BA11" s="52"/>
      <c r="BB11" s="52"/>
      <c r="BC11" s="52"/>
      <c r="BD11" s="52"/>
      <c r="BE11" s="52"/>
      <c r="BF11" s="52"/>
      <c r="BG11" s="52"/>
      <c r="BH11" s="52">
        <v>0.15</v>
      </c>
      <c r="BI11" s="52"/>
      <c r="BJ11" s="52">
        <v>0.25</v>
      </c>
      <c r="BK11" s="52">
        <v>0.25</v>
      </c>
      <c r="BL11" s="52">
        <v>0</v>
      </c>
      <c r="BM11" s="52">
        <v>0</v>
      </c>
      <c r="BN11" s="52">
        <v>0</v>
      </c>
      <c r="BO11" s="52">
        <v>0</v>
      </c>
    </row>
    <row r="12" spans="1:67" s="84" customFormat="1" x14ac:dyDescent="0.35">
      <c r="A12" s="2"/>
      <c r="B12" s="20"/>
      <c r="C12" s="158"/>
      <c r="D12" s="147" t="s">
        <v>104</v>
      </c>
      <c r="E12" s="148"/>
      <c r="F12" s="151"/>
      <c r="G12" s="52">
        <v>0.1</v>
      </c>
      <c r="H12" s="52">
        <v>0.22500000000000001</v>
      </c>
      <c r="I12" s="52"/>
      <c r="J12" s="52"/>
      <c r="K12" s="52">
        <v>0.1</v>
      </c>
      <c r="L12" s="52"/>
      <c r="M12" s="52"/>
      <c r="N12" s="52">
        <v>0.125</v>
      </c>
      <c r="O12" s="52"/>
      <c r="P12" s="52">
        <v>0.1</v>
      </c>
      <c r="Q12" s="52">
        <v>0.2</v>
      </c>
      <c r="R12" s="52"/>
      <c r="S12" s="52">
        <v>0.1</v>
      </c>
      <c r="T12" s="52">
        <v>0.2</v>
      </c>
      <c r="U12" s="52">
        <v>7.5000000000000011E-2</v>
      </c>
      <c r="V12" s="52">
        <v>0.2</v>
      </c>
      <c r="W12" s="52"/>
      <c r="X12" s="52">
        <v>0.1</v>
      </c>
      <c r="Y12" s="52">
        <v>0.17499999999999999</v>
      </c>
      <c r="Z12" s="52"/>
      <c r="AA12" s="52">
        <v>0.1</v>
      </c>
      <c r="AB12" s="52">
        <v>0.17499999999999999</v>
      </c>
      <c r="AC12" s="52"/>
      <c r="AD12" s="52">
        <v>0.22500000000000001</v>
      </c>
      <c r="AE12" s="52"/>
      <c r="AF12" s="52">
        <v>0.1</v>
      </c>
      <c r="AG12" s="52">
        <v>0.17499999999999999</v>
      </c>
      <c r="AH12" s="52"/>
      <c r="AI12" s="52"/>
      <c r="AJ12" s="52"/>
      <c r="AK12" s="52"/>
      <c r="AL12" s="52"/>
      <c r="AM12" s="52">
        <v>0.2</v>
      </c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85">
        <v>0.15</v>
      </c>
      <c r="BC12" s="52"/>
      <c r="BD12" s="52"/>
      <c r="BE12" s="52"/>
      <c r="BF12" s="52"/>
      <c r="BG12" s="52"/>
      <c r="BH12" s="52">
        <v>0.15</v>
      </c>
      <c r="BI12" s="52"/>
      <c r="BJ12" s="52">
        <v>0.25</v>
      </c>
      <c r="BK12" s="52">
        <v>0.25</v>
      </c>
      <c r="BL12" s="52">
        <v>0</v>
      </c>
      <c r="BM12" s="52">
        <v>0</v>
      </c>
      <c r="BN12" s="52">
        <v>0</v>
      </c>
      <c r="BO12" s="52">
        <v>0</v>
      </c>
    </row>
    <row r="13" spans="1:67" s="84" customFormat="1" x14ac:dyDescent="0.35">
      <c r="A13" s="2"/>
      <c r="B13" s="20"/>
      <c r="C13" s="158"/>
      <c r="D13" s="147" t="s">
        <v>105</v>
      </c>
      <c r="E13" s="148"/>
      <c r="F13" s="151"/>
      <c r="G13" s="52"/>
      <c r="H13" s="52">
        <v>0.22500000000000001</v>
      </c>
      <c r="I13" s="52"/>
      <c r="J13" s="52"/>
      <c r="K13" s="52">
        <v>0.08</v>
      </c>
      <c r="L13" s="52"/>
      <c r="M13" s="52"/>
      <c r="N13" s="86">
        <v>0.27500000000000002</v>
      </c>
      <c r="O13" s="52"/>
      <c r="P13" s="52">
        <v>0.1</v>
      </c>
      <c r="Q13" s="52">
        <v>0.2</v>
      </c>
      <c r="R13" s="52"/>
      <c r="S13" s="52">
        <v>0.1</v>
      </c>
      <c r="T13" s="52">
        <v>0.2</v>
      </c>
      <c r="U13" s="52">
        <v>7.5000000000000011E-2</v>
      </c>
      <c r="V13" s="52">
        <v>0.2</v>
      </c>
      <c r="W13" s="52"/>
      <c r="X13" s="52">
        <v>0.1</v>
      </c>
      <c r="Y13" s="52">
        <v>0.17499999999999999</v>
      </c>
      <c r="Z13" s="52"/>
      <c r="AA13" s="52">
        <v>0.1</v>
      </c>
      <c r="AB13" s="52">
        <v>0.17499999999999999</v>
      </c>
      <c r="AC13" s="52">
        <v>0.17500000000000002</v>
      </c>
      <c r="AD13" s="52">
        <v>0.22500000000000001</v>
      </c>
      <c r="AE13" s="52"/>
      <c r="AF13" s="52"/>
      <c r="AG13" s="78">
        <v>0.22</v>
      </c>
      <c r="AH13" s="52"/>
      <c r="AI13" s="52"/>
      <c r="AJ13" s="52"/>
      <c r="AK13" s="52"/>
      <c r="AL13" s="52"/>
      <c r="AM13" s="52">
        <v>0.2</v>
      </c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85">
        <v>0.15</v>
      </c>
      <c r="BC13" s="52"/>
      <c r="BD13" s="52"/>
      <c r="BE13" s="52"/>
      <c r="BF13" s="52"/>
      <c r="BG13" s="52"/>
      <c r="BH13" s="52">
        <v>0.15</v>
      </c>
      <c r="BI13" s="52"/>
      <c r="BJ13" s="52">
        <v>0.25</v>
      </c>
      <c r="BK13" s="52">
        <v>0.25</v>
      </c>
      <c r="BL13" s="52">
        <v>0</v>
      </c>
      <c r="BM13" s="52">
        <v>0</v>
      </c>
      <c r="BN13" s="52">
        <v>0</v>
      </c>
      <c r="BO13" s="52">
        <v>0</v>
      </c>
    </row>
    <row r="14" spans="1:67" s="84" customFormat="1" x14ac:dyDescent="0.35">
      <c r="A14" s="2"/>
      <c r="B14" s="20"/>
      <c r="C14" s="158"/>
      <c r="D14" s="147" t="s">
        <v>106</v>
      </c>
      <c r="E14" s="148"/>
      <c r="F14" s="151"/>
      <c r="G14" s="52"/>
      <c r="H14" s="52">
        <v>0.17499999999999999</v>
      </c>
      <c r="I14" s="52"/>
      <c r="J14" s="52"/>
      <c r="K14" s="52">
        <v>0.1</v>
      </c>
      <c r="L14" s="52"/>
      <c r="M14" s="52"/>
      <c r="N14" s="86">
        <v>0.27500000000000002</v>
      </c>
      <c r="O14" s="52"/>
      <c r="P14" s="52">
        <v>0.125</v>
      </c>
      <c r="Q14" s="52">
        <v>0.17499999999999999</v>
      </c>
      <c r="R14" s="52"/>
      <c r="S14" s="52">
        <v>0.125</v>
      </c>
      <c r="T14" s="85">
        <v>0.2</v>
      </c>
      <c r="U14" s="52">
        <v>7.5000000000000011E-2</v>
      </c>
      <c r="V14" s="52">
        <v>0.2</v>
      </c>
      <c r="W14" s="52"/>
      <c r="X14" s="52"/>
      <c r="Y14" s="52">
        <v>0.125</v>
      </c>
      <c r="Z14" s="52"/>
      <c r="AA14" s="52"/>
      <c r="AB14" s="52">
        <v>0.125</v>
      </c>
      <c r="AC14" s="52">
        <v>0.17500000000000002</v>
      </c>
      <c r="AD14" s="52">
        <v>0.15</v>
      </c>
      <c r="AE14" s="52"/>
      <c r="AF14" s="52"/>
      <c r="AG14" s="78">
        <v>0.22</v>
      </c>
      <c r="AH14" s="52"/>
      <c r="AI14" s="52"/>
      <c r="AJ14" s="52"/>
      <c r="AK14" s="52"/>
      <c r="AL14" s="52"/>
      <c r="AM14" s="85">
        <v>0.2</v>
      </c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85">
        <v>0.15</v>
      </c>
      <c r="BC14" s="52"/>
      <c r="BD14" s="52"/>
      <c r="BE14" s="52"/>
      <c r="BF14" s="52"/>
      <c r="BG14" s="52"/>
      <c r="BH14" s="52">
        <v>0.15</v>
      </c>
      <c r="BI14" s="52"/>
      <c r="BJ14" s="52">
        <v>0.25</v>
      </c>
      <c r="BK14" s="52">
        <v>0.25</v>
      </c>
      <c r="BL14" s="52">
        <v>0</v>
      </c>
      <c r="BM14" s="52">
        <v>0</v>
      </c>
      <c r="BN14" s="52">
        <v>0</v>
      </c>
      <c r="BO14" s="52">
        <v>0</v>
      </c>
    </row>
    <row r="15" spans="1:67" s="84" customFormat="1" x14ac:dyDescent="0.35">
      <c r="A15" s="2"/>
      <c r="B15" s="20"/>
      <c r="C15" s="158"/>
      <c r="D15" s="147" t="s">
        <v>107</v>
      </c>
      <c r="E15" s="148"/>
      <c r="F15" s="151"/>
      <c r="G15" s="52">
        <v>0.2</v>
      </c>
      <c r="H15" s="94">
        <v>0.3</v>
      </c>
      <c r="I15" s="52"/>
      <c r="J15" s="52"/>
      <c r="K15" s="52"/>
      <c r="L15" s="52"/>
      <c r="M15" s="52"/>
      <c r="N15" s="86">
        <v>0.22500000000000001</v>
      </c>
      <c r="O15" s="52"/>
      <c r="P15" s="52">
        <v>0.15</v>
      </c>
      <c r="Q15" s="86">
        <v>0.35</v>
      </c>
      <c r="R15" s="52"/>
      <c r="S15" s="52">
        <v>0.15</v>
      </c>
      <c r="T15" s="86">
        <v>0.35</v>
      </c>
      <c r="U15" s="52">
        <v>7.5000000000000011E-2</v>
      </c>
      <c r="V15" s="86">
        <v>0.32500000000000001</v>
      </c>
      <c r="W15" s="52"/>
      <c r="X15" s="52">
        <v>0.17499999999999999</v>
      </c>
      <c r="Y15" s="52">
        <v>0.27500000000000002</v>
      </c>
      <c r="Z15" s="52"/>
      <c r="AA15" s="52">
        <v>0.17499999999999999</v>
      </c>
      <c r="AB15" s="86">
        <v>0.38</v>
      </c>
      <c r="AC15" s="52">
        <v>0.17500000000000002</v>
      </c>
      <c r="AD15" s="52">
        <v>0.27500000000000002</v>
      </c>
      <c r="AE15" s="52"/>
      <c r="AF15" s="52">
        <v>0.2</v>
      </c>
      <c r="AG15" s="52">
        <v>0.25</v>
      </c>
      <c r="AH15" s="52"/>
      <c r="AI15" s="52"/>
      <c r="AJ15" s="52"/>
      <c r="AK15" s="52"/>
      <c r="AL15" s="52">
        <v>0.15</v>
      </c>
      <c r="AM15" s="86">
        <v>0.3</v>
      </c>
      <c r="AN15" s="52"/>
      <c r="AO15" s="52"/>
      <c r="AP15" s="52"/>
      <c r="AQ15" s="52"/>
      <c r="AR15" s="52"/>
      <c r="AS15" s="52">
        <v>0.25</v>
      </c>
      <c r="AT15" s="52"/>
      <c r="AU15" s="52"/>
      <c r="AV15" s="52">
        <v>0.25</v>
      </c>
      <c r="AW15" s="52"/>
      <c r="AX15" s="52"/>
      <c r="AY15" s="52">
        <v>0.15</v>
      </c>
      <c r="AZ15" s="52"/>
      <c r="BA15" s="52"/>
      <c r="BB15" s="85">
        <v>0.13500000000000001</v>
      </c>
      <c r="BC15" s="52"/>
      <c r="BD15" s="52"/>
      <c r="BE15" s="52"/>
      <c r="BF15" s="52"/>
      <c r="BG15" s="52"/>
      <c r="BH15" s="52">
        <v>0.13500000000000001</v>
      </c>
      <c r="BI15" s="52"/>
      <c r="BJ15" s="52">
        <v>0.25</v>
      </c>
      <c r="BK15" s="52">
        <v>0.25</v>
      </c>
      <c r="BL15" s="52">
        <v>0</v>
      </c>
      <c r="BM15" s="52">
        <v>0</v>
      </c>
      <c r="BN15" s="52">
        <v>0</v>
      </c>
      <c r="BO15" s="52">
        <v>0</v>
      </c>
    </row>
    <row r="16" spans="1:67" s="84" customFormat="1" x14ac:dyDescent="0.35">
      <c r="A16" s="2"/>
      <c r="B16" s="20"/>
      <c r="C16" s="158"/>
      <c r="D16" s="147" t="s">
        <v>108</v>
      </c>
      <c r="E16" s="148"/>
      <c r="F16" s="151"/>
      <c r="G16" s="52">
        <v>0.2</v>
      </c>
      <c r="H16" s="94">
        <v>0.25</v>
      </c>
      <c r="I16" s="52"/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/>
      <c r="P16" s="52">
        <v>0.15</v>
      </c>
      <c r="Q16" s="86">
        <v>0.32</v>
      </c>
      <c r="R16" s="52"/>
      <c r="S16" s="52">
        <v>0.15</v>
      </c>
      <c r="T16" s="86">
        <v>0.32</v>
      </c>
      <c r="U16" s="52">
        <v>7.5000000000000011E-2</v>
      </c>
      <c r="V16" s="52">
        <v>0.1</v>
      </c>
      <c r="W16" s="52"/>
      <c r="X16" s="52">
        <v>0.17499999999999999</v>
      </c>
      <c r="Y16" s="52">
        <v>0.27500000000000002</v>
      </c>
      <c r="Z16" s="52"/>
      <c r="AA16" s="52">
        <v>0.17499999999999999</v>
      </c>
      <c r="AB16" s="52">
        <v>0.27500000000000002</v>
      </c>
      <c r="AC16" s="52">
        <v>0.17500000000000002</v>
      </c>
      <c r="AD16" s="52">
        <v>0.27500000000000002</v>
      </c>
      <c r="AE16" s="52"/>
      <c r="AF16" s="52">
        <v>0.2</v>
      </c>
      <c r="AG16" s="52">
        <v>0.22</v>
      </c>
      <c r="AH16" s="52"/>
      <c r="AI16" s="52"/>
      <c r="AJ16" s="52"/>
      <c r="AK16" s="52"/>
      <c r="AL16" s="52">
        <v>0.15</v>
      </c>
      <c r="AM16" s="85">
        <v>0.25</v>
      </c>
      <c r="AN16" s="52"/>
      <c r="AO16" s="52"/>
      <c r="AP16" s="52"/>
      <c r="AQ16" s="52"/>
      <c r="AR16" s="52"/>
      <c r="AS16" s="52">
        <v>0.25</v>
      </c>
      <c r="AT16" s="52"/>
      <c r="AU16" s="52"/>
      <c r="AV16" s="52">
        <v>0.25</v>
      </c>
      <c r="AW16" s="52"/>
      <c r="AX16" s="52"/>
      <c r="AY16" s="52">
        <v>0.15</v>
      </c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>
        <v>0.23</v>
      </c>
      <c r="BK16" s="52">
        <v>0.23</v>
      </c>
      <c r="BL16" s="52">
        <v>0</v>
      </c>
      <c r="BM16" s="52">
        <v>0</v>
      </c>
      <c r="BN16" s="52">
        <v>0</v>
      </c>
      <c r="BO16" s="52">
        <v>0</v>
      </c>
    </row>
    <row r="17" spans="1:67" s="84" customFormat="1" x14ac:dyDescent="0.35">
      <c r="A17" s="2"/>
      <c r="B17" s="20"/>
      <c r="C17" s="158"/>
      <c r="D17" s="147" t="s">
        <v>143</v>
      </c>
      <c r="E17" s="148"/>
      <c r="F17" s="151"/>
      <c r="G17" s="52">
        <v>0</v>
      </c>
      <c r="H17" s="52">
        <v>0.2</v>
      </c>
      <c r="I17" s="52"/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/>
      <c r="P17" s="52">
        <v>0</v>
      </c>
      <c r="Q17" s="52">
        <v>0.2</v>
      </c>
      <c r="R17" s="52"/>
      <c r="S17" s="52">
        <v>0</v>
      </c>
      <c r="T17" s="85">
        <v>0.22500000000000001</v>
      </c>
      <c r="U17" s="52">
        <v>0</v>
      </c>
      <c r="V17" s="52">
        <v>0.1</v>
      </c>
      <c r="W17" s="52"/>
      <c r="X17" s="52">
        <v>0</v>
      </c>
      <c r="Y17" s="52">
        <v>0.17499999999999999</v>
      </c>
      <c r="Z17" s="52"/>
      <c r="AA17" s="52">
        <v>0</v>
      </c>
      <c r="AB17" s="52">
        <v>0.17499999999999999</v>
      </c>
      <c r="AC17" s="52">
        <v>0</v>
      </c>
      <c r="AD17" s="52">
        <v>0.17499999999999999</v>
      </c>
      <c r="AE17" s="52"/>
      <c r="AF17" s="52">
        <v>0</v>
      </c>
      <c r="AG17" s="52">
        <v>0.22</v>
      </c>
      <c r="AH17" s="52"/>
      <c r="AI17" s="52"/>
      <c r="AJ17" s="52"/>
      <c r="AK17" s="52"/>
      <c r="AL17" s="52"/>
      <c r="AM17" s="85">
        <v>0.22500000000000001</v>
      </c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>
        <v>0</v>
      </c>
      <c r="BK17" s="52">
        <v>0</v>
      </c>
      <c r="BL17" s="52">
        <v>0</v>
      </c>
      <c r="BM17" s="52">
        <v>0</v>
      </c>
      <c r="BN17" s="52">
        <v>0</v>
      </c>
      <c r="BO17" s="52">
        <v>0</v>
      </c>
    </row>
    <row r="18" spans="1:67" s="84" customFormat="1" x14ac:dyDescent="0.35">
      <c r="A18" s="2"/>
      <c r="B18" s="20"/>
      <c r="C18" s="158"/>
      <c r="D18" s="147" t="s">
        <v>182</v>
      </c>
      <c r="E18" s="148"/>
      <c r="F18" s="151"/>
      <c r="G18" s="52">
        <v>0</v>
      </c>
      <c r="H18" s="52">
        <v>0.15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0.15</v>
      </c>
      <c r="Z18" s="52">
        <v>0</v>
      </c>
      <c r="AA18" s="52">
        <v>0</v>
      </c>
      <c r="AB18" s="52">
        <v>0.15</v>
      </c>
      <c r="AC18" s="52">
        <v>0</v>
      </c>
      <c r="AD18" s="52">
        <v>0.15</v>
      </c>
      <c r="AE18" s="52">
        <v>0</v>
      </c>
      <c r="AF18" s="52">
        <v>0</v>
      </c>
      <c r="AG18" s="52">
        <v>0.15</v>
      </c>
      <c r="AH18" s="52">
        <v>0</v>
      </c>
      <c r="AI18" s="52">
        <v>0</v>
      </c>
      <c r="AJ18" s="52">
        <v>0</v>
      </c>
      <c r="AK18" s="52">
        <v>0</v>
      </c>
      <c r="AL18" s="52">
        <v>0</v>
      </c>
      <c r="AM18" s="52">
        <v>0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0</v>
      </c>
      <c r="AU18" s="52">
        <v>0</v>
      </c>
      <c r="AV18" s="52">
        <v>0</v>
      </c>
      <c r="AW18" s="52">
        <v>0</v>
      </c>
      <c r="AX18" s="52">
        <v>0</v>
      </c>
      <c r="AY18" s="52">
        <v>0</v>
      </c>
      <c r="AZ18" s="52">
        <v>0</v>
      </c>
      <c r="BA18" s="52">
        <v>0</v>
      </c>
      <c r="BB18" s="52">
        <v>0</v>
      </c>
      <c r="BC18" s="52">
        <v>0</v>
      </c>
      <c r="BD18" s="52">
        <v>0</v>
      </c>
      <c r="BE18" s="52">
        <v>0</v>
      </c>
      <c r="BF18" s="52">
        <v>0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  <c r="BL18" s="52">
        <v>0</v>
      </c>
      <c r="BM18" s="52">
        <v>0</v>
      </c>
      <c r="BN18" s="52">
        <v>0</v>
      </c>
      <c r="BO18" s="52">
        <v>0</v>
      </c>
    </row>
    <row r="19" spans="1:67" s="84" customFormat="1" ht="5.25" customHeight="1" x14ac:dyDescent="0.35">
      <c r="A19" s="2"/>
      <c r="B19" s="25"/>
      <c r="C19" s="54"/>
      <c r="D19" s="55"/>
      <c r="E19" s="55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</row>
    <row r="20" spans="1:67" s="84" customFormat="1" x14ac:dyDescent="0.35">
      <c r="A20" s="2"/>
      <c r="B20" s="56"/>
      <c r="C20" s="146" t="s">
        <v>109</v>
      </c>
      <c r="D20" s="147" t="s">
        <v>110</v>
      </c>
      <c r="E20" s="148"/>
      <c r="F20" s="151"/>
      <c r="G20" s="52">
        <v>0.125</v>
      </c>
      <c r="H20" s="52">
        <v>0.17500000000000002</v>
      </c>
      <c r="I20" s="52"/>
      <c r="J20" s="52"/>
      <c r="K20" s="52"/>
      <c r="L20" s="52"/>
      <c r="M20" s="52"/>
      <c r="N20" s="52"/>
      <c r="O20" s="52"/>
      <c r="P20" s="52">
        <v>0.32499999999999996</v>
      </c>
      <c r="Q20" s="52">
        <v>0.375</v>
      </c>
      <c r="R20" s="52"/>
      <c r="S20" s="52">
        <v>0.32499999999999996</v>
      </c>
      <c r="T20" s="52">
        <v>0.375</v>
      </c>
      <c r="U20" s="52"/>
      <c r="V20" s="52">
        <v>7.5000000000000011E-2</v>
      </c>
      <c r="W20" s="52"/>
      <c r="X20" s="52">
        <v>0.17500000000000002</v>
      </c>
      <c r="Y20" s="52">
        <v>0.22500000000000001</v>
      </c>
      <c r="Z20" s="52"/>
      <c r="AA20" s="52">
        <v>0.17500000000000002</v>
      </c>
      <c r="AB20" s="52">
        <v>0.22500000000000001</v>
      </c>
      <c r="AC20" s="52">
        <v>0.125</v>
      </c>
      <c r="AD20" s="52">
        <v>0.125</v>
      </c>
      <c r="AE20" s="52"/>
      <c r="AF20" s="52">
        <v>7.5000000000000011E-2</v>
      </c>
      <c r="AG20" s="52">
        <v>7.5000000000000011E-2</v>
      </c>
      <c r="AH20" s="52"/>
      <c r="AI20" s="52"/>
      <c r="AJ20" s="52"/>
      <c r="AK20" s="52"/>
      <c r="AL20" s="52">
        <v>7.5000000000000011E-2</v>
      </c>
      <c r="AM20" s="52">
        <v>0.125</v>
      </c>
      <c r="AN20" s="52"/>
      <c r="AO20" s="52"/>
      <c r="AP20" s="52">
        <v>0.38500000000000001</v>
      </c>
      <c r="AQ20" s="52"/>
      <c r="AR20" s="52"/>
      <c r="AS20" s="52">
        <v>0.3</v>
      </c>
      <c r="AT20" s="52"/>
      <c r="AU20" s="52"/>
      <c r="AV20" s="52">
        <v>0.17499999999999999</v>
      </c>
      <c r="AW20" s="52"/>
      <c r="AX20" s="52"/>
      <c r="AY20" s="52">
        <v>0.17499999999999999</v>
      </c>
      <c r="AZ20" s="52"/>
      <c r="BA20" s="52"/>
      <c r="BB20" s="52"/>
      <c r="BC20" s="52"/>
      <c r="BD20" s="52"/>
      <c r="BE20" s="52"/>
      <c r="BF20" s="52"/>
      <c r="BG20" s="52"/>
      <c r="BH20" s="52">
        <v>0.125</v>
      </c>
      <c r="BI20" s="52"/>
      <c r="BJ20" s="52">
        <v>0.35</v>
      </c>
      <c r="BK20" s="52">
        <v>0.35</v>
      </c>
      <c r="BL20" s="52">
        <v>0</v>
      </c>
      <c r="BM20" s="52">
        <v>0</v>
      </c>
      <c r="BN20" s="52">
        <v>0</v>
      </c>
      <c r="BO20" s="52">
        <v>0</v>
      </c>
    </row>
    <row r="21" spans="1:67" s="84" customFormat="1" x14ac:dyDescent="0.35">
      <c r="A21" s="2"/>
      <c r="B21" s="56"/>
      <c r="C21" s="146"/>
      <c r="D21" s="155" t="s">
        <v>111</v>
      </c>
      <c r="E21" s="156"/>
      <c r="F21" s="157"/>
      <c r="G21" s="52">
        <v>0.125</v>
      </c>
      <c r="H21" s="52">
        <v>0.17500000000000002</v>
      </c>
      <c r="I21" s="52"/>
      <c r="J21" s="52"/>
      <c r="K21" s="52"/>
      <c r="L21" s="52"/>
      <c r="M21" s="52"/>
      <c r="N21" s="52"/>
      <c r="O21" s="52"/>
      <c r="P21" s="52">
        <v>0.32499999999999996</v>
      </c>
      <c r="Q21" s="52">
        <v>0.375</v>
      </c>
      <c r="R21" s="52"/>
      <c r="S21" s="52">
        <v>0.32499999999999996</v>
      </c>
      <c r="T21" s="52">
        <v>0.375</v>
      </c>
      <c r="U21" s="52"/>
      <c r="V21" s="52">
        <v>7.5000000000000011E-2</v>
      </c>
      <c r="W21" s="52"/>
      <c r="X21" s="52">
        <v>0.17500000000000002</v>
      </c>
      <c r="Y21" s="52">
        <v>0.22500000000000001</v>
      </c>
      <c r="Z21" s="52"/>
      <c r="AA21" s="52">
        <v>0.17500000000000002</v>
      </c>
      <c r="AB21" s="52">
        <v>0.22500000000000001</v>
      </c>
      <c r="AC21" s="52">
        <v>0.125</v>
      </c>
      <c r="AD21" s="52">
        <v>0.125</v>
      </c>
      <c r="AE21" s="52"/>
      <c r="AF21" s="52">
        <v>7.5000000000000011E-2</v>
      </c>
      <c r="AG21" s="52">
        <v>7.5000000000000011E-2</v>
      </c>
      <c r="AH21" s="52"/>
      <c r="AI21" s="52"/>
      <c r="AJ21" s="52"/>
      <c r="AK21" s="52"/>
      <c r="AL21" s="52">
        <v>7.5000000000000011E-2</v>
      </c>
      <c r="AM21" s="52">
        <v>0.125</v>
      </c>
      <c r="AN21" s="52"/>
      <c r="AO21" s="52"/>
      <c r="AP21" s="52">
        <v>0.38500000000000001</v>
      </c>
      <c r="AQ21" s="52"/>
      <c r="AR21" s="52"/>
      <c r="AS21" s="52">
        <v>0.3</v>
      </c>
      <c r="AT21" s="52"/>
      <c r="AU21" s="52"/>
      <c r="AV21" s="52">
        <v>0.17499999999999999</v>
      </c>
      <c r="AW21" s="52"/>
      <c r="AX21" s="52"/>
      <c r="AY21" s="52">
        <v>0.17499999999999999</v>
      </c>
      <c r="AZ21" s="52"/>
      <c r="BA21" s="52"/>
      <c r="BB21" s="52"/>
      <c r="BC21" s="52"/>
      <c r="BD21" s="52"/>
      <c r="BE21" s="52"/>
      <c r="BF21" s="52"/>
      <c r="BG21" s="52"/>
      <c r="BH21" s="52">
        <v>0.125</v>
      </c>
      <c r="BI21" s="52"/>
      <c r="BJ21" s="52">
        <v>7.5000000000000011E-2</v>
      </c>
      <c r="BK21" s="52">
        <v>7.5000000000000011E-2</v>
      </c>
      <c r="BL21" s="52">
        <v>0</v>
      </c>
      <c r="BM21" s="52">
        <v>0</v>
      </c>
      <c r="BN21" s="52">
        <v>0</v>
      </c>
      <c r="BO21" s="52">
        <v>0</v>
      </c>
    </row>
    <row r="22" spans="1:67" s="84" customFormat="1" x14ac:dyDescent="0.35">
      <c r="A22" s="2"/>
      <c r="B22" s="56"/>
      <c r="C22" s="146"/>
      <c r="D22" s="147" t="s">
        <v>112</v>
      </c>
      <c r="E22" s="148"/>
      <c r="F22" s="151"/>
      <c r="G22" s="52"/>
      <c r="H22" s="52">
        <v>0.125</v>
      </c>
      <c r="I22" s="52"/>
      <c r="J22" s="52"/>
      <c r="K22" s="52"/>
      <c r="L22" s="52"/>
      <c r="M22" s="52"/>
      <c r="N22" s="52"/>
      <c r="O22" s="52"/>
      <c r="P22" s="52"/>
      <c r="Q22" s="52">
        <v>0.22500000000000001</v>
      </c>
      <c r="R22" s="52"/>
      <c r="S22" s="52"/>
      <c r="T22" s="52">
        <v>0.22500000000000001</v>
      </c>
      <c r="U22" s="52"/>
      <c r="V22" s="52">
        <v>0.17500000000000002</v>
      </c>
      <c r="W22" s="52"/>
      <c r="X22" s="52"/>
      <c r="Y22" s="52">
        <v>7.5000000000000011E-2</v>
      </c>
      <c r="Z22" s="52"/>
      <c r="AA22" s="52"/>
      <c r="AB22" s="52">
        <v>7.5000000000000011E-2</v>
      </c>
      <c r="AC22" s="52"/>
      <c r="AD22" s="52">
        <v>7.5000000000000011E-2</v>
      </c>
      <c r="AE22" s="52"/>
      <c r="AF22" s="52">
        <v>7.5000000000000011E-2</v>
      </c>
      <c r="AG22" s="52">
        <v>7.5000000000000011E-2</v>
      </c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>
        <v>0.22500000000000001</v>
      </c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>
        <v>0.25</v>
      </c>
      <c r="BK22" s="52">
        <v>0.25</v>
      </c>
      <c r="BL22" s="52">
        <v>0</v>
      </c>
      <c r="BM22" s="52">
        <v>0</v>
      </c>
      <c r="BN22" s="52">
        <v>0</v>
      </c>
      <c r="BO22" s="52">
        <v>0</v>
      </c>
    </row>
    <row r="23" spans="1:67" s="84" customFormat="1" x14ac:dyDescent="0.35">
      <c r="A23" s="2"/>
      <c r="B23" s="56"/>
      <c r="C23" s="146"/>
      <c r="D23" s="147" t="s">
        <v>113</v>
      </c>
      <c r="E23" s="148"/>
      <c r="F23" s="151"/>
      <c r="G23" s="52"/>
      <c r="H23" s="52">
        <v>0.125</v>
      </c>
      <c r="I23" s="52"/>
      <c r="J23" s="52"/>
      <c r="K23" s="52"/>
      <c r="L23" s="52"/>
      <c r="M23" s="52"/>
      <c r="N23" s="52"/>
      <c r="O23" s="52"/>
      <c r="P23" s="52"/>
      <c r="Q23" s="52">
        <v>0.22500000000000001</v>
      </c>
      <c r="R23" s="52"/>
      <c r="S23" s="52"/>
      <c r="T23" s="52">
        <v>0.22500000000000001</v>
      </c>
      <c r="U23" s="52"/>
      <c r="V23" s="52">
        <v>0.17500000000000002</v>
      </c>
      <c r="W23" s="52"/>
      <c r="X23" s="52"/>
      <c r="Y23" s="52">
        <v>7.5000000000000011E-2</v>
      </c>
      <c r="Z23" s="52"/>
      <c r="AA23" s="52"/>
      <c r="AB23" s="52">
        <v>7.5000000000000011E-2</v>
      </c>
      <c r="AC23" s="52"/>
      <c r="AD23" s="52">
        <v>7.5000000000000011E-2</v>
      </c>
      <c r="AE23" s="52"/>
      <c r="AF23" s="52">
        <v>7.5000000000000011E-2</v>
      </c>
      <c r="AG23" s="52">
        <v>7.5000000000000011E-2</v>
      </c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>
        <v>0.22500000000000001</v>
      </c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>
        <v>0.25</v>
      </c>
      <c r="BK23" s="52">
        <v>0.25</v>
      </c>
      <c r="BL23" s="52">
        <v>0</v>
      </c>
      <c r="BM23" s="52">
        <v>0</v>
      </c>
      <c r="BN23" s="52">
        <v>0</v>
      </c>
      <c r="BO23" s="52">
        <v>0</v>
      </c>
    </row>
    <row r="24" spans="1:67" s="84" customFormat="1" ht="4.5" customHeight="1" x14ac:dyDescent="0.35">
      <c r="A24" s="2"/>
      <c r="B24" s="56"/>
      <c r="C24" s="57"/>
      <c r="D24" s="58"/>
      <c r="E24" s="58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</row>
    <row r="25" spans="1:67" s="84" customFormat="1" x14ac:dyDescent="0.35">
      <c r="A25" s="2"/>
      <c r="B25" s="56"/>
      <c r="C25" s="152" t="s">
        <v>114</v>
      </c>
      <c r="D25" s="147" t="s">
        <v>115</v>
      </c>
      <c r="E25" s="148"/>
      <c r="F25" s="151"/>
      <c r="G25" s="52">
        <v>0.5</v>
      </c>
      <c r="H25" s="52">
        <v>0.5</v>
      </c>
      <c r="I25" s="52"/>
      <c r="J25" s="52">
        <v>0.5</v>
      </c>
      <c r="K25" s="52">
        <v>0.5</v>
      </c>
      <c r="L25" s="52"/>
      <c r="M25" s="52">
        <v>0.5</v>
      </c>
      <c r="N25" s="52">
        <v>0.5</v>
      </c>
      <c r="O25" s="52"/>
      <c r="P25" s="52">
        <v>0.5</v>
      </c>
      <c r="Q25" s="52">
        <v>0.5</v>
      </c>
      <c r="R25" s="52"/>
      <c r="S25" s="52">
        <v>0.5</v>
      </c>
      <c r="T25" s="52">
        <v>0.5</v>
      </c>
      <c r="U25" s="52">
        <v>0.5</v>
      </c>
      <c r="V25" s="52">
        <v>0.5</v>
      </c>
      <c r="W25" s="52"/>
      <c r="X25" s="52">
        <v>0.5</v>
      </c>
      <c r="Y25" s="52">
        <v>0.5</v>
      </c>
      <c r="Z25" s="52"/>
      <c r="AA25" s="52">
        <v>0.5</v>
      </c>
      <c r="AB25" s="52">
        <v>0.5</v>
      </c>
      <c r="AC25" s="52">
        <v>0.5</v>
      </c>
      <c r="AD25" s="52">
        <v>0.5</v>
      </c>
      <c r="AE25" s="52"/>
      <c r="AF25" s="52">
        <v>0.5</v>
      </c>
      <c r="AG25" s="52">
        <v>0.5</v>
      </c>
      <c r="AH25" s="52"/>
      <c r="AI25" s="52">
        <v>0.5</v>
      </c>
      <c r="AJ25" s="52">
        <v>0.5</v>
      </c>
      <c r="AK25" s="52"/>
      <c r="AL25" s="52">
        <v>0.5</v>
      </c>
      <c r="AM25" s="52">
        <v>0.5</v>
      </c>
      <c r="AN25" s="52"/>
      <c r="AO25" s="52">
        <v>0.5</v>
      </c>
      <c r="AP25" s="52">
        <v>0.5</v>
      </c>
      <c r="AQ25" s="52"/>
      <c r="AR25" s="52">
        <v>0.5</v>
      </c>
      <c r="AS25" s="52">
        <v>0.5</v>
      </c>
      <c r="AT25" s="52"/>
      <c r="AU25" s="52">
        <v>0.5</v>
      </c>
      <c r="AV25" s="52">
        <v>0.5</v>
      </c>
      <c r="AW25" s="52"/>
      <c r="AX25" s="52">
        <v>0.5</v>
      </c>
      <c r="AY25" s="52">
        <v>0.5</v>
      </c>
      <c r="AZ25" s="52"/>
      <c r="BA25" s="52">
        <v>0.5</v>
      </c>
      <c r="BB25" s="52">
        <v>0.5</v>
      </c>
      <c r="BC25" s="52"/>
      <c r="BD25" s="52">
        <v>0.5</v>
      </c>
      <c r="BE25" s="52">
        <v>0.5</v>
      </c>
      <c r="BF25" s="52"/>
      <c r="BG25" s="52">
        <v>0.5</v>
      </c>
      <c r="BH25" s="52">
        <v>0.5</v>
      </c>
      <c r="BI25" s="52"/>
      <c r="BJ25" s="52">
        <v>0.5</v>
      </c>
      <c r="BK25" s="52">
        <v>0.5</v>
      </c>
      <c r="BL25" s="52">
        <v>0</v>
      </c>
      <c r="BM25" s="52">
        <v>0</v>
      </c>
      <c r="BN25" s="52">
        <v>0</v>
      </c>
      <c r="BO25" s="52">
        <v>0</v>
      </c>
    </row>
    <row r="26" spans="1:67" s="84" customFormat="1" x14ac:dyDescent="0.35">
      <c r="A26" s="2"/>
      <c r="B26" s="56"/>
      <c r="C26" s="153"/>
      <c r="D26" s="147" t="s">
        <v>116</v>
      </c>
      <c r="E26" s="148"/>
      <c r="F26" s="151"/>
      <c r="G26" s="52">
        <v>0.42</v>
      </c>
      <c r="H26" s="52">
        <v>0.42</v>
      </c>
      <c r="I26" s="52">
        <v>0.42</v>
      </c>
      <c r="J26" s="52">
        <v>0.42</v>
      </c>
      <c r="K26" s="52">
        <v>0.42</v>
      </c>
      <c r="L26" s="52">
        <v>0.42</v>
      </c>
      <c r="M26" s="52">
        <v>0.42</v>
      </c>
      <c r="N26" s="52">
        <v>0.42</v>
      </c>
      <c r="O26" s="52">
        <v>0.42</v>
      </c>
      <c r="P26" s="52">
        <v>0.42</v>
      </c>
      <c r="Q26" s="52">
        <v>0.42</v>
      </c>
      <c r="R26" s="52">
        <v>0.42</v>
      </c>
      <c r="S26" s="52">
        <v>0.42</v>
      </c>
      <c r="T26" s="52">
        <v>0.42</v>
      </c>
      <c r="U26" s="52">
        <v>0.42</v>
      </c>
      <c r="V26" s="52">
        <v>0.42</v>
      </c>
      <c r="W26" s="52">
        <v>0.42</v>
      </c>
      <c r="X26" s="52">
        <v>0.42</v>
      </c>
      <c r="Y26" s="52">
        <v>0.42</v>
      </c>
      <c r="Z26" s="52">
        <v>0.42</v>
      </c>
      <c r="AA26" s="52">
        <v>0.42</v>
      </c>
      <c r="AB26" s="52">
        <v>0.42</v>
      </c>
      <c r="AC26" s="52">
        <v>0.42</v>
      </c>
      <c r="AD26" s="52">
        <v>0.42</v>
      </c>
      <c r="AE26" s="52">
        <v>0.42</v>
      </c>
      <c r="AF26" s="52">
        <v>0.42</v>
      </c>
      <c r="AG26" s="52">
        <v>0.42</v>
      </c>
      <c r="AH26" s="52">
        <v>0.42</v>
      </c>
      <c r="AI26" s="52">
        <v>0.42</v>
      </c>
      <c r="AJ26" s="52">
        <v>0.42</v>
      </c>
      <c r="AK26" s="52">
        <v>0.42</v>
      </c>
      <c r="AL26" s="52">
        <v>0.42</v>
      </c>
      <c r="AM26" s="52">
        <v>0.42</v>
      </c>
      <c r="AN26" s="52">
        <v>0.42</v>
      </c>
      <c r="AO26" s="52">
        <v>0.42</v>
      </c>
      <c r="AP26" s="52">
        <v>0.42</v>
      </c>
      <c r="AQ26" s="52">
        <v>0.42</v>
      </c>
      <c r="AR26" s="52"/>
      <c r="AS26" s="52">
        <v>0.42</v>
      </c>
      <c r="AT26" s="52"/>
      <c r="AU26" s="52"/>
      <c r="AV26" s="52">
        <v>0.42</v>
      </c>
      <c r="AW26" s="52"/>
      <c r="AX26" s="52"/>
      <c r="AY26" s="52">
        <v>0.42</v>
      </c>
      <c r="AZ26" s="52"/>
      <c r="BA26" s="52"/>
      <c r="BB26" s="52">
        <v>0.42</v>
      </c>
      <c r="BC26" s="52"/>
      <c r="BD26" s="52"/>
      <c r="BE26" s="52">
        <v>0.42</v>
      </c>
      <c r="BF26" s="52"/>
      <c r="BG26" s="52"/>
      <c r="BH26" s="52">
        <v>0.42</v>
      </c>
      <c r="BI26" s="52"/>
      <c r="BJ26" s="52">
        <v>0.42</v>
      </c>
      <c r="BK26" s="52">
        <v>0.42</v>
      </c>
      <c r="BL26" s="52">
        <v>0</v>
      </c>
      <c r="BM26" s="52">
        <v>0</v>
      </c>
      <c r="BN26" s="52">
        <v>0</v>
      </c>
      <c r="BO26" s="52">
        <v>0</v>
      </c>
    </row>
    <row r="27" spans="1:67" s="84" customFormat="1" x14ac:dyDescent="0.35">
      <c r="A27" s="2"/>
      <c r="B27" s="56"/>
      <c r="C27" s="153"/>
      <c r="D27" s="147" t="s">
        <v>117</v>
      </c>
      <c r="E27" s="148"/>
      <c r="F27" s="151"/>
      <c r="G27" s="52"/>
      <c r="H27" s="52">
        <v>0.125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>
        <v>0.17500000000000002</v>
      </c>
      <c r="W27" s="52"/>
      <c r="X27" s="52"/>
      <c r="Y27" s="52">
        <v>0.125</v>
      </c>
      <c r="Z27" s="52"/>
      <c r="AA27" s="52"/>
      <c r="AB27" s="52">
        <v>0.125</v>
      </c>
      <c r="AC27" s="52"/>
      <c r="AD27" s="52">
        <v>7.5000000000000011E-2</v>
      </c>
      <c r="AE27" s="52"/>
      <c r="AF27" s="52"/>
      <c r="AG27" s="52">
        <v>0.125</v>
      </c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>
        <v>0.2</v>
      </c>
      <c r="BK27" s="52">
        <v>0.2</v>
      </c>
      <c r="BL27" s="52">
        <v>0</v>
      </c>
      <c r="BM27" s="52">
        <v>0</v>
      </c>
      <c r="BN27" s="52">
        <v>0</v>
      </c>
      <c r="BO27" s="52">
        <v>0</v>
      </c>
    </row>
    <row r="28" spans="1:67" s="84" customFormat="1" x14ac:dyDescent="0.35">
      <c r="A28" s="2"/>
      <c r="B28" s="56"/>
      <c r="C28" s="153"/>
      <c r="D28" s="147" t="s">
        <v>118</v>
      </c>
      <c r="E28" s="148"/>
      <c r="F28" s="151"/>
      <c r="G28" s="52"/>
      <c r="H28" s="52">
        <v>0.125</v>
      </c>
      <c r="I28" s="52"/>
      <c r="J28" s="52"/>
      <c r="K28" s="52">
        <v>7.5000000000000011E-2</v>
      </c>
      <c r="L28" s="52"/>
      <c r="M28" s="52"/>
      <c r="N28" s="52">
        <v>7.5000000000000011E-2</v>
      </c>
      <c r="O28" s="52"/>
      <c r="P28" s="52"/>
      <c r="Q28" s="52"/>
      <c r="R28" s="52"/>
      <c r="S28" s="52"/>
      <c r="T28" s="52"/>
      <c r="U28" s="52"/>
      <c r="V28" s="52">
        <v>0.22500000000000001</v>
      </c>
      <c r="W28" s="52"/>
      <c r="X28" s="52"/>
      <c r="Y28" s="52">
        <v>0.125</v>
      </c>
      <c r="Z28" s="52"/>
      <c r="AA28" s="52"/>
      <c r="AB28" s="52">
        <v>0.125</v>
      </c>
      <c r="AC28" s="52"/>
      <c r="AD28" s="52">
        <v>0.17500000000000002</v>
      </c>
      <c r="AE28" s="52"/>
      <c r="AF28" s="52"/>
      <c r="AG28" s="52">
        <v>0.125</v>
      </c>
      <c r="AH28" s="52"/>
      <c r="AI28" s="52"/>
      <c r="AJ28" s="52"/>
      <c r="AK28" s="52"/>
      <c r="AL28" s="52">
        <v>0.125</v>
      </c>
      <c r="AM28" s="52"/>
      <c r="AN28" s="52"/>
      <c r="AO28" s="52"/>
      <c r="AP28" s="52"/>
      <c r="AQ28" s="52"/>
      <c r="AR28" s="52"/>
      <c r="AS28" s="52">
        <v>0.25</v>
      </c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>
        <v>0.125</v>
      </c>
      <c r="BL28" s="52">
        <v>0</v>
      </c>
      <c r="BM28" s="52">
        <v>0</v>
      </c>
      <c r="BN28" s="52">
        <v>0</v>
      </c>
      <c r="BO28" s="52">
        <v>0</v>
      </c>
    </row>
    <row r="29" spans="1:67" s="84" customFormat="1" x14ac:dyDescent="0.35">
      <c r="A29" s="2"/>
      <c r="B29" s="59"/>
      <c r="C29" s="154"/>
      <c r="D29" s="147" t="s">
        <v>119</v>
      </c>
      <c r="E29" s="148"/>
      <c r="F29" s="151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>
        <v>0</v>
      </c>
      <c r="BM29" s="52">
        <v>0</v>
      </c>
      <c r="BN29" s="52">
        <v>0</v>
      </c>
      <c r="BO29" s="52">
        <v>0</v>
      </c>
    </row>
    <row r="30" spans="1:67" s="84" customFormat="1" ht="4.5" customHeight="1" x14ac:dyDescent="0.35">
      <c r="A30" s="2"/>
      <c r="B30" s="60"/>
      <c r="C30" s="61"/>
      <c r="D30" s="62"/>
      <c r="E30" s="62"/>
      <c r="F30" s="6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</row>
    <row r="31" spans="1:67" s="84" customFormat="1" x14ac:dyDescent="0.35">
      <c r="A31" s="2"/>
      <c r="B31" s="56"/>
      <c r="C31" s="146" t="s">
        <v>120</v>
      </c>
      <c r="D31" s="147" t="s">
        <v>121</v>
      </c>
      <c r="E31" s="148"/>
      <c r="F31" s="51"/>
      <c r="G31" s="52"/>
      <c r="H31" s="52">
        <v>0.45</v>
      </c>
      <c r="I31" s="52"/>
      <c r="J31" s="52"/>
      <c r="K31" s="52">
        <v>0.32</v>
      </c>
      <c r="L31" s="52"/>
      <c r="M31" s="52"/>
      <c r="N31" s="52">
        <v>0.375</v>
      </c>
      <c r="O31" s="52"/>
      <c r="P31" s="52"/>
      <c r="Q31" s="52">
        <v>0.45</v>
      </c>
      <c r="R31" s="52"/>
      <c r="S31" s="52"/>
      <c r="T31" s="52">
        <v>0.45</v>
      </c>
      <c r="U31" s="52"/>
      <c r="V31" s="52">
        <v>0.47499999999999998</v>
      </c>
      <c r="W31" s="52"/>
      <c r="X31" s="52"/>
      <c r="Y31" s="52">
        <v>0.42499999999999999</v>
      </c>
      <c r="Z31" s="52"/>
      <c r="AA31" s="52"/>
      <c r="AB31" s="52">
        <v>0.42499999999999999</v>
      </c>
      <c r="AC31" s="52"/>
      <c r="AD31" s="52">
        <v>0.42</v>
      </c>
      <c r="AE31" s="52"/>
      <c r="AF31" s="52"/>
      <c r="AG31" s="52">
        <v>0.375</v>
      </c>
      <c r="AH31" s="52"/>
      <c r="AI31" s="52"/>
      <c r="AJ31" s="52"/>
      <c r="AK31" s="52"/>
      <c r="AL31" s="52"/>
      <c r="AM31" s="52">
        <v>0.22500000000000001</v>
      </c>
      <c r="AN31" s="52"/>
      <c r="AO31" s="52"/>
      <c r="AP31" s="52"/>
      <c r="AQ31" s="52"/>
      <c r="AR31" s="52"/>
      <c r="AS31" s="52">
        <v>0.42499999999999999</v>
      </c>
      <c r="AT31" s="52"/>
      <c r="AU31" s="52"/>
      <c r="AV31" s="52">
        <v>0.4</v>
      </c>
      <c r="AW31" s="52"/>
      <c r="AX31" s="52"/>
      <c r="AY31" s="52">
        <v>0.2</v>
      </c>
      <c r="AZ31" s="52"/>
      <c r="BA31" s="52"/>
      <c r="BB31" s="52">
        <v>0.35</v>
      </c>
      <c r="BC31" s="52"/>
      <c r="BD31" s="52"/>
      <c r="BE31" s="52">
        <v>0.3</v>
      </c>
      <c r="BF31" s="52"/>
      <c r="BG31" s="52"/>
      <c r="BH31" s="52">
        <v>0.35</v>
      </c>
      <c r="BI31" s="52"/>
      <c r="BJ31" s="52"/>
      <c r="BK31" s="52">
        <v>0.35</v>
      </c>
      <c r="BL31" s="52">
        <v>0</v>
      </c>
      <c r="BM31" s="52">
        <v>0</v>
      </c>
      <c r="BN31" s="52">
        <v>0</v>
      </c>
      <c r="BO31" s="52">
        <v>0</v>
      </c>
    </row>
    <row r="32" spans="1:67" s="84" customFormat="1" x14ac:dyDescent="0.35">
      <c r="A32" s="2"/>
      <c r="B32" s="56"/>
      <c r="C32" s="146"/>
      <c r="D32" s="147" t="s">
        <v>122</v>
      </c>
      <c r="E32" s="148"/>
      <c r="F32" s="51"/>
      <c r="G32" s="52">
        <v>0.2</v>
      </c>
      <c r="H32" s="52">
        <v>0.45</v>
      </c>
      <c r="I32" s="52"/>
      <c r="J32" s="52"/>
      <c r="K32" s="52">
        <v>0.32</v>
      </c>
      <c r="L32" s="52"/>
      <c r="M32" s="52"/>
      <c r="N32" s="52">
        <v>0.375</v>
      </c>
      <c r="O32" s="52"/>
      <c r="P32" s="52">
        <v>0.2</v>
      </c>
      <c r="Q32" s="52">
        <v>0.45</v>
      </c>
      <c r="R32" s="52"/>
      <c r="S32" s="52">
        <v>0.2</v>
      </c>
      <c r="T32" s="52">
        <v>0.45</v>
      </c>
      <c r="U32" s="52">
        <v>0.2</v>
      </c>
      <c r="V32" s="52">
        <v>0.47499999999999998</v>
      </c>
      <c r="W32" s="52"/>
      <c r="X32" s="52">
        <v>0.2</v>
      </c>
      <c r="Y32" s="52">
        <v>0.42499999999999999</v>
      </c>
      <c r="Z32" s="52"/>
      <c r="AA32" s="52">
        <v>0.2</v>
      </c>
      <c r="AB32" s="52">
        <v>0.42499999999999999</v>
      </c>
      <c r="AC32" s="52">
        <v>0.2</v>
      </c>
      <c r="AD32" s="52">
        <v>0.42</v>
      </c>
      <c r="AE32" s="52"/>
      <c r="AF32" s="52">
        <v>0.2</v>
      </c>
      <c r="AG32" s="52">
        <v>0.375</v>
      </c>
      <c r="AH32" s="52"/>
      <c r="AI32" s="52"/>
      <c r="AJ32" s="52"/>
      <c r="AK32" s="52"/>
      <c r="AL32" s="52">
        <v>0.13</v>
      </c>
      <c r="AM32" s="52">
        <v>0.22500000000000001</v>
      </c>
      <c r="AN32" s="52"/>
      <c r="AO32" s="52"/>
      <c r="AP32" s="52"/>
      <c r="AQ32" s="52"/>
      <c r="AR32" s="52"/>
      <c r="AS32" s="52">
        <v>0.42499999999999999</v>
      </c>
      <c r="AT32" s="52"/>
      <c r="AU32" s="52"/>
      <c r="AV32" s="52">
        <v>0.4</v>
      </c>
      <c r="AW32" s="52"/>
      <c r="AX32" s="52"/>
      <c r="AY32" s="52">
        <v>0.2</v>
      </c>
      <c r="AZ32" s="52"/>
      <c r="BA32" s="52"/>
      <c r="BB32" s="52">
        <v>0.35</v>
      </c>
      <c r="BC32" s="52"/>
      <c r="BD32" s="52"/>
      <c r="BE32" s="52">
        <v>0.3</v>
      </c>
      <c r="BF32" s="52"/>
      <c r="BG32" s="52"/>
      <c r="BH32" s="52">
        <v>0.35</v>
      </c>
      <c r="BI32" s="52"/>
      <c r="BJ32" s="52">
        <v>0.2</v>
      </c>
      <c r="BK32" s="52">
        <v>0.35</v>
      </c>
      <c r="BL32" s="52">
        <v>0</v>
      </c>
      <c r="BM32" s="52">
        <v>0</v>
      </c>
      <c r="BN32" s="52">
        <v>0</v>
      </c>
      <c r="BO32" s="52">
        <v>0</v>
      </c>
    </row>
    <row r="33" spans="1:67" s="84" customFormat="1" ht="70" customHeight="1" x14ac:dyDescent="0.35">
      <c r="A33" s="2"/>
      <c r="B33" s="56"/>
      <c r="C33" s="146"/>
      <c r="D33" s="49" t="s">
        <v>123</v>
      </c>
      <c r="E33" s="149" t="s">
        <v>124</v>
      </c>
      <c r="F33" s="150"/>
      <c r="G33" s="52">
        <v>0.3</v>
      </c>
      <c r="H33" s="52">
        <v>0.3</v>
      </c>
      <c r="I33" s="52"/>
      <c r="J33" s="52">
        <v>0.17500000000000002</v>
      </c>
      <c r="K33" s="52">
        <v>0.17500000000000002</v>
      </c>
      <c r="L33" s="52"/>
      <c r="M33" s="52"/>
      <c r="N33" s="52">
        <v>0.17500000000000002</v>
      </c>
      <c r="O33" s="52"/>
      <c r="P33" s="52">
        <v>0.3</v>
      </c>
      <c r="Q33" s="52">
        <v>0.3</v>
      </c>
      <c r="R33" s="52"/>
      <c r="S33" s="52">
        <v>0.3</v>
      </c>
      <c r="T33" s="52">
        <v>0.3</v>
      </c>
      <c r="U33" s="52">
        <v>0.3</v>
      </c>
      <c r="V33" s="52">
        <v>0.3</v>
      </c>
      <c r="W33" s="52"/>
      <c r="X33" s="52">
        <v>0.3</v>
      </c>
      <c r="Y33" s="52">
        <v>0.3</v>
      </c>
      <c r="Z33" s="52"/>
      <c r="AA33" s="52">
        <v>0.3</v>
      </c>
      <c r="AB33" s="52">
        <v>0.3</v>
      </c>
      <c r="AC33" s="52">
        <v>0.3</v>
      </c>
      <c r="AD33" s="52">
        <v>0.3</v>
      </c>
      <c r="AE33" s="52"/>
      <c r="AF33" s="52">
        <v>0.3</v>
      </c>
      <c r="AG33" s="52">
        <v>0.3</v>
      </c>
      <c r="AH33" s="52"/>
      <c r="AI33" s="52">
        <v>0.17500000000000002</v>
      </c>
      <c r="AJ33" s="52">
        <v>0.17500000000000002</v>
      </c>
      <c r="AK33" s="52"/>
      <c r="AL33" s="52">
        <v>0.3</v>
      </c>
      <c r="AM33" s="52">
        <v>0.3</v>
      </c>
      <c r="AN33" s="52"/>
      <c r="AO33" s="52"/>
      <c r="AP33" s="52">
        <v>0.185</v>
      </c>
      <c r="AQ33" s="52"/>
      <c r="AR33" s="52"/>
      <c r="AS33" s="52">
        <v>0.17499999999999999</v>
      </c>
      <c r="AT33" s="52"/>
      <c r="AU33" s="52"/>
      <c r="AV33" s="52">
        <v>0.17499999999999999</v>
      </c>
      <c r="AW33" s="52"/>
      <c r="AX33" s="52"/>
      <c r="AY33" s="52">
        <v>0.17499999999999999</v>
      </c>
      <c r="AZ33" s="52"/>
      <c r="BA33" s="52"/>
      <c r="BB33" s="52">
        <v>0.17499999999999999</v>
      </c>
      <c r="BC33" s="52"/>
      <c r="BD33" s="52"/>
      <c r="BE33" s="52">
        <v>0.17499999999999999</v>
      </c>
      <c r="BF33" s="52"/>
      <c r="BG33" s="52"/>
      <c r="BH33" s="52">
        <v>0.17499999999999999</v>
      </c>
      <c r="BI33" s="52"/>
      <c r="BJ33" s="52">
        <v>0.3</v>
      </c>
      <c r="BK33" s="52">
        <v>0.3</v>
      </c>
      <c r="BL33" s="52">
        <v>0</v>
      </c>
      <c r="BM33" s="52">
        <v>0</v>
      </c>
      <c r="BN33" s="52">
        <v>0</v>
      </c>
      <c r="BO33" s="52">
        <v>0</v>
      </c>
    </row>
    <row r="34" spans="1:67" x14ac:dyDescent="0.35">
      <c r="B34" s="56"/>
      <c r="C34" s="146"/>
      <c r="D34" s="49" t="s">
        <v>125</v>
      </c>
      <c r="E34" s="50"/>
      <c r="F34" s="51"/>
      <c r="G34" s="52"/>
      <c r="H34" s="52">
        <v>0.35</v>
      </c>
      <c r="I34" s="52"/>
      <c r="J34" s="52"/>
      <c r="K34" s="52">
        <v>0.23</v>
      </c>
      <c r="L34" s="52"/>
      <c r="M34" s="52"/>
      <c r="N34" s="52">
        <v>0.3</v>
      </c>
      <c r="O34" s="52"/>
      <c r="P34" s="52"/>
      <c r="Q34" s="52">
        <v>0.4</v>
      </c>
      <c r="R34" s="52"/>
      <c r="S34" s="52"/>
      <c r="T34" s="52">
        <v>0.4</v>
      </c>
      <c r="U34" s="52"/>
      <c r="V34" s="52">
        <v>0.4</v>
      </c>
      <c r="W34" s="52"/>
      <c r="X34" s="52"/>
      <c r="Y34" s="52">
        <v>0.4</v>
      </c>
      <c r="Z34" s="52"/>
      <c r="AA34" s="52"/>
      <c r="AB34" s="52">
        <v>0.4</v>
      </c>
      <c r="AC34" s="52"/>
      <c r="AD34" s="52">
        <v>0.35</v>
      </c>
      <c r="AE34" s="52"/>
      <c r="AF34" s="52"/>
      <c r="AG34" s="52">
        <v>0.35</v>
      </c>
      <c r="AH34" s="52"/>
      <c r="AI34" s="52"/>
      <c r="AJ34" s="52"/>
      <c r="AK34" s="52"/>
      <c r="AL34" s="52"/>
      <c r="AM34" s="52">
        <v>0.22500000000000001</v>
      </c>
      <c r="AN34" s="52"/>
      <c r="AO34" s="52"/>
      <c r="AP34" s="52"/>
      <c r="AQ34" s="52"/>
      <c r="AR34" s="52"/>
      <c r="AS34" s="52">
        <v>0.4</v>
      </c>
      <c r="AT34" s="52"/>
      <c r="AU34" s="52"/>
      <c r="AV34" s="52">
        <v>0.4</v>
      </c>
      <c r="AW34" s="52"/>
      <c r="AX34" s="52"/>
      <c r="AY34" s="52">
        <v>0.2</v>
      </c>
      <c r="AZ34" s="52"/>
      <c r="BA34" s="52"/>
      <c r="BB34" s="52">
        <v>0.25</v>
      </c>
      <c r="BC34" s="52"/>
      <c r="BD34" s="52"/>
      <c r="BE34" s="52">
        <v>0.25</v>
      </c>
      <c r="BF34" s="52"/>
      <c r="BG34" s="52"/>
      <c r="BH34" s="52">
        <v>0.25</v>
      </c>
      <c r="BI34" s="52"/>
      <c r="BJ34" s="52"/>
      <c r="BK34" s="52">
        <v>0.35</v>
      </c>
      <c r="BL34" s="52">
        <v>0</v>
      </c>
      <c r="BM34" s="52">
        <v>0</v>
      </c>
      <c r="BN34" s="52">
        <v>0</v>
      </c>
      <c r="BO34" s="52">
        <v>0</v>
      </c>
    </row>
    <row r="35" spans="1:67" x14ac:dyDescent="0.35">
      <c r="B35" s="59"/>
      <c r="C35" s="146"/>
      <c r="D35" s="147" t="s">
        <v>126</v>
      </c>
      <c r="E35" s="148"/>
      <c r="F35" s="151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>
        <v>0</v>
      </c>
      <c r="BM35" s="52">
        <v>0</v>
      </c>
      <c r="BN35" s="52">
        <v>0</v>
      </c>
      <c r="BO35" s="52">
        <v>0</v>
      </c>
    </row>
    <row r="36" spans="1:67" ht="4.5" customHeight="1" x14ac:dyDescent="0.35">
      <c r="B36" s="60"/>
      <c r="C36" s="61"/>
      <c r="D36" s="62"/>
      <c r="E36" s="62"/>
      <c r="F36" s="62"/>
      <c r="G36" s="63"/>
      <c r="H36" s="60"/>
      <c r="I36" s="6"/>
      <c r="J36" s="63"/>
      <c r="K36" s="60"/>
      <c r="L36" s="6"/>
      <c r="M36" s="63"/>
      <c r="N36" s="60"/>
      <c r="O36" s="6"/>
      <c r="P36" s="63"/>
      <c r="Q36" s="60"/>
      <c r="R36" s="6"/>
      <c r="S36" s="63"/>
      <c r="T36" s="60"/>
      <c r="U36" s="63"/>
      <c r="V36" s="60"/>
      <c r="W36" s="6"/>
      <c r="X36" s="63"/>
      <c r="Y36" s="60"/>
      <c r="Z36" s="6"/>
      <c r="AA36" s="63"/>
      <c r="AB36" s="60"/>
      <c r="AC36" s="63"/>
      <c r="AD36" s="60"/>
      <c r="AE36" s="6"/>
      <c r="AF36" s="63"/>
      <c r="AG36" s="60"/>
      <c r="AH36" s="6"/>
      <c r="AI36" s="63"/>
      <c r="AJ36" s="60"/>
      <c r="AK36" s="6"/>
      <c r="AL36" s="63"/>
      <c r="AM36" s="60"/>
      <c r="AN36" s="6"/>
      <c r="AO36" s="63"/>
      <c r="AP36" s="60"/>
      <c r="AQ36" s="6"/>
      <c r="AR36" s="63"/>
      <c r="AS36" s="60"/>
      <c r="AT36" s="6"/>
      <c r="AU36" s="63"/>
      <c r="AV36" s="60"/>
      <c r="AW36" s="6"/>
      <c r="AX36" s="63"/>
      <c r="AY36" s="60"/>
      <c r="AZ36" s="6"/>
      <c r="BA36" s="63"/>
      <c r="BB36" s="60"/>
      <c r="BC36" s="6"/>
      <c r="BD36" s="63"/>
      <c r="BE36" s="60"/>
      <c r="BF36" s="6"/>
      <c r="BG36" s="63"/>
      <c r="BH36" s="60"/>
      <c r="BI36" s="6"/>
      <c r="BJ36" s="63"/>
      <c r="BK36" s="60"/>
      <c r="BL36" s="63"/>
      <c r="BM36" s="60"/>
      <c r="BN36" s="63"/>
      <c r="BO36" s="60"/>
    </row>
    <row r="37" spans="1:67" ht="15" thickBot="1" x14ac:dyDescent="0.4"/>
    <row r="38" spans="1:67" ht="21" x14ac:dyDescent="0.35">
      <c r="C38" s="64" t="s">
        <v>85</v>
      </c>
      <c r="D38" s="65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7"/>
    </row>
    <row r="39" spans="1:67" ht="21" x14ac:dyDescent="0.35">
      <c r="C39" s="68" t="s">
        <v>127</v>
      </c>
      <c r="D39" s="69"/>
      <c r="E39" s="70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71"/>
    </row>
    <row r="40" spans="1:67" ht="21" x14ac:dyDescent="0.35">
      <c r="C40" s="68" t="s">
        <v>128</v>
      </c>
      <c r="D40" s="69"/>
      <c r="E40" s="70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71"/>
    </row>
    <row r="41" spans="1:67" ht="21" x14ac:dyDescent="0.35">
      <c r="C41" s="68"/>
      <c r="D41" s="72" t="s">
        <v>129</v>
      </c>
      <c r="E41" s="70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71"/>
    </row>
    <row r="42" spans="1:67" ht="21.5" thickBot="1" x14ac:dyDescent="0.4">
      <c r="C42" s="73" t="s">
        <v>130</v>
      </c>
      <c r="D42" s="74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7"/>
    </row>
  </sheetData>
  <mergeCells count="57">
    <mergeCell ref="B2:BK2"/>
    <mergeCell ref="C3:C5"/>
    <mergeCell ref="D3:D5"/>
    <mergeCell ref="E3:E5"/>
    <mergeCell ref="F3:F5"/>
    <mergeCell ref="G3:H4"/>
    <mergeCell ref="J3:K4"/>
    <mergeCell ref="M3:N4"/>
    <mergeCell ref="P3:Q4"/>
    <mergeCell ref="U3:V4"/>
    <mergeCell ref="BG3:BH4"/>
    <mergeCell ref="X3:Y4"/>
    <mergeCell ref="AC3:AD4"/>
    <mergeCell ref="AF3:AG4"/>
    <mergeCell ref="AI3:AJ4"/>
    <mergeCell ref="AL3:AM4"/>
    <mergeCell ref="AO3:AP4"/>
    <mergeCell ref="D17:F17"/>
    <mergeCell ref="BJ3:BK4"/>
    <mergeCell ref="BL3:BM4"/>
    <mergeCell ref="BN3:BO4"/>
    <mergeCell ref="AR3:AS4"/>
    <mergeCell ref="AU3:AV4"/>
    <mergeCell ref="AX3:AY4"/>
    <mergeCell ref="BA3:BB4"/>
    <mergeCell ref="BD3:BE4"/>
    <mergeCell ref="S3:T4"/>
    <mergeCell ref="AA3:AB4"/>
    <mergeCell ref="C6:C18"/>
    <mergeCell ref="D6:F6"/>
    <mergeCell ref="D7:F7"/>
    <mergeCell ref="D8:D9"/>
    <mergeCell ref="E9:F9"/>
    <mergeCell ref="D10:F10"/>
    <mergeCell ref="D11:F11"/>
    <mergeCell ref="D12:F12"/>
    <mergeCell ref="D13:F13"/>
    <mergeCell ref="D14:F14"/>
    <mergeCell ref="D15:F15"/>
    <mergeCell ref="D16:F16"/>
    <mergeCell ref="D18:F18"/>
    <mergeCell ref="C20:C23"/>
    <mergeCell ref="D20:F20"/>
    <mergeCell ref="D21:F21"/>
    <mergeCell ref="D22:F22"/>
    <mergeCell ref="D23:F23"/>
    <mergeCell ref="C25:C29"/>
    <mergeCell ref="D25:F25"/>
    <mergeCell ref="D26:F26"/>
    <mergeCell ref="D27:F27"/>
    <mergeCell ref="D28:F28"/>
    <mergeCell ref="D29:F29"/>
    <mergeCell ref="C31:C35"/>
    <mergeCell ref="D31:E31"/>
    <mergeCell ref="D32:E32"/>
    <mergeCell ref="E33:F33"/>
    <mergeCell ref="D35:F35"/>
  </mergeCells>
  <conditionalFormatting sqref="B6:B36">
    <cfRule type="cellIs" dxfId="17" priority="99" operator="equal">
      <formula>"NA"</formula>
    </cfRule>
  </conditionalFormatting>
  <conditionalFormatting sqref="G19:BO19">
    <cfRule type="cellIs" dxfId="16" priority="1" operator="equal">
      <formula>"NA"</formula>
    </cfRule>
  </conditionalFormatting>
  <conditionalFormatting sqref="G24:BO24">
    <cfRule type="cellIs" dxfId="15" priority="31" operator="equal">
      <formula>"NA"</formula>
    </cfRule>
  </conditionalFormatting>
  <conditionalFormatting sqref="G30:BO30">
    <cfRule type="cellIs" dxfId="14" priority="5" operator="equal">
      <formula>"NA"</formula>
    </cfRule>
  </conditionalFormatting>
  <conditionalFormatting sqref="G36:BO36">
    <cfRule type="cellIs" dxfId="13" priority="3" operator="equal">
      <formula>"NA"</formula>
    </cfRule>
  </conditionalFormatting>
  <pageMargins left="0.70866141732283472" right="0.70866141732283472" top="0.74803149606299213" bottom="0.74803149606299213" header="0.31496062992125984" footer="0.31496062992125984"/>
  <pageSetup paperSize="8" scale="69" orientation="landscape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ED8E-7A39-4328-95E8-24390E40FCB8}">
  <dimension ref="A1:W22"/>
  <sheetViews>
    <sheetView workbookViewId="0">
      <selection activeCell="A19" sqref="A19"/>
    </sheetView>
  </sheetViews>
  <sheetFormatPr defaultRowHeight="14.5" x14ac:dyDescent="0.35"/>
  <cols>
    <col min="1" max="1" width="102.81640625" bestFit="1" customWidth="1"/>
    <col min="2" max="2" width="66.7265625" bestFit="1" customWidth="1"/>
  </cols>
  <sheetData>
    <row r="1" spans="1:23" x14ac:dyDescent="0.35">
      <c r="A1" s="95" t="s">
        <v>36</v>
      </c>
      <c r="B1" s="96"/>
      <c r="C1" s="96"/>
      <c r="D1" s="97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x14ac:dyDescent="0.35">
      <c r="A2" s="98" t="s">
        <v>37</v>
      </c>
      <c r="B2" s="99"/>
      <c r="C2" s="99"/>
      <c r="D2" s="100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3" x14ac:dyDescent="0.35">
      <c r="A3" s="98" t="s">
        <v>171</v>
      </c>
      <c r="B3" s="101"/>
      <c r="C3" s="101"/>
      <c r="D3" s="102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</row>
    <row r="4" spans="1:23" x14ac:dyDescent="0.35">
      <c r="A4" s="98"/>
      <c r="B4" s="103" t="s">
        <v>40</v>
      </c>
      <c r="C4" s="104"/>
      <c r="D4" s="105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1"/>
      <c r="U4" s="101"/>
      <c r="V4" s="101"/>
      <c r="W4" s="101"/>
    </row>
    <row r="5" spans="1:23" ht="15" thickBot="1" x14ac:dyDescent="0.4">
      <c r="A5" s="106" t="s">
        <v>39</v>
      </c>
      <c r="B5" s="107"/>
      <c r="C5" s="107"/>
      <c r="D5" s="108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</row>
    <row r="6" spans="1:23" x14ac:dyDescent="0.35">
      <c r="A6" s="109" t="s">
        <v>127</v>
      </c>
      <c r="B6" s="110"/>
      <c r="C6" s="111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2"/>
      <c r="W6" s="112"/>
    </row>
    <row r="7" spans="1:23" x14ac:dyDescent="0.35">
      <c r="A7" s="109" t="s">
        <v>128</v>
      </c>
      <c r="B7" s="110"/>
      <c r="C7" s="111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2"/>
      <c r="W7" s="112"/>
    </row>
    <row r="8" spans="1:23" x14ac:dyDescent="0.35">
      <c r="A8" s="109"/>
      <c r="B8" s="113" t="s">
        <v>129</v>
      </c>
      <c r="C8" s="111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2"/>
      <c r="W8" s="112"/>
    </row>
    <row r="9" spans="1:23" ht="15" thickBot="1" x14ac:dyDescent="0.4">
      <c r="A9" s="114" t="s">
        <v>130</v>
      </c>
      <c r="B9" s="115"/>
      <c r="C9" s="116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2"/>
      <c r="W9" s="112"/>
    </row>
    <row r="10" spans="1:23" x14ac:dyDescent="0.35">
      <c r="A10" s="95" t="s">
        <v>85</v>
      </c>
      <c r="B10" s="96"/>
      <c r="C10" s="97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</row>
    <row r="11" spans="1:23" x14ac:dyDescent="0.35">
      <c r="A11" s="98" t="s">
        <v>86</v>
      </c>
      <c r="B11" s="99"/>
      <c r="C11" s="100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</row>
    <row r="12" spans="1:23" x14ac:dyDescent="0.35">
      <c r="A12" s="98" t="s">
        <v>172</v>
      </c>
      <c r="B12" s="99"/>
      <c r="C12" s="100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</row>
    <row r="13" spans="1:23" x14ac:dyDescent="0.35">
      <c r="A13" s="98"/>
      <c r="B13" s="118" t="s">
        <v>173</v>
      </c>
      <c r="C13" s="100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</row>
    <row r="14" spans="1:23" x14ac:dyDescent="0.35">
      <c r="A14" s="98" t="s">
        <v>88</v>
      </c>
      <c r="B14" s="118"/>
      <c r="C14" s="100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</row>
    <row r="15" spans="1:23" x14ac:dyDescent="0.35">
      <c r="A15" s="100" t="s">
        <v>174</v>
      </c>
      <c r="B15" s="118"/>
      <c r="C15" s="100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</row>
    <row r="16" spans="1:23" x14ac:dyDescent="0.35">
      <c r="A16" s="168" t="s">
        <v>90</v>
      </c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</row>
    <row r="17" spans="1:2" ht="15" thickBot="1" x14ac:dyDescent="0.4"/>
    <row r="18" spans="1:2" x14ac:dyDescent="0.35">
      <c r="A18" s="169" t="s">
        <v>175</v>
      </c>
      <c r="B18" s="170"/>
    </row>
    <row r="19" spans="1:2" x14ac:dyDescent="0.35">
      <c r="A19" s="119" t="s">
        <v>176</v>
      </c>
      <c r="B19" s="120" t="s">
        <v>177</v>
      </c>
    </row>
    <row r="20" spans="1:2" x14ac:dyDescent="0.35">
      <c r="A20" s="119" t="s">
        <v>26</v>
      </c>
      <c r="B20" s="120" t="s">
        <v>178</v>
      </c>
    </row>
    <row r="21" spans="1:2" x14ac:dyDescent="0.35">
      <c r="A21" s="119" t="s">
        <v>179</v>
      </c>
      <c r="B21" s="120" t="s">
        <v>180</v>
      </c>
    </row>
    <row r="22" spans="1:2" ht="15" thickBot="1" x14ac:dyDescent="0.4">
      <c r="A22" s="121" t="s">
        <v>28</v>
      </c>
      <c r="B22" s="122" t="s">
        <v>181</v>
      </c>
    </row>
  </sheetData>
  <mergeCells count="2">
    <mergeCell ref="A16:W16"/>
    <mergeCell ref="A18:B18"/>
  </mergeCells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6C3D-EC60-4E4B-BA20-A1F5DD52CA1A}">
  <dimension ref="A13:G24"/>
  <sheetViews>
    <sheetView topLeftCell="A7" workbookViewId="0">
      <selection activeCell="A13" sqref="A13:G24"/>
    </sheetView>
  </sheetViews>
  <sheetFormatPr defaultRowHeight="14.5" x14ac:dyDescent="0.35"/>
  <cols>
    <col min="3" max="3" width="24.1796875" hidden="1" customWidth="1"/>
    <col min="4" max="4" width="25.1796875" bestFit="1" customWidth="1"/>
    <col min="5" max="5" width="0" hidden="1" customWidth="1"/>
    <col min="6" max="6" width="18.26953125" hidden="1" customWidth="1"/>
    <col min="7" max="7" width="24.453125" bestFit="1" customWidth="1"/>
  </cols>
  <sheetData>
    <row r="13" spans="1:7" x14ac:dyDescent="0.35">
      <c r="F13" s="173" t="s">
        <v>165</v>
      </c>
      <c r="G13" s="173"/>
    </row>
    <row r="14" spans="1:7" x14ac:dyDescent="0.35">
      <c r="A14" s="87" t="s">
        <v>154</v>
      </c>
      <c r="B14" s="87" t="s">
        <v>53</v>
      </c>
      <c r="C14" s="87" t="s">
        <v>161</v>
      </c>
      <c r="D14" s="87" t="s">
        <v>162</v>
      </c>
      <c r="E14" s="87" t="s">
        <v>149</v>
      </c>
      <c r="F14" s="87" t="s">
        <v>163</v>
      </c>
      <c r="G14" s="87" t="s">
        <v>164</v>
      </c>
    </row>
    <row r="15" spans="1:7" x14ac:dyDescent="0.35">
      <c r="A15" s="171" t="s">
        <v>157</v>
      </c>
      <c r="B15" s="88" t="s">
        <v>152</v>
      </c>
      <c r="C15" s="89">
        <v>0.5</v>
      </c>
      <c r="D15" s="89">
        <v>0.46</v>
      </c>
      <c r="E15" s="89">
        <v>0.55000000000000004</v>
      </c>
      <c r="F15" s="90">
        <f>C15-E15</f>
        <v>-5.0000000000000044E-2</v>
      </c>
      <c r="G15" s="90">
        <f>D15-E15</f>
        <v>-9.0000000000000024E-2</v>
      </c>
    </row>
    <row r="16" spans="1:7" x14ac:dyDescent="0.35">
      <c r="A16" s="172"/>
      <c r="B16" s="88" t="s">
        <v>153</v>
      </c>
      <c r="C16" s="89">
        <v>0.54</v>
      </c>
      <c r="D16" s="89">
        <v>0.5</v>
      </c>
      <c r="E16" s="89">
        <v>0.57999999999999996</v>
      </c>
      <c r="F16" s="90">
        <f t="shared" ref="F16:F24" si="0">C16-E16</f>
        <v>-3.9999999999999925E-2</v>
      </c>
      <c r="G16" s="90">
        <f t="shared" ref="G16:G24" si="1">D16-E16</f>
        <v>-7.999999999999996E-2</v>
      </c>
    </row>
    <row r="17" spans="1:7" x14ac:dyDescent="0.35">
      <c r="A17" s="91" t="s">
        <v>156</v>
      </c>
      <c r="B17" s="88" t="s">
        <v>155</v>
      </c>
      <c r="C17" s="89">
        <v>0.125</v>
      </c>
      <c r="D17" s="89">
        <v>0.125</v>
      </c>
      <c r="E17" s="89">
        <v>0.27500000000000002</v>
      </c>
      <c r="F17" s="90">
        <f t="shared" si="0"/>
        <v>-0.15000000000000002</v>
      </c>
      <c r="G17" s="90">
        <f t="shared" si="1"/>
        <v>-0.15000000000000002</v>
      </c>
    </row>
    <row r="18" spans="1:7" x14ac:dyDescent="0.35">
      <c r="A18" s="171" t="s">
        <v>158</v>
      </c>
      <c r="B18" s="88" t="s">
        <v>152</v>
      </c>
      <c r="C18" s="89">
        <v>0.3</v>
      </c>
      <c r="D18" s="89">
        <v>0.3</v>
      </c>
      <c r="E18" s="89">
        <v>0.35</v>
      </c>
      <c r="F18" s="90">
        <f t="shared" si="0"/>
        <v>-4.9999999999999989E-2</v>
      </c>
      <c r="G18" s="90">
        <f t="shared" si="1"/>
        <v>-4.9999999999999989E-2</v>
      </c>
    </row>
    <row r="19" spans="1:7" x14ac:dyDescent="0.35">
      <c r="A19" s="171"/>
      <c r="B19" s="88" t="s">
        <v>153</v>
      </c>
      <c r="C19" s="89">
        <v>0.27500000000000002</v>
      </c>
      <c r="D19" s="89">
        <v>0.27500000000000002</v>
      </c>
      <c r="E19" s="89">
        <v>0.32500000000000001</v>
      </c>
      <c r="F19" s="90">
        <f t="shared" si="0"/>
        <v>-4.9999999999999989E-2</v>
      </c>
      <c r="G19" s="90">
        <f t="shared" si="1"/>
        <v>-4.9999999999999989E-2</v>
      </c>
    </row>
    <row r="20" spans="1:7" x14ac:dyDescent="0.35">
      <c r="A20" s="171"/>
      <c r="B20" s="88" t="s">
        <v>2</v>
      </c>
      <c r="C20" s="89">
        <v>0.3</v>
      </c>
      <c r="D20" s="89">
        <v>0.27500000000000002</v>
      </c>
      <c r="E20" s="89">
        <v>0.35</v>
      </c>
      <c r="F20" s="90">
        <f t="shared" si="0"/>
        <v>-4.9999999999999989E-2</v>
      </c>
      <c r="G20" s="90">
        <f t="shared" si="1"/>
        <v>-7.4999999999999956E-2</v>
      </c>
    </row>
    <row r="21" spans="1:7" x14ac:dyDescent="0.35">
      <c r="A21" s="171"/>
      <c r="B21" s="88" t="s">
        <v>159</v>
      </c>
      <c r="C21" s="89">
        <v>0.125</v>
      </c>
      <c r="D21" s="89">
        <v>0.125</v>
      </c>
      <c r="E21" s="89">
        <v>0.22500000000000001</v>
      </c>
      <c r="F21" s="90">
        <f t="shared" si="0"/>
        <v>-0.1</v>
      </c>
      <c r="G21" s="90">
        <f t="shared" si="1"/>
        <v>-0.1</v>
      </c>
    </row>
    <row r="22" spans="1:7" x14ac:dyDescent="0.35">
      <c r="A22" s="171"/>
      <c r="B22" s="88" t="s">
        <v>8</v>
      </c>
      <c r="C22" s="89">
        <v>0.27500000000000002</v>
      </c>
      <c r="D22" s="89">
        <v>0.27500000000000002</v>
      </c>
      <c r="E22" s="89">
        <v>0.38</v>
      </c>
      <c r="F22" s="90">
        <f t="shared" si="0"/>
        <v>-0.10499999999999998</v>
      </c>
      <c r="G22" s="90">
        <f t="shared" si="1"/>
        <v>-0.10499999999999998</v>
      </c>
    </row>
    <row r="23" spans="1:7" x14ac:dyDescent="0.35">
      <c r="A23" s="171"/>
      <c r="B23" s="88" t="s">
        <v>81</v>
      </c>
      <c r="C23" s="89">
        <v>0.25</v>
      </c>
      <c r="D23" s="89">
        <v>0.25</v>
      </c>
      <c r="E23" s="89">
        <v>0.3</v>
      </c>
      <c r="F23" s="90">
        <f t="shared" si="0"/>
        <v>-4.9999999999999989E-2</v>
      </c>
      <c r="G23" s="90">
        <f t="shared" si="1"/>
        <v>-4.9999999999999989E-2</v>
      </c>
    </row>
    <row r="24" spans="1:7" x14ac:dyDescent="0.35">
      <c r="A24" s="92" t="s">
        <v>160</v>
      </c>
      <c r="B24" s="88" t="s">
        <v>152</v>
      </c>
      <c r="C24" s="89">
        <v>0.27500000000000002</v>
      </c>
      <c r="D24" s="89">
        <v>0.27500000000000002</v>
      </c>
      <c r="E24" s="89">
        <v>0.32</v>
      </c>
      <c r="F24" s="90">
        <f t="shared" si="0"/>
        <v>-4.4999999999999984E-2</v>
      </c>
      <c r="G24" s="90">
        <f t="shared" si="1"/>
        <v>-4.4999999999999984E-2</v>
      </c>
    </row>
  </sheetData>
  <mergeCells count="3">
    <mergeCell ref="A15:A16"/>
    <mergeCell ref="A18:A23"/>
    <mergeCell ref="F13:G13"/>
  </mergeCells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E120-DDFA-479F-B4FA-D82E4E566C60}">
  <dimension ref="D5:H16"/>
  <sheetViews>
    <sheetView workbookViewId="0">
      <selection activeCell="K12" sqref="K12"/>
    </sheetView>
  </sheetViews>
  <sheetFormatPr defaultRowHeight="14.5" x14ac:dyDescent="0.35"/>
  <cols>
    <col min="6" max="6" width="12.54296875" bestFit="1" customWidth="1"/>
    <col min="8" max="8" width="11.81640625" bestFit="1" customWidth="1"/>
  </cols>
  <sheetData>
    <row r="5" spans="4:8" x14ac:dyDescent="0.35">
      <c r="H5" s="93"/>
    </row>
    <row r="6" spans="4:8" x14ac:dyDescent="0.35">
      <c r="D6" s="87" t="s">
        <v>154</v>
      </c>
      <c r="E6" s="87" t="s">
        <v>53</v>
      </c>
      <c r="F6" s="87" t="s">
        <v>166</v>
      </c>
      <c r="G6" s="87" t="s">
        <v>149</v>
      </c>
      <c r="H6" s="87" t="s">
        <v>167</v>
      </c>
    </row>
    <row r="7" spans="4:8" x14ac:dyDescent="0.35">
      <c r="D7" s="171" t="s">
        <v>157</v>
      </c>
      <c r="E7" s="88" t="s">
        <v>152</v>
      </c>
      <c r="F7" s="89">
        <v>0.46</v>
      </c>
      <c r="G7" s="89">
        <v>0.55000000000000004</v>
      </c>
      <c r="H7" s="90">
        <f>F7-G7</f>
        <v>-9.0000000000000024E-2</v>
      </c>
    </row>
    <row r="8" spans="4:8" x14ac:dyDescent="0.35">
      <c r="D8" s="172"/>
      <c r="E8" s="88" t="s">
        <v>153</v>
      </c>
      <c r="F8" s="89">
        <v>0.5</v>
      </c>
      <c r="G8" s="89">
        <v>0.57999999999999996</v>
      </c>
      <c r="H8" s="90">
        <f t="shared" ref="H8:H16" si="0">F8-G8</f>
        <v>-7.999999999999996E-2</v>
      </c>
    </row>
    <row r="9" spans="4:8" x14ac:dyDescent="0.35">
      <c r="D9" s="91" t="s">
        <v>156</v>
      </c>
      <c r="E9" s="88" t="s">
        <v>155</v>
      </c>
      <c r="F9" s="89">
        <v>0.125</v>
      </c>
      <c r="G9" s="89">
        <v>0.27500000000000002</v>
      </c>
      <c r="H9" s="90">
        <f t="shared" si="0"/>
        <v>-0.15000000000000002</v>
      </c>
    </row>
    <row r="10" spans="4:8" x14ac:dyDescent="0.35">
      <c r="D10" s="171" t="s">
        <v>158</v>
      </c>
      <c r="E10" s="88" t="s">
        <v>152</v>
      </c>
      <c r="F10" s="89">
        <v>0.3</v>
      </c>
      <c r="G10" s="89">
        <v>0.35</v>
      </c>
      <c r="H10" s="90">
        <f t="shared" si="0"/>
        <v>-4.9999999999999989E-2</v>
      </c>
    </row>
    <row r="11" spans="4:8" x14ac:dyDescent="0.35">
      <c r="D11" s="171"/>
      <c r="E11" s="88" t="s">
        <v>153</v>
      </c>
      <c r="F11" s="89">
        <v>0.27500000000000002</v>
      </c>
      <c r="G11" s="89">
        <v>0.32500000000000001</v>
      </c>
      <c r="H11" s="90">
        <f t="shared" si="0"/>
        <v>-4.9999999999999989E-2</v>
      </c>
    </row>
    <row r="12" spans="4:8" x14ac:dyDescent="0.35">
      <c r="D12" s="171"/>
      <c r="E12" s="88" t="s">
        <v>2</v>
      </c>
      <c r="F12" s="89">
        <v>0.27500000000000002</v>
      </c>
      <c r="G12" s="89">
        <v>0.35</v>
      </c>
      <c r="H12" s="90">
        <f t="shared" si="0"/>
        <v>-7.4999999999999956E-2</v>
      </c>
    </row>
    <row r="13" spans="4:8" x14ac:dyDescent="0.35">
      <c r="D13" s="171"/>
      <c r="E13" s="88" t="s">
        <v>159</v>
      </c>
      <c r="F13" s="89">
        <v>0.125</v>
      </c>
      <c r="G13" s="89">
        <v>0.22500000000000001</v>
      </c>
      <c r="H13" s="90">
        <f t="shared" si="0"/>
        <v>-0.1</v>
      </c>
    </row>
    <row r="14" spans="4:8" x14ac:dyDescent="0.35">
      <c r="D14" s="171"/>
      <c r="E14" s="88" t="s">
        <v>8</v>
      </c>
      <c r="F14" s="89">
        <v>0.27500000000000002</v>
      </c>
      <c r="G14" s="89">
        <v>0.38</v>
      </c>
      <c r="H14" s="90">
        <f t="shared" si="0"/>
        <v>-0.10499999999999998</v>
      </c>
    </row>
    <row r="15" spans="4:8" x14ac:dyDescent="0.35">
      <c r="D15" s="171"/>
      <c r="E15" s="88" t="s">
        <v>81</v>
      </c>
      <c r="F15" s="89">
        <v>0.25</v>
      </c>
      <c r="G15" s="89">
        <v>0.3</v>
      </c>
      <c r="H15" s="90">
        <f t="shared" si="0"/>
        <v>-4.9999999999999989E-2</v>
      </c>
    </row>
    <row r="16" spans="4:8" x14ac:dyDescent="0.35">
      <c r="D16" s="92" t="s">
        <v>160</v>
      </c>
      <c r="E16" s="88" t="s">
        <v>152</v>
      </c>
      <c r="F16" s="89">
        <v>0.27500000000000002</v>
      </c>
      <c r="G16" s="89">
        <v>0.32</v>
      </c>
      <c r="H16" s="90">
        <f t="shared" si="0"/>
        <v>-4.4999999999999984E-2</v>
      </c>
    </row>
  </sheetData>
  <mergeCells count="2">
    <mergeCell ref="D7:D8"/>
    <mergeCell ref="D10:D15"/>
  </mergeCells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88E2-2876-495C-865F-BE839DB94B91}">
  <dimension ref="A1:BK42"/>
  <sheetViews>
    <sheetView topLeftCell="B1" zoomScale="80" zoomScaleNormal="80" workbookViewId="0">
      <selection activeCell="B8" sqref="B8"/>
    </sheetView>
  </sheetViews>
  <sheetFormatPr defaultColWidth="9.1796875" defaultRowHeight="14.5" x14ac:dyDescent="0.35"/>
  <cols>
    <col min="1" max="1" width="1.54296875" style="2" customWidth="1"/>
    <col min="2" max="2" width="1" style="2" customWidth="1"/>
    <col min="3" max="3" width="6.7265625" style="2" customWidth="1"/>
    <col min="4" max="4" width="11.81640625" style="2" customWidth="1"/>
    <col min="5" max="5" width="8.453125" style="2" customWidth="1"/>
    <col min="6" max="6" width="14.81640625" style="2" customWidth="1"/>
    <col min="7" max="8" width="6.453125" style="2" bestFit="1" customWidth="1"/>
    <col min="9" max="9" width="0.453125" style="2" customWidth="1"/>
    <col min="10" max="11" width="6.453125" style="2" customWidth="1"/>
    <col min="12" max="12" width="0.453125" style="2" customWidth="1"/>
    <col min="13" max="14" width="6.453125" style="2" customWidth="1"/>
    <col min="15" max="15" width="0.453125" style="2" customWidth="1"/>
    <col min="16" max="17" width="6.453125" style="2" bestFit="1" customWidth="1"/>
    <col min="18" max="18" width="0.453125" style="2" customWidth="1"/>
    <col min="19" max="20" width="6.453125" style="2" bestFit="1" customWidth="1"/>
    <col min="21" max="21" width="0.453125" style="2" customWidth="1"/>
    <col min="22" max="23" width="6.453125" style="2" bestFit="1" customWidth="1"/>
    <col min="24" max="24" width="0.453125" style="2" customWidth="1"/>
    <col min="25" max="26" width="6.453125" style="2" bestFit="1" customWidth="1"/>
    <col min="27" max="27" width="0.453125" style="2" customWidth="1"/>
    <col min="28" max="29" width="6.453125" style="2" customWidth="1"/>
    <col min="30" max="30" width="0.453125" style="2" customWidth="1"/>
    <col min="31" max="32" width="6.453125" style="2" customWidth="1"/>
    <col min="33" max="33" width="0.453125" style="2" customWidth="1"/>
    <col min="34" max="35" width="6.453125" style="2" customWidth="1"/>
    <col min="36" max="36" width="0.453125" style="2" customWidth="1"/>
    <col min="37" max="38" width="6.453125" style="2" customWidth="1"/>
    <col min="39" max="39" width="0.453125" style="2" customWidth="1"/>
    <col min="40" max="40" width="6.453125" style="2" bestFit="1" customWidth="1"/>
    <col min="41" max="41" width="6.453125" style="2" customWidth="1"/>
    <col min="42" max="42" width="0.453125" style="2" customWidth="1"/>
    <col min="43" max="44" width="6.453125" style="2" bestFit="1" customWidth="1"/>
    <col min="45" max="45" width="0.453125" style="2" customWidth="1"/>
    <col min="46" max="47" width="6.453125" style="2" customWidth="1"/>
    <col min="48" max="48" width="0.453125" style="2" customWidth="1"/>
    <col min="49" max="50" width="6.453125" style="2" customWidth="1"/>
    <col min="51" max="51" width="0.453125" style="2" customWidth="1"/>
    <col min="52" max="53" width="6.453125" style="2" customWidth="1"/>
    <col min="54" max="54" width="0.453125" style="2" customWidth="1"/>
    <col min="55" max="56" width="6.453125" style="2" customWidth="1"/>
    <col min="57" max="57" width="0.54296875" style="2" customWidth="1"/>
    <col min="58" max="59" width="6.453125" style="2" customWidth="1"/>
    <col min="60" max="63" width="9.1796875" style="2" customWidth="1"/>
    <col min="64" max="16384" width="9.1796875" style="2"/>
  </cols>
  <sheetData>
    <row r="1" spans="1:63" ht="4.5" customHeight="1" x14ac:dyDescent="0.35">
      <c r="C1" s="1"/>
      <c r="J1" s="3"/>
    </row>
    <row r="2" spans="1:63" ht="34" customHeight="1" x14ac:dyDescent="0.35">
      <c r="B2" s="160" t="s">
        <v>141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</row>
    <row r="3" spans="1:63" ht="14.5" customHeight="1" x14ac:dyDescent="0.35">
      <c r="B3" s="5"/>
      <c r="C3" s="126" t="s">
        <v>0</v>
      </c>
      <c r="D3" s="126" t="s">
        <v>1</v>
      </c>
      <c r="E3" s="161" t="s">
        <v>92</v>
      </c>
      <c r="F3" s="161" t="s">
        <v>93</v>
      </c>
      <c r="G3" s="141" t="s">
        <v>2</v>
      </c>
      <c r="H3" s="142"/>
      <c r="I3" s="5"/>
      <c r="J3" s="141" t="s">
        <v>3</v>
      </c>
      <c r="K3" s="142"/>
      <c r="L3" s="5"/>
      <c r="M3" s="141" t="s">
        <v>4</v>
      </c>
      <c r="N3" s="142"/>
      <c r="O3" s="5"/>
      <c r="P3" s="141" t="s">
        <v>5</v>
      </c>
      <c r="Q3" s="142"/>
      <c r="R3" s="5"/>
      <c r="S3" s="141" t="s">
        <v>6</v>
      </c>
      <c r="T3" s="142"/>
      <c r="U3" s="5"/>
      <c r="V3" s="141" t="s">
        <v>94</v>
      </c>
      <c r="W3" s="142"/>
      <c r="X3" s="5"/>
      <c r="Y3" s="141" t="s">
        <v>9</v>
      </c>
      <c r="Z3" s="142"/>
      <c r="AA3" s="5"/>
      <c r="AB3" s="141" t="s">
        <v>10</v>
      </c>
      <c r="AC3" s="142"/>
      <c r="AD3" s="5"/>
      <c r="AE3" s="141" t="s">
        <v>11</v>
      </c>
      <c r="AF3" s="142"/>
      <c r="AG3" s="5"/>
      <c r="AH3" s="164" t="s">
        <v>80</v>
      </c>
      <c r="AI3" s="165"/>
      <c r="AJ3" s="5"/>
      <c r="AK3" s="141" t="s">
        <v>13</v>
      </c>
      <c r="AL3" s="142"/>
      <c r="AM3" s="5"/>
      <c r="AN3" s="141" t="s">
        <v>14</v>
      </c>
      <c r="AO3" s="142"/>
      <c r="AP3" s="5"/>
      <c r="AQ3" s="141" t="s">
        <v>15</v>
      </c>
      <c r="AR3" s="142"/>
      <c r="AS3" s="5"/>
      <c r="AT3" s="141" t="s">
        <v>16</v>
      </c>
      <c r="AU3" s="142"/>
      <c r="AV3" s="5"/>
      <c r="AW3" s="141" t="s">
        <v>17</v>
      </c>
      <c r="AX3" s="142"/>
      <c r="AY3" s="5"/>
      <c r="AZ3" s="141" t="s">
        <v>18</v>
      </c>
      <c r="BA3" s="142"/>
      <c r="BB3" s="5"/>
      <c r="BC3" s="141" t="s">
        <v>19</v>
      </c>
      <c r="BD3" s="142"/>
      <c r="BE3" s="5"/>
      <c r="BF3" s="141" t="s">
        <v>20</v>
      </c>
      <c r="BG3" s="142"/>
      <c r="BH3" s="141" t="s">
        <v>21</v>
      </c>
      <c r="BI3" s="142"/>
      <c r="BJ3" s="141" t="s">
        <v>22</v>
      </c>
      <c r="BK3" s="142"/>
    </row>
    <row r="4" spans="1:63" x14ac:dyDescent="0.35">
      <c r="B4" s="5"/>
      <c r="C4" s="126"/>
      <c r="D4" s="126"/>
      <c r="E4" s="162"/>
      <c r="F4" s="162"/>
      <c r="G4" s="143"/>
      <c r="H4" s="144"/>
      <c r="I4" s="5"/>
      <c r="J4" s="143"/>
      <c r="K4" s="144"/>
      <c r="L4" s="5"/>
      <c r="M4" s="143"/>
      <c r="N4" s="144"/>
      <c r="O4" s="5"/>
      <c r="P4" s="143"/>
      <c r="Q4" s="144"/>
      <c r="R4" s="5"/>
      <c r="S4" s="143"/>
      <c r="T4" s="144"/>
      <c r="U4" s="5"/>
      <c r="V4" s="143"/>
      <c r="W4" s="144"/>
      <c r="X4" s="5"/>
      <c r="Y4" s="143"/>
      <c r="Z4" s="144"/>
      <c r="AA4" s="5"/>
      <c r="AB4" s="143"/>
      <c r="AC4" s="144"/>
      <c r="AD4" s="5"/>
      <c r="AE4" s="143"/>
      <c r="AF4" s="144"/>
      <c r="AG4" s="5"/>
      <c r="AH4" s="166"/>
      <c r="AI4" s="167"/>
      <c r="AJ4" s="5"/>
      <c r="AK4" s="143"/>
      <c r="AL4" s="144"/>
      <c r="AM4" s="5"/>
      <c r="AN4" s="143"/>
      <c r="AO4" s="144"/>
      <c r="AP4" s="5"/>
      <c r="AQ4" s="143"/>
      <c r="AR4" s="144"/>
      <c r="AS4" s="5"/>
      <c r="AT4" s="143"/>
      <c r="AU4" s="144"/>
      <c r="AV4" s="5"/>
      <c r="AW4" s="143"/>
      <c r="AX4" s="144"/>
      <c r="AY4" s="5"/>
      <c r="AZ4" s="143"/>
      <c r="BA4" s="144"/>
      <c r="BB4" s="5"/>
      <c r="BC4" s="143"/>
      <c r="BD4" s="144"/>
      <c r="BE4" s="5"/>
      <c r="BF4" s="143"/>
      <c r="BG4" s="144"/>
      <c r="BH4" s="143"/>
      <c r="BI4" s="144"/>
      <c r="BJ4" s="143"/>
      <c r="BK4" s="144"/>
    </row>
    <row r="5" spans="1:63" ht="31.5" customHeight="1" x14ac:dyDescent="0.35">
      <c r="B5" s="8"/>
      <c r="C5" s="126"/>
      <c r="D5" s="126"/>
      <c r="E5" s="163"/>
      <c r="F5" s="163"/>
      <c r="G5" s="9" t="s">
        <v>23</v>
      </c>
      <c r="H5" s="9" t="s">
        <v>24</v>
      </c>
      <c r="I5" s="8"/>
      <c r="J5" s="9" t="s">
        <v>23</v>
      </c>
      <c r="K5" s="9" t="s">
        <v>24</v>
      </c>
      <c r="L5" s="8"/>
      <c r="M5" s="9" t="s">
        <v>23</v>
      </c>
      <c r="N5" s="9" t="s">
        <v>24</v>
      </c>
      <c r="O5" s="8"/>
      <c r="P5" s="9" t="s">
        <v>23</v>
      </c>
      <c r="Q5" s="9" t="s">
        <v>24</v>
      </c>
      <c r="R5" s="8"/>
      <c r="S5" s="9" t="s">
        <v>23</v>
      </c>
      <c r="T5" s="9" t="s">
        <v>24</v>
      </c>
      <c r="U5" s="8"/>
      <c r="V5" s="9" t="s">
        <v>23</v>
      </c>
      <c r="W5" s="9" t="s">
        <v>24</v>
      </c>
      <c r="X5" s="8"/>
      <c r="Y5" s="9" t="s">
        <v>23</v>
      </c>
      <c r="Z5" s="9" t="s">
        <v>24</v>
      </c>
      <c r="AA5" s="8"/>
      <c r="AB5" s="9" t="s">
        <v>23</v>
      </c>
      <c r="AC5" s="9" t="s">
        <v>24</v>
      </c>
      <c r="AD5" s="8"/>
      <c r="AE5" s="9" t="s">
        <v>23</v>
      </c>
      <c r="AF5" s="9" t="s">
        <v>24</v>
      </c>
      <c r="AG5" s="8"/>
      <c r="AH5" s="9" t="s">
        <v>23</v>
      </c>
      <c r="AI5" s="9" t="s">
        <v>24</v>
      </c>
      <c r="AJ5" s="8"/>
      <c r="AK5" s="9" t="s">
        <v>23</v>
      </c>
      <c r="AL5" s="9" t="s">
        <v>24</v>
      </c>
      <c r="AM5" s="8"/>
      <c r="AN5" s="9" t="s">
        <v>23</v>
      </c>
      <c r="AO5" s="9" t="s">
        <v>24</v>
      </c>
      <c r="AP5" s="8"/>
      <c r="AQ5" s="9" t="s">
        <v>23</v>
      </c>
      <c r="AR5" s="9" t="s">
        <v>24</v>
      </c>
      <c r="AS5" s="8"/>
      <c r="AT5" s="9" t="s">
        <v>23</v>
      </c>
      <c r="AU5" s="9" t="s">
        <v>24</v>
      </c>
      <c r="AV5" s="8"/>
      <c r="AW5" s="9" t="s">
        <v>23</v>
      </c>
      <c r="AX5" s="9" t="s">
        <v>24</v>
      </c>
      <c r="AY5" s="8"/>
      <c r="AZ5" s="9" t="s">
        <v>23</v>
      </c>
      <c r="BA5" s="9" t="s">
        <v>24</v>
      </c>
      <c r="BB5" s="8"/>
      <c r="BC5" s="9" t="s">
        <v>23</v>
      </c>
      <c r="BD5" s="9" t="s">
        <v>24</v>
      </c>
      <c r="BE5" s="8"/>
      <c r="BF5" s="9" t="s">
        <v>23</v>
      </c>
      <c r="BG5" s="9" t="s">
        <v>24</v>
      </c>
      <c r="BH5" s="9" t="s">
        <v>23</v>
      </c>
      <c r="BI5" s="9" t="s">
        <v>24</v>
      </c>
      <c r="BJ5" s="9" t="s">
        <v>23</v>
      </c>
      <c r="BK5" s="9" t="s">
        <v>24</v>
      </c>
    </row>
    <row r="6" spans="1:63" x14ac:dyDescent="0.35">
      <c r="B6" s="20"/>
      <c r="C6" s="158" t="s">
        <v>95</v>
      </c>
      <c r="D6" s="147" t="s">
        <v>96</v>
      </c>
      <c r="E6" s="148"/>
      <c r="F6" s="151"/>
      <c r="G6" s="52">
        <v>0.32499999999999996</v>
      </c>
      <c r="H6" s="52">
        <v>0.375</v>
      </c>
      <c r="I6" s="52"/>
      <c r="J6" s="52"/>
      <c r="K6" s="52">
        <v>0.27499999999999997</v>
      </c>
      <c r="L6" s="52"/>
      <c r="M6" s="52"/>
      <c r="N6" s="52">
        <v>7.5000000000000011E-2</v>
      </c>
      <c r="O6" s="52"/>
      <c r="P6" s="52">
        <v>0.32499999999999996</v>
      </c>
      <c r="Q6" s="52">
        <v>0.47</v>
      </c>
      <c r="R6" s="52"/>
      <c r="S6" s="52">
        <v>0.45</v>
      </c>
      <c r="T6" s="52">
        <v>0.5</v>
      </c>
      <c r="U6" s="52"/>
      <c r="V6" s="52">
        <v>0.375</v>
      </c>
      <c r="W6" s="52">
        <v>0.37</v>
      </c>
      <c r="X6" s="52"/>
      <c r="Y6" s="52">
        <v>7.5000000000000011E-2</v>
      </c>
      <c r="Z6" s="52">
        <v>0.125</v>
      </c>
      <c r="AA6" s="52"/>
      <c r="AB6" s="52">
        <v>0.32499999999999996</v>
      </c>
      <c r="AC6" s="52">
        <v>0.32499999999999996</v>
      </c>
      <c r="AD6" s="52"/>
      <c r="AE6" s="52">
        <v>0.22500000000000001</v>
      </c>
      <c r="AF6" s="52">
        <v>0.22500000000000001</v>
      </c>
      <c r="AG6" s="52"/>
      <c r="AH6" s="52">
        <v>0.1</v>
      </c>
      <c r="AI6" s="52">
        <v>0.15</v>
      </c>
      <c r="AJ6" s="52"/>
      <c r="AK6" s="52"/>
      <c r="AL6" s="52">
        <v>0.45</v>
      </c>
      <c r="AM6" s="52"/>
      <c r="AN6" s="52">
        <v>0.19999999999999998</v>
      </c>
      <c r="AO6" s="52">
        <v>0.3</v>
      </c>
      <c r="AP6" s="52"/>
      <c r="AQ6" s="52"/>
      <c r="AR6" s="52">
        <v>0.2</v>
      </c>
      <c r="AS6" s="52"/>
      <c r="AT6" s="52"/>
      <c r="AU6" s="52">
        <v>0.2</v>
      </c>
      <c r="AV6" s="52"/>
      <c r="AW6" s="52"/>
      <c r="AX6" s="52">
        <v>0.2</v>
      </c>
      <c r="AY6" s="52"/>
      <c r="AZ6" s="52"/>
      <c r="BA6" s="52">
        <v>0.2</v>
      </c>
      <c r="BB6" s="52"/>
      <c r="BC6" s="52"/>
      <c r="BD6" s="52">
        <v>0.2</v>
      </c>
      <c r="BE6" s="52"/>
      <c r="BF6" s="52">
        <v>0.32499999999999996</v>
      </c>
      <c r="BG6" s="52">
        <v>0.32499999999999996</v>
      </c>
      <c r="BH6" s="52">
        <v>0</v>
      </c>
      <c r="BI6" s="52">
        <v>0.3</v>
      </c>
      <c r="BJ6" s="52">
        <v>0</v>
      </c>
      <c r="BK6" s="52">
        <v>0.3</v>
      </c>
    </row>
    <row r="7" spans="1:63" x14ac:dyDescent="0.35">
      <c r="B7" s="20"/>
      <c r="C7" s="158"/>
      <c r="D7" s="155" t="s">
        <v>97</v>
      </c>
      <c r="E7" s="156"/>
      <c r="F7" s="157"/>
      <c r="G7" s="52">
        <v>0.32499999999999996</v>
      </c>
      <c r="H7" s="52">
        <v>0.375</v>
      </c>
      <c r="I7" s="52"/>
      <c r="J7" s="52"/>
      <c r="K7" s="52">
        <v>0.27499999999999997</v>
      </c>
      <c r="L7" s="52"/>
      <c r="M7" s="52"/>
      <c r="N7" s="52">
        <v>7.5000000000000011E-2</v>
      </c>
      <c r="O7" s="52"/>
      <c r="P7" s="52">
        <v>0.32499999999999996</v>
      </c>
      <c r="Q7" s="52">
        <v>0.45</v>
      </c>
      <c r="R7" s="52"/>
      <c r="S7" s="52">
        <v>0.45</v>
      </c>
      <c r="T7" s="52">
        <v>0.5</v>
      </c>
      <c r="U7" s="52"/>
      <c r="V7" s="52">
        <v>0.375</v>
      </c>
      <c r="W7" s="52">
        <v>0.35</v>
      </c>
      <c r="X7" s="52"/>
      <c r="Y7" s="52">
        <v>7.5000000000000011E-2</v>
      </c>
      <c r="Z7" s="52">
        <v>0.125</v>
      </c>
      <c r="AA7" s="52"/>
      <c r="AB7" s="52">
        <v>0.32499999999999996</v>
      </c>
      <c r="AC7" s="52">
        <v>0.32499999999999996</v>
      </c>
      <c r="AD7" s="52"/>
      <c r="AE7" s="52">
        <v>0.22500000000000001</v>
      </c>
      <c r="AF7" s="52">
        <v>0.22500000000000001</v>
      </c>
      <c r="AG7" s="52"/>
      <c r="AH7" s="52">
        <v>0.1</v>
      </c>
      <c r="AI7" s="52">
        <v>0.15</v>
      </c>
      <c r="AJ7" s="52"/>
      <c r="AK7" s="52"/>
      <c r="AL7" s="52">
        <v>0.45</v>
      </c>
      <c r="AM7" s="52"/>
      <c r="AN7" s="52">
        <v>0.19999999999999998</v>
      </c>
      <c r="AO7" s="52">
        <v>0.3</v>
      </c>
      <c r="AP7" s="52"/>
      <c r="AQ7" s="52"/>
      <c r="AR7" s="52">
        <v>0.2</v>
      </c>
      <c r="AS7" s="52"/>
      <c r="AT7" s="52"/>
      <c r="AU7" s="52">
        <v>0.2</v>
      </c>
      <c r="AV7" s="52"/>
      <c r="AW7" s="52"/>
      <c r="AX7" s="52">
        <v>0.2</v>
      </c>
      <c r="AY7" s="52"/>
      <c r="AZ7" s="52"/>
      <c r="BA7" s="52">
        <v>0.2</v>
      </c>
      <c r="BB7" s="52"/>
      <c r="BC7" s="52"/>
      <c r="BD7" s="52">
        <v>0.2</v>
      </c>
      <c r="BE7" s="52"/>
      <c r="BF7" s="52">
        <v>0.32499999999999996</v>
      </c>
      <c r="BG7" s="52">
        <v>0.32499999999999996</v>
      </c>
      <c r="BH7" s="52">
        <v>0</v>
      </c>
      <c r="BI7" s="52">
        <v>0.3</v>
      </c>
      <c r="BJ7" s="52">
        <v>0</v>
      </c>
      <c r="BK7" s="52">
        <v>0.3</v>
      </c>
    </row>
    <row r="8" spans="1:63" ht="109" customHeight="1" x14ac:dyDescent="0.35">
      <c r="B8" s="20"/>
      <c r="C8" s="158"/>
      <c r="D8" s="159" t="s">
        <v>98</v>
      </c>
      <c r="E8" s="53" t="s">
        <v>99</v>
      </c>
      <c r="F8" s="53" t="s">
        <v>100</v>
      </c>
      <c r="G8" s="52">
        <v>0.42499999999999999</v>
      </c>
      <c r="H8" s="52">
        <v>0.47499999999999998</v>
      </c>
      <c r="I8" s="52"/>
      <c r="J8" s="52">
        <v>0.35</v>
      </c>
      <c r="K8" s="52">
        <v>0.45</v>
      </c>
      <c r="L8" s="52"/>
      <c r="M8" s="52">
        <v>0.35</v>
      </c>
      <c r="N8" s="52">
        <v>0.45</v>
      </c>
      <c r="O8" s="52"/>
      <c r="P8" s="52">
        <v>0.45</v>
      </c>
      <c r="Q8" s="52">
        <v>0.47499999999999998</v>
      </c>
      <c r="R8" s="52"/>
      <c r="S8" s="52">
        <v>0.45</v>
      </c>
      <c r="T8" s="52">
        <v>0.5</v>
      </c>
      <c r="U8" s="52"/>
      <c r="V8" s="52">
        <v>0.45</v>
      </c>
      <c r="W8" s="52">
        <v>0.45</v>
      </c>
      <c r="X8" s="52"/>
      <c r="Y8" s="52">
        <v>0.45</v>
      </c>
      <c r="Z8" s="52">
        <v>0.45</v>
      </c>
      <c r="AA8" s="52"/>
      <c r="AB8" s="52">
        <v>0.45</v>
      </c>
      <c r="AC8" s="52">
        <v>0.45</v>
      </c>
      <c r="AD8" s="52"/>
      <c r="AE8" s="52">
        <v>0.32499999999999996</v>
      </c>
      <c r="AF8" s="52">
        <v>0.4</v>
      </c>
      <c r="AG8" s="52"/>
      <c r="AH8" s="52">
        <v>0.375</v>
      </c>
      <c r="AI8" s="52">
        <v>0.42499999999999999</v>
      </c>
      <c r="AJ8" s="52"/>
      <c r="AK8" s="52">
        <v>0.32500000000000001</v>
      </c>
      <c r="AL8" s="52">
        <v>0.5</v>
      </c>
      <c r="AM8" s="52"/>
      <c r="AN8" s="52">
        <v>0.35</v>
      </c>
      <c r="AO8" s="52">
        <v>0.45</v>
      </c>
      <c r="AP8" s="52"/>
      <c r="AQ8" s="52">
        <v>0.35</v>
      </c>
      <c r="AR8" s="52">
        <v>0.45</v>
      </c>
      <c r="AS8" s="52"/>
      <c r="AT8" s="52">
        <v>0.35</v>
      </c>
      <c r="AU8" s="52">
        <v>0.45</v>
      </c>
      <c r="AV8" s="52"/>
      <c r="AW8" s="52">
        <v>0.35</v>
      </c>
      <c r="AX8" s="52">
        <v>0.45</v>
      </c>
      <c r="AY8" s="52"/>
      <c r="AZ8" s="52">
        <v>0.35</v>
      </c>
      <c r="BA8" s="52">
        <v>0.4</v>
      </c>
      <c r="BB8" s="52"/>
      <c r="BC8" s="52">
        <v>0.35</v>
      </c>
      <c r="BD8" s="52">
        <v>0.45</v>
      </c>
      <c r="BE8" s="52"/>
      <c r="BF8" s="52">
        <v>0.47499999999999998</v>
      </c>
      <c r="BG8" s="52">
        <v>0.47499999999999998</v>
      </c>
      <c r="BH8" s="52">
        <v>0</v>
      </c>
      <c r="BI8" s="78">
        <v>0.3</v>
      </c>
      <c r="BJ8" s="52">
        <v>0</v>
      </c>
      <c r="BK8" s="78">
        <v>0.15</v>
      </c>
    </row>
    <row r="9" spans="1:63" x14ac:dyDescent="0.35">
      <c r="B9" s="20"/>
      <c r="C9" s="158"/>
      <c r="D9" s="131"/>
      <c r="E9" s="147" t="s">
        <v>101</v>
      </c>
      <c r="F9" s="151"/>
      <c r="G9" s="52">
        <v>0.2</v>
      </c>
      <c r="H9" s="52">
        <v>0.3</v>
      </c>
      <c r="I9" s="52"/>
      <c r="J9" s="52"/>
      <c r="K9" s="52">
        <v>0.25</v>
      </c>
      <c r="L9" s="52"/>
      <c r="M9" s="52"/>
      <c r="N9" s="52">
        <v>0.25</v>
      </c>
      <c r="O9" s="52"/>
      <c r="P9" s="52">
        <v>0.35</v>
      </c>
      <c r="Q9" s="52">
        <v>0.47499999999999998</v>
      </c>
      <c r="R9" s="52"/>
      <c r="S9" s="52">
        <v>0.45</v>
      </c>
      <c r="T9" s="52">
        <v>0.5</v>
      </c>
      <c r="U9" s="52"/>
      <c r="V9" s="52">
        <v>0.27500000000000002</v>
      </c>
      <c r="W9" s="52">
        <v>0.35</v>
      </c>
      <c r="X9" s="52"/>
      <c r="Y9" s="52">
        <v>0.25</v>
      </c>
      <c r="Z9" s="52">
        <v>0.35</v>
      </c>
      <c r="AA9" s="52"/>
      <c r="AB9" s="52"/>
      <c r="AC9" s="52">
        <v>0.22500000000000001</v>
      </c>
      <c r="AD9" s="52"/>
      <c r="AE9" s="52"/>
      <c r="AF9" s="52"/>
      <c r="AG9" s="52"/>
      <c r="AH9" s="52"/>
      <c r="AI9" s="52">
        <v>0.27500000000000002</v>
      </c>
      <c r="AJ9" s="52"/>
      <c r="AK9" s="52"/>
      <c r="AL9" s="52">
        <v>0.35</v>
      </c>
      <c r="AM9" s="52"/>
      <c r="AN9" s="52">
        <v>0.25</v>
      </c>
      <c r="AO9" s="52">
        <v>0.25</v>
      </c>
      <c r="AP9" s="52"/>
      <c r="AQ9" s="52"/>
      <c r="AR9" s="52">
        <v>0.27500000000000002</v>
      </c>
      <c r="AS9" s="52"/>
      <c r="AT9" s="52"/>
      <c r="AU9" s="52">
        <v>0.3</v>
      </c>
      <c r="AV9" s="52"/>
      <c r="AW9" s="52"/>
      <c r="AX9" s="52"/>
      <c r="AY9" s="52"/>
      <c r="AZ9" s="52"/>
      <c r="BA9" s="52"/>
      <c r="BB9" s="52"/>
      <c r="BC9" s="52"/>
      <c r="BD9" s="52">
        <v>0.3</v>
      </c>
      <c r="BE9" s="52"/>
      <c r="BF9" s="52">
        <v>0.47499999999999998</v>
      </c>
      <c r="BG9" s="52">
        <v>0.47499999999999998</v>
      </c>
      <c r="BH9" s="52">
        <v>0</v>
      </c>
      <c r="BI9" s="52">
        <v>0.1</v>
      </c>
      <c r="BJ9" s="52">
        <v>0</v>
      </c>
      <c r="BK9" s="52">
        <v>0.1</v>
      </c>
    </row>
    <row r="10" spans="1:63" x14ac:dyDescent="0.35">
      <c r="B10" s="20"/>
      <c r="C10" s="158"/>
      <c r="D10" s="155" t="s">
        <v>102</v>
      </c>
      <c r="E10" s="156"/>
      <c r="F10" s="157"/>
      <c r="G10" s="52">
        <v>0.2</v>
      </c>
      <c r="H10" s="52">
        <v>0.3</v>
      </c>
      <c r="I10" s="52"/>
      <c r="J10" s="52"/>
      <c r="K10" s="52">
        <v>0.25</v>
      </c>
      <c r="L10" s="52"/>
      <c r="M10" s="52"/>
      <c r="N10" s="52">
        <v>0.25</v>
      </c>
      <c r="O10" s="52"/>
      <c r="P10" s="52">
        <v>0.35</v>
      </c>
      <c r="Q10" s="52">
        <v>0.45</v>
      </c>
      <c r="R10" s="52"/>
      <c r="S10" s="52">
        <v>0.42499999999999999</v>
      </c>
      <c r="T10" s="52">
        <v>0.45</v>
      </c>
      <c r="U10" s="52"/>
      <c r="V10" s="52">
        <v>0.27500000000000002</v>
      </c>
      <c r="W10" s="52">
        <v>0.35</v>
      </c>
      <c r="X10" s="52"/>
      <c r="Y10" s="52">
        <v>0.25</v>
      </c>
      <c r="Z10" s="52">
        <v>0.32499999999999996</v>
      </c>
      <c r="AA10" s="52"/>
      <c r="AB10" s="52"/>
      <c r="AC10" s="52">
        <v>0.22500000000000001</v>
      </c>
      <c r="AD10" s="52"/>
      <c r="AE10" s="52"/>
      <c r="AF10" s="52"/>
      <c r="AG10" s="52"/>
      <c r="AH10" s="52"/>
      <c r="AI10" s="52">
        <v>0.15</v>
      </c>
      <c r="AJ10" s="52"/>
      <c r="AK10" s="52"/>
      <c r="AL10" s="52">
        <v>0.375</v>
      </c>
      <c r="AM10" s="52"/>
      <c r="AN10" s="52">
        <v>0.25</v>
      </c>
      <c r="AO10" s="52">
        <v>0.25</v>
      </c>
      <c r="AP10" s="52"/>
      <c r="AQ10" s="52"/>
      <c r="AR10" s="52">
        <v>0.27500000000000002</v>
      </c>
      <c r="AS10" s="52"/>
      <c r="AT10" s="52"/>
      <c r="AU10" s="52">
        <v>0.3</v>
      </c>
      <c r="AV10" s="52"/>
      <c r="AW10" s="52"/>
      <c r="AX10" s="52"/>
      <c r="AY10" s="52"/>
      <c r="AZ10" s="52"/>
      <c r="BA10" s="52"/>
      <c r="BB10" s="52"/>
      <c r="BC10" s="52"/>
      <c r="BD10" s="52">
        <v>0.3</v>
      </c>
      <c r="BE10" s="52"/>
      <c r="BF10" s="52">
        <v>0.25</v>
      </c>
      <c r="BG10" s="52">
        <v>0.25</v>
      </c>
      <c r="BH10" s="52">
        <v>0</v>
      </c>
      <c r="BI10" s="52">
        <v>0</v>
      </c>
      <c r="BJ10" s="52">
        <v>0</v>
      </c>
      <c r="BK10" s="52">
        <v>0</v>
      </c>
    </row>
    <row r="11" spans="1:63" x14ac:dyDescent="0.35">
      <c r="A11" s="2">
        <v>30</v>
      </c>
      <c r="B11" s="20"/>
      <c r="C11" s="158"/>
      <c r="D11" s="147" t="s">
        <v>103</v>
      </c>
      <c r="E11" s="148"/>
      <c r="F11" s="151"/>
      <c r="G11" s="52">
        <v>0.1</v>
      </c>
      <c r="H11" s="52">
        <v>0.17499999999999999</v>
      </c>
      <c r="I11" s="52"/>
      <c r="J11" s="52"/>
      <c r="K11" s="52"/>
      <c r="L11" s="52"/>
      <c r="M11" s="52"/>
      <c r="N11" s="52">
        <v>0.125</v>
      </c>
      <c r="O11" s="52"/>
      <c r="P11" s="52">
        <v>0.1</v>
      </c>
      <c r="Q11" s="52">
        <v>0.2</v>
      </c>
      <c r="R11" s="52"/>
      <c r="S11" s="52">
        <v>0.125</v>
      </c>
      <c r="T11" s="52">
        <v>0.125</v>
      </c>
      <c r="U11" s="52"/>
      <c r="V11" s="52">
        <v>0.1</v>
      </c>
      <c r="W11" s="52">
        <v>0.15</v>
      </c>
      <c r="X11" s="52"/>
      <c r="Y11" s="52">
        <v>0.27499999999999997</v>
      </c>
      <c r="Z11" s="52">
        <v>0.3</v>
      </c>
      <c r="AA11" s="52"/>
      <c r="AB11" s="52"/>
      <c r="AC11" s="52">
        <v>0.1</v>
      </c>
      <c r="AD11" s="52"/>
      <c r="AE11" s="52"/>
      <c r="AF11" s="52"/>
      <c r="AG11" s="52"/>
      <c r="AH11" s="52">
        <v>0.17500000000000002</v>
      </c>
      <c r="AI11" s="52">
        <v>0.17499999999999999</v>
      </c>
      <c r="AJ11" s="52"/>
      <c r="AK11" s="52"/>
      <c r="AL11" s="52">
        <v>6.0000000000000005E-2</v>
      </c>
      <c r="AM11" s="52"/>
      <c r="AN11" s="52"/>
      <c r="AO11" s="52">
        <v>0.15</v>
      </c>
      <c r="AP11" s="52"/>
      <c r="AQ11" s="52"/>
      <c r="AR11" s="52">
        <v>0.125</v>
      </c>
      <c r="AS11" s="52"/>
      <c r="AT11" s="52"/>
      <c r="AU11" s="52">
        <v>0.15</v>
      </c>
      <c r="AV11" s="52"/>
      <c r="AW11" s="52"/>
      <c r="AX11" s="52"/>
      <c r="AY11" s="52"/>
      <c r="AZ11" s="52"/>
      <c r="BA11" s="52"/>
      <c r="BB11" s="52"/>
      <c r="BC11" s="52"/>
      <c r="BD11" s="52">
        <v>0.15</v>
      </c>
      <c r="BE11" s="52"/>
      <c r="BF11" s="52">
        <v>0.25</v>
      </c>
      <c r="BG11" s="52">
        <v>0.25</v>
      </c>
      <c r="BH11" s="52">
        <v>0</v>
      </c>
      <c r="BI11" s="52">
        <v>0</v>
      </c>
      <c r="BJ11" s="52">
        <v>0</v>
      </c>
      <c r="BK11" s="52">
        <v>0</v>
      </c>
    </row>
    <row r="12" spans="1:63" x14ac:dyDescent="0.35">
      <c r="B12" s="20"/>
      <c r="C12" s="158"/>
      <c r="D12" s="147" t="s">
        <v>104</v>
      </c>
      <c r="E12" s="148"/>
      <c r="F12" s="151"/>
      <c r="G12" s="52">
        <v>0.1</v>
      </c>
      <c r="H12" s="52">
        <v>0.22500000000000001</v>
      </c>
      <c r="I12" s="52"/>
      <c r="J12" s="52"/>
      <c r="K12" s="52">
        <v>0.1</v>
      </c>
      <c r="L12" s="52"/>
      <c r="M12" s="52"/>
      <c r="N12" s="52">
        <v>0.125</v>
      </c>
      <c r="O12" s="52"/>
      <c r="P12" s="52">
        <v>0.1</v>
      </c>
      <c r="Q12" s="52">
        <v>0.2</v>
      </c>
      <c r="R12" s="52"/>
      <c r="S12" s="52">
        <v>7.5000000000000011E-2</v>
      </c>
      <c r="T12" s="52">
        <v>0.2</v>
      </c>
      <c r="U12" s="52"/>
      <c r="V12" s="52">
        <v>0.1</v>
      </c>
      <c r="W12" s="52">
        <v>0.17499999999999999</v>
      </c>
      <c r="X12" s="52"/>
      <c r="Y12" s="52"/>
      <c r="Z12" s="52">
        <v>0.22500000000000001</v>
      </c>
      <c r="AA12" s="52"/>
      <c r="AB12" s="52">
        <v>0.1</v>
      </c>
      <c r="AC12" s="52">
        <v>0.17499999999999999</v>
      </c>
      <c r="AD12" s="52"/>
      <c r="AE12" s="52"/>
      <c r="AF12" s="52"/>
      <c r="AG12" s="52"/>
      <c r="AH12" s="52"/>
      <c r="AI12" s="52">
        <v>0.2</v>
      </c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>
        <v>0.125</v>
      </c>
      <c r="AY12" s="52"/>
      <c r="AZ12" s="52"/>
      <c r="BA12" s="52"/>
      <c r="BB12" s="52"/>
      <c r="BC12" s="52"/>
      <c r="BD12" s="52">
        <v>0.15</v>
      </c>
      <c r="BE12" s="52"/>
      <c r="BF12" s="52">
        <v>0.25</v>
      </c>
      <c r="BG12" s="52">
        <v>0.25</v>
      </c>
      <c r="BH12" s="52">
        <v>0</v>
      </c>
      <c r="BI12" s="52">
        <v>0</v>
      </c>
      <c r="BJ12" s="52">
        <v>0</v>
      </c>
      <c r="BK12" s="52">
        <v>0</v>
      </c>
    </row>
    <row r="13" spans="1:63" x14ac:dyDescent="0.35">
      <c r="B13" s="20"/>
      <c r="C13" s="158"/>
      <c r="D13" s="147" t="s">
        <v>105</v>
      </c>
      <c r="E13" s="148"/>
      <c r="F13" s="151"/>
      <c r="G13" s="52"/>
      <c r="H13" s="52">
        <v>0.22500000000000001</v>
      </c>
      <c r="I13" s="52"/>
      <c r="J13" s="52"/>
      <c r="K13" s="52">
        <v>0.08</v>
      </c>
      <c r="L13" s="52"/>
      <c r="M13" s="52"/>
      <c r="N13" s="52">
        <v>0.125</v>
      </c>
      <c r="O13" s="52"/>
      <c r="P13" s="52">
        <v>0.1</v>
      </c>
      <c r="Q13" s="52">
        <v>0.2</v>
      </c>
      <c r="R13" s="52"/>
      <c r="S13" s="52">
        <v>7.5000000000000011E-2</v>
      </c>
      <c r="T13" s="52">
        <v>0.2</v>
      </c>
      <c r="U13" s="52"/>
      <c r="V13" s="52">
        <v>0.1</v>
      </c>
      <c r="W13" s="52">
        <v>0.17499999999999999</v>
      </c>
      <c r="X13" s="52"/>
      <c r="Y13" s="52">
        <v>0.17500000000000002</v>
      </c>
      <c r="Z13" s="52">
        <v>0.22500000000000001</v>
      </c>
      <c r="AA13" s="52"/>
      <c r="AB13" s="52"/>
      <c r="AC13" s="52">
        <v>0.17499999999999999</v>
      </c>
      <c r="AD13" s="52"/>
      <c r="AE13" s="52"/>
      <c r="AF13" s="52"/>
      <c r="AG13" s="52"/>
      <c r="AH13" s="52"/>
      <c r="AI13" s="52">
        <v>0.2</v>
      </c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>
        <v>0.125</v>
      </c>
      <c r="AY13" s="52"/>
      <c r="AZ13" s="52"/>
      <c r="BA13" s="52"/>
      <c r="BB13" s="52"/>
      <c r="BC13" s="52"/>
      <c r="BD13" s="52">
        <v>0.15</v>
      </c>
      <c r="BE13" s="52"/>
      <c r="BF13" s="52">
        <v>0.25</v>
      </c>
      <c r="BG13" s="52">
        <v>0.25</v>
      </c>
      <c r="BH13" s="52">
        <v>0</v>
      </c>
      <c r="BI13" s="52">
        <v>0</v>
      </c>
      <c r="BJ13" s="52">
        <v>0</v>
      </c>
      <c r="BK13" s="52">
        <v>0</v>
      </c>
    </row>
    <row r="14" spans="1:63" x14ac:dyDescent="0.35">
      <c r="B14" s="20"/>
      <c r="C14" s="158"/>
      <c r="D14" s="147" t="s">
        <v>106</v>
      </c>
      <c r="E14" s="148"/>
      <c r="F14" s="151"/>
      <c r="G14" s="52"/>
      <c r="H14" s="52">
        <v>0.17499999999999999</v>
      </c>
      <c r="I14" s="52"/>
      <c r="J14" s="52"/>
      <c r="K14" s="52">
        <v>0.1</v>
      </c>
      <c r="L14" s="52"/>
      <c r="M14" s="52"/>
      <c r="N14" s="52">
        <v>0.125</v>
      </c>
      <c r="O14" s="52"/>
      <c r="P14" s="52">
        <v>0.125</v>
      </c>
      <c r="Q14" s="52">
        <v>0.17499999999999999</v>
      </c>
      <c r="R14" s="52"/>
      <c r="S14" s="52">
        <v>7.5000000000000011E-2</v>
      </c>
      <c r="T14" s="52">
        <v>0.2</v>
      </c>
      <c r="U14" s="52"/>
      <c r="V14" s="52"/>
      <c r="W14" s="52">
        <v>0.125</v>
      </c>
      <c r="X14" s="52"/>
      <c r="Y14" s="52">
        <v>0.17500000000000002</v>
      </c>
      <c r="Z14" s="52">
        <v>0.15</v>
      </c>
      <c r="AA14" s="52"/>
      <c r="AB14" s="52"/>
      <c r="AC14" s="52">
        <v>0.15</v>
      </c>
      <c r="AD14" s="52"/>
      <c r="AE14" s="52"/>
      <c r="AF14" s="52"/>
      <c r="AG14" s="52"/>
      <c r="AH14" s="52"/>
      <c r="AI14" s="52">
        <v>0.17499999999999999</v>
      </c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>
        <v>0.1</v>
      </c>
      <c r="AY14" s="52"/>
      <c r="AZ14" s="52"/>
      <c r="BA14" s="52"/>
      <c r="BB14" s="52"/>
      <c r="BC14" s="52"/>
      <c r="BD14" s="52">
        <v>0.15</v>
      </c>
      <c r="BE14" s="52"/>
      <c r="BF14" s="52">
        <v>0.25</v>
      </c>
      <c r="BG14" s="52">
        <v>0.25</v>
      </c>
      <c r="BH14" s="52">
        <v>0</v>
      </c>
      <c r="BI14" s="52">
        <v>0</v>
      </c>
      <c r="BJ14" s="52">
        <v>0</v>
      </c>
      <c r="BK14" s="52">
        <v>0</v>
      </c>
    </row>
    <row r="15" spans="1:63" x14ac:dyDescent="0.35">
      <c r="B15" s="20"/>
      <c r="C15" s="158"/>
      <c r="D15" s="147" t="s">
        <v>107</v>
      </c>
      <c r="E15" s="148"/>
      <c r="F15" s="151"/>
      <c r="G15" s="52">
        <v>0.2</v>
      </c>
      <c r="H15" s="52">
        <v>0.27500000000000002</v>
      </c>
      <c r="I15" s="52"/>
      <c r="J15" s="52"/>
      <c r="K15" s="52"/>
      <c r="L15" s="52"/>
      <c r="M15" s="52"/>
      <c r="N15" s="52">
        <v>0.125</v>
      </c>
      <c r="O15" s="52"/>
      <c r="P15" s="52">
        <v>0.15</v>
      </c>
      <c r="Q15" s="52">
        <v>0.3</v>
      </c>
      <c r="R15" s="52"/>
      <c r="S15" s="52">
        <v>7.5000000000000011E-2</v>
      </c>
      <c r="T15" s="52">
        <v>0.27500000000000002</v>
      </c>
      <c r="U15" s="52"/>
      <c r="V15" s="52">
        <v>0.17499999999999999</v>
      </c>
      <c r="W15" s="52">
        <v>0.27500000000000002</v>
      </c>
      <c r="X15" s="52"/>
      <c r="Y15" s="52">
        <v>0.17500000000000002</v>
      </c>
      <c r="Z15" s="52">
        <v>0.27500000000000002</v>
      </c>
      <c r="AA15" s="52"/>
      <c r="AB15" s="52">
        <v>0.2</v>
      </c>
      <c r="AC15" s="52">
        <v>0.25</v>
      </c>
      <c r="AD15" s="52"/>
      <c r="AE15" s="52"/>
      <c r="AF15" s="52"/>
      <c r="AG15" s="52"/>
      <c r="AH15" s="52">
        <v>0.15</v>
      </c>
      <c r="AI15" s="52">
        <v>0.21</v>
      </c>
      <c r="AJ15" s="52"/>
      <c r="AK15" s="52"/>
      <c r="AL15" s="52"/>
      <c r="AM15" s="52"/>
      <c r="AN15" s="52"/>
      <c r="AO15" s="52">
        <v>0.25</v>
      </c>
      <c r="AP15" s="52"/>
      <c r="AQ15" s="52"/>
      <c r="AR15" s="52">
        <v>0.25</v>
      </c>
      <c r="AS15" s="52"/>
      <c r="AT15" s="52"/>
      <c r="AU15" s="52">
        <v>0.15</v>
      </c>
      <c r="AV15" s="52"/>
      <c r="AW15" s="52"/>
      <c r="AX15" s="52">
        <v>0.11</v>
      </c>
      <c r="AY15" s="52"/>
      <c r="AZ15" s="52"/>
      <c r="BA15" s="52"/>
      <c r="BB15" s="52"/>
      <c r="BC15" s="52"/>
      <c r="BD15" s="52">
        <v>0.13500000000000001</v>
      </c>
      <c r="BE15" s="52"/>
      <c r="BF15" s="52">
        <v>0.25</v>
      </c>
      <c r="BG15" s="52">
        <v>0.25</v>
      </c>
      <c r="BH15" s="52">
        <v>0</v>
      </c>
      <c r="BI15" s="52">
        <v>0</v>
      </c>
      <c r="BJ15" s="52">
        <v>0</v>
      </c>
      <c r="BK15" s="52">
        <v>0</v>
      </c>
    </row>
    <row r="16" spans="1:63" x14ac:dyDescent="0.35">
      <c r="B16" s="20"/>
      <c r="C16" s="158"/>
      <c r="D16" s="147" t="s">
        <v>108</v>
      </c>
      <c r="E16" s="148"/>
      <c r="F16" s="151"/>
      <c r="G16" s="52">
        <v>0.2</v>
      </c>
      <c r="H16" s="52">
        <v>0.23</v>
      </c>
      <c r="I16" s="52"/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/>
      <c r="P16" s="52">
        <v>0.15</v>
      </c>
      <c r="Q16" s="52">
        <v>0.27500000000000002</v>
      </c>
      <c r="R16" s="52"/>
      <c r="S16" s="52">
        <v>7.5000000000000011E-2</v>
      </c>
      <c r="T16" s="52">
        <v>0.1</v>
      </c>
      <c r="U16" s="52"/>
      <c r="V16" s="52">
        <v>0.17499999999999999</v>
      </c>
      <c r="W16" s="52">
        <v>0.27500000000000002</v>
      </c>
      <c r="X16" s="52"/>
      <c r="Y16" s="52">
        <v>0.17500000000000002</v>
      </c>
      <c r="Z16" s="52">
        <v>0.27500000000000002</v>
      </c>
      <c r="AA16" s="52"/>
      <c r="AB16" s="52">
        <v>0.2</v>
      </c>
      <c r="AC16" s="52">
        <v>0.22</v>
      </c>
      <c r="AD16" s="52"/>
      <c r="AE16" s="52"/>
      <c r="AF16" s="52"/>
      <c r="AG16" s="52"/>
      <c r="AH16" s="52">
        <v>0.15</v>
      </c>
      <c r="AI16" s="52">
        <v>0.21</v>
      </c>
      <c r="AJ16" s="52"/>
      <c r="AK16" s="52"/>
      <c r="AL16" s="52"/>
      <c r="AM16" s="52"/>
      <c r="AN16" s="52"/>
      <c r="AO16" s="52">
        <v>0.25</v>
      </c>
      <c r="AP16" s="52"/>
      <c r="AQ16" s="52"/>
      <c r="AR16" s="52">
        <v>0.25</v>
      </c>
      <c r="AS16" s="52"/>
      <c r="AT16" s="52"/>
      <c r="AU16" s="52">
        <v>0.15</v>
      </c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>
        <v>0.23</v>
      </c>
      <c r="BG16" s="52">
        <v>0.23</v>
      </c>
      <c r="BH16" s="52">
        <v>0</v>
      </c>
      <c r="BI16" s="52">
        <v>0</v>
      </c>
      <c r="BJ16" s="52">
        <v>0</v>
      </c>
      <c r="BK16" s="52">
        <v>0</v>
      </c>
    </row>
    <row r="17" spans="2:63" x14ac:dyDescent="0.35">
      <c r="B17" s="20"/>
      <c r="C17" s="158"/>
      <c r="D17" s="147" t="s">
        <v>143</v>
      </c>
      <c r="E17" s="148"/>
      <c r="F17" s="151"/>
      <c r="G17" s="52">
        <v>0</v>
      </c>
      <c r="H17" s="52">
        <v>0.2</v>
      </c>
      <c r="I17" s="52"/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/>
      <c r="P17" s="52">
        <v>0</v>
      </c>
      <c r="Q17" s="52">
        <v>0.2</v>
      </c>
      <c r="R17" s="52"/>
      <c r="S17" s="52">
        <v>0</v>
      </c>
      <c r="T17" s="52">
        <v>0.1</v>
      </c>
      <c r="U17" s="52"/>
      <c r="V17" s="52">
        <v>0</v>
      </c>
      <c r="W17" s="52">
        <v>0.17499999999999999</v>
      </c>
      <c r="X17" s="52"/>
      <c r="Y17" s="52">
        <v>0</v>
      </c>
      <c r="Z17" s="52">
        <v>0.17499999999999999</v>
      </c>
      <c r="AA17" s="52"/>
      <c r="AB17" s="52">
        <v>0</v>
      </c>
      <c r="AC17" s="52">
        <v>0.22</v>
      </c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>
        <v>0</v>
      </c>
      <c r="BG17" s="52">
        <v>0</v>
      </c>
      <c r="BH17" s="52">
        <v>0</v>
      </c>
      <c r="BI17" s="52">
        <v>0</v>
      </c>
      <c r="BJ17" s="52">
        <v>0</v>
      </c>
      <c r="BK17" s="52">
        <v>0</v>
      </c>
    </row>
    <row r="18" spans="2:63" x14ac:dyDescent="0.35">
      <c r="B18" s="20"/>
      <c r="C18" s="158"/>
      <c r="D18" s="147" t="s">
        <v>142</v>
      </c>
      <c r="E18" s="148"/>
      <c r="F18" s="151"/>
      <c r="G18" s="52">
        <v>0</v>
      </c>
      <c r="H18" s="78">
        <v>0.15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78">
        <v>0.15</v>
      </c>
      <c r="X18" s="52">
        <v>0</v>
      </c>
      <c r="Y18" s="52">
        <v>0</v>
      </c>
      <c r="Z18" s="78">
        <v>0.15</v>
      </c>
      <c r="AA18" s="52">
        <v>0</v>
      </c>
      <c r="AB18" s="52">
        <v>0</v>
      </c>
      <c r="AC18" s="78">
        <v>0.15</v>
      </c>
      <c r="AD18" s="52">
        <v>0</v>
      </c>
      <c r="AE18" s="52">
        <v>0</v>
      </c>
      <c r="AF18" s="52">
        <v>0</v>
      </c>
      <c r="AG18" s="52">
        <v>0</v>
      </c>
      <c r="AH18" s="52">
        <v>0</v>
      </c>
      <c r="AI18" s="52">
        <v>0</v>
      </c>
      <c r="AJ18" s="52">
        <v>0</v>
      </c>
      <c r="AK18" s="52">
        <v>0</v>
      </c>
      <c r="AL18" s="52">
        <v>0</v>
      </c>
      <c r="AM18" s="52">
        <v>0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0</v>
      </c>
      <c r="AU18" s="52">
        <v>0</v>
      </c>
      <c r="AV18" s="52">
        <v>0</v>
      </c>
      <c r="AW18" s="52">
        <v>0</v>
      </c>
      <c r="AX18" s="52">
        <v>0</v>
      </c>
      <c r="AY18" s="52">
        <v>0</v>
      </c>
      <c r="AZ18" s="52">
        <v>0</v>
      </c>
      <c r="BA18" s="52">
        <v>0</v>
      </c>
      <c r="BB18" s="52">
        <v>0</v>
      </c>
      <c r="BC18" s="52">
        <v>0</v>
      </c>
      <c r="BD18" s="52">
        <v>0</v>
      </c>
      <c r="BE18" s="52">
        <v>0</v>
      </c>
      <c r="BF18" s="52">
        <v>0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</row>
    <row r="19" spans="2:63" ht="5.25" customHeight="1" x14ac:dyDescent="0.35">
      <c r="B19" s="25"/>
      <c r="C19" s="54"/>
      <c r="D19" s="55"/>
      <c r="E19" s="55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</row>
    <row r="20" spans="2:63" x14ac:dyDescent="0.35">
      <c r="B20" s="56"/>
      <c r="C20" s="146" t="s">
        <v>109</v>
      </c>
      <c r="D20" s="147" t="s">
        <v>110</v>
      </c>
      <c r="E20" s="148"/>
      <c r="F20" s="151"/>
      <c r="G20" s="52">
        <v>0.125</v>
      </c>
      <c r="H20" s="52">
        <v>0.17500000000000002</v>
      </c>
      <c r="I20" s="52"/>
      <c r="J20" s="52"/>
      <c r="K20" s="52"/>
      <c r="L20" s="52"/>
      <c r="M20" s="52"/>
      <c r="N20" s="52"/>
      <c r="O20" s="52"/>
      <c r="P20" s="52">
        <v>0.32499999999999996</v>
      </c>
      <c r="Q20" s="52">
        <v>0.375</v>
      </c>
      <c r="R20" s="52"/>
      <c r="S20" s="52"/>
      <c r="T20" s="52">
        <v>7.5000000000000011E-2</v>
      </c>
      <c r="U20" s="52"/>
      <c r="V20" s="52">
        <v>0.17500000000000002</v>
      </c>
      <c r="W20" s="52">
        <v>0.22500000000000001</v>
      </c>
      <c r="X20" s="52"/>
      <c r="Y20" s="52">
        <v>0.125</v>
      </c>
      <c r="Z20" s="52">
        <v>0.125</v>
      </c>
      <c r="AA20" s="52"/>
      <c r="AB20" s="52">
        <v>7.5000000000000011E-2</v>
      </c>
      <c r="AC20" s="52">
        <v>7.5000000000000011E-2</v>
      </c>
      <c r="AD20" s="52"/>
      <c r="AE20" s="52"/>
      <c r="AF20" s="52"/>
      <c r="AG20" s="52"/>
      <c r="AH20" s="52">
        <v>7.5000000000000011E-2</v>
      </c>
      <c r="AI20" s="52">
        <v>0.125</v>
      </c>
      <c r="AJ20" s="52"/>
      <c r="AK20" s="52"/>
      <c r="AL20" s="52">
        <v>0.38500000000000001</v>
      </c>
      <c r="AM20" s="52"/>
      <c r="AN20" s="52"/>
      <c r="AO20" s="52">
        <v>0.3</v>
      </c>
      <c r="AP20" s="52"/>
      <c r="AQ20" s="52"/>
      <c r="AR20" s="52">
        <v>0.17499999999999999</v>
      </c>
      <c r="AS20" s="52"/>
      <c r="AT20" s="52"/>
      <c r="AU20" s="52">
        <v>0.17499999999999999</v>
      </c>
      <c r="AV20" s="52"/>
      <c r="AW20" s="52"/>
      <c r="AX20" s="52"/>
      <c r="AY20" s="52"/>
      <c r="AZ20" s="52"/>
      <c r="BA20" s="52"/>
      <c r="BB20" s="52"/>
      <c r="BC20" s="52"/>
      <c r="BD20" s="52">
        <v>0.125</v>
      </c>
      <c r="BE20" s="52"/>
      <c r="BF20" s="52">
        <v>0.35</v>
      </c>
      <c r="BG20" s="52">
        <v>0.35</v>
      </c>
      <c r="BH20" s="52">
        <v>0</v>
      </c>
      <c r="BI20" s="52">
        <v>0</v>
      </c>
      <c r="BJ20" s="52">
        <v>0</v>
      </c>
      <c r="BK20" s="52">
        <v>0</v>
      </c>
    </row>
    <row r="21" spans="2:63" x14ac:dyDescent="0.35">
      <c r="B21" s="56"/>
      <c r="C21" s="146"/>
      <c r="D21" s="155" t="s">
        <v>111</v>
      </c>
      <c r="E21" s="156"/>
      <c r="F21" s="157"/>
      <c r="G21" s="52">
        <v>0.125</v>
      </c>
      <c r="H21" s="52">
        <v>0.17500000000000002</v>
      </c>
      <c r="I21" s="52"/>
      <c r="J21" s="52"/>
      <c r="K21" s="52"/>
      <c r="L21" s="52"/>
      <c r="M21" s="52"/>
      <c r="N21" s="52"/>
      <c r="O21" s="52"/>
      <c r="P21" s="52">
        <v>0.32499999999999996</v>
      </c>
      <c r="Q21" s="52">
        <v>0.375</v>
      </c>
      <c r="R21" s="52"/>
      <c r="S21" s="52"/>
      <c r="T21" s="52">
        <v>7.5000000000000011E-2</v>
      </c>
      <c r="U21" s="52"/>
      <c r="V21" s="52">
        <v>0.17500000000000002</v>
      </c>
      <c r="W21" s="52">
        <v>0.22500000000000001</v>
      </c>
      <c r="X21" s="52"/>
      <c r="Y21" s="52">
        <v>0.125</v>
      </c>
      <c r="Z21" s="52">
        <v>0.125</v>
      </c>
      <c r="AA21" s="52"/>
      <c r="AB21" s="52">
        <v>7.5000000000000011E-2</v>
      </c>
      <c r="AC21" s="52">
        <v>7.5000000000000011E-2</v>
      </c>
      <c r="AD21" s="52"/>
      <c r="AE21" s="52"/>
      <c r="AF21" s="52"/>
      <c r="AG21" s="52"/>
      <c r="AH21" s="52">
        <v>7.5000000000000011E-2</v>
      </c>
      <c r="AI21" s="52">
        <v>0.125</v>
      </c>
      <c r="AJ21" s="52"/>
      <c r="AK21" s="52"/>
      <c r="AL21" s="52">
        <v>0.38500000000000001</v>
      </c>
      <c r="AM21" s="52"/>
      <c r="AN21" s="52"/>
      <c r="AO21" s="52">
        <v>0.3</v>
      </c>
      <c r="AP21" s="52"/>
      <c r="AQ21" s="52"/>
      <c r="AR21" s="52">
        <v>0.17499999999999999</v>
      </c>
      <c r="AS21" s="52"/>
      <c r="AT21" s="52"/>
      <c r="AU21" s="52">
        <v>0.17499999999999999</v>
      </c>
      <c r="AV21" s="52"/>
      <c r="AW21" s="52"/>
      <c r="AX21" s="52"/>
      <c r="AY21" s="52"/>
      <c r="AZ21" s="52"/>
      <c r="BA21" s="52"/>
      <c r="BB21" s="52"/>
      <c r="BC21" s="52"/>
      <c r="BD21" s="52">
        <v>0.125</v>
      </c>
      <c r="BE21" s="52"/>
      <c r="BF21" s="52">
        <v>7.5000000000000011E-2</v>
      </c>
      <c r="BG21" s="52">
        <v>7.5000000000000011E-2</v>
      </c>
      <c r="BH21" s="52">
        <v>0</v>
      </c>
      <c r="BI21" s="52">
        <v>0</v>
      </c>
      <c r="BJ21" s="52">
        <v>0</v>
      </c>
      <c r="BK21" s="52">
        <v>0</v>
      </c>
    </row>
    <row r="22" spans="2:63" x14ac:dyDescent="0.35">
      <c r="B22" s="56"/>
      <c r="C22" s="146"/>
      <c r="D22" s="147" t="s">
        <v>112</v>
      </c>
      <c r="E22" s="148"/>
      <c r="F22" s="151"/>
      <c r="G22" s="52"/>
      <c r="H22" s="52">
        <v>0.125</v>
      </c>
      <c r="I22" s="52"/>
      <c r="J22" s="52"/>
      <c r="K22" s="52"/>
      <c r="L22" s="52"/>
      <c r="M22" s="52"/>
      <c r="N22" s="52"/>
      <c r="O22" s="52"/>
      <c r="P22" s="52"/>
      <c r="Q22" s="52">
        <v>0.22500000000000001</v>
      </c>
      <c r="R22" s="52"/>
      <c r="S22" s="52"/>
      <c r="T22" s="52">
        <v>0.17500000000000002</v>
      </c>
      <c r="U22" s="52"/>
      <c r="V22" s="52"/>
      <c r="W22" s="52">
        <v>7.5000000000000011E-2</v>
      </c>
      <c r="X22" s="52"/>
      <c r="Y22" s="52"/>
      <c r="Z22" s="52">
        <v>7.5000000000000011E-2</v>
      </c>
      <c r="AA22" s="52"/>
      <c r="AB22" s="52">
        <v>7.5000000000000011E-2</v>
      </c>
      <c r="AC22" s="52">
        <v>7.5000000000000011E-2</v>
      </c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>
        <v>0.22500000000000001</v>
      </c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>
        <v>0.25</v>
      </c>
      <c r="BG22" s="52">
        <v>0.25</v>
      </c>
      <c r="BH22" s="52">
        <v>0</v>
      </c>
      <c r="BI22" s="52">
        <v>0</v>
      </c>
      <c r="BJ22" s="52">
        <v>0</v>
      </c>
      <c r="BK22" s="52">
        <v>0</v>
      </c>
    </row>
    <row r="23" spans="2:63" x14ac:dyDescent="0.35">
      <c r="B23" s="56"/>
      <c r="C23" s="146"/>
      <c r="D23" s="147" t="s">
        <v>113</v>
      </c>
      <c r="E23" s="148"/>
      <c r="F23" s="151"/>
      <c r="G23" s="52"/>
      <c r="H23" s="52">
        <v>0.125</v>
      </c>
      <c r="I23" s="52"/>
      <c r="J23" s="52"/>
      <c r="K23" s="52"/>
      <c r="L23" s="52"/>
      <c r="M23" s="52"/>
      <c r="N23" s="52"/>
      <c r="O23" s="52"/>
      <c r="P23" s="52"/>
      <c r="Q23" s="52">
        <v>0.22500000000000001</v>
      </c>
      <c r="R23" s="52"/>
      <c r="S23" s="52"/>
      <c r="T23" s="52">
        <v>0.17500000000000002</v>
      </c>
      <c r="U23" s="52"/>
      <c r="V23" s="52"/>
      <c r="W23" s="52">
        <v>7.5000000000000011E-2</v>
      </c>
      <c r="X23" s="52"/>
      <c r="Y23" s="52"/>
      <c r="Z23" s="52">
        <v>7.5000000000000011E-2</v>
      </c>
      <c r="AA23" s="52"/>
      <c r="AB23" s="52">
        <v>7.5000000000000011E-2</v>
      </c>
      <c r="AC23" s="52">
        <v>7.5000000000000011E-2</v>
      </c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>
        <v>0.22500000000000001</v>
      </c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>
        <v>0.25</v>
      </c>
      <c r="BG23" s="52">
        <v>0.25</v>
      </c>
      <c r="BH23" s="52">
        <v>0</v>
      </c>
      <c r="BI23" s="52">
        <v>0</v>
      </c>
      <c r="BJ23" s="52">
        <v>0</v>
      </c>
      <c r="BK23" s="52">
        <v>0</v>
      </c>
    </row>
    <row r="24" spans="2:63" ht="4.5" customHeight="1" x14ac:dyDescent="0.35">
      <c r="B24" s="56"/>
      <c r="C24" s="57"/>
      <c r="D24" s="58"/>
      <c r="E24" s="58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</row>
    <row r="25" spans="2:63" x14ac:dyDescent="0.35">
      <c r="B25" s="56"/>
      <c r="C25" s="152" t="s">
        <v>114</v>
      </c>
      <c r="D25" s="147" t="s">
        <v>115</v>
      </c>
      <c r="E25" s="148"/>
      <c r="F25" s="151"/>
      <c r="G25" s="52">
        <v>0.5</v>
      </c>
      <c r="H25" s="52">
        <v>0.5</v>
      </c>
      <c r="I25" s="52"/>
      <c r="J25" s="52">
        <v>0.5</v>
      </c>
      <c r="K25" s="52">
        <v>0.5</v>
      </c>
      <c r="L25" s="52"/>
      <c r="M25" s="52">
        <v>0.5</v>
      </c>
      <c r="N25" s="52">
        <v>0.5</v>
      </c>
      <c r="O25" s="52"/>
      <c r="P25" s="52">
        <v>0.5</v>
      </c>
      <c r="Q25" s="52">
        <v>0.5</v>
      </c>
      <c r="R25" s="52"/>
      <c r="S25" s="52">
        <v>0.5</v>
      </c>
      <c r="T25" s="52">
        <v>0.5</v>
      </c>
      <c r="U25" s="52"/>
      <c r="V25" s="52">
        <v>0.5</v>
      </c>
      <c r="W25" s="52">
        <v>0.5</v>
      </c>
      <c r="X25" s="52"/>
      <c r="Y25" s="52">
        <v>0.5</v>
      </c>
      <c r="Z25" s="52">
        <v>0.5</v>
      </c>
      <c r="AA25" s="52"/>
      <c r="AB25" s="52">
        <v>0.5</v>
      </c>
      <c r="AC25" s="52">
        <v>0.5</v>
      </c>
      <c r="AD25" s="52"/>
      <c r="AE25" s="52">
        <v>0.5</v>
      </c>
      <c r="AF25" s="52">
        <v>0.5</v>
      </c>
      <c r="AG25" s="52"/>
      <c r="AH25" s="52">
        <v>0.5</v>
      </c>
      <c r="AI25" s="52">
        <v>0.5</v>
      </c>
      <c r="AJ25" s="52"/>
      <c r="AK25" s="52">
        <v>0.5</v>
      </c>
      <c r="AL25" s="52">
        <v>0.5</v>
      </c>
      <c r="AM25" s="52"/>
      <c r="AN25" s="52">
        <v>0.5</v>
      </c>
      <c r="AO25" s="52">
        <v>0.5</v>
      </c>
      <c r="AP25" s="52"/>
      <c r="AQ25" s="52">
        <v>0.5</v>
      </c>
      <c r="AR25" s="52">
        <v>0.5</v>
      </c>
      <c r="AS25" s="52"/>
      <c r="AT25" s="52">
        <v>0.5</v>
      </c>
      <c r="AU25" s="52">
        <v>0.5</v>
      </c>
      <c r="AV25" s="52"/>
      <c r="AW25" s="52">
        <v>0.5</v>
      </c>
      <c r="AX25" s="52">
        <v>0.5</v>
      </c>
      <c r="AY25" s="52"/>
      <c r="AZ25" s="52">
        <v>0.5</v>
      </c>
      <c r="BA25" s="52">
        <v>0.5</v>
      </c>
      <c r="BB25" s="52"/>
      <c r="BC25" s="52">
        <v>0.5</v>
      </c>
      <c r="BD25" s="52">
        <v>0.5</v>
      </c>
      <c r="BE25" s="52"/>
      <c r="BF25" s="52">
        <v>0.5</v>
      </c>
      <c r="BG25" s="52">
        <v>0.5</v>
      </c>
      <c r="BH25" s="52">
        <v>0</v>
      </c>
      <c r="BI25" s="52">
        <v>0</v>
      </c>
      <c r="BJ25" s="52">
        <v>0</v>
      </c>
      <c r="BK25" s="52">
        <v>0</v>
      </c>
    </row>
    <row r="26" spans="2:63" x14ac:dyDescent="0.35">
      <c r="B26" s="56"/>
      <c r="C26" s="153"/>
      <c r="D26" s="147" t="s">
        <v>116</v>
      </c>
      <c r="E26" s="148"/>
      <c r="F26" s="151"/>
      <c r="G26" s="52">
        <v>0.42</v>
      </c>
      <c r="H26" s="52">
        <v>0.42</v>
      </c>
      <c r="I26" s="52">
        <v>0.42</v>
      </c>
      <c r="J26" s="52">
        <v>0.42</v>
      </c>
      <c r="K26" s="52">
        <v>0.42</v>
      </c>
      <c r="L26" s="52">
        <v>0.42</v>
      </c>
      <c r="M26" s="52">
        <v>0.42</v>
      </c>
      <c r="N26" s="52">
        <v>0.42</v>
      </c>
      <c r="O26" s="52">
        <v>0.42</v>
      </c>
      <c r="P26" s="52">
        <v>0.42</v>
      </c>
      <c r="Q26" s="52">
        <v>0.42</v>
      </c>
      <c r="R26" s="52">
        <v>0.42</v>
      </c>
      <c r="S26" s="52">
        <v>0.42</v>
      </c>
      <c r="T26" s="52">
        <v>0.42</v>
      </c>
      <c r="U26" s="52">
        <v>0.42</v>
      </c>
      <c r="V26" s="52">
        <v>0.42</v>
      </c>
      <c r="W26" s="52">
        <v>0.42</v>
      </c>
      <c r="X26" s="52">
        <v>0.42</v>
      </c>
      <c r="Y26" s="52">
        <v>0.42</v>
      </c>
      <c r="Z26" s="52">
        <v>0.42</v>
      </c>
      <c r="AA26" s="52">
        <v>0.42</v>
      </c>
      <c r="AB26" s="52">
        <v>0.42</v>
      </c>
      <c r="AC26" s="52">
        <v>0.42</v>
      </c>
      <c r="AD26" s="52">
        <v>0.42</v>
      </c>
      <c r="AE26" s="52">
        <v>0.42</v>
      </c>
      <c r="AF26" s="52">
        <v>0.42</v>
      </c>
      <c r="AG26" s="52">
        <v>0.42</v>
      </c>
      <c r="AH26" s="52">
        <v>0.42</v>
      </c>
      <c r="AI26" s="52">
        <v>0.42</v>
      </c>
      <c r="AJ26" s="52">
        <v>0.42</v>
      </c>
      <c r="AK26" s="52">
        <v>0.42</v>
      </c>
      <c r="AL26" s="52">
        <v>0.42</v>
      </c>
      <c r="AM26" s="52">
        <v>0.42</v>
      </c>
      <c r="AN26" s="52"/>
      <c r="AO26" s="52">
        <v>0.42</v>
      </c>
      <c r="AP26" s="52"/>
      <c r="AQ26" s="52"/>
      <c r="AR26" s="52">
        <v>0.42</v>
      </c>
      <c r="AS26" s="52"/>
      <c r="AT26" s="52"/>
      <c r="AU26" s="52">
        <v>0.42</v>
      </c>
      <c r="AV26" s="52"/>
      <c r="AW26" s="52"/>
      <c r="AX26" s="52">
        <v>0.42</v>
      </c>
      <c r="AY26" s="52"/>
      <c r="AZ26" s="52"/>
      <c r="BA26" s="52">
        <v>0.42</v>
      </c>
      <c r="BB26" s="52"/>
      <c r="BC26" s="52"/>
      <c r="BD26" s="52">
        <v>0.42</v>
      </c>
      <c r="BE26" s="52"/>
      <c r="BF26" s="52">
        <v>0.42</v>
      </c>
      <c r="BG26" s="52">
        <v>0.42</v>
      </c>
      <c r="BH26" s="52">
        <v>0</v>
      </c>
      <c r="BI26" s="52">
        <v>0</v>
      </c>
      <c r="BJ26" s="52">
        <v>0</v>
      </c>
      <c r="BK26" s="52">
        <v>0</v>
      </c>
    </row>
    <row r="27" spans="2:63" x14ac:dyDescent="0.35">
      <c r="B27" s="56"/>
      <c r="C27" s="153"/>
      <c r="D27" s="147" t="s">
        <v>117</v>
      </c>
      <c r="E27" s="148"/>
      <c r="F27" s="151"/>
      <c r="G27" s="52"/>
      <c r="H27" s="52">
        <v>0.125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>
        <v>0.17500000000000002</v>
      </c>
      <c r="U27" s="52"/>
      <c r="V27" s="52"/>
      <c r="W27" s="52">
        <v>0.125</v>
      </c>
      <c r="X27" s="52"/>
      <c r="Y27" s="52"/>
      <c r="Z27" s="52">
        <v>7.5000000000000011E-2</v>
      </c>
      <c r="AA27" s="52"/>
      <c r="AB27" s="52"/>
      <c r="AC27" s="52">
        <v>0.125</v>
      </c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>
        <v>0.2</v>
      </c>
      <c r="BG27" s="52">
        <v>0.2</v>
      </c>
      <c r="BH27" s="52">
        <v>0</v>
      </c>
      <c r="BI27" s="52">
        <v>0</v>
      </c>
      <c r="BJ27" s="52">
        <v>0</v>
      </c>
      <c r="BK27" s="52">
        <v>0</v>
      </c>
    </row>
    <row r="28" spans="2:63" x14ac:dyDescent="0.35">
      <c r="B28" s="56"/>
      <c r="C28" s="153"/>
      <c r="D28" s="147" t="s">
        <v>118</v>
      </c>
      <c r="E28" s="148"/>
      <c r="F28" s="151"/>
      <c r="G28" s="52"/>
      <c r="H28" s="52">
        <v>0.125</v>
      </c>
      <c r="I28" s="52"/>
      <c r="J28" s="52"/>
      <c r="K28" s="52">
        <v>7.5000000000000011E-2</v>
      </c>
      <c r="L28" s="52"/>
      <c r="M28" s="52"/>
      <c r="N28" s="52">
        <v>7.5000000000000011E-2</v>
      </c>
      <c r="O28" s="52"/>
      <c r="P28" s="52"/>
      <c r="Q28" s="52"/>
      <c r="R28" s="52"/>
      <c r="S28" s="52"/>
      <c r="T28" s="52">
        <v>0.22500000000000001</v>
      </c>
      <c r="U28" s="52"/>
      <c r="V28" s="52"/>
      <c r="W28" s="52">
        <v>0.125</v>
      </c>
      <c r="X28" s="52"/>
      <c r="Y28" s="52"/>
      <c r="Z28" s="52">
        <v>0.17500000000000002</v>
      </c>
      <c r="AA28" s="52"/>
      <c r="AB28" s="52"/>
      <c r="AC28" s="52">
        <v>0.125</v>
      </c>
      <c r="AD28" s="52"/>
      <c r="AE28" s="52"/>
      <c r="AF28" s="52"/>
      <c r="AG28" s="52"/>
      <c r="AH28" s="52">
        <v>0.125</v>
      </c>
      <c r="AI28" s="52"/>
      <c r="AJ28" s="52"/>
      <c r="AK28" s="52"/>
      <c r="AL28" s="52"/>
      <c r="AM28" s="52"/>
      <c r="AN28" s="52"/>
      <c r="AO28" s="52">
        <v>0.25</v>
      </c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>
        <v>0.125</v>
      </c>
      <c r="BH28" s="52">
        <v>0</v>
      </c>
      <c r="BI28" s="52">
        <v>0</v>
      </c>
      <c r="BJ28" s="52">
        <v>0</v>
      </c>
      <c r="BK28" s="52">
        <v>0</v>
      </c>
    </row>
    <row r="29" spans="2:63" x14ac:dyDescent="0.35">
      <c r="B29" s="59"/>
      <c r="C29" s="154"/>
      <c r="D29" s="147" t="s">
        <v>119</v>
      </c>
      <c r="E29" s="148"/>
      <c r="F29" s="151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>
        <v>0</v>
      </c>
      <c r="BI29" s="52">
        <v>0</v>
      </c>
      <c r="BJ29" s="52">
        <v>0</v>
      </c>
      <c r="BK29" s="52">
        <v>0</v>
      </c>
    </row>
    <row r="30" spans="2:63" ht="4.5" customHeight="1" x14ac:dyDescent="0.35">
      <c r="B30" s="60"/>
      <c r="C30" s="61"/>
      <c r="D30" s="62"/>
      <c r="E30" s="62"/>
      <c r="F30" s="6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</row>
    <row r="31" spans="2:63" x14ac:dyDescent="0.35">
      <c r="B31" s="56"/>
      <c r="C31" s="146" t="s">
        <v>120</v>
      </c>
      <c r="D31" s="147" t="s">
        <v>121</v>
      </c>
      <c r="E31" s="148"/>
      <c r="F31" s="51"/>
      <c r="G31" s="52"/>
      <c r="H31" s="52">
        <v>0.45</v>
      </c>
      <c r="I31" s="52"/>
      <c r="J31" s="52"/>
      <c r="K31" s="52">
        <v>0.32</v>
      </c>
      <c r="L31" s="52"/>
      <c r="M31" s="52"/>
      <c r="N31" s="52">
        <v>0.375</v>
      </c>
      <c r="O31" s="52"/>
      <c r="P31" s="52"/>
      <c r="Q31" s="52">
        <v>0.45</v>
      </c>
      <c r="R31" s="52"/>
      <c r="S31" s="52"/>
      <c r="T31" s="52">
        <v>0.47499999999999998</v>
      </c>
      <c r="U31" s="52"/>
      <c r="V31" s="52"/>
      <c r="W31" s="52">
        <v>0.42499999999999999</v>
      </c>
      <c r="X31" s="52"/>
      <c r="Y31" s="52"/>
      <c r="Z31" s="52">
        <v>0.42</v>
      </c>
      <c r="AA31" s="52"/>
      <c r="AB31" s="52"/>
      <c r="AC31" s="52">
        <v>0.375</v>
      </c>
      <c r="AD31" s="52"/>
      <c r="AE31" s="52"/>
      <c r="AF31" s="52"/>
      <c r="AG31" s="52"/>
      <c r="AH31" s="52"/>
      <c r="AI31" s="52">
        <v>0.22500000000000001</v>
      </c>
      <c r="AJ31" s="52"/>
      <c r="AK31" s="52"/>
      <c r="AL31" s="52"/>
      <c r="AM31" s="52"/>
      <c r="AN31" s="52"/>
      <c r="AO31" s="52">
        <v>0.42499999999999999</v>
      </c>
      <c r="AP31" s="52"/>
      <c r="AQ31" s="52"/>
      <c r="AR31" s="52">
        <v>0.4</v>
      </c>
      <c r="AS31" s="52"/>
      <c r="AT31" s="52"/>
      <c r="AU31" s="52">
        <v>0.2</v>
      </c>
      <c r="AV31" s="52"/>
      <c r="AW31" s="52"/>
      <c r="AX31" s="52">
        <v>0.35</v>
      </c>
      <c r="AY31" s="52"/>
      <c r="AZ31" s="52"/>
      <c r="BA31" s="52">
        <v>0.3</v>
      </c>
      <c r="BB31" s="52"/>
      <c r="BC31" s="52"/>
      <c r="BD31" s="52">
        <v>0.35</v>
      </c>
      <c r="BE31" s="52"/>
      <c r="BF31" s="52"/>
      <c r="BG31" s="52">
        <v>0.35</v>
      </c>
      <c r="BH31" s="52">
        <v>0</v>
      </c>
      <c r="BI31" s="52">
        <v>0</v>
      </c>
      <c r="BJ31" s="52">
        <v>0</v>
      </c>
      <c r="BK31" s="52">
        <v>0</v>
      </c>
    </row>
    <row r="32" spans="2:63" x14ac:dyDescent="0.35">
      <c r="B32" s="56"/>
      <c r="C32" s="146"/>
      <c r="D32" s="147" t="s">
        <v>122</v>
      </c>
      <c r="E32" s="148"/>
      <c r="F32" s="51"/>
      <c r="G32" s="52">
        <v>0.2</v>
      </c>
      <c r="H32" s="52">
        <v>0.45</v>
      </c>
      <c r="I32" s="52"/>
      <c r="J32" s="52"/>
      <c r="K32" s="52">
        <v>0.32</v>
      </c>
      <c r="L32" s="52"/>
      <c r="M32" s="52"/>
      <c r="N32" s="52">
        <v>0.375</v>
      </c>
      <c r="O32" s="52"/>
      <c r="P32" s="52">
        <v>0.2</v>
      </c>
      <c r="Q32" s="52">
        <v>0.45</v>
      </c>
      <c r="R32" s="52"/>
      <c r="S32" s="52">
        <v>0.2</v>
      </c>
      <c r="T32" s="52">
        <v>0.47499999999999998</v>
      </c>
      <c r="U32" s="52"/>
      <c r="V32" s="52">
        <v>0.2</v>
      </c>
      <c r="W32" s="52">
        <v>0.42499999999999999</v>
      </c>
      <c r="X32" s="52"/>
      <c r="Y32" s="52">
        <v>0.2</v>
      </c>
      <c r="Z32" s="52">
        <v>0.42</v>
      </c>
      <c r="AA32" s="52"/>
      <c r="AB32" s="52">
        <v>0.2</v>
      </c>
      <c r="AC32" s="52">
        <v>0.375</v>
      </c>
      <c r="AD32" s="52"/>
      <c r="AE32" s="52"/>
      <c r="AF32" s="52"/>
      <c r="AG32" s="52"/>
      <c r="AH32" s="52">
        <v>0.13</v>
      </c>
      <c r="AI32" s="52">
        <v>0.22500000000000001</v>
      </c>
      <c r="AJ32" s="52"/>
      <c r="AK32" s="52"/>
      <c r="AL32" s="52"/>
      <c r="AM32" s="52"/>
      <c r="AN32" s="52"/>
      <c r="AO32" s="52">
        <v>0.42499999999999999</v>
      </c>
      <c r="AP32" s="52"/>
      <c r="AQ32" s="52"/>
      <c r="AR32" s="52">
        <v>0.4</v>
      </c>
      <c r="AS32" s="52"/>
      <c r="AT32" s="52"/>
      <c r="AU32" s="52">
        <v>0.2</v>
      </c>
      <c r="AV32" s="52"/>
      <c r="AW32" s="52"/>
      <c r="AX32" s="52">
        <v>0.35</v>
      </c>
      <c r="AY32" s="52"/>
      <c r="AZ32" s="52"/>
      <c r="BA32" s="52">
        <v>0.3</v>
      </c>
      <c r="BB32" s="52"/>
      <c r="BC32" s="52"/>
      <c r="BD32" s="52">
        <v>0.35</v>
      </c>
      <c r="BE32" s="52"/>
      <c r="BF32" s="52">
        <v>0.2</v>
      </c>
      <c r="BG32" s="52">
        <v>0.35</v>
      </c>
      <c r="BH32" s="52">
        <v>0</v>
      </c>
      <c r="BI32" s="52">
        <v>0</v>
      </c>
      <c r="BJ32" s="52">
        <v>0</v>
      </c>
      <c r="BK32" s="52">
        <v>0</v>
      </c>
    </row>
    <row r="33" spans="2:63" ht="70" customHeight="1" x14ac:dyDescent="0.35">
      <c r="B33" s="56"/>
      <c r="C33" s="146"/>
      <c r="D33" s="49" t="s">
        <v>123</v>
      </c>
      <c r="E33" s="149" t="s">
        <v>124</v>
      </c>
      <c r="F33" s="150"/>
      <c r="G33" s="52">
        <v>0.3</v>
      </c>
      <c r="H33" s="52">
        <v>0.3</v>
      </c>
      <c r="I33" s="52"/>
      <c r="J33" s="52">
        <v>0.17500000000000002</v>
      </c>
      <c r="K33" s="52">
        <v>0.17500000000000002</v>
      </c>
      <c r="L33" s="52"/>
      <c r="M33" s="52"/>
      <c r="N33" s="52">
        <v>0.17500000000000002</v>
      </c>
      <c r="O33" s="52"/>
      <c r="P33" s="52">
        <v>0.3</v>
      </c>
      <c r="Q33" s="52">
        <v>0.3</v>
      </c>
      <c r="R33" s="52"/>
      <c r="S33" s="52">
        <v>0.3</v>
      </c>
      <c r="T33" s="52">
        <v>0.3</v>
      </c>
      <c r="U33" s="52"/>
      <c r="V33" s="52">
        <v>0.3</v>
      </c>
      <c r="W33" s="52">
        <v>0.3</v>
      </c>
      <c r="X33" s="52"/>
      <c r="Y33" s="52">
        <v>0.3</v>
      </c>
      <c r="Z33" s="52">
        <v>0.3</v>
      </c>
      <c r="AA33" s="52"/>
      <c r="AB33" s="52">
        <v>0.3</v>
      </c>
      <c r="AC33" s="52">
        <v>0.3</v>
      </c>
      <c r="AD33" s="52"/>
      <c r="AE33" s="52">
        <v>0.17500000000000002</v>
      </c>
      <c r="AF33" s="52">
        <v>0.17500000000000002</v>
      </c>
      <c r="AG33" s="52"/>
      <c r="AH33" s="52">
        <v>0.3</v>
      </c>
      <c r="AI33" s="52">
        <v>0.3</v>
      </c>
      <c r="AJ33" s="52"/>
      <c r="AK33" s="52"/>
      <c r="AL33" s="52">
        <v>0.185</v>
      </c>
      <c r="AM33" s="52"/>
      <c r="AN33" s="52"/>
      <c r="AO33" s="52">
        <v>0.17499999999999999</v>
      </c>
      <c r="AP33" s="52"/>
      <c r="AQ33" s="52"/>
      <c r="AR33" s="52">
        <v>0.17499999999999999</v>
      </c>
      <c r="AS33" s="52"/>
      <c r="AT33" s="52"/>
      <c r="AU33" s="52">
        <v>0.17499999999999999</v>
      </c>
      <c r="AV33" s="52"/>
      <c r="AW33" s="52"/>
      <c r="AX33" s="52">
        <v>0.17499999999999999</v>
      </c>
      <c r="AY33" s="52"/>
      <c r="AZ33" s="52"/>
      <c r="BA33" s="52">
        <v>0.17499999999999999</v>
      </c>
      <c r="BB33" s="52"/>
      <c r="BC33" s="52"/>
      <c r="BD33" s="52">
        <v>0.17499999999999999</v>
      </c>
      <c r="BE33" s="52"/>
      <c r="BF33" s="52">
        <v>0.3</v>
      </c>
      <c r="BG33" s="52">
        <v>0.3</v>
      </c>
      <c r="BH33" s="52">
        <v>0</v>
      </c>
      <c r="BI33" s="52">
        <v>0</v>
      </c>
      <c r="BJ33" s="52">
        <v>0</v>
      </c>
      <c r="BK33" s="52">
        <v>0</v>
      </c>
    </row>
    <row r="34" spans="2:63" x14ac:dyDescent="0.35">
      <c r="B34" s="56"/>
      <c r="C34" s="146"/>
      <c r="D34" s="49" t="s">
        <v>125</v>
      </c>
      <c r="E34" s="50"/>
      <c r="F34" s="51"/>
      <c r="G34" s="52"/>
      <c r="H34" s="52">
        <v>0.35</v>
      </c>
      <c r="I34" s="52"/>
      <c r="J34" s="52"/>
      <c r="K34" s="52">
        <v>0.23</v>
      </c>
      <c r="L34" s="52"/>
      <c r="M34" s="52"/>
      <c r="N34" s="52">
        <v>0.3</v>
      </c>
      <c r="O34" s="52"/>
      <c r="P34" s="52"/>
      <c r="Q34" s="52">
        <v>0.4</v>
      </c>
      <c r="R34" s="52"/>
      <c r="S34" s="52"/>
      <c r="T34" s="52">
        <v>0.4</v>
      </c>
      <c r="U34" s="52"/>
      <c r="V34" s="52"/>
      <c r="W34" s="52">
        <v>0.4</v>
      </c>
      <c r="X34" s="52"/>
      <c r="Y34" s="52"/>
      <c r="Z34" s="52">
        <v>0.35</v>
      </c>
      <c r="AA34" s="52"/>
      <c r="AB34" s="52"/>
      <c r="AC34" s="52">
        <v>0.35</v>
      </c>
      <c r="AD34" s="52"/>
      <c r="AE34" s="52"/>
      <c r="AF34" s="52"/>
      <c r="AG34" s="52"/>
      <c r="AH34" s="52"/>
      <c r="AI34" s="52">
        <v>0.22500000000000001</v>
      </c>
      <c r="AJ34" s="52"/>
      <c r="AK34" s="52"/>
      <c r="AL34" s="52"/>
      <c r="AM34" s="52"/>
      <c r="AN34" s="52"/>
      <c r="AO34" s="52">
        <v>0.4</v>
      </c>
      <c r="AP34" s="52"/>
      <c r="AQ34" s="52"/>
      <c r="AR34" s="52">
        <v>0.4</v>
      </c>
      <c r="AS34" s="52"/>
      <c r="AT34" s="52"/>
      <c r="AU34" s="52">
        <v>0.2</v>
      </c>
      <c r="AV34" s="52"/>
      <c r="AW34" s="52"/>
      <c r="AX34" s="52">
        <v>0.25</v>
      </c>
      <c r="AY34" s="52"/>
      <c r="AZ34" s="52"/>
      <c r="BA34" s="52">
        <v>0.25</v>
      </c>
      <c r="BB34" s="52"/>
      <c r="BC34" s="52"/>
      <c r="BD34" s="52">
        <v>0.25</v>
      </c>
      <c r="BE34" s="52"/>
      <c r="BF34" s="52"/>
      <c r="BG34" s="52">
        <v>0.35</v>
      </c>
      <c r="BH34" s="52">
        <v>0</v>
      </c>
      <c r="BI34" s="52">
        <v>0</v>
      </c>
      <c r="BJ34" s="52">
        <v>0</v>
      </c>
      <c r="BK34" s="52">
        <v>0</v>
      </c>
    </row>
    <row r="35" spans="2:63" x14ac:dyDescent="0.35">
      <c r="B35" s="59"/>
      <c r="C35" s="146"/>
      <c r="D35" s="147" t="s">
        <v>126</v>
      </c>
      <c r="E35" s="148"/>
      <c r="F35" s="151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>
        <v>0</v>
      </c>
      <c r="BI35" s="52">
        <v>0</v>
      </c>
      <c r="BJ35" s="52">
        <v>0</v>
      </c>
      <c r="BK35" s="52">
        <v>0</v>
      </c>
    </row>
    <row r="36" spans="2:63" ht="4.5" customHeight="1" x14ac:dyDescent="0.35">
      <c r="B36" s="60"/>
      <c r="C36" s="61"/>
      <c r="D36" s="62"/>
      <c r="E36" s="62"/>
      <c r="F36" s="62"/>
      <c r="G36" s="63"/>
      <c r="H36" s="60"/>
      <c r="I36" s="6"/>
      <c r="J36" s="63"/>
      <c r="K36" s="60"/>
      <c r="L36" s="6"/>
      <c r="M36" s="63"/>
      <c r="N36" s="60"/>
      <c r="O36" s="6"/>
      <c r="P36" s="63"/>
      <c r="Q36" s="60"/>
      <c r="R36" s="6"/>
      <c r="S36" s="63"/>
      <c r="T36" s="60"/>
      <c r="U36" s="6"/>
      <c r="V36" s="63"/>
      <c r="W36" s="60"/>
      <c r="X36" s="6"/>
      <c r="Y36" s="63"/>
      <c r="Z36" s="60"/>
      <c r="AA36" s="6"/>
      <c r="AB36" s="63"/>
      <c r="AC36" s="60"/>
      <c r="AD36" s="6"/>
      <c r="AE36" s="63"/>
      <c r="AF36" s="60"/>
      <c r="AG36" s="6"/>
      <c r="AH36" s="63"/>
      <c r="AI36" s="60"/>
      <c r="AJ36" s="6"/>
      <c r="AK36" s="63"/>
      <c r="AL36" s="60"/>
      <c r="AM36" s="6"/>
      <c r="AN36" s="63"/>
      <c r="AO36" s="60"/>
      <c r="AP36" s="6"/>
      <c r="AQ36" s="63"/>
      <c r="AR36" s="60"/>
      <c r="AS36" s="6"/>
      <c r="AT36" s="63"/>
      <c r="AU36" s="60"/>
      <c r="AV36" s="6"/>
      <c r="AW36" s="63"/>
      <c r="AX36" s="60"/>
      <c r="AY36" s="6"/>
      <c r="AZ36" s="63"/>
      <c r="BA36" s="60"/>
      <c r="BB36" s="6"/>
      <c r="BC36" s="63"/>
      <c r="BD36" s="60"/>
      <c r="BE36" s="6"/>
      <c r="BF36" s="63"/>
      <c r="BG36" s="60"/>
      <c r="BH36" s="63"/>
      <c r="BI36" s="60"/>
      <c r="BJ36" s="63"/>
      <c r="BK36" s="60"/>
    </row>
    <row r="37" spans="2:63" ht="15" thickBot="1" x14ac:dyDescent="0.4"/>
    <row r="38" spans="2:63" ht="21" x14ac:dyDescent="0.35">
      <c r="C38" s="64" t="s">
        <v>85</v>
      </c>
      <c r="D38" s="65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7"/>
    </row>
    <row r="39" spans="2:63" ht="21" x14ac:dyDescent="0.35">
      <c r="C39" s="68" t="s">
        <v>127</v>
      </c>
      <c r="D39" s="69"/>
      <c r="E39" s="70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71"/>
    </row>
    <row r="40" spans="2:63" ht="21" x14ac:dyDescent="0.35">
      <c r="C40" s="68" t="s">
        <v>128</v>
      </c>
      <c r="D40" s="69"/>
      <c r="E40" s="70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71"/>
    </row>
    <row r="41" spans="2:63" ht="21" x14ac:dyDescent="0.35">
      <c r="C41" s="68"/>
      <c r="D41" s="72" t="s">
        <v>129</v>
      </c>
      <c r="E41" s="70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71"/>
    </row>
    <row r="42" spans="2:63" ht="21.5" thickBot="1" x14ac:dyDescent="0.4">
      <c r="C42" s="73" t="s">
        <v>130</v>
      </c>
      <c r="D42" s="74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7"/>
    </row>
  </sheetData>
  <mergeCells count="55">
    <mergeCell ref="B2:BG2"/>
    <mergeCell ref="C3:C5"/>
    <mergeCell ref="D3:D5"/>
    <mergeCell ref="E3:E5"/>
    <mergeCell ref="F3:F5"/>
    <mergeCell ref="G3:H4"/>
    <mergeCell ref="J3:K4"/>
    <mergeCell ref="M3:N4"/>
    <mergeCell ref="P3:Q4"/>
    <mergeCell ref="S3:T4"/>
    <mergeCell ref="BC3:BD4"/>
    <mergeCell ref="V3:W4"/>
    <mergeCell ref="Y3:Z4"/>
    <mergeCell ref="AB3:AC4"/>
    <mergeCell ref="AE3:AF4"/>
    <mergeCell ref="AH3:AI4"/>
    <mergeCell ref="AK3:AL4"/>
    <mergeCell ref="D17:F17"/>
    <mergeCell ref="BF3:BG4"/>
    <mergeCell ref="BH3:BI4"/>
    <mergeCell ref="BJ3:BK4"/>
    <mergeCell ref="AN3:AO4"/>
    <mergeCell ref="AQ3:AR4"/>
    <mergeCell ref="AT3:AU4"/>
    <mergeCell ref="AW3:AX4"/>
    <mergeCell ref="AZ3:BA4"/>
    <mergeCell ref="C6:C18"/>
    <mergeCell ref="D6:F6"/>
    <mergeCell ref="D7:F7"/>
    <mergeCell ref="D8:D9"/>
    <mergeCell ref="E9:F9"/>
    <mergeCell ref="D10:F10"/>
    <mergeCell ref="D11:F11"/>
    <mergeCell ref="D12:F12"/>
    <mergeCell ref="D13:F13"/>
    <mergeCell ref="D14:F14"/>
    <mergeCell ref="D15:F15"/>
    <mergeCell ref="D16:F16"/>
    <mergeCell ref="D18:F18"/>
    <mergeCell ref="C20:C23"/>
    <mergeCell ref="D20:F20"/>
    <mergeCell ref="D21:F21"/>
    <mergeCell ref="D22:F22"/>
    <mergeCell ref="D23:F23"/>
    <mergeCell ref="C25:C29"/>
    <mergeCell ref="D25:F25"/>
    <mergeCell ref="D26:F26"/>
    <mergeCell ref="D27:F27"/>
    <mergeCell ref="D28:F28"/>
    <mergeCell ref="D29:F29"/>
    <mergeCell ref="C31:C35"/>
    <mergeCell ref="D31:E31"/>
    <mergeCell ref="D32:E32"/>
    <mergeCell ref="E33:F33"/>
    <mergeCell ref="D35:F35"/>
  </mergeCells>
  <conditionalFormatting sqref="B6:B36">
    <cfRule type="cellIs" dxfId="12" priority="87" operator="equal">
      <formula>"NA"</formula>
    </cfRule>
  </conditionalFormatting>
  <conditionalFormatting sqref="G19:BK19">
    <cfRule type="cellIs" dxfId="11" priority="1" operator="equal">
      <formula>"NA"</formula>
    </cfRule>
  </conditionalFormatting>
  <conditionalFormatting sqref="G24:BK24">
    <cfRule type="cellIs" dxfId="10" priority="19" operator="equal">
      <formula>"NA"</formula>
    </cfRule>
  </conditionalFormatting>
  <conditionalFormatting sqref="G30:BK30">
    <cfRule type="cellIs" dxfId="9" priority="5" operator="equal">
      <formula>"NA"</formula>
    </cfRule>
  </conditionalFormatting>
  <conditionalFormatting sqref="G36:BK36">
    <cfRule type="cellIs" dxfId="8" priority="3" operator="equal">
      <formula>"NA"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77AC-42B1-4E25-9006-D1A2DDEBA753}">
  <dimension ref="A1:BK42"/>
  <sheetViews>
    <sheetView topLeftCell="B1" zoomScale="80" zoomScaleNormal="80" workbookViewId="0">
      <selection activeCell="B8" sqref="B8"/>
    </sheetView>
  </sheetViews>
  <sheetFormatPr defaultColWidth="9.1796875" defaultRowHeight="14.5" x14ac:dyDescent="0.35"/>
  <cols>
    <col min="1" max="1" width="1.54296875" style="2" customWidth="1"/>
    <col min="2" max="2" width="1" style="2" customWidth="1"/>
    <col min="3" max="3" width="6.7265625" style="2" customWidth="1"/>
    <col min="4" max="4" width="11.81640625" style="2" customWidth="1"/>
    <col min="5" max="5" width="8.453125" style="2" customWidth="1"/>
    <col min="6" max="6" width="14.81640625" style="2" customWidth="1"/>
    <col min="7" max="8" width="6.453125" style="2" bestFit="1" customWidth="1"/>
    <col min="9" max="9" width="0.453125" style="2" customWidth="1"/>
    <col min="10" max="11" width="6.453125" style="2" customWidth="1"/>
    <col min="12" max="12" width="0.453125" style="2" customWidth="1"/>
    <col min="13" max="14" width="6.453125" style="2" customWidth="1"/>
    <col min="15" max="15" width="0.453125" style="2" customWidth="1"/>
    <col min="16" max="17" width="6.453125" style="2" bestFit="1" customWidth="1"/>
    <col min="18" max="18" width="0.453125" style="2" customWidth="1"/>
    <col min="19" max="20" width="6.453125" style="2" bestFit="1" customWidth="1"/>
    <col min="21" max="21" width="0.453125" style="2" customWidth="1"/>
    <col min="22" max="23" width="6.453125" style="2" bestFit="1" customWidth="1"/>
    <col min="24" max="24" width="0.453125" style="2" customWidth="1"/>
    <col min="25" max="26" width="6.453125" style="2" bestFit="1" customWidth="1"/>
    <col min="27" max="27" width="0.453125" style="2" customWidth="1"/>
    <col min="28" max="29" width="6.453125" style="2" customWidth="1"/>
    <col min="30" max="30" width="0.453125" style="2" customWidth="1"/>
    <col min="31" max="32" width="6.453125" style="2" customWidth="1"/>
    <col min="33" max="33" width="0.453125" style="2" customWidth="1"/>
    <col min="34" max="35" width="6.453125" style="2" customWidth="1"/>
    <col min="36" max="36" width="0.453125" style="2" customWidth="1"/>
    <col min="37" max="38" width="6.453125" style="2" customWidth="1"/>
    <col min="39" max="39" width="0.453125" style="2" customWidth="1"/>
    <col min="40" max="40" width="6.453125" style="2" bestFit="1" customWidth="1"/>
    <col min="41" max="41" width="6.453125" style="2" customWidth="1"/>
    <col min="42" max="42" width="0.453125" style="2" customWidth="1"/>
    <col min="43" max="44" width="6.453125" style="2" bestFit="1" customWidth="1"/>
    <col min="45" max="45" width="0.453125" style="2" customWidth="1"/>
    <col min="46" max="47" width="6.453125" style="2" customWidth="1"/>
    <col min="48" max="48" width="0.453125" style="2" customWidth="1"/>
    <col min="49" max="50" width="6.453125" style="2" customWidth="1"/>
    <col min="51" max="51" width="0.453125" style="2" customWidth="1"/>
    <col min="52" max="53" width="6.453125" style="2" customWidth="1"/>
    <col min="54" max="54" width="0.453125" style="2" customWidth="1"/>
    <col min="55" max="56" width="6.453125" style="2" customWidth="1"/>
    <col min="57" max="57" width="0.54296875" style="2" customWidth="1"/>
    <col min="58" max="59" width="6.453125" style="2" customWidth="1"/>
    <col min="60" max="63" width="9.1796875" style="2" customWidth="1"/>
    <col min="64" max="16384" width="9.1796875" style="2"/>
  </cols>
  <sheetData>
    <row r="1" spans="1:63" ht="4.5" customHeight="1" x14ac:dyDescent="0.35">
      <c r="C1" s="1"/>
      <c r="J1" s="3"/>
    </row>
    <row r="2" spans="1:63" ht="34" customHeight="1" x14ac:dyDescent="0.35">
      <c r="B2" s="160" t="s">
        <v>146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</row>
    <row r="3" spans="1:63" ht="14.5" customHeight="1" x14ac:dyDescent="0.35">
      <c r="B3" s="5"/>
      <c r="C3" s="126" t="s">
        <v>0</v>
      </c>
      <c r="D3" s="126" t="s">
        <v>1</v>
      </c>
      <c r="E3" s="161" t="s">
        <v>92</v>
      </c>
      <c r="F3" s="161" t="s">
        <v>93</v>
      </c>
      <c r="G3" s="141" t="s">
        <v>2</v>
      </c>
      <c r="H3" s="142"/>
      <c r="I3" s="5"/>
      <c r="J3" s="141" t="s">
        <v>3</v>
      </c>
      <c r="K3" s="142"/>
      <c r="L3" s="5"/>
      <c r="M3" s="141" t="s">
        <v>4</v>
      </c>
      <c r="N3" s="142"/>
      <c r="O3" s="5"/>
      <c r="P3" s="141" t="s">
        <v>5</v>
      </c>
      <c r="Q3" s="142"/>
      <c r="R3" s="5"/>
      <c r="S3" s="141" t="s">
        <v>6</v>
      </c>
      <c r="T3" s="142"/>
      <c r="U3" s="5"/>
      <c r="V3" s="141" t="s">
        <v>94</v>
      </c>
      <c r="W3" s="142"/>
      <c r="X3" s="5"/>
      <c r="Y3" s="141" t="s">
        <v>9</v>
      </c>
      <c r="Z3" s="142"/>
      <c r="AA3" s="5"/>
      <c r="AB3" s="141" t="s">
        <v>10</v>
      </c>
      <c r="AC3" s="142"/>
      <c r="AD3" s="5"/>
      <c r="AE3" s="141" t="s">
        <v>11</v>
      </c>
      <c r="AF3" s="142"/>
      <c r="AG3" s="5"/>
      <c r="AH3" s="164" t="s">
        <v>80</v>
      </c>
      <c r="AI3" s="165"/>
      <c r="AJ3" s="5"/>
      <c r="AK3" s="141" t="s">
        <v>13</v>
      </c>
      <c r="AL3" s="142"/>
      <c r="AM3" s="5"/>
      <c r="AN3" s="141" t="s">
        <v>14</v>
      </c>
      <c r="AO3" s="142"/>
      <c r="AP3" s="5"/>
      <c r="AQ3" s="141" t="s">
        <v>15</v>
      </c>
      <c r="AR3" s="142"/>
      <c r="AS3" s="5"/>
      <c r="AT3" s="141" t="s">
        <v>16</v>
      </c>
      <c r="AU3" s="142"/>
      <c r="AV3" s="5"/>
      <c r="AW3" s="141" t="s">
        <v>17</v>
      </c>
      <c r="AX3" s="142"/>
      <c r="AY3" s="5"/>
      <c r="AZ3" s="141" t="s">
        <v>18</v>
      </c>
      <c r="BA3" s="142"/>
      <c r="BB3" s="5"/>
      <c r="BC3" s="141" t="s">
        <v>19</v>
      </c>
      <c r="BD3" s="142"/>
      <c r="BE3" s="5"/>
      <c r="BF3" s="141" t="s">
        <v>20</v>
      </c>
      <c r="BG3" s="142"/>
      <c r="BH3" s="141" t="s">
        <v>21</v>
      </c>
      <c r="BI3" s="142"/>
      <c r="BJ3" s="141" t="s">
        <v>22</v>
      </c>
      <c r="BK3" s="142"/>
    </row>
    <row r="4" spans="1:63" x14ac:dyDescent="0.35">
      <c r="B4" s="5"/>
      <c r="C4" s="126"/>
      <c r="D4" s="126"/>
      <c r="E4" s="162"/>
      <c r="F4" s="162"/>
      <c r="G4" s="143"/>
      <c r="H4" s="144"/>
      <c r="I4" s="5"/>
      <c r="J4" s="143"/>
      <c r="K4" s="144"/>
      <c r="L4" s="5"/>
      <c r="M4" s="143"/>
      <c r="N4" s="144"/>
      <c r="O4" s="5"/>
      <c r="P4" s="143"/>
      <c r="Q4" s="144"/>
      <c r="R4" s="5"/>
      <c r="S4" s="143"/>
      <c r="T4" s="144"/>
      <c r="U4" s="5"/>
      <c r="V4" s="143"/>
      <c r="W4" s="144"/>
      <c r="X4" s="5"/>
      <c r="Y4" s="143"/>
      <c r="Z4" s="144"/>
      <c r="AA4" s="5"/>
      <c r="AB4" s="143"/>
      <c r="AC4" s="144"/>
      <c r="AD4" s="5"/>
      <c r="AE4" s="143"/>
      <c r="AF4" s="144"/>
      <c r="AG4" s="5"/>
      <c r="AH4" s="166"/>
      <c r="AI4" s="167"/>
      <c r="AJ4" s="5"/>
      <c r="AK4" s="143"/>
      <c r="AL4" s="144"/>
      <c r="AM4" s="5"/>
      <c r="AN4" s="143"/>
      <c r="AO4" s="144"/>
      <c r="AP4" s="5"/>
      <c r="AQ4" s="143"/>
      <c r="AR4" s="144"/>
      <c r="AS4" s="5"/>
      <c r="AT4" s="143"/>
      <c r="AU4" s="144"/>
      <c r="AV4" s="5"/>
      <c r="AW4" s="143"/>
      <c r="AX4" s="144"/>
      <c r="AY4" s="5"/>
      <c r="AZ4" s="143"/>
      <c r="BA4" s="144"/>
      <c r="BB4" s="5"/>
      <c r="BC4" s="143"/>
      <c r="BD4" s="144"/>
      <c r="BE4" s="5"/>
      <c r="BF4" s="143"/>
      <c r="BG4" s="144"/>
      <c r="BH4" s="143"/>
      <c r="BI4" s="144"/>
      <c r="BJ4" s="143"/>
      <c r="BK4" s="144"/>
    </row>
    <row r="5" spans="1:63" ht="31.5" customHeight="1" x14ac:dyDescent="0.35">
      <c r="B5" s="8"/>
      <c r="C5" s="126"/>
      <c r="D5" s="126"/>
      <c r="E5" s="163"/>
      <c r="F5" s="163"/>
      <c r="G5" s="9" t="s">
        <v>23</v>
      </c>
      <c r="H5" s="9" t="s">
        <v>24</v>
      </c>
      <c r="I5" s="8"/>
      <c r="J5" s="9" t="s">
        <v>23</v>
      </c>
      <c r="K5" s="9" t="s">
        <v>24</v>
      </c>
      <c r="L5" s="8"/>
      <c r="M5" s="9" t="s">
        <v>23</v>
      </c>
      <c r="N5" s="9" t="s">
        <v>24</v>
      </c>
      <c r="O5" s="8"/>
      <c r="P5" s="9" t="s">
        <v>23</v>
      </c>
      <c r="Q5" s="9" t="s">
        <v>24</v>
      </c>
      <c r="R5" s="8"/>
      <c r="S5" s="9" t="s">
        <v>23</v>
      </c>
      <c r="T5" s="9" t="s">
        <v>24</v>
      </c>
      <c r="U5" s="8"/>
      <c r="V5" s="9" t="s">
        <v>23</v>
      </c>
      <c r="W5" s="9" t="s">
        <v>24</v>
      </c>
      <c r="X5" s="8"/>
      <c r="Y5" s="9" t="s">
        <v>23</v>
      </c>
      <c r="Z5" s="9" t="s">
        <v>24</v>
      </c>
      <c r="AA5" s="8"/>
      <c r="AB5" s="9" t="s">
        <v>23</v>
      </c>
      <c r="AC5" s="9" t="s">
        <v>24</v>
      </c>
      <c r="AD5" s="8"/>
      <c r="AE5" s="9" t="s">
        <v>23</v>
      </c>
      <c r="AF5" s="9" t="s">
        <v>24</v>
      </c>
      <c r="AG5" s="8"/>
      <c r="AH5" s="9" t="s">
        <v>23</v>
      </c>
      <c r="AI5" s="9" t="s">
        <v>24</v>
      </c>
      <c r="AJ5" s="8"/>
      <c r="AK5" s="9" t="s">
        <v>23</v>
      </c>
      <c r="AL5" s="9" t="s">
        <v>24</v>
      </c>
      <c r="AM5" s="8"/>
      <c r="AN5" s="9" t="s">
        <v>23</v>
      </c>
      <c r="AO5" s="9" t="s">
        <v>24</v>
      </c>
      <c r="AP5" s="8"/>
      <c r="AQ5" s="9" t="s">
        <v>23</v>
      </c>
      <c r="AR5" s="9" t="s">
        <v>24</v>
      </c>
      <c r="AS5" s="8"/>
      <c r="AT5" s="9" t="s">
        <v>23</v>
      </c>
      <c r="AU5" s="9" t="s">
        <v>24</v>
      </c>
      <c r="AV5" s="8"/>
      <c r="AW5" s="9" t="s">
        <v>23</v>
      </c>
      <c r="AX5" s="9" t="s">
        <v>24</v>
      </c>
      <c r="AY5" s="8"/>
      <c r="AZ5" s="9" t="s">
        <v>23</v>
      </c>
      <c r="BA5" s="9" t="s">
        <v>24</v>
      </c>
      <c r="BB5" s="8"/>
      <c r="BC5" s="9" t="s">
        <v>23</v>
      </c>
      <c r="BD5" s="9" t="s">
        <v>24</v>
      </c>
      <c r="BE5" s="8"/>
      <c r="BF5" s="9" t="s">
        <v>23</v>
      </c>
      <c r="BG5" s="9" t="s">
        <v>24</v>
      </c>
      <c r="BH5" s="9" t="s">
        <v>23</v>
      </c>
      <c r="BI5" s="9" t="s">
        <v>24</v>
      </c>
      <c r="BJ5" s="9" t="s">
        <v>23</v>
      </c>
      <c r="BK5" s="9" t="s">
        <v>24</v>
      </c>
    </row>
    <row r="6" spans="1:63" x14ac:dyDescent="0.35">
      <c r="B6" s="20"/>
      <c r="C6" s="158" t="s">
        <v>95</v>
      </c>
      <c r="D6" s="147" t="s">
        <v>96</v>
      </c>
      <c r="E6" s="148"/>
      <c r="F6" s="151"/>
      <c r="G6" s="52">
        <f>' CV Nov-25'!G6-' CV AUG-25'!G6</f>
        <v>0</v>
      </c>
      <c r="H6" s="52">
        <f>' CV Nov-25'!H6-' CV AUG-25'!H6</f>
        <v>0</v>
      </c>
      <c r="I6" s="52"/>
      <c r="J6" s="52">
        <f>' CV Nov-25'!J6-' CV AUG-25'!J6</f>
        <v>0</v>
      </c>
      <c r="K6" s="52">
        <f>' CV Nov-25'!K6-' CV AUG-25'!K6</f>
        <v>0</v>
      </c>
      <c r="L6" s="52"/>
      <c r="M6" s="52">
        <f>' CV Nov-25'!M6-' CV AUG-25'!M6</f>
        <v>0</v>
      </c>
      <c r="N6" s="52">
        <f>' CV Nov-25'!N6-' CV AUG-25'!N6</f>
        <v>0</v>
      </c>
      <c r="O6" s="52"/>
      <c r="P6" s="52">
        <f>' CV Nov-25'!P6-' CV AUG-25'!P6</f>
        <v>0</v>
      </c>
      <c r="Q6" s="52">
        <f>' CV Nov-25'!Q6-' CV AUG-25'!Q6</f>
        <v>0</v>
      </c>
      <c r="R6" s="52"/>
      <c r="S6" s="52">
        <f>' CV Nov-25'!U6-' CV AUG-25'!S6</f>
        <v>0</v>
      </c>
      <c r="T6" s="52">
        <f>' CV Nov-25'!V6-' CV AUG-25'!T6</f>
        <v>0</v>
      </c>
      <c r="U6" s="52"/>
      <c r="V6" s="52">
        <f>' CV Nov-25'!X6-' CV AUG-25'!V6</f>
        <v>0</v>
      </c>
      <c r="W6" s="52">
        <f>' CV Nov-25'!Y6-' CV AUG-25'!W6</f>
        <v>0</v>
      </c>
      <c r="X6" s="52"/>
      <c r="Y6" s="52">
        <f>' CV Nov-25'!AC6-' CV AUG-25'!Y6</f>
        <v>0</v>
      </c>
      <c r="Z6" s="52">
        <f>' CV Nov-25'!AD6-' CV AUG-25'!Z6</f>
        <v>0</v>
      </c>
      <c r="AA6" s="52"/>
      <c r="AB6" s="52">
        <f>' CV Nov-25'!AF6-' CV AUG-25'!AB6</f>
        <v>0</v>
      </c>
      <c r="AC6" s="52">
        <f>' CV Nov-25'!AG6-' CV AUG-25'!AC6</f>
        <v>0</v>
      </c>
      <c r="AD6" s="52"/>
      <c r="AE6" s="52">
        <f>' CV Nov-25'!AI6-' CV AUG-25'!AE6</f>
        <v>0</v>
      </c>
      <c r="AF6" s="52">
        <f>' CV Nov-25'!AJ6-' CV AUG-25'!AF6</f>
        <v>0</v>
      </c>
      <c r="AG6" s="52"/>
      <c r="AH6" s="52">
        <f>' CV Nov-25'!AL6-' CV AUG-25'!AH6</f>
        <v>0</v>
      </c>
      <c r="AI6" s="52">
        <f>' CV Nov-25'!AM6-' CV AUG-25'!AI6</f>
        <v>0</v>
      </c>
      <c r="AJ6" s="52"/>
      <c r="AK6" s="52">
        <f>' CV Nov-25'!AO6-' CV AUG-25'!AK6</f>
        <v>0</v>
      </c>
      <c r="AL6" s="52">
        <f>' CV Nov-25'!AP6-' CV AUG-25'!AL6</f>
        <v>0</v>
      </c>
      <c r="AM6" s="52"/>
      <c r="AN6" s="52">
        <f>' CV Nov-25'!AR6-' CV AUG-25'!AN6</f>
        <v>0</v>
      </c>
      <c r="AO6" s="52">
        <f>' CV Nov-25'!AS6-' CV AUG-25'!AO6</f>
        <v>0</v>
      </c>
      <c r="AP6" s="52"/>
      <c r="AQ6" s="52">
        <f>' CV Nov-25'!AU6-' CV AUG-25'!AQ6</f>
        <v>0</v>
      </c>
      <c r="AR6" s="52">
        <f>' CV Nov-25'!AV6-' CV AUG-25'!AR6</f>
        <v>0</v>
      </c>
      <c r="AS6" s="52"/>
      <c r="AT6" s="52">
        <f>' CV Nov-25'!AX6-' CV AUG-25'!AT6</f>
        <v>0</v>
      </c>
      <c r="AU6" s="52">
        <f>' CV Nov-25'!AY6-' CV AUG-25'!AU6</f>
        <v>0</v>
      </c>
      <c r="AV6" s="52"/>
      <c r="AW6" s="52">
        <f>' CV Nov-25'!BA6-' CV AUG-25'!AW6</f>
        <v>0</v>
      </c>
      <c r="AX6" s="52">
        <f>' CV Nov-25'!BB6-' CV AUG-25'!AX6</f>
        <v>0</v>
      </c>
      <c r="AY6" s="52"/>
      <c r="AZ6" s="52">
        <f>' CV Nov-25'!BD6-' CV AUG-25'!AZ6</f>
        <v>0</v>
      </c>
      <c r="BA6" s="52">
        <f>' CV Nov-25'!BE6-' CV AUG-25'!BA6</f>
        <v>0</v>
      </c>
      <c r="BB6" s="52"/>
      <c r="BC6" s="52">
        <f>' CV Nov-25'!BG6-' CV AUG-25'!BC6</f>
        <v>0</v>
      </c>
      <c r="BD6" s="52">
        <f>' CV Nov-25'!BH6-' CV AUG-25'!BD6</f>
        <v>0</v>
      </c>
      <c r="BE6" s="52"/>
      <c r="BF6" s="52">
        <f>' CV Nov-25'!BJ6-' CV AUG-25'!BF6</f>
        <v>0</v>
      </c>
      <c r="BG6" s="52">
        <f>' CV Nov-25'!BK6-' CV AUG-25'!BG6</f>
        <v>0</v>
      </c>
      <c r="BH6" s="52">
        <f>' CV Nov-25'!BL6-' CV AUG-25'!BH6</f>
        <v>0</v>
      </c>
      <c r="BI6" s="52">
        <f>' CV Nov-25'!BM6-' CV AUG-25'!BI6</f>
        <v>0</v>
      </c>
      <c r="BJ6" s="52">
        <f>' CV Nov-25'!BN6-' CV AUG-25'!BJ6</f>
        <v>0</v>
      </c>
      <c r="BK6" s="52">
        <f>' CV Nov-25'!BO6-' CV AUG-25'!BK6</f>
        <v>0</v>
      </c>
    </row>
    <row r="7" spans="1:63" x14ac:dyDescent="0.35">
      <c r="B7" s="20"/>
      <c r="C7" s="158"/>
      <c r="D7" s="155" t="s">
        <v>97</v>
      </c>
      <c r="E7" s="156"/>
      <c r="F7" s="157"/>
      <c r="G7" s="52">
        <f>' CV Nov-25'!G7-' CV AUG-25'!G7</f>
        <v>0</v>
      </c>
      <c r="H7" s="52">
        <f>' CV Nov-25'!H7-' CV AUG-25'!H7</f>
        <v>0</v>
      </c>
      <c r="I7" s="52"/>
      <c r="J7" s="52">
        <f>' CV Nov-25'!J7-' CV AUG-25'!J7</f>
        <v>0</v>
      </c>
      <c r="K7" s="52">
        <f>' CV Nov-25'!K7-' CV AUG-25'!K7</f>
        <v>0</v>
      </c>
      <c r="L7" s="52"/>
      <c r="M7" s="52">
        <f>' CV Nov-25'!M7-' CV AUG-25'!M7</f>
        <v>0</v>
      </c>
      <c r="N7" s="52">
        <f>' CV Nov-25'!N7-' CV AUG-25'!N7</f>
        <v>0</v>
      </c>
      <c r="O7" s="52"/>
      <c r="P7" s="52">
        <f>' CV Nov-25'!P7-' CV AUG-25'!P7</f>
        <v>0</v>
      </c>
      <c r="Q7" s="52">
        <f>' CV Nov-25'!Q7-' CV AUG-25'!Q7</f>
        <v>0</v>
      </c>
      <c r="R7" s="52"/>
      <c r="S7" s="52">
        <f>' CV Nov-25'!U7-' CV AUG-25'!S7</f>
        <v>0</v>
      </c>
      <c r="T7" s="52">
        <f>' CV Nov-25'!V7-' CV AUG-25'!T7</f>
        <v>0</v>
      </c>
      <c r="U7" s="52"/>
      <c r="V7" s="52">
        <f>' CV Nov-25'!X7-' CV AUG-25'!V7</f>
        <v>0</v>
      </c>
      <c r="W7" s="52">
        <f>' CV Nov-25'!Y7-' CV AUG-25'!W7</f>
        <v>0</v>
      </c>
      <c r="X7" s="52"/>
      <c r="Y7" s="52">
        <f>' CV Nov-25'!AC7-' CV AUG-25'!Y7</f>
        <v>0</v>
      </c>
      <c r="Z7" s="52">
        <f>' CV Nov-25'!AD7-' CV AUG-25'!Z7</f>
        <v>0</v>
      </c>
      <c r="AA7" s="52"/>
      <c r="AB7" s="52">
        <f>' CV Nov-25'!AF7-' CV AUG-25'!AB7</f>
        <v>0</v>
      </c>
      <c r="AC7" s="52">
        <f>' CV Nov-25'!AG7-' CV AUG-25'!AC7</f>
        <v>0</v>
      </c>
      <c r="AD7" s="52"/>
      <c r="AE7" s="52">
        <f>' CV Nov-25'!AI7-' CV AUG-25'!AE7</f>
        <v>0</v>
      </c>
      <c r="AF7" s="52">
        <f>' CV Nov-25'!AJ7-' CV AUG-25'!AF7</f>
        <v>0</v>
      </c>
      <c r="AG7" s="52"/>
      <c r="AH7" s="52">
        <f>' CV Nov-25'!AL7-' CV AUG-25'!AH7</f>
        <v>0</v>
      </c>
      <c r="AI7" s="52">
        <f>' CV Nov-25'!AM7-' CV AUG-25'!AI7</f>
        <v>0</v>
      </c>
      <c r="AJ7" s="52"/>
      <c r="AK7" s="52">
        <f>' CV Nov-25'!AO7-' CV AUG-25'!AK7</f>
        <v>0</v>
      </c>
      <c r="AL7" s="52">
        <f>' CV Nov-25'!AP7-' CV AUG-25'!AL7</f>
        <v>0</v>
      </c>
      <c r="AM7" s="52"/>
      <c r="AN7" s="52">
        <f>' CV Nov-25'!AR7-' CV AUG-25'!AN7</f>
        <v>0</v>
      </c>
      <c r="AO7" s="52">
        <f>' CV Nov-25'!AS7-' CV AUG-25'!AO7</f>
        <v>0</v>
      </c>
      <c r="AP7" s="52"/>
      <c r="AQ7" s="52">
        <f>' CV Nov-25'!AU7-' CV AUG-25'!AQ7</f>
        <v>0</v>
      </c>
      <c r="AR7" s="52">
        <f>' CV Nov-25'!AV7-' CV AUG-25'!AR7</f>
        <v>0</v>
      </c>
      <c r="AS7" s="52"/>
      <c r="AT7" s="52">
        <f>' CV Nov-25'!AX7-' CV AUG-25'!AT7</f>
        <v>0</v>
      </c>
      <c r="AU7" s="52">
        <f>' CV Nov-25'!AY7-' CV AUG-25'!AU7</f>
        <v>0</v>
      </c>
      <c r="AV7" s="52"/>
      <c r="AW7" s="52">
        <f>' CV Nov-25'!BA7-' CV AUG-25'!AW7</f>
        <v>0</v>
      </c>
      <c r="AX7" s="52">
        <f>' CV Nov-25'!BB7-' CV AUG-25'!AX7</f>
        <v>0</v>
      </c>
      <c r="AY7" s="52"/>
      <c r="AZ7" s="52">
        <f>' CV Nov-25'!BD7-' CV AUG-25'!AZ7</f>
        <v>0</v>
      </c>
      <c r="BA7" s="52">
        <f>' CV Nov-25'!BE7-' CV AUG-25'!BA7</f>
        <v>0</v>
      </c>
      <c r="BB7" s="52"/>
      <c r="BC7" s="52">
        <f>' CV Nov-25'!BG7-' CV AUG-25'!BC7</f>
        <v>0</v>
      </c>
      <c r="BD7" s="52">
        <f>' CV Nov-25'!BH7-' CV AUG-25'!BD7</f>
        <v>0</v>
      </c>
      <c r="BE7" s="52"/>
      <c r="BF7" s="52">
        <f>' CV Nov-25'!BJ7-' CV AUG-25'!BF7</f>
        <v>0</v>
      </c>
      <c r="BG7" s="52">
        <f>' CV Nov-25'!BK7-' CV AUG-25'!BG7</f>
        <v>0</v>
      </c>
      <c r="BH7" s="52">
        <f>' CV Nov-25'!BL7-' CV AUG-25'!BH7</f>
        <v>0</v>
      </c>
      <c r="BI7" s="52">
        <f>' CV Nov-25'!BM7-' CV AUG-25'!BI7</f>
        <v>0</v>
      </c>
      <c r="BJ7" s="52">
        <f>' CV Nov-25'!BN7-' CV AUG-25'!BJ7</f>
        <v>0</v>
      </c>
      <c r="BK7" s="52">
        <f>' CV Nov-25'!BO7-' CV AUG-25'!BK7</f>
        <v>0</v>
      </c>
    </row>
    <row r="8" spans="1:63" ht="109" customHeight="1" x14ac:dyDescent="0.35">
      <c r="B8" s="20"/>
      <c r="C8" s="158"/>
      <c r="D8" s="159" t="s">
        <v>98</v>
      </c>
      <c r="E8" s="53" t="s">
        <v>99</v>
      </c>
      <c r="F8" s="53" t="s">
        <v>100</v>
      </c>
      <c r="G8" s="52">
        <f>' CV Nov-25'!G8-' CV AUG-25'!G8</f>
        <v>0</v>
      </c>
      <c r="H8" s="52">
        <f>' CV Nov-25'!H8-' CV AUG-25'!H8</f>
        <v>0</v>
      </c>
      <c r="I8" s="52"/>
      <c r="J8" s="52">
        <f>' CV Nov-25'!J8-' CV AUG-25'!J8</f>
        <v>0</v>
      </c>
      <c r="K8" s="52">
        <f>' CV Nov-25'!K8-' CV AUG-25'!K8</f>
        <v>0</v>
      </c>
      <c r="L8" s="52"/>
      <c r="M8" s="52">
        <f>' CV Nov-25'!M8-' CV AUG-25'!M8</f>
        <v>0</v>
      </c>
      <c r="N8" s="52">
        <f>' CV Nov-25'!N8-' CV AUG-25'!N8</f>
        <v>0</v>
      </c>
      <c r="O8" s="52"/>
      <c r="P8" s="52">
        <f>' CV Nov-25'!P8-' CV AUG-25'!P8</f>
        <v>0</v>
      </c>
      <c r="Q8" s="52">
        <f>' CV Nov-25'!Q8-' CV AUG-25'!Q8</f>
        <v>-1.4999999999999958E-2</v>
      </c>
      <c r="R8" s="52"/>
      <c r="S8" s="52">
        <f>' CV Nov-25'!U8-' CV AUG-25'!S8</f>
        <v>0</v>
      </c>
      <c r="T8" s="52">
        <f>' CV Nov-25'!V8-' CV AUG-25'!T8</f>
        <v>0</v>
      </c>
      <c r="U8" s="52"/>
      <c r="V8" s="52">
        <f>' CV Nov-25'!X8-' CV AUG-25'!V8</f>
        <v>0</v>
      </c>
      <c r="W8" s="52">
        <f>' CV Nov-25'!Y8-' CV AUG-25'!W8</f>
        <v>0</v>
      </c>
      <c r="X8" s="52"/>
      <c r="Y8" s="52">
        <f>' CV Nov-25'!AC8-' CV AUG-25'!Y8</f>
        <v>0</v>
      </c>
      <c r="Z8" s="52">
        <f>' CV Nov-25'!AD8-' CV AUG-25'!Z8</f>
        <v>0</v>
      </c>
      <c r="AA8" s="52"/>
      <c r="AB8" s="52">
        <f>' CV Nov-25'!AF8-' CV AUG-25'!AB8</f>
        <v>0</v>
      </c>
      <c r="AC8" s="52">
        <f>' CV Nov-25'!AG8-' CV AUG-25'!AC8</f>
        <v>0</v>
      </c>
      <c r="AD8" s="52"/>
      <c r="AE8" s="52">
        <f>' CV Nov-25'!AI8-' CV AUG-25'!AE8</f>
        <v>0</v>
      </c>
      <c r="AF8" s="52">
        <f>' CV Nov-25'!AJ8-' CV AUG-25'!AF8</f>
        <v>0</v>
      </c>
      <c r="AG8" s="52"/>
      <c r="AH8" s="52">
        <f>' CV Nov-25'!AL8-' CV AUG-25'!AH8</f>
        <v>0</v>
      </c>
      <c r="AI8" s="52">
        <f>' CV Nov-25'!AM8-' CV AUG-25'!AI8</f>
        <v>2.5000000000000022E-2</v>
      </c>
      <c r="AJ8" s="52"/>
      <c r="AK8" s="52">
        <f>' CV Nov-25'!AO8-' CV AUG-25'!AK8</f>
        <v>0</v>
      </c>
      <c r="AL8" s="52">
        <f>' CV Nov-25'!AP8-' CV AUG-25'!AL8</f>
        <v>0</v>
      </c>
      <c r="AM8" s="52"/>
      <c r="AN8" s="52">
        <f>' CV Nov-25'!AR8-' CV AUG-25'!AN8</f>
        <v>0</v>
      </c>
      <c r="AO8" s="52">
        <f>' CV Nov-25'!AS8-' CV AUG-25'!AO8</f>
        <v>0</v>
      </c>
      <c r="AP8" s="52"/>
      <c r="AQ8" s="52">
        <f>' CV Nov-25'!AU8-' CV AUG-25'!AQ8</f>
        <v>0</v>
      </c>
      <c r="AR8" s="52">
        <f>' CV Nov-25'!AV8-' CV AUG-25'!AR8</f>
        <v>0</v>
      </c>
      <c r="AS8" s="52"/>
      <c r="AT8" s="52">
        <f>' CV Nov-25'!AX8-' CV AUG-25'!AT8</f>
        <v>0</v>
      </c>
      <c r="AU8" s="52">
        <f>' CV Nov-25'!AY8-' CV AUG-25'!AU8</f>
        <v>0</v>
      </c>
      <c r="AV8" s="52"/>
      <c r="AW8" s="52">
        <f>' CV Nov-25'!BA8-' CV AUG-25'!AW8</f>
        <v>0</v>
      </c>
      <c r="AX8" s="52">
        <f>' CV Nov-25'!BB8-' CV AUG-25'!AX8</f>
        <v>0</v>
      </c>
      <c r="AY8" s="52"/>
      <c r="AZ8" s="52">
        <f>' CV Nov-25'!BD8-' CV AUG-25'!AZ8</f>
        <v>0</v>
      </c>
      <c r="BA8" s="52">
        <f>' CV Nov-25'!BE8-' CV AUG-25'!BA8</f>
        <v>0</v>
      </c>
      <c r="BB8" s="52"/>
      <c r="BC8" s="52">
        <f>' CV Nov-25'!BG8-' CV AUG-25'!BC8</f>
        <v>0</v>
      </c>
      <c r="BD8" s="52">
        <f>' CV Nov-25'!BH8-' CV AUG-25'!BD8</f>
        <v>0</v>
      </c>
      <c r="BE8" s="52"/>
      <c r="BF8" s="52">
        <f>' CV Nov-25'!BJ8-' CV AUG-25'!BF8</f>
        <v>0</v>
      </c>
      <c r="BG8" s="52">
        <f>' CV Nov-25'!BK8-' CV AUG-25'!BG8</f>
        <v>0</v>
      </c>
      <c r="BH8" s="52">
        <f>' CV Nov-25'!BL8-' CV AUG-25'!BH8</f>
        <v>0</v>
      </c>
      <c r="BI8" s="52">
        <f>' CV Nov-25'!BM8-' CV AUG-25'!BI8</f>
        <v>0</v>
      </c>
      <c r="BJ8" s="52">
        <f>' CV Nov-25'!BN8-' CV AUG-25'!BJ8</f>
        <v>0</v>
      </c>
      <c r="BK8" s="52">
        <f>' CV Nov-25'!BO8-' CV AUG-25'!BK8</f>
        <v>0</v>
      </c>
    </row>
    <row r="9" spans="1:63" x14ac:dyDescent="0.35">
      <c r="B9" s="20"/>
      <c r="C9" s="158"/>
      <c r="D9" s="131"/>
      <c r="E9" s="147" t="s">
        <v>101</v>
      </c>
      <c r="F9" s="151"/>
      <c r="G9" s="52">
        <f>' CV Nov-25'!G9-' CV AUG-25'!G9</f>
        <v>0</v>
      </c>
      <c r="H9" s="52">
        <f>' CV Nov-25'!H9-' CV AUG-25'!H9</f>
        <v>0</v>
      </c>
      <c r="I9" s="52"/>
      <c r="J9" s="52">
        <f>' CV Nov-25'!J9-' CV AUG-25'!J9</f>
        <v>0</v>
      </c>
      <c r="K9" s="52">
        <f>' CV Nov-25'!K9-' CV AUG-25'!K9</f>
        <v>0</v>
      </c>
      <c r="L9" s="52"/>
      <c r="M9" s="52">
        <f>' CV Nov-25'!M9-' CV AUG-25'!M9</f>
        <v>0</v>
      </c>
      <c r="N9" s="52">
        <f>' CV Nov-25'!N9-' CV AUG-25'!N9</f>
        <v>0</v>
      </c>
      <c r="O9" s="52"/>
      <c r="P9" s="52">
        <f>' CV Nov-25'!P9-' CV AUG-25'!P9</f>
        <v>0</v>
      </c>
      <c r="Q9" s="52">
        <f>' CV Nov-25'!Q9-' CV AUG-25'!Q9</f>
        <v>7.5000000000000067E-2</v>
      </c>
      <c r="R9" s="52"/>
      <c r="S9" s="52">
        <f>' CV Nov-25'!U9-' CV AUG-25'!S9</f>
        <v>0</v>
      </c>
      <c r="T9" s="52">
        <f>' CV Nov-25'!V9-' CV AUG-25'!T9</f>
        <v>7.999999999999996E-2</v>
      </c>
      <c r="U9" s="52"/>
      <c r="V9" s="52">
        <f>' CV Nov-25'!X9-' CV AUG-25'!V9</f>
        <v>0</v>
      </c>
      <c r="W9" s="52">
        <f>' CV Nov-25'!Y9-' CV AUG-25'!W9</f>
        <v>0</v>
      </c>
      <c r="X9" s="52"/>
      <c r="Y9" s="52">
        <f>' CV Nov-25'!AC9-' CV AUG-25'!Y9</f>
        <v>0</v>
      </c>
      <c r="Z9" s="52">
        <f>' CV Nov-25'!AD9-' CV AUG-25'!Z9</f>
        <v>0</v>
      </c>
      <c r="AA9" s="52"/>
      <c r="AB9" s="52">
        <f>' CV Nov-25'!AF9-' CV AUG-25'!AB9</f>
        <v>0</v>
      </c>
      <c r="AC9" s="52">
        <f>' CV Nov-25'!AG9-' CV AUG-25'!AC9</f>
        <v>0</v>
      </c>
      <c r="AD9" s="52"/>
      <c r="AE9" s="52">
        <f>' CV Nov-25'!AI9-' CV AUG-25'!AE9</f>
        <v>0</v>
      </c>
      <c r="AF9" s="52">
        <f>' CV Nov-25'!AJ9-' CV AUG-25'!AF9</f>
        <v>0</v>
      </c>
      <c r="AG9" s="52"/>
      <c r="AH9" s="52">
        <f>' CV Nov-25'!AL9-' CV AUG-25'!AH9</f>
        <v>0</v>
      </c>
      <c r="AI9" s="52">
        <f>' CV Nov-25'!AM9-' CV AUG-25'!AI9</f>
        <v>2.4999999999999967E-2</v>
      </c>
      <c r="AJ9" s="52"/>
      <c r="AK9" s="52">
        <f>' CV Nov-25'!AO9-' CV AUG-25'!AK9</f>
        <v>0</v>
      </c>
      <c r="AL9" s="52">
        <f>' CV Nov-25'!AP9-' CV AUG-25'!AL9</f>
        <v>0</v>
      </c>
      <c r="AM9" s="52"/>
      <c r="AN9" s="52">
        <f>' CV Nov-25'!AR9-' CV AUG-25'!AN9</f>
        <v>0</v>
      </c>
      <c r="AO9" s="52">
        <f>' CV Nov-25'!AS9-' CV AUG-25'!AO9</f>
        <v>0</v>
      </c>
      <c r="AP9" s="52"/>
      <c r="AQ9" s="52">
        <f>' CV Nov-25'!AU9-' CV AUG-25'!AQ9</f>
        <v>0</v>
      </c>
      <c r="AR9" s="52">
        <f>' CV Nov-25'!AV9-' CV AUG-25'!AR9</f>
        <v>0</v>
      </c>
      <c r="AS9" s="52"/>
      <c r="AT9" s="52">
        <f>' CV Nov-25'!AX9-' CV AUG-25'!AT9</f>
        <v>0</v>
      </c>
      <c r="AU9" s="52">
        <f>' CV Nov-25'!AY9-' CV AUG-25'!AU9</f>
        <v>0</v>
      </c>
      <c r="AV9" s="52"/>
      <c r="AW9" s="52">
        <f>' CV Nov-25'!BA9-' CV AUG-25'!AW9</f>
        <v>0</v>
      </c>
      <c r="AX9" s="52">
        <f>' CV Nov-25'!BB9-' CV AUG-25'!AX9</f>
        <v>0</v>
      </c>
      <c r="AY9" s="52"/>
      <c r="AZ9" s="52">
        <f>' CV Nov-25'!BD9-' CV AUG-25'!AZ9</f>
        <v>0</v>
      </c>
      <c r="BA9" s="52">
        <f>' CV Nov-25'!BE9-' CV AUG-25'!BA9</f>
        <v>0</v>
      </c>
      <c r="BB9" s="52"/>
      <c r="BC9" s="52">
        <f>' CV Nov-25'!BG9-' CV AUG-25'!BC9</f>
        <v>0</v>
      </c>
      <c r="BD9" s="52">
        <f>' CV Nov-25'!BH9-' CV AUG-25'!BD9</f>
        <v>0</v>
      </c>
      <c r="BE9" s="52"/>
      <c r="BF9" s="52">
        <f>' CV Nov-25'!BJ9-' CV AUG-25'!BF9</f>
        <v>0</v>
      </c>
      <c r="BG9" s="52">
        <f>' CV Nov-25'!BK9-' CV AUG-25'!BG9</f>
        <v>0</v>
      </c>
      <c r="BH9" s="52">
        <f>' CV Nov-25'!BL9-' CV AUG-25'!BH9</f>
        <v>0</v>
      </c>
      <c r="BI9" s="52">
        <f>' CV Nov-25'!BM9-' CV AUG-25'!BI9</f>
        <v>0</v>
      </c>
      <c r="BJ9" s="52">
        <f>' CV Nov-25'!BN9-' CV AUG-25'!BJ9</f>
        <v>0</v>
      </c>
      <c r="BK9" s="52">
        <f>' CV Nov-25'!BO9-' CV AUG-25'!BK9</f>
        <v>0</v>
      </c>
    </row>
    <row r="10" spans="1:63" x14ac:dyDescent="0.35">
      <c r="B10" s="20"/>
      <c r="C10" s="158"/>
      <c r="D10" s="155" t="s">
        <v>102</v>
      </c>
      <c r="E10" s="156"/>
      <c r="F10" s="157"/>
      <c r="G10" s="52">
        <f>' CV Nov-25'!G10-' CV AUG-25'!G10</f>
        <v>0</v>
      </c>
      <c r="H10" s="52">
        <f>' CV Nov-25'!H10-' CV AUG-25'!H10</f>
        <v>0</v>
      </c>
      <c r="I10" s="52"/>
      <c r="J10" s="52">
        <f>' CV Nov-25'!J10-' CV AUG-25'!J10</f>
        <v>0</v>
      </c>
      <c r="K10" s="52">
        <f>' CV Nov-25'!K10-' CV AUG-25'!K10</f>
        <v>0</v>
      </c>
      <c r="L10" s="52"/>
      <c r="M10" s="52">
        <f>' CV Nov-25'!M10-' CV AUG-25'!M10</f>
        <v>0</v>
      </c>
      <c r="N10" s="52">
        <f>' CV Nov-25'!N10-' CV AUG-25'!N10</f>
        <v>0</v>
      </c>
      <c r="O10" s="52"/>
      <c r="P10" s="52">
        <f>' CV Nov-25'!P10-' CV AUG-25'!P10</f>
        <v>0</v>
      </c>
      <c r="Q10" s="52">
        <f>' CV Nov-25'!Q10-' CV AUG-25'!Q10</f>
        <v>0</v>
      </c>
      <c r="R10" s="52"/>
      <c r="S10" s="52">
        <f>' CV Nov-25'!U10-' CV AUG-25'!S10</f>
        <v>0</v>
      </c>
      <c r="T10" s="52">
        <f>' CV Nov-25'!V10-' CV AUG-25'!T10</f>
        <v>0</v>
      </c>
      <c r="U10" s="52"/>
      <c r="V10" s="52">
        <f>' CV Nov-25'!X10-' CV AUG-25'!V10</f>
        <v>0</v>
      </c>
      <c r="W10" s="52">
        <f>' CV Nov-25'!Y10-' CV AUG-25'!W10</f>
        <v>0</v>
      </c>
      <c r="X10" s="52"/>
      <c r="Y10" s="52">
        <f>' CV Nov-25'!AC10-' CV AUG-25'!Y10</f>
        <v>0</v>
      </c>
      <c r="Z10" s="52">
        <f>' CV Nov-25'!AD10-' CV AUG-25'!Z10</f>
        <v>0</v>
      </c>
      <c r="AA10" s="52"/>
      <c r="AB10" s="52">
        <f>' CV Nov-25'!AF10-' CV AUG-25'!AB10</f>
        <v>0</v>
      </c>
      <c r="AC10" s="52">
        <f>' CV Nov-25'!AG10-' CV AUG-25'!AC10</f>
        <v>0</v>
      </c>
      <c r="AD10" s="52"/>
      <c r="AE10" s="52">
        <f>' CV Nov-25'!AI10-' CV AUG-25'!AE10</f>
        <v>0</v>
      </c>
      <c r="AF10" s="52">
        <f>' CV Nov-25'!AJ10-' CV AUG-25'!AF10</f>
        <v>0</v>
      </c>
      <c r="AG10" s="52"/>
      <c r="AH10" s="52">
        <f>' CV Nov-25'!AL10-' CV AUG-25'!AH10</f>
        <v>0</v>
      </c>
      <c r="AI10" s="52">
        <f>' CV Nov-25'!AM10-' CV AUG-25'!AI10</f>
        <v>0</v>
      </c>
      <c r="AJ10" s="52"/>
      <c r="AK10" s="52">
        <f>' CV Nov-25'!AO10-' CV AUG-25'!AK10</f>
        <v>0</v>
      </c>
      <c r="AL10" s="52">
        <f>' CV Nov-25'!AP10-' CV AUG-25'!AL10</f>
        <v>0</v>
      </c>
      <c r="AM10" s="52"/>
      <c r="AN10" s="52">
        <f>' CV Nov-25'!AR10-' CV AUG-25'!AN10</f>
        <v>0</v>
      </c>
      <c r="AO10" s="52">
        <f>' CV Nov-25'!AS10-' CV AUG-25'!AO10</f>
        <v>0</v>
      </c>
      <c r="AP10" s="52"/>
      <c r="AQ10" s="52">
        <f>' CV Nov-25'!AU10-' CV AUG-25'!AQ10</f>
        <v>0</v>
      </c>
      <c r="AR10" s="52">
        <f>' CV Nov-25'!AV10-' CV AUG-25'!AR10</f>
        <v>0</v>
      </c>
      <c r="AS10" s="52"/>
      <c r="AT10" s="52">
        <f>' CV Nov-25'!AX10-' CV AUG-25'!AT10</f>
        <v>0</v>
      </c>
      <c r="AU10" s="52">
        <f>' CV Nov-25'!AY10-' CV AUG-25'!AU10</f>
        <v>0</v>
      </c>
      <c r="AV10" s="52"/>
      <c r="AW10" s="52">
        <f>' CV Nov-25'!BA10-' CV AUG-25'!AW10</f>
        <v>0</v>
      </c>
      <c r="AX10" s="52">
        <f>' CV Nov-25'!BB10-' CV AUG-25'!AX10</f>
        <v>0</v>
      </c>
      <c r="AY10" s="52"/>
      <c r="AZ10" s="52">
        <f>' CV Nov-25'!BD10-' CV AUG-25'!AZ10</f>
        <v>0</v>
      </c>
      <c r="BA10" s="52">
        <f>' CV Nov-25'!BE10-' CV AUG-25'!BA10</f>
        <v>0</v>
      </c>
      <c r="BB10" s="52"/>
      <c r="BC10" s="52">
        <f>' CV Nov-25'!BG10-' CV AUG-25'!BC10</f>
        <v>0</v>
      </c>
      <c r="BD10" s="52">
        <f>' CV Nov-25'!BH10-' CV AUG-25'!BD10</f>
        <v>0</v>
      </c>
      <c r="BE10" s="52"/>
      <c r="BF10" s="52">
        <f>' CV Nov-25'!BJ10-' CV AUG-25'!BF10</f>
        <v>0</v>
      </c>
      <c r="BG10" s="52">
        <f>' CV Nov-25'!BK10-' CV AUG-25'!BG10</f>
        <v>0</v>
      </c>
      <c r="BH10" s="52">
        <f>' CV Nov-25'!BL10-' CV AUG-25'!BH10</f>
        <v>0</v>
      </c>
      <c r="BI10" s="52">
        <f>' CV Nov-25'!BM10-' CV AUG-25'!BI10</f>
        <v>0</v>
      </c>
      <c r="BJ10" s="52">
        <f>' CV Nov-25'!BN10-' CV AUG-25'!BJ10</f>
        <v>0</v>
      </c>
      <c r="BK10" s="52">
        <f>' CV Nov-25'!BO10-' CV AUG-25'!BK10</f>
        <v>0</v>
      </c>
    </row>
    <row r="11" spans="1:63" x14ac:dyDescent="0.35">
      <c r="A11" s="2">
        <v>30</v>
      </c>
      <c r="B11" s="20"/>
      <c r="C11" s="158"/>
      <c r="D11" s="147" t="s">
        <v>103</v>
      </c>
      <c r="E11" s="148"/>
      <c r="F11" s="151"/>
      <c r="G11" s="52">
        <f>' CV Nov-25'!G11-' CV AUG-25'!G11</f>
        <v>0</v>
      </c>
      <c r="H11" s="52">
        <f>' CV Nov-25'!H11-' CV AUG-25'!H11</f>
        <v>0</v>
      </c>
      <c r="I11" s="52"/>
      <c r="J11" s="52">
        <f>' CV Nov-25'!J11-' CV AUG-25'!J11</f>
        <v>0</v>
      </c>
      <c r="K11" s="52">
        <f>' CV Nov-25'!K11-' CV AUG-25'!K11</f>
        <v>0</v>
      </c>
      <c r="L11" s="52"/>
      <c r="M11" s="52">
        <f>' CV Nov-25'!M11-' CV AUG-25'!M11</f>
        <v>0</v>
      </c>
      <c r="N11" s="52">
        <f>' CV Nov-25'!N11-' CV AUG-25'!N11</f>
        <v>0</v>
      </c>
      <c r="O11" s="52"/>
      <c r="P11" s="52">
        <f>' CV Nov-25'!P11-' CV AUG-25'!P11</f>
        <v>0</v>
      </c>
      <c r="Q11" s="52">
        <f>' CV Nov-25'!Q11-' CV AUG-25'!Q11</f>
        <v>0</v>
      </c>
      <c r="R11" s="52"/>
      <c r="S11" s="52">
        <f>' CV Nov-25'!U11-' CV AUG-25'!S11</f>
        <v>0</v>
      </c>
      <c r="T11" s="52">
        <f>' CV Nov-25'!V11-' CV AUG-25'!T11</f>
        <v>0</v>
      </c>
      <c r="U11" s="52"/>
      <c r="V11" s="52">
        <f>' CV Nov-25'!X11-' CV AUG-25'!V11</f>
        <v>0</v>
      </c>
      <c r="W11" s="52">
        <f>' CV Nov-25'!Y11-' CV AUG-25'!W11</f>
        <v>0</v>
      </c>
      <c r="X11" s="52"/>
      <c r="Y11" s="52">
        <f>' CV Nov-25'!AC11-' CV AUG-25'!Y11</f>
        <v>0</v>
      </c>
      <c r="Z11" s="52">
        <f>' CV Nov-25'!AD11-' CV AUG-25'!Z11</f>
        <v>0</v>
      </c>
      <c r="AA11" s="52"/>
      <c r="AB11" s="52">
        <f>' CV Nov-25'!AF11-' CV AUG-25'!AB11</f>
        <v>0</v>
      </c>
      <c r="AC11" s="52">
        <f>' CV Nov-25'!AG11-' CV AUG-25'!AC11</f>
        <v>0</v>
      </c>
      <c r="AD11" s="52"/>
      <c r="AE11" s="52">
        <f>' CV Nov-25'!AI11-' CV AUG-25'!AE11</f>
        <v>0</v>
      </c>
      <c r="AF11" s="52">
        <f>' CV Nov-25'!AJ11-' CV AUG-25'!AF11</f>
        <v>0</v>
      </c>
      <c r="AG11" s="52"/>
      <c r="AH11" s="52">
        <f>' CV Nov-25'!AL11-' CV AUG-25'!AH11</f>
        <v>0</v>
      </c>
      <c r="AI11" s="52">
        <f>' CV Nov-25'!AM11-' CV AUG-25'!AI11</f>
        <v>0</v>
      </c>
      <c r="AJ11" s="52"/>
      <c r="AK11" s="52">
        <f>' CV Nov-25'!AO11-' CV AUG-25'!AK11</f>
        <v>0</v>
      </c>
      <c r="AL11" s="52">
        <f>' CV Nov-25'!AP11-' CV AUG-25'!AL11</f>
        <v>0</v>
      </c>
      <c r="AM11" s="52"/>
      <c r="AN11" s="52">
        <f>' CV Nov-25'!AR11-' CV AUG-25'!AN11</f>
        <v>0</v>
      </c>
      <c r="AO11" s="52">
        <f>' CV Nov-25'!AS11-' CV AUG-25'!AO11</f>
        <v>0</v>
      </c>
      <c r="AP11" s="52"/>
      <c r="AQ11" s="52">
        <f>' CV Nov-25'!AU11-' CV AUG-25'!AQ11</f>
        <v>0</v>
      </c>
      <c r="AR11" s="52">
        <f>' CV Nov-25'!AV11-' CV AUG-25'!AR11</f>
        <v>0</v>
      </c>
      <c r="AS11" s="52"/>
      <c r="AT11" s="52">
        <f>' CV Nov-25'!AX11-' CV AUG-25'!AT11</f>
        <v>0</v>
      </c>
      <c r="AU11" s="52">
        <f>' CV Nov-25'!AY11-' CV AUG-25'!AU11</f>
        <v>0</v>
      </c>
      <c r="AV11" s="52"/>
      <c r="AW11" s="52">
        <f>' CV Nov-25'!BA11-' CV AUG-25'!AW11</f>
        <v>0</v>
      </c>
      <c r="AX11" s="52">
        <f>' CV Nov-25'!BB11-' CV AUG-25'!AX11</f>
        <v>0</v>
      </c>
      <c r="AY11" s="52"/>
      <c r="AZ11" s="52">
        <f>' CV Nov-25'!BD11-' CV AUG-25'!AZ11</f>
        <v>0</v>
      </c>
      <c r="BA11" s="52">
        <f>' CV Nov-25'!BE11-' CV AUG-25'!BA11</f>
        <v>0</v>
      </c>
      <c r="BB11" s="52"/>
      <c r="BC11" s="52">
        <f>' CV Nov-25'!BG11-' CV AUG-25'!BC11</f>
        <v>0</v>
      </c>
      <c r="BD11" s="52">
        <f>' CV Nov-25'!BH11-' CV AUG-25'!BD11</f>
        <v>0</v>
      </c>
      <c r="BE11" s="52"/>
      <c r="BF11" s="52">
        <f>' CV Nov-25'!BJ11-' CV AUG-25'!BF11</f>
        <v>0</v>
      </c>
      <c r="BG11" s="52">
        <f>' CV Nov-25'!BK11-' CV AUG-25'!BG11</f>
        <v>0</v>
      </c>
      <c r="BH11" s="52">
        <f>' CV Nov-25'!BL11-' CV AUG-25'!BH11</f>
        <v>0</v>
      </c>
      <c r="BI11" s="52">
        <f>' CV Nov-25'!BM11-' CV AUG-25'!BI11</f>
        <v>0</v>
      </c>
      <c r="BJ11" s="52">
        <f>' CV Nov-25'!BN11-' CV AUG-25'!BJ11</f>
        <v>0</v>
      </c>
      <c r="BK11" s="52">
        <f>' CV Nov-25'!BO11-' CV AUG-25'!BK11</f>
        <v>0</v>
      </c>
    </row>
    <row r="12" spans="1:63" x14ac:dyDescent="0.35">
      <c r="B12" s="20"/>
      <c r="C12" s="158"/>
      <c r="D12" s="147" t="s">
        <v>104</v>
      </c>
      <c r="E12" s="148"/>
      <c r="F12" s="151"/>
      <c r="G12" s="52">
        <f>' CV Nov-25'!G12-' CV AUG-25'!G12</f>
        <v>0</v>
      </c>
      <c r="H12" s="52">
        <f>' CV Nov-25'!H12-' CV AUG-25'!H12</f>
        <v>0</v>
      </c>
      <c r="I12" s="52"/>
      <c r="J12" s="52">
        <f>' CV Nov-25'!J12-' CV AUG-25'!J12</f>
        <v>0</v>
      </c>
      <c r="K12" s="52">
        <f>' CV Nov-25'!K12-' CV AUG-25'!K12</f>
        <v>0</v>
      </c>
      <c r="L12" s="52"/>
      <c r="M12" s="52">
        <f>' CV Nov-25'!M12-' CV AUG-25'!M12</f>
        <v>0</v>
      </c>
      <c r="N12" s="52">
        <f>' CV Nov-25'!N12-' CV AUG-25'!N12</f>
        <v>0</v>
      </c>
      <c r="O12" s="52"/>
      <c r="P12" s="52">
        <f>' CV Nov-25'!P12-' CV AUG-25'!P12</f>
        <v>0</v>
      </c>
      <c r="Q12" s="52">
        <f>' CV Nov-25'!Q12-' CV AUG-25'!Q12</f>
        <v>0</v>
      </c>
      <c r="R12" s="52"/>
      <c r="S12" s="52">
        <f>' CV Nov-25'!U12-' CV AUG-25'!S12</f>
        <v>0</v>
      </c>
      <c r="T12" s="52">
        <f>' CV Nov-25'!V12-' CV AUG-25'!T12</f>
        <v>0</v>
      </c>
      <c r="U12" s="52"/>
      <c r="V12" s="52">
        <f>' CV Nov-25'!X12-' CV AUG-25'!V12</f>
        <v>0</v>
      </c>
      <c r="W12" s="52">
        <f>' CV Nov-25'!Y12-' CV AUG-25'!W12</f>
        <v>0</v>
      </c>
      <c r="X12" s="52"/>
      <c r="Y12" s="52">
        <f>' CV Nov-25'!AC12-' CV AUG-25'!Y12</f>
        <v>0</v>
      </c>
      <c r="Z12" s="52">
        <f>' CV Nov-25'!AD12-' CV AUG-25'!Z12</f>
        <v>0</v>
      </c>
      <c r="AA12" s="52"/>
      <c r="AB12" s="52">
        <f>' CV Nov-25'!AF12-' CV AUG-25'!AB12</f>
        <v>0</v>
      </c>
      <c r="AC12" s="52">
        <f>' CV Nov-25'!AG12-' CV AUG-25'!AC12</f>
        <v>0</v>
      </c>
      <c r="AD12" s="52"/>
      <c r="AE12" s="52">
        <f>' CV Nov-25'!AI12-' CV AUG-25'!AE12</f>
        <v>0</v>
      </c>
      <c r="AF12" s="52">
        <f>' CV Nov-25'!AJ12-' CV AUG-25'!AF12</f>
        <v>0</v>
      </c>
      <c r="AG12" s="52"/>
      <c r="AH12" s="52">
        <f>' CV Nov-25'!AL12-' CV AUG-25'!AH12</f>
        <v>0</v>
      </c>
      <c r="AI12" s="52">
        <f>' CV Nov-25'!AM12-' CV AUG-25'!AI12</f>
        <v>0</v>
      </c>
      <c r="AJ12" s="52"/>
      <c r="AK12" s="52">
        <f>' CV Nov-25'!AO12-' CV AUG-25'!AK12</f>
        <v>0</v>
      </c>
      <c r="AL12" s="52">
        <f>' CV Nov-25'!AP12-' CV AUG-25'!AL12</f>
        <v>0</v>
      </c>
      <c r="AM12" s="52"/>
      <c r="AN12" s="52">
        <f>' CV Nov-25'!AR12-' CV AUG-25'!AN12</f>
        <v>0</v>
      </c>
      <c r="AO12" s="52">
        <f>' CV Nov-25'!AS12-' CV AUG-25'!AO12</f>
        <v>0</v>
      </c>
      <c r="AP12" s="52"/>
      <c r="AQ12" s="52">
        <f>' CV Nov-25'!AU12-' CV AUG-25'!AQ12</f>
        <v>0</v>
      </c>
      <c r="AR12" s="52">
        <f>' CV Nov-25'!AV12-' CV AUG-25'!AR12</f>
        <v>0</v>
      </c>
      <c r="AS12" s="52"/>
      <c r="AT12" s="52">
        <f>' CV Nov-25'!AX12-' CV AUG-25'!AT12</f>
        <v>0</v>
      </c>
      <c r="AU12" s="52">
        <f>' CV Nov-25'!AY12-' CV AUG-25'!AU12</f>
        <v>0</v>
      </c>
      <c r="AV12" s="52"/>
      <c r="AW12" s="52">
        <f>' CV Nov-25'!BA12-' CV AUG-25'!AW12</f>
        <v>0</v>
      </c>
      <c r="AX12" s="52">
        <f>' CV Nov-25'!BB12-' CV AUG-25'!AX12</f>
        <v>2.4999999999999994E-2</v>
      </c>
      <c r="AY12" s="52"/>
      <c r="AZ12" s="52">
        <f>' CV Nov-25'!BD12-' CV AUG-25'!AZ12</f>
        <v>0</v>
      </c>
      <c r="BA12" s="52">
        <f>' CV Nov-25'!BE12-' CV AUG-25'!BA12</f>
        <v>0</v>
      </c>
      <c r="BB12" s="52"/>
      <c r="BC12" s="52">
        <f>' CV Nov-25'!BG12-' CV AUG-25'!BC12</f>
        <v>0</v>
      </c>
      <c r="BD12" s="52">
        <f>' CV Nov-25'!BH12-' CV AUG-25'!BD12</f>
        <v>0</v>
      </c>
      <c r="BE12" s="52"/>
      <c r="BF12" s="52">
        <f>' CV Nov-25'!BJ12-' CV AUG-25'!BF12</f>
        <v>0</v>
      </c>
      <c r="BG12" s="52">
        <f>' CV Nov-25'!BK12-' CV AUG-25'!BG12</f>
        <v>0</v>
      </c>
      <c r="BH12" s="52">
        <f>' CV Nov-25'!BL12-' CV AUG-25'!BH12</f>
        <v>0</v>
      </c>
      <c r="BI12" s="52">
        <f>' CV Nov-25'!BM12-' CV AUG-25'!BI12</f>
        <v>0</v>
      </c>
      <c r="BJ12" s="52">
        <f>' CV Nov-25'!BN12-' CV AUG-25'!BJ12</f>
        <v>0</v>
      </c>
      <c r="BK12" s="52">
        <f>' CV Nov-25'!BO12-' CV AUG-25'!BK12</f>
        <v>0</v>
      </c>
    </row>
    <row r="13" spans="1:63" x14ac:dyDescent="0.35">
      <c r="B13" s="20"/>
      <c r="C13" s="158"/>
      <c r="D13" s="147" t="s">
        <v>105</v>
      </c>
      <c r="E13" s="148"/>
      <c r="F13" s="151"/>
      <c r="G13" s="52">
        <f>' CV Nov-25'!G13-' CV AUG-25'!G13</f>
        <v>0</v>
      </c>
      <c r="H13" s="52">
        <f>' CV Nov-25'!H13-' CV AUG-25'!H13</f>
        <v>0</v>
      </c>
      <c r="I13" s="52"/>
      <c r="J13" s="52">
        <f>' CV Nov-25'!J13-' CV AUG-25'!J13</f>
        <v>0</v>
      </c>
      <c r="K13" s="52">
        <f>' CV Nov-25'!K13-' CV AUG-25'!K13</f>
        <v>0</v>
      </c>
      <c r="L13" s="52"/>
      <c r="M13" s="52">
        <f>' CV Nov-25'!M13-' CV AUG-25'!M13</f>
        <v>0</v>
      </c>
      <c r="N13" s="52">
        <f>' CV Nov-25'!N13-' CV AUG-25'!N13</f>
        <v>0.15000000000000002</v>
      </c>
      <c r="O13" s="52"/>
      <c r="P13" s="52">
        <f>' CV Nov-25'!P13-' CV AUG-25'!P13</f>
        <v>0</v>
      </c>
      <c r="Q13" s="52">
        <f>' CV Nov-25'!Q13-' CV AUG-25'!Q13</f>
        <v>0</v>
      </c>
      <c r="R13" s="52"/>
      <c r="S13" s="52">
        <f>' CV Nov-25'!U13-' CV AUG-25'!S13</f>
        <v>0</v>
      </c>
      <c r="T13" s="52">
        <f>' CV Nov-25'!V13-' CV AUG-25'!T13</f>
        <v>0</v>
      </c>
      <c r="U13" s="52"/>
      <c r="V13" s="52">
        <f>' CV Nov-25'!X13-' CV AUG-25'!V13</f>
        <v>0</v>
      </c>
      <c r="W13" s="52">
        <f>' CV Nov-25'!Y13-' CV AUG-25'!W13</f>
        <v>0</v>
      </c>
      <c r="X13" s="52"/>
      <c r="Y13" s="52">
        <f>' CV Nov-25'!AC13-' CV AUG-25'!Y13</f>
        <v>0</v>
      </c>
      <c r="Z13" s="52">
        <f>' CV Nov-25'!AD13-' CV AUG-25'!Z13</f>
        <v>0</v>
      </c>
      <c r="AA13" s="52"/>
      <c r="AB13" s="52">
        <f>' CV Nov-25'!AF13-' CV AUG-25'!AB13</f>
        <v>0</v>
      </c>
      <c r="AC13" s="52">
        <f>' CV Nov-25'!AG13-' CV AUG-25'!AC13</f>
        <v>4.5000000000000012E-2</v>
      </c>
      <c r="AD13" s="52"/>
      <c r="AE13" s="52">
        <f>' CV Nov-25'!AI13-' CV AUG-25'!AE13</f>
        <v>0</v>
      </c>
      <c r="AF13" s="52">
        <f>' CV Nov-25'!AJ13-' CV AUG-25'!AF13</f>
        <v>0</v>
      </c>
      <c r="AG13" s="52"/>
      <c r="AH13" s="52">
        <f>' CV Nov-25'!AL13-' CV AUG-25'!AH13</f>
        <v>0</v>
      </c>
      <c r="AI13" s="52">
        <f>' CV Nov-25'!AM13-' CV AUG-25'!AI13</f>
        <v>0</v>
      </c>
      <c r="AJ13" s="52"/>
      <c r="AK13" s="52">
        <f>' CV Nov-25'!AO13-' CV AUG-25'!AK13</f>
        <v>0</v>
      </c>
      <c r="AL13" s="52">
        <f>' CV Nov-25'!AP13-' CV AUG-25'!AL13</f>
        <v>0</v>
      </c>
      <c r="AM13" s="52"/>
      <c r="AN13" s="52">
        <f>' CV Nov-25'!AR13-' CV AUG-25'!AN13</f>
        <v>0</v>
      </c>
      <c r="AO13" s="52">
        <f>' CV Nov-25'!AS13-' CV AUG-25'!AO13</f>
        <v>0</v>
      </c>
      <c r="AP13" s="52"/>
      <c r="AQ13" s="52">
        <f>' CV Nov-25'!AU13-' CV AUG-25'!AQ13</f>
        <v>0</v>
      </c>
      <c r="AR13" s="52">
        <f>' CV Nov-25'!AV13-' CV AUG-25'!AR13</f>
        <v>0</v>
      </c>
      <c r="AS13" s="52"/>
      <c r="AT13" s="52">
        <f>' CV Nov-25'!AX13-' CV AUG-25'!AT13</f>
        <v>0</v>
      </c>
      <c r="AU13" s="52">
        <f>' CV Nov-25'!AY13-' CV AUG-25'!AU13</f>
        <v>0</v>
      </c>
      <c r="AV13" s="52"/>
      <c r="AW13" s="52">
        <f>' CV Nov-25'!BA13-' CV AUG-25'!AW13</f>
        <v>0</v>
      </c>
      <c r="AX13" s="52">
        <f>' CV Nov-25'!BB13-' CV AUG-25'!AX13</f>
        <v>2.4999999999999994E-2</v>
      </c>
      <c r="AY13" s="52"/>
      <c r="AZ13" s="52">
        <f>' CV Nov-25'!BD13-' CV AUG-25'!AZ13</f>
        <v>0</v>
      </c>
      <c r="BA13" s="52">
        <f>' CV Nov-25'!BE13-' CV AUG-25'!BA13</f>
        <v>0</v>
      </c>
      <c r="BB13" s="52"/>
      <c r="BC13" s="52">
        <f>' CV Nov-25'!BG13-' CV AUG-25'!BC13</f>
        <v>0</v>
      </c>
      <c r="BD13" s="52">
        <f>' CV Nov-25'!BH13-' CV AUG-25'!BD13</f>
        <v>0</v>
      </c>
      <c r="BE13" s="52"/>
      <c r="BF13" s="52">
        <f>' CV Nov-25'!BJ13-' CV AUG-25'!BF13</f>
        <v>0</v>
      </c>
      <c r="BG13" s="52">
        <f>' CV Nov-25'!BK13-' CV AUG-25'!BG13</f>
        <v>0</v>
      </c>
      <c r="BH13" s="52">
        <f>' CV Nov-25'!BL13-' CV AUG-25'!BH13</f>
        <v>0</v>
      </c>
      <c r="BI13" s="52">
        <f>' CV Nov-25'!BM13-' CV AUG-25'!BI13</f>
        <v>0</v>
      </c>
      <c r="BJ13" s="52">
        <f>' CV Nov-25'!BN13-' CV AUG-25'!BJ13</f>
        <v>0</v>
      </c>
      <c r="BK13" s="52">
        <f>' CV Nov-25'!BO13-' CV AUG-25'!BK13</f>
        <v>0</v>
      </c>
    </row>
    <row r="14" spans="1:63" x14ac:dyDescent="0.35">
      <c r="B14" s="20"/>
      <c r="C14" s="158"/>
      <c r="D14" s="147" t="s">
        <v>106</v>
      </c>
      <c r="E14" s="148"/>
      <c r="F14" s="151"/>
      <c r="G14" s="52">
        <f>' CV Nov-25'!G14-' CV AUG-25'!G14</f>
        <v>0</v>
      </c>
      <c r="H14" s="52">
        <f>' CV Nov-25'!H14-' CV AUG-25'!H14</f>
        <v>0</v>
      </c>
      <c r="I14" s="52"/>
      <c r="J14" s="52">
        <f>' CV Nov-25'!J14-' CV AUG-25'!J14</f>
        <v>0</v>
      </c>
      <c r="K14" s="52">
        <f>' CV Nov-25'!K14-' CV AUG-25'!K14</f>
        <v>0</v>
      </c>
      <c r="L14" s="52"/>
      <c r="M14" s="52">
        <f>' CV Nov-25'!M14-' CV AUG-25'!M14</f>
        <v>0</v>
      </c>
      <c r="N14" s="52">
        <f>' CV Nov-25'!N14-' CV AUG-25'!N14</f>
        <v>0.15000000000000002</v>
      </c>
      <c r="O14" s="52"/>
      <c r="P14" s="52">
        <f>' CV Nov-25'!P14-' CV AUG-25'!P14</f>
        <v>0</v>
      </c>
      <c r="Q14" s="52">
        <f>' CV Nov-25'!Q14-' CV AUG-25'!Q14</f>
        <v>0</v>
      </c>
      <c r="R14" s="52"/>
      <c r="S14" s="52">
        <f>' CV Nov-25'!U14-' CV AUG-25'!S14</f>
        <v>0</v>
      </c>
      <c r="T14" s="52">
        <f>' CV Nov-25'!V14-' CV AUG-25'!T14</f>
        <v>0</v>
      </c>
      <c r="U14" s="52"/>
      <c r="V14" s="52">
        <f>' CV Nov-25'!X14-' CV AUG-25'!V14</f>
        <v>0</v>
      </c>
      <c r="W14" s="52">
        <f>' CV Nov-25'!Y14-' CV AUG-25'!W14</f>
        <v>0</v>
      </c>
      <c r="X14" s="52"/>
      <c r="Y14" s="52">
        <f>' CV Nov-25'!AC14-' CV AUG-25'!Y14</f>
        <v>0</v>
      </c>
      <c r="Z14" s="52">
        <f>' CV Nov-25'!AD14-' CV AUG-25'!Z14</f>
        <v>0</v>
      </c>
      <c r="AA14" s="52"/>
      <c r="AB14" s="52">
        <f>' CV Nov-25'!AF14-' CV AUG-25'!AB14</f>
        <v>0</v>
      </c>
      <c r="AC14" s="52">
        <f>' CV Nov-25'!AG14-' CV AUG-25'!AC14</f>
        <v>7.0000000000000007E-2</v>
      </c>
      <c r="AD14" s="52"/>
      <c r="AE14" s="52">
        <f>' CV Nov-25'!AI14-' CV AUG-25'!AE14</f>
        <v>0</v>
      </c>
      <c r="AF14" s="52">
        <f>' CV Nov-25'!AJ14-' CV AUG-25'!AF14</f>
        <v>0</v>
      </c>
      <c r="AG14" s="52"/>
      <c r="AH14" s="52">
        <f>' CV Nov-25'!AL14-' CV AUG-25'!AH14</f>
        <v>0</v>
      </c>
      <c r="AI14" s="52">
        <f>' CV Nov-25'!AM14-' CV AUG-25'!AI14</f>
        <v>2.5000000000000022E-2</v>
      </c>
      <c r="AJ14" s="52"/>
      <c r="AK14" s="52">
        <f>' CV Nov-25'!AO14-' CV AUG-25'!AK14</f>
        <v>0</v>
      </c>
      <c r="AL14" s="52">
        <f>' CV Nov-25'!AP14-' CV AUG-25'!AL14</f>
        <v>0</v>
      </c>
      <c r="AM14" s="52"/>
      <c r="AN14" s="52">
        <f>' CV Nov-25'!AR14-' CV AUG-25'!AN14</f>
        <v>0</v>
      </c>
      <c r="AO14" s="52">
        <f>' CV Nov-25'!AS14-' CV AUG-25'!AO14</f>
        <v>0</v>
      </c>
      <c r="AP14" s="52"/>
      <c r="AQ14" s="52">
        <f>' CV Nov-25'!AU14-' CV AUG-25'!AQ14</f>
        <v>0</v>
      </c>
      <c r="AR14" s="52">
        <f>' CV Nov-25'!AV14-' CV AUG-25'!AR14</f>
        <v>0</v>
      </c>
      <c r="AS14" s="52"/>
      <c r="AT14" s="52">
        <f>' CV Nov-25'!AX14-' CV AUG-25'!AT14</f>
        <v>0</v>
      </c>
      <c r="AU14" s="52">
        <f>' CV Nov-25'!AY14-' CV AUG-25'!AU14</f>
        <v>0</v>
      </c>
      <c r="AV14" s="52"/>
      <c r="AW14" s="52">
        <f>' CV Nov-25'!BA14-' CV AUG-25'!AW14</f>
        <v>0</v>
      </c>
      <c r="AX14" s="52">
        <f>' CV Nov-25'!BB14-' CV AUG-25'!AX14</f>
        <v>4.9999999999999989E-2</v>
      </c>
      <c r="AY14" s="52"/>
      <c r="AZ14" s="52">
        <f>' CV Nov-25'!BD14-' CV AUG-25'!AZ14</f>
        <v>0</v>
      </c>
      <c r="BA14" s="52">
        <f>' CV Nov-25'!BE14-' CV AUG-25'!BA14</f>
        <v>0</v>
      </c>
      <c r="BB14" s="52"/>
      <c r="BC14" s="52">
        <f>' CV Nov-25'!BG14-' CV AUG-25'!BC14</f>
        <v>0</v>
      </c>
      <c r="BD14" s="52">
        <f>' CV Nov-25'!BH14-' CV AUG-25'!BD14</f>
        <v>0</v>
      </c>
      <c r="BE14" s="52"/>
      <c r="BF14" s="52">
        <f>' CV Nov-25'!BJ14-' CV AUG-25'!BF14</f>
        <v>0</v>
      </c>
      <c r="BG14" s="52">
        <f>' CV Nov-25'!BK14-' CV AUG-25'!BG14</f>
        <v>0</v>
      </c>
      <c r="BH14" s="52">
        <f>' CV Nov-25'!BL14-' CV AUG-25'!BH14</f>
        <v>0</v>
      </c>
      <c r="BI14" s="52">
        <f>' CV Nov-25'!BM14-' CV AUG-25'!BI14</f>
        <v>0</v>
      </c>
      <c r="BJ14" s="52">
        <f>' CV Nov-25'!BN14-' CV AUG-25'!BJ14</f>
        <v>0</v>
      </c>
      <c r="BK14" s="52">
        <f>' CV Nov-25'!BO14-' CV AUG-25'!BK14</f>
        <v>0</v>
      </c>
    </row>
    <row r="15" spans="1:63" x14ac:dyDescent="0.35">
      <c r="B15" s="20"/>
      <c r="C15" s="158"/>
      <c r="D15" s="147" t="s">
        <v>107</v>
      </c>
      <c r="E15" s="148"/>
      <c r="F15" s="151"/>
      <c r="G15" s="52">
        <f>' CV Nov-25'!G15-' CV AUG-25'!G15</f>
        <v>0</v>
      </c>
      <c r="H15" s="52">
        <f>' CV Nov-25'!H15-' CV AUG-25'!H15</f>
        <v>2.4999999999999967E-2</v>
      </c>
      <c r="I15" s="52"/>
      <c r="J15" s="52">
        <f>' CV Nov-25'!J15-' CV AUG-25'!J15</f>
        <v>0</v>
      </c>
      <c r="K15" s="52">
        <f>' CV Nov-25'!K15-' CV AUG-25'!K15</f>
        <v>0</v>
      </c>
      <c r="L15" s="52"/>
      <c r="M15" s="52">
        <f>' CV Nov-25'!M15-' CV AUG-25'!M15</f>
        <v>0</v>
      </c>
      <c r="N15" s="52">
        <f>' CV Nov-25'!N15-' CV AUG-25'!N15</f>
        <v>0.1</v>
      </c>
      <c r="O15" s="52"/>
      <c r="P15" s="52">
        <f>' CV Nov-25'!P15-' CV AUG-25'!P15</f>
        <v>0</v>
      </c>
      <c r="Q15" s="52">
        <f>' CV Nov-25'!Q15-' CV AUG-25'!Q15</f>
        <v>4.9999999999999989E-2</v>
      </c>
      <c r="R15" s="52"/>
      <c r="S15" s="52">
        <f>' CV Nov-25'!U15-' CV AUG-25'!S15</f>
        <v>0</v>
      </c>
      <c r="T15" s="52">
        <f>' CV Nov-25'!V15-' CV AUG-25'!T15</f>
        <v>4.9999999999999989E-2</v>
      </c>
      <c r="U15" s="52"/>
      <c r="V15" s="52">
        <f>' CV Nov-25'!X15-' CV AUG-25'!V15</f>
        <v>0</v>
      </c>
      <c r="W15" s="52">
        <f>' CV Nov-25'!Y15-' CV AUG-25'!W15</f>
        <v>0</v>
      </c>
      <c r="X15" s="52"/>
      <c r="Y15" s="52">
        <f>' CV Nov-25'!AC15-' CV AUG-25'!Y15</f>
        <v>0</v>
      </c>
      <c r="Z15" s="52">
        <f>' CV Nov-25'!AD15-' CV AUG-25'!Z15</f>
        <v>0</v>
      </c>
      <c r="AA15" s="52"/>
      <c r="AB15" s="52">
        <f>' CV Nov-25'!AF15-' CV AUG-25'!AB15</f>
        <v>0</v>
      </c>
      <c r="AC15" s="52">
        <f>' CV Nov-25'!AG15-' CV AUG-25'!AC15</f>
        <v>0</v>
      </c>
      <c r="AD15" s="52"/>
      <c r="AE15" s="52">
        <f>' CV Nov-25'!AI15-' CV AUG-25'!AE15</f>
        <v>0</v>
      </c>
      <c r="AF15" s="52">
        <f>' CV Nov-25'!AJ15-' CV AUG-25'!AF15</f>
        <v>0</v>
      </c>
      <c r="AG15" s="52"/>
      <c r="AH15" s="52">
        <f>' CV Nov-25'!AL15-' CV AUG-25'!AH15</f>
        <v>0</v>
      </c>
      <c r="AI15" s="52">
        <f>' CV Nov-25'!AM15-' CV AUG-25'!AI15</f>
        <v>0.09</v>
      </c>
      <c r="AJ15" s="52"/>
      <c r="AK15" s="52">
        <f>' CV Nov-25'!AO15-' CV AUG-25'!AK15</f>
        <v>0</v>
      </c>
      <c r="AL15" s="52">
        <f>' CV Nov-25'!AP15-' CV AUG-25'!AL15</f>
        <v>0</v>
      </c>
      <c r="AM15" s="52"/>
      <c r="AN15" s="52">
        <f>' CV Nov-25'!AR15-' CV AUG-25'!AN15</f>
        <v>0</v>
      </c>
      <c r="AO15" s="52">
        <f>' CV Nov-25'!AS15-' CV AUG-25'!AO15</f>
        <v>0</v>
      </c>
      <c r="AP15" s="52"/>
      <c r="AQ15" s="52">
        <f>' CV Nov-25'!AU15-' CV AUG-25'!AQ15</f>
        <v>0</v>
      </c>
      <c r="AR15" s="52">
        <f>' CV Nov-25'!AV15-' CV AUG-25'!AR15</f>
        <v>0</v>
      </c>
      <c r="AS15" s="52"/>
      <c r="AT15" s="52">
        <f>' CV Nov-25'!AX15-' CV AUG-25'!AT15</f>
        <v>0</v>
      </c>
      <c r="AU15" s="52">
        <f>' CV Nov-25'!AY15-' CV AUG-25'!AU15</f>
        <v>0</v>
      </c>
      <c r="AV15" s="52"/>
      <c r="AW15" s="52">
        <f>' CV Nov-25'!BA15-' CV AUG-25'!AW15</f>
        <v>0</v>
      </c>
      <c r="AX15" s="52">
        <f>' CV Nov-25'!BB15-' CV AUG-25'!AX15</f>
        <v>2.5000000000000008E-2</v>
      </c>
      <c r="AY15" s="52"/>
      <c r="AZ15" s="52">
        <f>' CV Nov-25'!BD15-' CV AUG-25'!AZ15</f>
        <v>0</v>
      </c>
      <c r="BA15" s="52">
        <f>' CV Nov-25'!BE15-' CV AUG-25'!BA15</f>
        <v>0</v>
      </c>
      <c r="BB15" s="52"/>
      <c r="BC15" s="52">
        <f>' CV Nov-25'!BG15-' CV AUG-25'!BC15</f>
        <v>0</v>
      </c>
      <c r="BD15" s="52">
        <f>' CV Nov-25'!BH15-' CV AUG-25'!BD15</f>
        <v>0</v>
      </c>
      <c r="BE15" s="52"/>
      <c r="BF15" s="52">
        <f>' CV Nov-25'!BJ15-' CV AUG-25'!BF15</f>
        <v>0</v>
      </c>
      <c r="BG15" s="52">
        <f>' CV Nov-25'!BK15-' CV AUG-25'!BG15</f>
        <v>0</v>
      </c>
      <c r="BH15" s="52">
        <f>' CV Nov-25'!BL15-' CV AUG-25'!BH15</f>
        <v>0</v>
      </c>
      <c r="BI15" s="52">
        <f>' CV Nov-25'!BM15-' CV AUG-25'!BI15</f>
        <v>0</v>
      </c>
      <c r="BJ15" s="52">
        <f>' CV Nov-25'!BN15-' CV AUG-25'!BJ15</f>
        <v>0</v>
      </c>
      <c r="BK15" s="52">
        <f>' CV Nov-25'!BO15-' CV AUG-25'!BK15</f>
        <v>0</v>
      </c>
    </row>
    <row r="16" spans="1:63" x14ac:dyDescent="0.35">
      <c r="B16" s="20"/>
      <c r="C16" s="158"/>
      <c r="D16" s="147" t="s">
        <v>108</v>
      </c>
      <c r="E16" s="148"/>
      <c r="F16" s="151"/>
      <c r="G16" s="52">
        <f>' CV Nov-25'!G16-' CV AUG-25'!G16</f>
        <v>0</v>
      </c>
      <c r="H16" s="52">
        <f>' CV Nov-25'!H16-' CV AUG-25'!H16</f>
        <v>1.999999999999999E-2</v>
      </c>
      <c r="I16" s="52"/>
      <c r="J16" s="52">
        <f>' CV Nov-25'!J16-' CV AUG-25'!J16</f>
        <v>0</v>
      </c>
      <c r="K16" s="52">
        <f>' CV Nov-25'!K16-' CV AUG-25'!K16</f>
        <v>0</v>
      </c>
      <c r="L16" s="52">
        <v>0</v>
      </c>
      <c r="M16" s="52">
        <f>' CV Nov-25'!M16-' CV AUG-25'!M16</f>
        <v>0</v>
      </c>
      <c r="N16" s="52">
        <f>' CV Nov-25'!N16-' CV AUG-25'!N16</f>
        <v>0</v>
      </c>
      <c r="O16" s="52"/>
      <c r="P16" s="52">
        <f>' CV Nov-25'!P16-' CV AUG-25'!P16</f>
        <v>0</v>
      </c>
      <c r="Q16" s="52">
        <f>' CV Nov-25'!Q16-' CV AUG-25'!Q16</f>
        <v>4.4999999999999984E-2</v>
      </c>
      <c r="R16" s="52"/>
      <c r="S16" s="52">
        <f>' CV Nov-25'!U16-' CV AUG-25'!S16</f>
        <v>0</v>
      </c>
      <c r="T16" s="52">
        <f>' CV Nov-25'!V16-' CV AUG-25'!T16</f>
        <v>0</v>
      </c>
      <c r="U16" s="52"/>
      <c r="V16" s="52">
        <f>' CV Nov-25'!X16-' CV AUG-25'!V16</f>
        <v>0</v>
      </c>
      <c r="W16" s="52">
        <f>' CV Nov-25'!Y16-' CV AUG-25'!W16</f>
        <v>0</v>
      </c>
      <c r="X16" s="52"/>
      <c r="Y16" s="52">
        <f>' CV Nov-25'!AC16-' CV AUG-25'!Y16</f>
        <v>0</v>
      </c>
      <c r="Z16" s="52">
        <f>' CV Nov-25'!AD16-' CV AUG-25'!Z16</f>
        <v>0</v>
      </c>
      <c r="AA16" s="52"/>
      <c r="AB16" s="52">
        <f>' CV Nov-25'!AF16-' CV AUG-25'!AB16</f>
        <v>0</v>
      </c>
      <c r="AC16" s="52">
        <f>' CV Nov-25'!AG16-' CV AUG-25'!AC16</f>
        <v>0</v>
      </c>
      <c r="AD16" s="52"/>
      <c r="AE16" s="52">
        <f>' CV Nov-25'!AI16-' CV AUG-25'!AE16</f>
        <v>0</v>
      </c>
      <c r="AF16" s="52">
        <f>' CV Nov-25'!AJ16-' CV AUG-25'!AF16</f>
        <v>0</v>
      </c>
      <c r="AG16" s="52"/>
      <c r="AH16" s="52">
        <f>' CV Nov-25'!AL16-' CV AUG-25'!AH16</f>
        <v>0</v>
      </c>
      <c r="AI16" s="52">
        <f>' CV Nov-25'!AM16-' CV AUG-25'!AI16</f>
        <v>4.0000000000000008E-2</v>
      </c>
      <c r="AJ16" s="52"/>
      <c r="AK16" s="52">
        <f>' CV Nov-25'!AO16-' CV AUG-25'!AK16</f>
        <v>0</v>
      </c>
      <c r="AL16" s="52">
        <f>' CV Nov-25'!AP16-' CV AUG-25'!AL16</f>
        <v>0</v>
      </c>
      <c r="AM16" s="52"/>
      <c r="AN16" s="52">
        <f>' CV Nov-25'!AR16-' CV AUG-25'!AN16</f>
        <v>0</v>
      </c>
      <c r="AO16" s="52">
        <f>' CV Nov-25'!AS16-' CV AUG-25'!AO16</f>
        <v>0</v>
      </c>
      <c r="AP16" s="52"/>
      <c r="AQ16" s="52">
        <f>' CV Nov-25'!AU16-' CV AUG-25'!AQ16</f>
        <v>0</v>
      </c>
      <c r="AR16" s="52">
        <f>' CV Nov-25'!AV16-' CV AUG-25'!AR16</f>
        <v>0</v>
      </c>
      <c r="AS16" s="52"/>
      <c r="AT16" s="52">
        <f>' CV Nov-25'!AX16-' CV AUG-25'!AT16</f>
        <v>0</v>
      </c>
      <c r="AU16" s="52">
        <f>' CV Nov-25'!AY16-' CV AUG-25'!AU16</f>
        <v>0</v>
      </c>
      <c r="AV16" s="52"/>
      <c r="AW16" s="52">
        <f>' CV Nov-25'!BA16-' CV AUG-25'!AW16</f>
        <v>0</v>
      </c>
      <c r="AX16" s="52">
        <f>' CV Nov-25'!BB16-' CV AUG-25'!AX16</f>
        <v>0</v>
      </c>
      <c r="AY16" s="52"/>
      <c r="AZ16" s="52">
        <f>' CV Nov-25'!BD16-' CV AUG-25'!AZ16</f>
        <v>0</v>
      </c>
      <c r="BA16" s="52">
        <f>' CV Nov-25'!BE16-' CV AUG-25'!BA16</f>
        <v>0</v>
      </c>
      <c r="BB16" s="52"/>
      <c r="BC16" s="52">
        <f>' CV Nov-25'!BG16-' CV AUG-25'!BC16</f>
        <v>0</v>
      </c>
      <c r="BD16" s="52">
        <f>' CV Nov-25'!BH16-' CV AUG-25'!BD16</f>
        <v>0</v>
      </c>
      <c r="BE16" s="52"/>
      <c r="BF16" s="52">
        <f>' CV Nov-25'!BJ16-' CV AUG-25'!BF16</f>
        <v>0</v>
      </c>
      <c r="BG16" s="52">
        <f>' CV Nov-25'!BK16-' CV AUG-25'!BG16</f>
        <v>0</v>
      </c>
      <c r="BH16" s="52">
        <f>' CV Nov-25'!BL16-' CV AUG-25'!BH16</f>
        <v>0</v>
      </c>
      <c r="BI16" s="52">
        <f>' CV Nov-25'!BM16-' CV AUG-25'!BI16</f>
        <v>0</v>
      </c>
      <c r="BJ16" s="52">
        <f>' CV Nov-25'!BN16-' CV AUG-25'!BJ16</f>
        <v>0</v>
      </c>
      <c r="BK16" s="52">
        <f>' CV Nov-25'!BO16-' CV AUG-25'!BK16</f>
        <v>0</v>
      </c>
    </row>
    <row r="17" spans="2:63" x14ac:dyDescent="0.35">
      <c r="B17" s="20"/>
      <c r="C17" s="158"/>
      <c r="D17" s="147" t="s">
        <v>147</v>
      </c>
      <c r="E17" s="148"/>
      <c r="F17" s="151"/>
      <c r="G17" s="52">
        <f>' CV Nov-25'!G17-' CV AUG-25'!G17</f>
        <v>0</v>
      </c>
      <c r="H17" s="52">
        <f>' CV Nov-25'!H17-' CV AUG-25'!H17</f>
        <v>0</v>
      </c>
      <c r="I17" s="52"/>
      <c r="J17" s="52">
        <f>' CV Nov-25'!J17-' CV AUG-25'!J17</f>
        <v>0</v>
      </c>
      <c r="K17" s="52">
        <f>' CV Nov-25'!K17-' CV AUG-25'!K17</f>
        <v>0</v>
      </c>
      <c r="L17" s="52">
        <v>0</v>
      </c>
      <c r="M17" s="52">
        <f>' CV Nov-25'!M17-' CV AUG-25'!M17</f>
        <v>0</v>
      </c>
      <c r="N17" s="52">
        <f>' CV Nov-25'!N17-' CV AUG-25'!N17</f>
        <v>0</v>
      </c>
      <c r="O17" s="52"/>
      <c r="P17" s="52">
        <f>' CV Nov-25'!P17-' CV AUG-25'!P17</f>
        <v>0</v>
      </c>
      <c r="Q17" s="52">
        <f>' CV Nov-25'!Q17-' CV AUG-25'!Q17</f>
        <v>0</v>
      </c>
      <c r="R17" s="52"/>
      <c r="S17" s="52">
        <f>' CV Nov-25'!U17-' CV AUG-25'!S17</f>
        <v>0</v>
      </c>
      <c r="T17" s="52">
        <f>' CV Nov-25'!V17-' CV AUG-25'!T17</f>
        <v>0</v>
      </c>
      <c r="U17" s="52"/>
      <c r="V17" s="52">
        <f>' CV Nov-25'!X17-' CV AUG-25'!V17</f>
        <v>0</v>
      </c>
      <c r="W17" s="52">
        <f>' CV Nov-25'!Y17-' CV AUG-25'!W17</f>
        <v>0</v>
      </c>
      <c r="X17" s="52"/>
      <c r="Y17" s="52">
        <f>' CV Nov-25'!AC17-' CV AUG-25'!Y17</f>
        <v>0</v>
      </c>
      <c r="Z17" s="52">
        <f>' CV Nov-25'!AD17-' CV AUG-25'!Z17</f>
        <v>0</v>
      </c>
      <c r="AA17" s="52"/>
      <c r="AB17" s="52">
        <f>' CV Nov-25'!AF17-' CV AUG-25'!AB17</f>
        <v>0</v>
      </c>
      <c r="AC17" s="52">
        <f>' CV Nov-25'!AG17-' CV AUG-25'!AC17</f>
        <v>0</v>
      </c>
      <c r="AD17" s="52"/>
      <c r="AE17" s="52">
        <f>' CV Nov-25'!AI17-' CV AUG-25'!AE17</f>
        <v>0</v>
      </c>
      <c r="AF17" s="52">
        <f>' CV Nov-25'!AJ17-' CV AUG-25'!AF17</f>
        <v>0</v>
      </c>
      <c r="AG17" s="52"/>
      <c r="AH17" s="52">
        <f>' CV Nov-25'!AL17-' CV AUG-25'!AH17</f>
        <v>0</v>
      </c>
      <c r="AI17" s="52">
        <f>' CV Nov-25'!AM17-' CV AUG-25'!AI17</f>
        <v>0.22500000000000001</v>
      </c>
      <c r="AJ17" s="52"/>
      <c r="AK17" s="52">
        <f>' CV Nov-25'!AO17-' CV AUG-25'!AK17</f>
        <v>0</v>
      </c>
      <c r="AL17" s="52">
        <f>' CV Nov-25'!AP17-' CV AUG-25'!AL17</f>
        <v>0</v>
      </c>
      <c r="AM17" s="52"/>
      <c r="AN17" s="52">
        <f>' CV Nov-25'!AR17-' CV AUG-25'!AN17</f>
        <v>0</v>
      </c>
      <c r="AO17" s="52">
        <f>' CV Nov-25'!AS17-' CV AUG-25'!AO17</f>
        <v>0</v>
      </c>
      <c r="AP17" s="52"/>
      <c r="AQ17" s="52">
        <f>' CV Nov-25'!AU17-' CV AUG-25'!AQ17</f>
        <v>0</v>
      </c>
      <c r="AR17" s="52">
        <f>' CV Nov-25'!AV17-' CV AUG-25'!AR17</f>
        <v>0</v>
      </c>
      <c r="AS17" s="52"/>
      <c r="AT17" s="52">
        <f>' CV Nov-25'!AX17-' CV AUG-25'!AT17</f>
        <v>0</v>
      </c>
      <c r="AU17" s="52">
        <f>' CV Nov-25'!AY17-' CV AUG-25'!AU17</f>
        <v>0</v>
      </c>
      <c r="AV17" s="52"/>
      <c r="AW17" s="52">
        <f>' CV Nov-25'!BA17-' CV AUG-25'!AW17</f>
        <v>0</v>
      </c>
      <c r="AX17" s="52">
        <f>' CV Nov-25'!BB17-' CV AUG-25'!AX17</f>
        <v>0</v>
      </c>
      <c r="AY17" s="52"/>
      <c r="AZ17" s="52">
        <f>' CV Nov-25'!BD17-' CV AUG-25'!AZ17</f>
        <v>0</v>
      </c>
      <c r="BA17" s="52">
        <f>' CV Nov-25'!BE17-' CV AUG-25'!BA17</f>
        <v>0</v>
      </c>
      <c r="BB17" s="52"/>
      <c r="BC17" s="52">
        <f>' CV Nov-25'!BG17-' CV AUG-25'!BC17</f>
        <v>0</v>
      </c>
      <c r="BD17" s="52">
        <f>' CV Nov-25'!BH17-' CV AUG-25'!BD17</f>
        <v>0</v>
      </c>
      <c r="BE17" s="52"/>
      <c r="BF17" s="52">
        <f>' CV Nov-25'!BJ17-' CV AUG-25'!BF17</f>
        <v>0</v>
      </c>
      <c r="BG17" s="52">
        <f>' CV Nov-25'!BK17-' CV AUG-25'!BG17</f>
        <v>0</v>
      </c>
      <c r="BH17" s="52">
        <f>' CV Nov-25'!BL17-' CV AUG-25'!BH17</f>
        <v>0</v>
      </c>
      <c r="BI17" s="52">
        <f>' CV Nov-25'!BM17-' CV AUG-25'!BI17</f>
        <v>0</v>
      </c>
      <c r="BJ17" s="52">
        <f>' CV Nov-25'!BN17-' CV AUG-25'!BJ17</f>
        <v>0</v>
      </c>
      <c r="BK17" s="52">
        <f>' CV Nov-25'!BO17-' CV AUG-25'!BK17</f>
        <v>0</v>
      </c>
    </row>
    <row r="18" spans="2:63" x14ac:dyDescent="0.35">
      <c r="B18" s="20"/>
      <c r="C18" s="158"/>
      <c r="D18" s="147" t="s">
        <v>148</v>
      </c>
      <c r="E18" s="148"/>
      <c r="F18" s="151"/>
      <c r="G18" s="52">
        <f>' CV Nov-25'!G18-' CV AUG-25'!G18</f>
        <v>0</v>
      </c>
      <c r="H18" s="52">
        <f>' CV Nov-25'!H18-' CV AUG-25'!H18</f>
        <v>0</v>
      </c>
      <c r="I18" s="52">
        <v>0</v>
      </c>
      <c r="J18" s="52">
        <f>' CV Nov-25'!J18-' CV AUG-25'!J18</f>
        <v>0</v>
      </c>
      <c r="K18" s="52">
        <f>' CV Nov-25'!K18-' CV AUG-25'!K18</f>
        <v>0</v>
      </c>
      <c r="L18" s="52">
        <v>0</v>
      </c>
      <c r="M18" s="52">
        <f>' CV Nov-25'!M18-' CV AUG-25'!M18</f>
        <v>0</v>
      </c>
      <c r="N18" s="52">
        <f>' CV Nov-25'!N18-' CV AUG-25'!N18</f>
        <v>0</v>
      </c>
      <c r="O18" s="52">
        <v>0</v>
      </c>
      <c r="P18" s="52">
        <f>' CV Nov-25'!P18-' CV AUG-25'!P18</f>
        <v>0</v>
      </c>
      <c r="Q18" s="52">
        <f>' CV Nov-25'!Q18-' CV AUG-25'!Q18</f>
        <v>0</v>
      </c>
      <c r="R18" s="52">
        <v>0</v>
      </c>
      <c r="S18" s="52">
        <f>' CV Nov-25'!U18-' CV AUG-25'!S18</f>
        <v>0</v>
      </c>
      <c r="T18" s="52">
        <f>' CV Nov-25'!V18-' CV AUG-25'!T18</f>
        <v>0</v>
      </c>
      <c r="U18" s="52">
        <v>0</v>
      </c>
      <c r="V18" s="52">
        <f>' CV Nov-25'!X18-' CV AUG-25'!V18</f>
        <v>0</v>
      </c>
      <c r="W18" s="52">
        <f>' CV Nov-25'!Y18-' CV AUG-25'!W18</f>
        <v>0</v>
      </c>
      <c r="X18" s="52">
        <v>0</v>
      </c>
      <c r="Y18" s="52">
        <f>' CV Nov-25'!AC18-' CV AUG-25'!Y18</f>
        <v>0</v>
      </c>
      <c r="Z18" s="52">
        <f>' CV Nov-25'!AD18-' CV AUG-25'!Z18</f>
        <v>0</v>
      </c>
      <c r="AA18" s="52">
        <v>0</v>
      </c>
      <c r="AB18" s="52">
        <f>' CV Nov-25'!AF18-' CV AUG-25'!AB18</f>
        <v>0</v>
      </c>
      <c r="AC18" s="52">
        <f>' CV Nov-25'!AG18-' CV AUG-25'!AC18</f>
        <v>0</v>
      </c>
      <c r="AD18" s="52">
        <v>0</v>
      </c>
      <c r="AE18" s="52">
        <f>' CV Nov-25'!AI18-' CV AUG-25'!AE18</f>
        <v>0</v>
      </c>
      <c r="AF18" s="52">
        <f>' CV Nov-25'!AJ18-' CV AUG-25'!AF18</f>
        <v>0</v>
      </c>
      <c r="AG18" s="52">
        <v>0</v>
      </c>
      <c r="AH18" s="52">
        <f>' CV Nov-25'!AL18-' CV AUG-25'!AH18</f>
        <v>0</v>
      </c>
      <c r="AI18" s="52">
        <f>' CV Nov-25'!AM18-' CV AUG-25'!AI18</f>
        <v>0</v>
      </c>
      <c r="AJ18" s="52">
        <v>0</v>
      </c>
      <c r="AK18" s="52">
        <f>' CV Nov-25'!AO18-' CV AUG-25'!AK18</f>
        <v>0</v>
      </c>
      <c r="AL18" s="52">
        <f>' CV Nov-25'!AP18-' CV AUG-25'!AL18</f>
        <v>0</v>
      </c>
      <c r="AM18" s="52">
        <v>0</v>
      </c>
      <c r="AN18" s="52">
        <f>' CV Nov-25'!AR18-' CV AUG-25'!AN18</f>
        <v>0</v>
      </c>
      <c r="AO18" s="52">
        <f>' CV Nov-25'!AS18-' CV AUG-25'!AO18</f>
        <v>0</v>
      </c>
      <c r="AP18" s="52">
        <v>0</v>
      </c>
      <c r="AQ18" s="52">
        <f>' CV Nov-25'!AU18-' CV AUG-25'!AQ18</f>
        <v>0</v>
      </c>
      <c r="AR18" s="52">
        <f>' CV Nov-25'!AV18-' CV AUG-25'!AR18</f>
        <v>0</v>
      </c>
      <c r="AS18" s="52">
        <v>0</v>
      </c>
      <c r="AT18" s="52">
        <f>' CV Nov-25'!AX18-' CV AUG-25'!AT18</f>
        <v>0</v>
      </c>
      <c r="AU18" s="52">
        <f>' CV Nov-25'!AY18-' CV AUG-25'!AU18</f>
        <v>0</v>
      </c>
      <c r="AV18" s="52">
        <v>0</v>
      </c>
      <c r="AW18" s="52">
        <f>' CV Nov-25'!BA18-' CV AUG-25'!AW18</f>
        <v>0</v>
      </c>
      <c r="AX18" s="52">
        <f>' CV Nov-25'!BB18-' CV AUG-25'!AX18</f>
        <v>0</v>
      </c>
      <c r="AY18" s="52">
        <v>0</v>
      </c>
      <c r="AZ18" s="52">
        <f>' CV Nov-25'!BD18-' CV AUG-25'!AZ18</f>
        <v>0</v>
      </c>
      <c r="BA18" s="52">
        <f>' CV Nov-25'!BE18-' CV AUG-25'!BA18</f>
        <v>0</v>
      </c>
      <c r="BB18" s="52">
        <v>0</v>
      </c>
      <c r="BC18" s="52">
        <f>' CV Nov-25'!BG18-' CV AUG-25'!BC18</f>
        <v>0</v>
      </c>
      <c r="BD18" s="52">
        <f>' CV Nov-25'!BH18-' CV AUG-25'!BD18</f>
        <v>0</v>
      </c>
      <c r="BE18" s="52">
        <v>0</v>
      </c>
      <c r="BF18" s="52">
        <f>' CV Nov-25'!BJ18-' CV AUG-25'!BF18</f>
        <v>0</v>
      </c>
      <c r="BG18" s="52">
        <f>' CV Nov-25'!BK18-' CV AUG-25'!BG18</f>
        <v>0</v>
      </c>
      <c r="BH18" s="52">
        <f>' CV Nov-25'!BL18-' CV AUG-25'!BH18</f>
        <v>0</v>
      </c>
      <c r="BI18" s="52">
        <f>' CV Nov-25'!BM18-' CV AUG-25'!BI18</f>
        <v>0</v>
      </c>
      <c r="BJ18" s="52">
        <f>' CV Nov-25'!BN18-' CV AUG-25'!BJ18</f>
        <v>0</v>
      </c>
      <c r="BK18" s="52">
        <f>' CV Nov-25'!BO18-' CV AUG-25'!BK18</f>
        <v>0</v>
      </c>
    </row>
    <row r="19" spans="2:63" ht="5.25" customHeight="1" x14ac:dyDescent="0.35">
      <c r="B19" s="25"/>
      <c r="C19" s="54"/>
      <c r="D19" s="55"/>
      <c r="E19" s="55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</row>
    <row r="20" spans="2:63" x14ac:dyDescent="0.35">
      <c r="B20" s="56"/>
      <c r="C20" s="146" t="s">
        <v>109</v>
      </c>
      <c r="D20" s="147" t="s">
        <v>110</v>
      </c>
      <c r="E20" s="148"/>
      <c r="F20" s="151"/>
      <c r="G20" s="52">
        <f>' CV Nov-25'!G20-' CV AUG-25'!G20</f>
        <v>0</v>
      </c>
      <c r="H20" s="52">
        <f>' CV Nov-25'!H20-' CV AUG-25'!H20</f>
        <v>0</v>
      </c>
      <c r="I20" s="52">
        <v>0</v>
      </c>
      <c r="J20" s="52">
        <f>' CV Nov-25'!J20-' CV AUG-25'!J20</f>
        <v>0</v>
      </c>
      <c r="K20" s="52">
        <f>' CV Nov-25'!K20-' CV AUG-25'!K20</f>
        <v>0</v>
      </c>
      <c r="L20" s="52">
        <v>0</v>
      </c>
      <c r="M20" s="52">
        <f>' CV Nov-25'!M20-' CV AUG-25'!M20</f>
        <v>0</v>
      </c>
      <c r="N20" s="52">
        <f>' CV Nov-25'!N20-' CV AUG-25'!N20</f>
        <v>0</v>
      </c>
      <c r="O20" s="52">
        <v>0</v>
      </c>
      <c r="P20" s="52">
        <f>' CV Nov-25'!P20-' CV AUG-25'!P20</f>
        <v>0</v>
      </c>
      <c r="Q20" s="52">
        <f>' CV Nov-25'!Q20-' CV AUG-25'!Q20</f>
        <v>0</v>
      </c>
      <c r="R20" s="52">
        <v>0</v>
      </c>
      <c r="S20" s="52">
        <f>' CV Nov-25'!U20-' CV AUG-25'!S20</f>
        <v>0</v>
      </c>
      <c r="T20" s="52">
        <f>' CV Nov-25'!V20-' CV AUG-25'!T20</f>
        <v>0</v>
      </c>
      <c r="U20" s="52">
        <v>0</v>
      </c>
      <c r="V20" s="52">
        <f>' CV Nov-25'!X20-' CV AUG-25'!V20</f>
        <v>0</v>
      </c>
      <c r="W20" s="52">
        <f>' CV Nov-25'!Y20-' CV AUG-25'!W20</f>
        <v>0</v>
      </c>
      <c r="X20" s="52">
        <v>0</v>
      </c>
      <c r="Y20" s="52">
        <f>' CV Nov-25'!AC20-' CV AUG-25'!Y20</f>
        <v>0</v>
      </c>
      <c r="Z20" s="52">
        <f>' CV Nov-25'!AD20-' CV AUG-25'!Z20</f>
        <v>0</v>
      </c>
      <c r="AA20" s="52">
        <v>0</v>
      </c>
      <c r="AB20" s="52">
        <f>' CV Nov-25'!AF20-' CV AUG-25'!AB20</f>
        <v>0</v>
      </c>
      <c r="AC20" s="52">
        <f>' CV Nov-25'!AG20-' CV AUG-25'!AC20</f>
        <v>0</v>
      </c>
      <c r="AD20" s="52">
        <v>0</v>
      </c>
      <c r="AE20" s="52">
        <f>' CV Nov-25'!AI20-' CV AUG-25'!AE20</f>
        <v>0</v>
      </c>
      <c r="AF20" s="52">
        <f>' CV Nov-25'!AJ20-' CV AUG-25'!AF20</f>
        <v>0</v>
      </c>
      <c r="AG20" s="52">
        <v>0</v>
      </c>
      <c r="AH20" s="52">
        <f>' CV Nov-25'!AL20-' CV AUG-25'!AH20</f>
        <v>0</v>
      </c>
      <c r="AI20" s="52">
        <f>' CV Nov-25'!AM20-' CV AUG-25'!AI20</f>
        <v>0</v>
      </c>
      <c r="AJ20" s="52">
        <v>0</v>
      </c>
      <c r="AK20" s="52">
        <f>' CV Nov-25'!AO20-' CV AUG-25'!AK20</f>
        <v>0</v>
      </c>
      <c r="AL20" s="52">
        <f>' CV Nov-25'!AP20-' CV AUG-25'!AL20</f>
        <v>0</v>
      </c>
      <c r="AM20" s="52">
        <v>0</v>
      </c>
      <c r="AN20" s="52">
        <f>' CV Nov-25'!AR20-' CV AUG-25'!AN20</f>
        <v>0</v>
      </c>
      <c r="AO20" s="52">
        <f>' CV Nov-25'!AS20-' CV AUG-25'!AO20</f>
        <v>0</v>
      </c>
      <c r="AP20" s="52">
        <v>0</v>
      </c>
      <c r="AQ20" s="52">
        <f>' CV Nov-25'!AU20-' CV AUG-25'!AQ20</f>
        <v>0</v>
      </c>
      <c r="AR20" s="52">
        <f>' CV Nov-25'!AV20-' CV AUG-25'!AR20</f>
        <v>0</v>
      </c>
      <c r="AS20" s="52">
        <v>0</v>
      </c>
      <c r="AT20" s="52">
        <f>' CV Nov-25'!AX20-' CV AUG-25'!AT20</f>
        <v>0</v>
      </c>
      <c r="AU20" s="52">
        <f>' CV Nov-25'!AY20-' CV AUG-25'!AU20</f>
        <v>0</v>
      </c>
      <c r="AV20" s="52">
        <v>0</v>
      </c>
      <c r="AW20" s="52">
        <f>' CV Nov-25'!BA20-' CV AUG-25'!AW20</f>
        <v>0</v>
      </c>
      <c r="AX20" s="52">
        <f>' CV Nov-25'!BB20-' CV AUG-25'!AX20</f>
        <v>0</v>
      </c>
      <c r="AY20" s="52">
        <v>0</v>
      </c>
      <c r="AZ20" s="52">
        <f>' CV Nov-25'!BD20-' CV AUG-25'!AZ20</f>
        <v>0</v>
      </c>
      <c r="BA20" s="52">
        <f>' CV Nov-25'!BE20-' CV AUG-25'!BA20</f>
        <v>0</v>
      </c>
      <c r="BB20" s="52">
        <v>0</v>
      </c>
      <c r="BC20" s="52">
        <f>' CV Nov-25'!BG20-' CV AUG-25'!BC20</f>
        <v>0</v>
      </c>
      <c r="BD20" s="52">
        <f>' CV Nov-25'!BH20-' CV AUG-25'!BD20</f>
        <v>0</v>
      </c>
      <c r="BE20" s="52">
        <v>0</v>
      </c>
      <c r="BF20" s="52">
        <f>' CV Nov-25'!BJ20-' CV AUG-25'!BF20</f>
        <v>0</v>
      </c>
      <c r="BG20" s="52">
        <f>' CV Nov-25'!BK20-' CV AUG-25'!BG20</f>
        <v>0</v>
      </c>
      <c r="BH20" s="52">
        <f>' CV Nov-25'!BL20-' CV AUG-25'!BH20</f>
        <v>0</v>
      </c>
      <c r="BI20" s="52">
        <f>' CV Nov-25'!BM20-' CV AUG-25'!BI20</f>
        <v>0</v>
      </c>
      <c r="BJ20" s="52">
        <f>' CV Nov-25'!BN20-' CV AUG-25'!BJ20</f>
        <v>0</v>
      </c>
      <c r="BK20" s="52">
        <f>' CV Nov-25'!BO20-' CV AUG-25'!BK20</f>
        <v>0</v>
      </c>
    </row>
    <row r="21" spans="2:63" x14ac:dyDescent="0.35">
      <c r="B21" s="56"/>
      <c r="C21" s="146"/>
      <c r="D21" s="155" t="s">
        <v>111</v>
      </c>
      <c r="E21" s="156"/>
      <c r="F21" s="157"/>
      <c r="G21" s="52">
        <f>' CV Nov-25'!G21-' CV AUG-25'!G21</f>
        <v>0</v>
      </c>
      <c r="H21" s="52">
        <f>' CV Nov-25'!H21-' CV AUG-25'!H21</f>
        <v>0</v>
      </c>
      <c r="I21" s="52">
        <v>0</v>
      </c>
      <c r="J21" s="52">
        <f>' CV Nov-25'!J21-' CV AUG-25'!J21</f>
        <v>0</v>
      </c>
      <c r="K21" s="52">
        <f>' CV Nov-25'!K21-' CV AUG-25'!K21</f>
        <v>0</v>
      </c>
      <c r="L21" s="52">
        <v>0</v>
      </c>
      <c r="M21" s="52">
        <f>' CV Nov-25'!M21-' CV AUG-25'!M21</f>
        <v>0</v>
      </c>
      <c r="N21" s="52">
        <f>' CV Nov-25'!N21-' CV AUG-25'!N21</f>
        <v>0</v>
      </c>
      <c r="O21" s="52">
        <v>0</v>
      </c>
      <c r="P21" s="52">
        <f>' CV Nov-25'!P21-' CV AUG-25'!P21</f>
        <v>0</v>
      </c>
      <c r="Q21" s="52">
        <f>' CV Nov-25'!Q21-' CV AUG-25'!Q21</f>
        <v>0</v>
      </c>
      <c r="R21" s="52">
        <v>0</v>
      </c>
      <c r="S21" s="52">
        <f>' CV Nov-25'!U21-' CV AUG-25'!S21</f>
        <v>0</v>
      </c>
      <c r="T21" s="52">
        <f>' CV Nov-25'!V21-' CV AUG-25'!T21</f>
        <v>0</v>
      </c>
      <c r="U21" s="52">
        <v>0</v>
      </c>
      <c r="V21" s="52">
        <f>' CV Nov-25'!X21-' CV AUG-25'!V21</f>
        <v>0</v>
      </c>
      <c r="W21" s="52">
        <f>' CV Nov-25'!Y21-' CV AUG-25'!W21</f>
        <v>0</v>
      </c>
      <c r="X21" s="52">
        <v>0</v>
      </c>
      <c r="Y21" s="52">
        <f>' CV Nov-25'!AC21-' CV AUG-25'!Y21</f>
        <v>0</v>
      </c>
      <c r="Z21" s="52">
        <f>' CV Nov-25'!AD21-' CV AUG-25'!Z21</f>
        <v>0</v>
      </c>
      <c r="AA21" s="52">
        <v>0</v>
      </c>
      <c r="AB21" s="52">
        <f>' CV Nov-25'!AF21-' CV AUG-25'!AB21</f>
        <v>0</v>
      </c>
      <c r="AC21" s="52">
        <f>' CV Nov-25'!AG21-' CV AUG-25'!AC21</f>
        <v>0</v>
      </c>
      <c r="AD21" s="52">
        <v>0</v>
      </c>
      <c r="AE21" s="52">
        <f>' CV Nov-25'!AI21-' CV AUG-25'!AE21</f>
        <v>0</v>
      </c>
      <c r="AF21" s="52">
        <f>' CV Nov-25'!AJ21-' CV AUG-25'!AF21</f>
        <v>0</v>
      </c>
      <c r="AG21" s="52">
        <v>0</v>
      </c>
      <c r="AH21" s="52">
        <f>' CV Nov-25'!AL21-' CV AUG-25'!AH21</f>
        <v>0</v>
      </c>
      <c r="AI21" s="52">
        <f>' CV Nov-25'!AM21-' CV AUG-25'!AI21</f>
        <v>0</v>
      </c>
      <c r="AJ21" s="52">
        <v>0</v>
      </c>
      <c r="AK21" s="52">
        <f>' CV Nov-25'!AO21-' CV AUG-25'!AK21</f>
        <v>0</v>
      </c>
      <c r="AL21" s="52">
        <f>' CV Nov-25'!AP21-' CV AUG-25'!AL21</f>
        <v>0</v>
      </c>
      <c r="AM21" s="52">
        <v>0</v>
      </c>
      <c r="AN21" s="52">
        <f>' CV Nov-25'!AR21-' CV AUG-25'!AN21</f>
        <v>0</v>
      </c>
      <c r="AO21" s="52">
        <f>' CV Nov-25'!AS21-' CV AUG-25'!AO21</f>
        <v>0</v>
      </c>
      <c r="AP21" s="52">
        <v>0</v>
      </c>
      <c r="AQ21" s="52">
        <f>' CV Nov-25'!AU21-' CV AUG-25'!AQ21</f>
        <v>0</v>
      </c>
      <c r="AR21" s="52">
        <f>' CV Nov-25'!AV21-' CV AUG-25'!AR21</f>
        <v>0</v>
      </c>
      <c r="AS21" s="52">
        <v>0</v>
      </c>
      <c r="AT21" s="52">
        <f>' CV Nov-25'!AX21-' CV AUG-25'!AT21</f>
        <v>0</v>
      </c>
      <c r="AU21" s="52">
        <f>' CV Nov-25'!AY21-' CV AUG-25'!AU21</f>
        <v>0</v>
      </c>
      <c r="AV21" s="52">
        <v>0</v>
      </c>
      <c r="AW21" s="52">
        <f>' CV Nov-25'!BA21-' CV AUG-25'!AW21</f>
        <v>0</v>
      </c>
      <c r="AX21" s="52">
        <f>' CV Nov-25'!BB21-' CV AUG-25'!AX21</f>
        <v>0</v>
      </c>
      <c r="AY21" s="52">
        <v>0</v>
      </c>
      <c r="AZ21" s="52">
        <f>' CV Nov-25'!BD21-' CV AUG-25'!AZ21</f>
        <v>0</v>
      </c>
      <c r="BA21" s="52">
        <f>' CV Nov-25'!BE21-' CV AUG-25'!BA21</f>
        <v>0</v>
      </c>
      <c r="BB21" s="52">
        <v>0</v>
      </c>
      <c r="BC21" s="52">
        <f>' CV Nov-25'!BG21-' CV AUG-25'!BC21</f>
        <v>0</v>
      </c>
      <c r="BD21" s="52">
        <f>' CV Nov-25'!BH21-' CV AUG-25'!BD21</f>
        <v>0</v>
      </c>
      <c r="BE21" s="52">
        <v>0</v>
      </c>
      <c r="BF21" s="52">
        <f>' CV Nov-25'!BJ21-' CV AUG-25'!BF21</f>
        <v>0</v>
      </c>
      <c r="BG21" s="52">
        <f>' CV Nov-25'!BK21-' CV AUG-25'!BG21</f>
        <v>0</v>
      </c>
      <c r="BH21" s="52">
        <f>' CV Nov-25'!BL21-' CV AUG-25'!BH21</f>
        <v>0</v>
      </c>
      <c r="BI21" s="52">
        <f>' CV Nov-25'!BM21-' CV AUG-25'!BI21</f>
        <v>0</v>
      </c>
      <c r="BJ21" s="52">
        <f>' CV Nov-25'!BN21-' CV AUG-25'!BJ21</f>
        <v>0</v>
      </c>
      <c r="BK21" s="52">
        <f>' CV Nov-25'!BO21-' CV AUG-25'!BK21</f>
        <v>0</v>
      </c>
    </row>
    <row r="22" spans="2:63" x14ac:dyDescent="0.35">
      <c r="B22" s="56"/>
      <c r="C22" s="146"/>
      <c r="D22" s="147" t="s">
        <v>112</v>
      </c>
      <c r="E22" s="148"/>
      <c r="F22" s="151"/>
      <c r="G22" s="52">
        <f>' CV Nov-25'!G22-' CV AUG-25'!G22</f>
        <v>0</v>
      </c>
      <c r="H22" s="52">
        <f>' CV Nov-25'!H22-' CV AUG-25'!H22</f>
        <v>0</v>
      </c>
      <c r="I22" s="52">
        <v>0</v>
      </c>
      <c r="J22" s="52">
        <f>' CV Nov-25'!J22-' CV AUG-25'!J22</f>
        <v>0</v>
      </c>
      <c r="K22" s="52">
        <f>' CV Nov-25'!K22-' CV AUG-25'!K22</f>
        <v>0</v>
      </c>
      <c r="L22" s="52">
        <v>0</v>
      </c>
      <c r="M22" s="52">
        <f>' CV Nov-25'!M22-' CV AUG-25'!M22</f>
        <v>0</v>
      </c>
      <c r="N22" s="52">
        <f>' CV Nov-25'!N22-' CV AUG-25'!N22</f>
        <v>0</v>
      </c>
      <c r="O22" s="52">
        <v>0</v>
      </c>
      <c r="P22" s="52">
        <f>' CV Nov-25'!P22-' CV AUG-25'!P22</f>
        <v>0</v>
      </c>
      <c r="Q22" s="52">
        <f>' CV Nov-25'!Q22-' CV AUG-25'!Q22</f>
        <v>0</v>
      </c>
      <c r="R22" s="52">
        <v>0</v>
      </c>
      <c r="S22" s="52">
        <f>' CV Nov-25'!U22-' CV AUG-25'!S22</f>
        <v>0</v>
      </c>
      <c r="T22" s="52">
        <f>' CV Nov-25'!V22-' CV AUG-25'!T22</f>
        <v>0</v>
      </c>
      <c r="U22" s="52">
        <v>0</v>
      </c>
      <c r="V22" s="52">
        <f>' CV Nov-25'!X22-' CV AUG-25'!V22</f>
        <v>0</v>
      </c>
      <c r="W22" s="52">
        <f>' CV Nov-25'!Y22-' CV AUG-25'!W22</f>
        <v>0</v>
      </c>
      <c r="X22" s="52">
        <v>0</v>
      </c>
      <c r="Y22" s="52">
        <f>' CV Nov-25'!AC22-' CV AUG-25'!Y22</f>
        <v>0</v>
      </c>
      <c r="Z22" s="52">
        <f>' CV Nov-25'!AD22-' CV AUG-25'!Z22</f>
        <v>0</v>
      </c>
      <c r="AA22" s="52">
        <v>0</v>
      </c>
      <c r="AB22" s="52">
        <f>' CV Nov-25'!AF22-' CV AUG-25'!AB22</f>
        <v>0</v>
      </c>
      <c r="AC22" s="52">
        <f>' CV Nov-25'!AG22-' CV AUG-25'!AC22</f>
        <v>0</v>
      </c>
      <c r="AD22" s="52">
        <v>0</v>
      </c>
      <c r="AE22" s="52">
        <f>' CV Nov-25'!AI22-' CV AUG-25'!AE22</f>
        <v>0</v>
      </c>
      <c r="AF22" s="52">
        <f>' CV Nov-25'!AJ22-' CV AUG-25'!AF22</f>
        <v>0</v>
      </c>
      <c r="AG22" s="52">
        <v>0</v>
      </c>
      <c r="AH22" s="52">
        <f>' CV Nov-25'!AL22-' CV AUG-25'!AH22</f>
        <v>0</v>
      </c>
      <c r="AI22" s="52">
        <f>' CV Nov-25'!AM22-' CV AUG-25'!AI22</f>
        <v>0</v>
      </c>
      <c r="AJ22" s="52">
        <v>0</v>
      </c>
      <c r="AK22" s="52">
        <f>' CV Nov-25'!AO22-' CV AUG-25'!AK22</f>
        <v>0</v>
      </c>
      <c r="AL22" s="52">
        <f>' CV Nov-25'!AP22-' CV AUG-25'!AL22</f>
        <v>0</v>
      </c>
      <c r="AM22" s="52">
        <v>0</v>
      </c>
      <c r="AN22" s="52">
        <f>' CV Nov-25'!AR22-' CV AUG-25'!AN22</f>
        <v>0</v>
      </c>
      <c r="AO22" s="52">
        <f>' CV Nov-25'!AS22-' CV AUG-25'!AO22</f>
        <v>0</v>
      </c>
      <c r="AP22" s="52">
        <v>0</v>
      </c>
      <c r="AQ22" s="52">
        <f>' CV Nov-25'!AU22-' CV AUG-25'!AQ22</f>
        <v>0</v>
      </c>
      <c r="AR22" s="52">
        <f>' CV Nov-25'!AV22-' CV AUG-25'!AR22</f>
        <v>0</v>
      </c>
      <c r="AS22" s="52">
        <v>0</v>
      </c>
      <c r="AT22" s="52">
        <f>' CV Nov-25'!AX22-' CV AUG-25'!AT22</f>
        <v>0</v>
      </c>
      <c r="AU22" s="52">
        <f>' CV Nov-25'!AY22-' CV AUG-25'!AU22</f>
        <v>0</v>
      </c>
      <c r="AV22" s="52">
        <v>0</v>
      </c>
      <c r="AW22" s="52">
        <f>' CV Nov-25'!BA22-' CV AUG-25'!AW22</f>
        <v>0</v>
      </c>
      <c r="AX22" s="52">
        <f>' CV Nov-25'!BB22-' CV AUG-25'!AX22</f>
        <v>0</v>
      </c>
      <c r="AY22" s="52">
        <v>0</v>
      </c>
      <c r="AZ22" s="52">
        <f>' CV Nov-25'!BD22-' CV AUG-25'!AZ22</f>
        <v>0</v>
      </c>
      <c r="BA22" s="52">
        <f>' CV Nov-25'!BE22-' CV AUG-25'!BA22</f>
        <v>0</v>
      </c>
      <c r="BB22" s="52">
        <v>0</v>
      </c>
      <c r="BC22" s="52">
        <f>' CV Nov-25'!BG22-' CV AUG-25'!BC22</f>
        <v>0</v>
      </c>
      <c r="BD22" s="52">
        <f>' CV Nov-25'!BH22-' CV AUG-25'!BD22</f>
        <v>0</v>
      </c>
      <c r="BE22" s="52">
        <v>0</v>
      </c>
      <c r="BF22" s="52">
        <f>' CV Nov-25'!BJ22-' CV AUG-25'!BF22</f>
        <v>0</v>
      </c>
      <c r="BG22" s="52">
        <f>' CV Nov-25'!BK22-' CV AUG-25'!BG22</f>
        <v>0</v>
      </c>
      <c r="BH22" s="52">
        <f>' CV Nov-25'!BL22-' CV AUG-25'!BH22</f>
        <v>0</v>
      </c>
      <c r="BI22" s="52">
        <f>' CV Nov-25'!BM22-' CV AUG-25'!BI22</f>
        <v>0</v>
      </c>
      <c r="BJ22" s="52">
        <f>' CV Nov-25'!BN22-' CV AUG-25'!BJ22</f>
        <v>0</v>
      </c>
      <c r="BK22" s="52">
        <f>' CV Nov-25'!BO22-' CV AUG-25'!BK22</f>
        <v>0</v>
      </c>
    </row>
    <row r="23" spans="2:63" x14ac:dyDescent="0.35">
      <c r="B23" s="56"/>
      <c r="C23" s="146"/>
      <c r="D23" s="147" t="s">
        <v>113</v>
      </c>
      <c r="E23" s="148"/>
      <c r="F23" s="151"/>
      <c r="G23" s="52">
        <f>' CV Nov-25'!G23-' CV AUG-25'!G23</f>
        <v>0</v>
      </c>
      <c r="H23" s="52">
        <f>' CV Nov-25'!H23-' CV AUG-25'!H23</f>
        <v>0</v>
      </c>
      <c r="I23" s="52">
        <v>0</v>
      </c>
      <c r="J23" s="52">
        <f>' CV Nov-25'!J23-' CV AUG-25'!J23</f>
        <v>0</v>
      </c>
      <c r="K23" s="52">
        <f>' CV Nov-25'!K23-' CV AUG-25'!K23</f>
        <v>0</v>
      </c>
      <c r="L23" s="52">
        <v>0</v>
      </c>
      <c r="M23" s="52">
        <f>' CV Nov-25'!M23-' CV AUG-25'!M23</f>
        <v>0</v>
      </c>
      <c r="N23" s="52">
        <f>' CV Nov-25'!N23-' CV AUG-25'!N23</f>
        <v>0</v>
      </c>
      <c r="O23" s="52">
        <v>0</v>
      </c>
      <c r="P23" s="52">
        <f>' CV Nov-25'!P23-' CV AUG-25'!P23</f>
        <v>0</v>
      </c>
      <c r="Q23" s="52">
        <f>' CV Nov-25'!Q23-' CV AUG-25'!Q23</f>
        <v>0</v>
      </c>
      <c r="R23" s="52">
        <v>0</v>
      </c>
      <c r="S23" s="52">
        <f>' CV Nov-25'!U23-' CV AUG-25'!S23</f>
        <v>0</v>
      </c>
      <c r="T23" s="52">
        <f>' CV Nov-25'!V23-' CV AUG-25'!T23</f>
        <v>0</v>
      </c>
      <c r="U23" s="52">
        <v>0</v>
      </c>
      <c r="V23" s="52">
        <f>' CV Nov-25'!X23-' CV AUG-25'!V23</f>
        <v>0</v>
      </c>
      <c r="W23" s="52">
        <f>' CV Nov-25'!Y23-' CV AUG-25'!W23</f>
        <v>0</v>
      </c>
      <c r="X23" s="52">
        <v>0</v>
      </c>
      <c r="Y23" s="52">
        <f>' CV Nov-25'!AC23-' CV AUG-25'!Y23</f>
        <v>0</v>
      </c>
      <c r="Z23" s="52">
        <f>' CV Nov-25'!AD23-' CV AUG-25'!Z23</f>
        <v>0</v>
      </c>
      <c r="AA23" s="52">
        <v>0</v>
      </c>
      <c r="AB23" s="52">
        <f>' CV Nov-25'!AF23-' CV AUG-25'!AB23</f>
        <v>0</v>
      </c>
      <c r="AC23" s="52">
        <f>' CV Nov-25'!AG23-' CV AUG-25'!AC23</f>
        <v>0</v>
      </c>
      <c r="AD23" s="52">
        <v>0</v>
      </c>
      <c r="AE23" s="52">
        <f>' CV Nov-25'!AI23-' CV AUG-25'!AE23</f>
        <v>0</v>
      </c>
      <c r="AF23" s="52">
        <f>' CV Nov-25'!AJ23-' CV AUG-25'!AF23</f>
        <v>0</v>
      </c>
      <c r="AG23" s="52">
        <v>0</v>
      </c>
      <c r="AH23" s="52">
        <f>' CV Nov-25'!AL23-' CV AUG-25'!AH23</f>
        <v>0</v>
      </c>
      <c r="AI23" s="52">
        <f>' CV Nov-25'!AM23-' CV AUG-25'!AI23</f>
        <v>0</v>
      </c>
      <c r="AJ23" s="52">
        <v>0</v>
      </c>
      <c r="AK23" s="52">
        <f>' CV Nov-25'!AO23-' CV AUG-25'!AK23</f>
        <v>0</v>
      </c>
      <c r="AL23" s="52">
        <f>' CV Nov-25'!AP23-' CV AUG-25'!AL23</f>
        <v>0</v>
      </c>
      <c r="AM23" s="52">
        <v>0</v>
      </c>
      <c r="AN23" s="52">
        <f>' CV Nov-25'!AR23-' CV AUG-25'!AN23</f>
        <v>0</v>
      </c>
      <c r="AO23" s="52">
        <f>' CV Nov-25'!AS23-' CV AUG-25'!AO23</f>
        <v>0</v>
      </c>
      <c r="AP23" s="52">
        <v>0</v>
      </c>
      <c r="AQ23" s="52">
        <f>' CV Nov-25'!AU23-' CV AUG-25'!AQ23</f>
        <v>0</v>
      </c>
      <c r="AR23" s="52">
        <f>' CV Nov-25'!AV23-' CV AUG-25'!AR23</f>
        <v>0</v>
      </c>
      <c r="AS23" s="52">
        <v>0</v>
      </c>
      <c r="AT23" s="52">
        <f>' CV Nov-25'!AX23-' CV AUG-25'!AT23</f>
        <v>0</v>
      </c>
      <c r="AU23" s="52">
        <f>' CV Nov-25'!AY23-' CV AUG-25'!AU23</f>
        <v>0</v>
      </c>
      <c r="AV23" s="52">
        <v>0</v>
      </c>
      <c r="AW23" s="52">
        <f>' CV Nov-25'!BA23-' CV AUG-25'!AW23</f>
        <v>0</v>
      </c>
      <c r="AX23" s="52">
        <f>' CV Nov-25'!BB23-' CV AUG-25'!AX23</f>
        <v>0</v>
      </c>
      <c r="AY23" s="52">
        <v>0</v>
      </c>
      <c r="AZ23" s="52">
        <f>' CV Nov-25'!BD23-' CV AUG-25'!AZ23</f>
        <v>0</v>
      </c>
      <c r="BA23" s="52">
        <f>' CV Nov-25'!BE23-' CV AUG-25'!BA23</f>
        <v>0</v>
      </c>
      <c r="BB23" s="52">
        <v>0</v>
      </c>
      <c r="BC23" s="52">
        <f>' CV Nov-25'!BG23-' CV AUG-25'!BC23</f>
        <v>0</v>
      </c>
      <c r="BD23" s="52">
        <f>' CV Nov-25'!BH23-' CV AUG-25'!BD23</f>
        <v>0</v>
      </c>
      <c r="BE23" s="52">
        <v>0</v>
      </c>
      <c r="BF23" s="52">
        <f>' CV Nov-25'!BJ23-' CV AUG-25'!BF23</f>
        <v>0</v>
      </c>
      <c r="BG23" s="52">
        <f>' CV Nov-25'!BK23-' CV AUG-25'!BG23</f>
        <v>0</v>
      </c>
      <c r="BH23" s="52">
        <f>' CV Nov-25'!BL23-' CV AUG-25'!BH23</f>
        <v>0</v>
      </c>
      <c r="BI23" s="52">
        <f>' CV Nov-25'!BM23-' CV AUG-25'!BI23</f>
        <v>0</v>
      </c>
      <c r="BJ23" s="52">
        <f>' CV Nov-25'!BN23-' CV AUG-25'!BJ23</f>
        <v>0</v>
      </c>
      <c r="BK23" s="52">
        <f>' CV Nov-25'!BO23-' CV AUG-25'!BK23</f>
        <v>0</v>
      </c>
    </row>
    <row r="24" spans="2:63" ht="4.5" customHeight="1" x14ac:dyDescent="0.35">
      <c r="B24" s="56"/>
      <c r="C24" s="57"/>
      <c r="D24" s="58"/>
      <c r="E24" s="58"/>
      <c r="F24" s="58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</row>
    <row r="25" spans="2:63" x14ac:dyDescent="0.35">
      <c r="B25" s="56"/>
      <c r="C25" s="152" t="s">
        <v>114</v>
      </c>
      <c r="D25" s="147" t="s">
        <v>115</v>
      </c>
      <c r="E25" s="148"/>
      <c r="F25" s="151"/>
      <c r="G25" s="52">
        <f>' CV Nov-25'!G25-' CV AUG-25'!G25</f>
        <v>0</v>
      </c>
      <c r="H25" s="52">
        <f>' CV Nov-25'!H25-' CV AUG-25'!H25</f>
        <v>0</v>
      </c>
      <c r="I25" s="52">
        <v>0</v>
      </c>
      <c r="J25" s="52">
        <f>' CV Nov-25'!J25-' CV AUG-25'!J25</f>
        <v>0</v>
      </c>
      <c r="K25" s="52">
        <f>' CV Nov-25'!K25-' CV AUG-25'!K25</f>
        <v>0</v>
      </c>
      <c r="L25" s="52">
        <v>0</v>
      </c>
      <c r="M25" s="52">
        <f>' CV Nov-25'!M25-' CV AUG-25'!M25</f>
        <v>0</v>
      </c>
      <c r="N25" s="52">
        <f>' CV Nov-25'!N25-' CV AUG-25'!N25</f>
        <v>0</v>
      </c>
      <c r="O25" s="52">
        <v>0</v>
      </c>
      <c r="P25" s="52">
        <f>' CV Nov-25'!P25-' CV AUG-25'!P25</f>
        <v>0</v>
      </c>
      <c r="Q25" s="52">
        <f>' CV Nov-25'!Q25-' CV AUG-25'!Q25</f>
        <v>0</v>
      </c>
      <c r="R25" s="52">
        <v>0</v>
      </c>
      <c r="S25" s="52">
        <f>' CV Nov-25'!U25-' CV AUG-25'!S25</f>
        <v>0</v>
      </c>
      <c r="T25" s="52">
        <f>' CV Nov-25'!V25-' CV AUG-25'!T25</f>
        <v>0</v>
      </c>
      <c r="U25" s="52">
        <v>0</v>
      </c>
      <c r="V25" s="52">
        <f>' CV Nov-25'!X25-' CV AUG-25'!V25</f>
        <v>0</v>
      </c>
      <c r="W25" s="52">
        <f>' CV Nov-25'!Y25-' CV AUG-25'!W25</f>
        <v>0</v>
      </c>
      <c r="X25" s="52">
        <v>0</v>
      </c>
      <c r="Y25" s="52">
        <f>' CV Nov-25'!AC25-' CV AUG-25'!Y25</f>
        <v>0</v>
      </c>
      <c r="Z25" s="52">
        <f>' CV Nov-25'!AD25-' CV AUG-25'!Z25</f>
        <v>0</v>
      </c>
      <c r="AA25" s="52">
        <v>0</v>
      </c>
      <c r="AB25" s="52">
        <f>' CV Nov-25'!AF25-' CV AUG-25'!AB25</f>
        <v>0</v>
      </c>
      <c r="AC25" s="52">
        <f>' CV Nov-25'!AG25-' CV AUG-25'!AC25</f>
        <v>0</v>
      </c>
      <c r="AD25" s="52">
        <v>0</v>
      </c>
      <c r="AE25" s="52">
        <f>' CV Nov-25'!AI25-' CV AUG-25'!AE25</f>
        <v>0</v>
      </c>
      <c r="AF25" s="52">
        <f>' CV Nov-25'!AJ25-' CV AUG-25'!AF25</f>
        <v>0</v>
      </c>
      <c r="AG25" s="52">
        <v>0</v>
      </c>
      <c r="AH25" s="52">
        <f>' CV Nov-25'!AL25-' CV AUG-25'!AH25</f>
        <v>0</v>
      </c>
      <c r="AI25" s="52">
        <f>' CV Nov-25'!AM25-' CV AUG-25'!AI25</f>
        <v>0</v>
      </c>
      <c r="AJ25" s="52">
        <v>0</v>
      </c>
      <c r="AK25" s="52">
        <f>' CV Nov-25'!AO25-' CV AUG-25'!AK25</f>
        <v>0</v>
      </c>
      <c r="AL25" s="52">
        <f>' CV Nov-25'!AP25-' CV AUG-25'!AL25</f>
        <v>0</v>
      </c>
      <c r="AM25" s="52">
        <v>0</v>
      </c>
      <c r="AN25" s="52">
        <f>' CV Nov-25'!AR25-' CV AUG-25'!AN25</f>
        <v>0</v>
      </c>
      <c r="AO25" s="52">
        <f>' CV Nov-25'!AS25-' CV AUG-25'!AO25</f>
        <v>0</v>
      </c>
      <c r="AP25" s="52">
        <v>0</v>
      </c>
      <c r="AQ25" s="52">
        <f>' CV Nov-25'!AU25-' CV AUG-25'!AQ25</f>
        <v>0</v>
      </c>
      <c r="AR25" s="52">
        <f>' CV Nov-25'!AV25-' CV AUG-25'!AR25</f>
        <v>0</v>
      </c>
      <c r="AS25" s="52">
        <v>0</v>
      </c>
      <c r="AT25" s="52">
        <f>' CV Nov-25'!AX25-' CV AUG-25'!AT25</f>
        <v>0</v>
      </c>
      <c r="AU25" s="52">
        <f>' CV Nov-25'!AY25-' CV AUG-25'!AU25</f>
        <v>0</v>
      </c>
      <c r="AV25" s="52">
        <v>0</v>
      </c>
      <c r="AW25" s="52">
        <f>' CV Nov-25'!BA25-' CV AUG-25'!AW25</f>
        <v>0</v>
      </c>
      <c r="AX25" s="52">
        <f>' CV Nov-25'!BB25-' CV AUG-25'!AX25</f>
        <v>0</v>
      </c>
      <c r="AY25" s="52">
        <v>0</v>
      </c>
      <c r="AZ25" s="52">
        <f>' CV Nov-25'!BD25-' CV AUG-25'!AZ25</f>
        <v>0</v>
      </c>
      <c r="BA25" s="52">
        <f>' CV Nov-25'!BE25-' CV AUG-25'!BA25</f>
        <v>0</v>
      </c>
      <c r="BB25" s="52">
        <v>0</v>
      </c>
      <c r="BC25" s="52">
        <f>' CV Nov-25'!BG25-' CV AUG-25'!BC25</f>
        <v>0</v>
      </c>
      <c r="BD25" s="52">
        <f>' CV Nov-25'!BH25-' CV AUG-25'!BD25</f>
        <v>0</v>
      </c>
      <c r="BE25" s="52">
        <v>0</v>
      </c>
      <c r="BF25" s="52">
        <f>' CV Nov-25'!BJ25-' CV AUG-25'!BF25</f>
        <v>0</v>
      </c>
      <c r="BG25" s="52">
        <f>' CV Nov-25'!BK25-' CV AUG-25'!BG25</f>
        <v>0</v>
      </c>
      <c r="BH25" s="52">
        <f>' CV Nov-25'!BL25-' CV AUG-25'!BH25</f>
        <v>0</v>
      </c>
      <c r="BI25" s="52">
        <f>' CV Nov-25'!BM25-' CV AUG-25'!BI25</f>
        <v>0</v>
      </c>
      <c r="BJ25" s="52">
        <f>' CV Nov-25'!BN25-' CV AUG-25'!BJ25</f>
        <v>0</v>
      </c>
      <c r="BK25" s="52">
        <f>' CV Nov-25'!BO25-' CV AUG-25'!BK25</f>
        <v>0</v>
      </c>
    </row>
    <row r="26" spans="2:63" x14ac:dyDescent="0.35">
      <c r="B26" s="56"/>
      <c r="C26" s="153"/>
      <c r="D26" s="147" t="s">
        <v>116</v>
      </c>
      <c r="E26" s="148"/>
      <c r="F26" s="151"/>
      <c r="G26" s="52">
        <f>' CV Nov-25'!G26-' CV AUG-25'!G26</f>
        <v>0</v>
      </c>
      <c r="H26" s="52">
        <f>' CV Nov-25'!H26-' CV AUG-25'!H26</f>
        <v>0</v>
      </c>
      <c r="I26" s="52">
        <v>0</v>
      </c>
      <c r="J26" s="52">
        <f>' CV Nov-25'!J26-' CV AUG-25'!J26</f>
        <v>0</v>
      </c>
      <c r="K26" s="52">
        <f>' CV Nov-25'!K26-' CV AUG-25'!K26</f>
        <v>0</v>
      </c>
      <c r="L26" s="52">
        <v>0</v>
      </c>
      <c r="M26" s="52">
        <f>' CV Nov-25'!M26-' CV AUG-25'!M26</f>
        <v>0</v>
      </c>
      <c r="N26" s="52">
        <f>' CV Nov-25'!N26-' CV AUG-25'!N26</f>
        <v>0</v>
      </c>
      <c r="O26" s="52">
        <v>0</v>
      </c>
      <c r="P26" s="52">
        <f>' CV Nov-25'!P26-' CV AUG-25'!P26</f>
        <v>0</v>
      </c>
      <c r="Q26" s="52">
        <f>' CV Nov-25'!Q26-' CV AUG-25'!Q26</f>
        <v>0</v>
      </c>
      <c r="R26" s="52">
        <v>0</v>
      </c>
      <c r="S26" s="52">
        <f>' CV Nov-25'!U26-' CV AUG-25'!S26</f>
        <v>0</v>
      </c>
      <c r="T26" s="52">
        <f>' CV Nov-25'!V26-' CV AUG-25'!T26</f>
        <v>0</v>
      </c>
      <c r="U26" s="52">
        <v>0</v>
      </c>
      <c r="V26" s="52">
        <f>' CV Nov-25'!X26-' CV AUG-25'!V26</f>
        <v>0</v>
      </c>
      <c r="W26" s="52">
        <f>' CV Nov-25'!Y26-' CV AUG-25'!W26</f>
        <v>0</v>
      </c>
      <c r="X26" s="52">
        <v>0</v>
      </c>
      <c r="Y26" s="52">
        <f>' CV Nov-25'!AC26-' CV AUG-25'!Y26</f>
        <v>0</v>
      </c>
      <c r="Z26" s="52">
        <f>' CV Nov-25'!AD26-' CV AUG-25'!Z26</f>
        <v>0</v>
      </c>
      <c r="AA26" s="52">
        <v>0</v>
      </c>
      <c r="AB26" s="52">
        <f>' CV Nov-25'!AF26-' CV AUG-25'!AB26</f>
        <v>0</v>
      </c>
      <c r="AC26" s="52">
        <f>' CV Nov-25'!AG26-' CV AUG-25'!AC26</f>
        <v>0</v>
      </c>
      <c r="AD26" s="52">
        <v>0</v>
      </c>
      <c r="AE26" s="52">
        <f>' CV Nov-25'!AI26-' CV AUG-25'!AE26</f>
        <v>0</v>
      </c>
      <c r="AF26" s="52">
        <f>' CV Nov-25'!AJ26-' CV AUG-25'!AF26</f>
        <v>0</v>
      </c>
      <c r="AG26" s="52">
        <v>0</v>
      </c>
      <c r="AH26" s="52">
        <f>' CV Nov-25'!AL26-' CV AUG-25'!AH26</f>
        <v>0</v>
      </c>
      <c r="AI26" s="52">
        <f>' CV Nov-25'!AM26-' CV AUG-25'!AI26</f>
        <v>0</v>
      </c>
      <c r="AJ26" s="52">
        <v>0</v>
      </c>
      <c r="AK26" s="52">
        <f>' CV Nov-25'!AO26-' CV AUG-25'!AK26</f>
        <v>0</v>
      </c>
      <c r="AL26" s="52">
        <f>' CV Nov-25'!AP26-' CV AUG-25'!AL26</f>
        <v>0</v>
      </c>
      <c r="AM26" s="52">
        <v>0</v>
      </c>
      <c r="AN26" s="52">
        <f>' CV Nov-25'!AR26-' CV AUG-25'!AN26</f>
        <v>0</v>
      </c>
      <c r="AO26" s="52">
        <f>' CV Nov-25'!AS26-' CV AUG-25'!AO26</f>
        <v>0</v>
      </c>
      <c r="AP26" s="52">
        <v>0</v>
      </c>
      <c r="AQ26" s="52">
        <f>' CV Nov-25'!AU26-' CV AUG-25'!AQ26</f>
        <v>0</v>
      </c>
      <c r="AR26" s="52">
        <f>' CV Nov-25'!AV26-' CV AUG-25'!AR26</f>
        <v>0</v>
      </c>
      <c r="AS26" s="52">
        <v>0</v>
      </c>
      <c r="AT26" s="52">
        <f>' CV Nov-25'!AX26-' CV AUG-25'!AT26</f>
        <v>0</v>
      </c>
      <c r="AU26" s="52">
        <f>' CV Nov-25'!AY26-' CV AUG-25'!AU26</f>
        <v>0</v>
      </c>
      <c r="AV26" s="52">
        <v>0</v>
      </c>
      <c r="AW26" s="52">
        <f>' CV Nov-25'!BA26-' CV AUG-25'!AW26</f>
        <v>0</v>
      </c>
      <c r="AX26" s="52">
        <f>' CV Nov-25'!BB26-' CV AUG-25'!AX26</f>
        <v>0</v>
      </c>
      <c r="AY26" s="52">
        <v>0</v>
      </c>
      <c r="AZ26" s="52">
        <f>' CV Nov-25'!BD26-' CV AUG-25'!AZ26</f>
        <v>0</v>
      </c>
      <c r="BA26" s="52">
        <f>' CV Nov-25'!BE26-' CV AUG-25'!BA26</f>
        <v>0</v>
      </c>
      <c r="BB26" s="52">
        <v>0</v>
      </c>
      <c r="BC26" s="52">
        <f>' CV Nov-25'!BG26-' CV AUG-25'!BC26</f>
        <v>0</v>
      </c>
      <c r="BD26" s="52">
        <f>' CV Nov-25'!BH26-' CV AUG-25'!BD26</f>
        <v>0</v>
      </c>
      <c r="BE26" s="52">
        <v>0</v>
      </c>
      <c r="BF26" s="52">
        <f>' CV Nov-25'!BJ26-' CV AUG-25'!BF26</f>
        <v>0</v>
      </c>
      <c r="BG26" s="52">
        <f>' CV Nov-25'!BK26-' CV AUG-25'!BG26</f>
        <v>0</v>
      </c>
      <c r="BH26" s="52">
        <f>' CV Nov-25'!BL26-' CV AUG-25'!BH26</f>
        <v>0</v>
      </c>
      <c r="BI26" s="52">
        <f>' CV Nov-25'!BM26-' CV AUG-25'!BI26</f>
        <v>0</v>
      </c>
      <c r="BJ26" s="52">
        <f>' CV Nov-25'!BN26-' CV AUG-25'!BJ26</f>
        <v>0</v>
      </c>
      <c r="BK26" s="52">
        <f>' CV Nov-25'!BO26-' CV AUG-25'!BK26</f>
        <v>0</v>
      </c>
    </row>
    <row r="27" spans="2:63" x14ac:dyDescent="0.35">
      <c r="B27" s="56"/>
      <c r="C27" s="153"/>
      <c r="D27" s="147" t="s">
        <v>117</v>
      </c>
      <c r="E27" s="148"/>
      <c r="F27" s="151"/>
      <c r="G27" s="52">
        <f>' CV Nov-25'!G27-' CV AUG-25'!G27</f>
        <v>0</v>
      </c>
      <c r="H27" s="52">
        <f>' CV Nov-25'!H27-' CV AUG-25'!H27</f>
        <v>0</v>
      </c>
      <c r="I27" s="52">
        <v>0</v>
      </c>
      <c r="J27" s="52">
        <f>' CV Nov-25'!J27-' CV AUG-25'!J27</f>
        <v>0</v>
      </c>
      <c r="K27" s="52">
        <f>' CV Nov-25'!K27-' CV AUG-25'!K27</f>
        <v>0</v>
      </c>
      <c r="L27" s="52">
        <v>0</v>
      </c>
      <c r="M27" s="52">
        <f>' CV Nov-25'!M27-' CV AUG-25'!M27</f>
        <v>0</v>
      </c>
      <c r="N27" s="52">
        <f>' CV Nov-25'!N27-' CV AUG-25'!N27</f>
        <v>0</v>
      </c>
      <c r="O27" s="52">
        <v>0</v>
      </c>
      <c r="P27" s="52">
        <f>' CV Nov-25'!P27-' CV AUG-25'!P27</f>
        <v>0</v>
      </c>
      <c r="Q27" s="52">
        <f>' CV Nov-25'!Q27-' CV AUG-25'!Q27</f>
        <v>0</v>
      </c>
      <c r="R27" s="52">
        <v>0</v>
      </c>
      <c r="S27" s="52">
        <f>' CV Nov-25'!U27-' CV AUG-25'!S27</f>
        <v>0</v>
      </c>
      <c r="T27" s="52">
        <f>' CV Nov-25'!V27-' CV AUG-25'!T27</f>
        <v>0</v>
      </c>
      <c r="U27" s="52">
        <v>0</v>
      </c>
      <c r="V27" s="52">
        <f>' CV Nov-25'!X27-' CV AUG-25'!V27</f>
        <v>0</v>
      </c>
      <c r="W27" s="52">
        <f>' CV Nov-25'!Y27-' CV AUG-25'!W27</f>
        <v>0</v>
      </c>
      <c r="X27" s="52">
        <v>0</v>
      </c>
      <c r="Y27" s="52">
        <f>' CV Nov-25'!AC27-' CV AUG-25'!Y27</f>
        <v>0</v>
      </c>
      <c r="Z27" s="52">
        <f>' CV Nov-25'!AD27-' CV AUG-25'!Z27</f>
        <v>0</v>
      </c>
      <c r="AA27" s="52">
        <v>0</v>
      </c>
      <c r="AB27" s="52">
        <f>' CV Nov-25'!AF27-' CV AUG-25'!AB27</f>
        <v>0</v>
      </c>
      <c r="AC27" s="52">
        <f>' CV Nov-25'!AG27-' CV AUG-25'!AC27</f>
        <v>0</v>
      </c>
      <c r="AD27" s="52">
        <v>0</v>
      </c>
      <c r="AE27" s="52">
        <f>' CV Nov-25'!AI27-' CV AUG-25'!AE27</f>
        <v>0</v>
      </c>
      <c r="AF27" s="52">
        <f>' CV Nov-25'!AJ27-' CV AUG-25'!AF27</f>
        <v>0</v>
      </c>
      <c r="AG27" s="52">
        <v>0</v>
      </c>
      <c r="AH27" s="52">
        <f>' CV Nov-25'!AL27-' CV AUG-25'!AH27</f>
        <v>0</v>
      </c>
      <c r="AI27" s="52">
        <f>' CV Nov-25'!AM27-' CV AUG-25'!AI27</f>
        <v>0</v>
      </c>
      <c r="AJ27" s="52">
        <v>0</v>
      </c>
      <c r="AK27" s="52">
        <f>' CV Nov-25'!AO27-' CV AUG-25'!AK27</f>
        <v>0</v>
      </c>
      <c r="AL27" s="52">
        <f>' CV Nov-25'!AP27-' CV AUG-25'!AL27</f>
        <v>0</v>
      </c>
      <c r="AM27" s="52">
        <v>0</v>
      </c>
      <c r="AN27" s="52">
        <f>' CV Nov-25'!AR27-' CV AUG-25'!AN27</f>
        <v>0</v>
      </c>
      <c r="AO27" s="52">
        <f>' CV Nov-25'!AS27-' CV AUG-25'!AO27</f>
        <v>0</v>
      </c>
      <c r="AP27" s="52">
        <v>0</v>
      </c>
      <c r="AQ27" s="52">
        <f>' CV Nov-25'!AU27-' CV AUG-25'!AQ27</f>
        <v>0</v>
      </c>
      <c r="AR27" s="52">
        <f>' CV Nov-25'!AV27-' CV AUG-25'!AR27</f>
        <v>0</v>
      </c>
      <c r="AS27" s="52">
        <v>0</v>
      </c>
      <c r="AT27" s="52">
        <f>' CV Nov-25'!AX27-' CV AUG-25'!AT27</f>
        <v>0</v>
      </c>
      <c r="AU27" s="52">
        <f>' CV Nov-25'!AY27-' CV AUG-25'!AU27</f>
        <v>0</v>
      </c>
      <c r="AV27" s="52">
        <v>0</v>
      </c>
      <c r="AW27" s="52">
        <f>' CV Nov-25'!BA27-' CV AUG-25'!AW27</f>
        <v>0</v>
      </c>
      <c r="AX27" s="52">
        <f>' CV Nov-25'!BB27-' CV AUG-25'!AX27</f>
        <v>0</v>
      </c>
      <c r="AY27" s="52">
        <v>0</v>
      </c>
      <c r="AZ27" s="52">
        <f>' CV Nov-25'!BD27-' CV AUG-25'!AZ27</f>
        <v>0</v>
      </c>
      <c r="BA27" s="52">
        <f>' CV Nov-25'!BE27-' CV AUG-25'!BA27</f>
        <v>0</v>
      </c>
      <c r="BB27" s="52">
        <v>0</v>
      </c>
      <c r="BC27" s="52">
        <f>' CV Nov-25'!BG27-' CV AUG-25'!BC27</f>
        <v>0</v>
      </c>
      <c r="BD27" s="52">
        <f>' CV Nov-25'!BH27-' CV AUG-25'!BD27</f>
        <v>0</v>
      </c>
      <c r="BE27" s="52">
        <v>0</v>
      </c>
      <c r="BF27" s="52">
        <f>' CV Nov-25'!BJ27-' CV AUG-25'!BF27</f>
        <v>0</v>
      </c>
      <c r="BG27" s="52">
        <f>' CV Nov-25'!BK27-' CV AUG-25'!BG27</f>
        <v>0</v>
      </c>
      <c r="BH27" s="52">
        <f>' CV Nov-25'!BL27-' CV AUG-25'!BH27</f>
        <v>0</v>
      </c>
      <c r="BI27" s="52">
        <f>' CV Nov-25'!BM27-' CV AUG-25'!BI27</f>
        <v>0</v>
      </c>
      <c r="BJ27" s="52">
        <f>' CV Nov-25'!BN27-' CV AUG-25'!BJ27</f>
        <v>0</v>
      </c>
      <c r="BK27" s="52">
        <f>' CV Nov-25'!BO27-' CV AUG-25'!BK27</f>
        <v>0</v>
      </c>
    </row>
    <row r="28" spans="2:63" x14ac:dyDescent="0.35">
      <c r="B28" s="56"/>
      <c r="C28" s="153"/>
      <c r="D28" s="147" t="s">
        <v>118</v>
      </c>
      <c r="E28" s="148"/>
      <c r="F28" s="151"/>
      <c r="G28" s="52">
        <f>' CV Nov-25'!G28-' CV AUG-25'!G28</f>
        <v>0</v>
      </c>
      <c r="H28" s="52">
        <f>' CV Nov-25'!H28-' CV AUG-25'!H28</f>
        <v>0</v>
      </c>
      <c r="I28" s="52">
        <v>0</v>
      </c>
      <c r="J28" s="52">
        <f>' CV Nov-25'!J28-' CV AUG-25'!J28</f>
        <v>0</v>
      </c>
      <c r="K28" s="52">
        <f>' CV Nov-25'!K28-' CV AUG-25'!K28</f>
        <v>0</v>
      </c>
      <c r="L28" s="52">
        <v>0</v>
      </c>
      <c r="M28" s="52">
        <f>' CV Nov-25'!M28-' CV AUG-25'!M28</f>
        <v>0</v>
      </c>
      <c r="N28" s="52">
        <f>' CV Nov-25'!N28-' CV AUG-25'!N28</f>
        <v>0</v>
      </c>
      <c r="O28" s="52">
        <v>0</v>
      </c>
      <c r="P28" s="52">
        <f>' CV Nov-25'!P28-' CV AUG-25'!P28</f>
        <v>0</v>
      </c>
      <c r="Q28" s="52">
        <f>' CV Nov-25'!Q28-' CV AUG-25'!Q28</f>
        <v>0</v>
      </c>
      <c r="R28" s="52">
        <v>0</v>
      </c>
      <c r="S28" s="52">
        <f>' CV Nov-25'!U28-' CV AUG-25'!S28</f>
        <v>0</v>
      </c>
      <c r="T28" s="52">
        <f>' CV Nov-25'!V28-' CV AUG-25'!T28</f>
        <v>0</v>
      </c>
      <c r="U28" s="52">
        <v>0</v>
      </c>
      <c r="V28" s="52">
        <f>' CV Nov-25'!X28-' CV AUG-25'!V28</f>
        <v>0</v>
      </c>
      <c r="W28" s="52">
        <f>' CV Nov-25'!Y28-' CV AUG-25'!W28</f>
        <v>0</v>
      </c>
      <c r="X28" s="52">
        <v>0</v>
      </c>
      <c r="Y28" s="52">
        <f>' CV Nov-25'!AC28-' CV AUG-25'!Y28</f>
        <v>0</v>
      </c>
      <c r="Z28" s="52">
        <f>' CV Nov-25'!AD28-' CV AUG-25'!Z28</f>
        <v>0</v>
      </c>
      <c r="AA28" s="52">
        <v>0</v>
      </c>
      <c r="AB28" s="52">
        <f>' CV Nov-25'!AF28-' CV AUG-25'!AB28</f>
        <v>0</v>
      </c>
      <c r="AC28" s="52">
        <f>' CV Nov-25'!AG28-' CV AUG-25'!AC28</f>
        <v>0</v>
      </c>
      <c r="AD28" s="52">
        <v>0</v>
      </c>
      <c r="AE28" s="52">
        <f>' CV Nov-25'!AI28-' CV AUG-25'!AE28</f>
        <v>0</v>
      </c>
      <c r="AF28" s="52">
        <f>' CV Nov-25'!AJ28-' CV AUG-25'!AF28</f>
        <v>0</v>
      </c>
      <c r="AG28" s="52">
        <v>0</v>
      </c>
      <c r="AH28" s="52">
        <f>' CV Nov-25'!AL28-' CV AUG-25'!AH28</f>
        <v>0</v>
      </c>
      <c r="AI28" s="52">
        <f>' CV Nov-25'!AM28-' CV AUG-25'!AI28</f>
        <v>0</v>
      </c>
      <c r="AJ28" s="52">
        <v>0</v>
      </c>
      <c r="AK28" s="52">
        <f>' CV Nov-25'!AO28-' CV AUG-25'!AK28</f>
        <v>0</v>
      </c>
      <c r="AL28" s="52">
        <f>' CV Nov-25'!AP28-' CV AUG-25'!AL28</f>
        <v>0</v>
      </c>
      <c r="AM28" s="52">
        <v>0</v>
      </c>
      <c r="AN28" s="52">
        <f>' CV Nov-25'!AR28-' CV AUG-25'!AN28</f>
        <v>0</v>
      </c>
      <c r="AO28" s="52">
        <f>' CV Nov-25'!AS28-' CV AUG-25'!AO28</f>
        <v>0</v>
      </c>
      <c r="AP28" s="52">
        <v>0</v>
      </c>
      <c r="AQ28" s="52">
        <f>' CV Nov-25'!AU28-' CV AUG-25'!AQ28</f>
        <v>0</v>
      </c>
      <c r="AR28" s="52">
        <f>' CV Nov-25'!AV28-' CV AUG-25'!AR28</f>
        <v>0</v>
      </c>
      <c r="AS28" s="52">
        <v>0</v>
      </c>
      <c r="AT28" s="52">
        <f>' CV Nov-25'!AX28-' CV AUG-25'!AT28</f>
        <v>0</v>
      </c>
      <c r="AU28" s="52">
        <f>' CV Nov-25'!AY28-' CV AUG-25'!AU28</f>
        <v>0</v>
      </c>
      <c r="AV28" s="52">
        <v>0</v>
      </c>
      <c r="AW28" s="52">
        <f>' CV Nov-25'!BA28-' CV AUG-25'!AW28</f>
        <v>0</v>
      </c>
      <c r="AX28" s="52">
        <f>' CV Nov-25'!BB28-' CV AUG-25'!AX28</f>
        <v>0</v>
      </c>
      <c r="AY28" s="52">
        <v>0</v>
      </c>
      <c r="AZ28" s="52">
        <f>' CV Nov-25'!BD28-' CV AUG-25'!AZ28</f>
        <v>0</v>
      </c>
      <c r="BA28" s="52">
        <f>' CV Nov-25'!BE28-' CV AUG-25'!BA28</f>
        <v>0</v>
      </c>
      <c r="BB28" s="52">
        <v>0</v>
      </c>
      <c r="BC28" s="52">
        <f>' CV Nov-25'!BG28-' CV AUG-25'!BC28</f>
        <v>0</v>
      </c>
      <c r="BD28" s="52">
        <f>' CV Nov-25'!BH28-' CV AUG-25'!BD28</f>
        <v>0</v>
      </c>
      <c r="BE28" s="52">
        <v>0</v>
      </c>
      <c r="BF28" s="52">
        <f>' CV Nov-25'!BJ28-' CV AUG-25'!BF28</f>
        <v>0</v>
      </c>
      <c r="BG28" s="52">
        <f>' CV Nov-25'!BK28-' CV AUG-25'!BG28</f>
        <v>0</v>
      </c>
      <c r="BH28" s="52">
        <f>' CV Nov-25'!BL28-' CV AUG-25'!BH28</f>
        <v>0</v>
      </c>
      <c r="BI28" s="52">
        <f>' CV Nov-25'!BM28-' CV AUG-25'!BI28</f>
        <v>0</v>
      </c>
      <c r="BJ28" s="52">
        <f>' CV Nov-25'!BN28-' CV AUG-25'!BJ28</f>
        <v>0</v>
      </c>
      <c r="BK28" s="52">
        <f>' CV Nov-25'!BO28-' CV AUG-25'!BK28</f>
        <v>0</v>
      </c>
    </row>
    <row r="29" spans="2:63" x14ac:dyDescent="0.35">
      <c r="B29" s="59"/>
      <c r="C29" s="154"/>
      <c r="D29" s="147" t="s">
        <v>119</v>
      </c>
      <c r="E29" s="148"/>
      <c r="F29" s="151"/>
      <c r="G29" s="52">
        <f>' CV Nov-25'!G29-' CV AUG-25'!G29</f>
        <v>0</v>
      </c>
      <c r="H29" s="52">
        <f>' CV Nov-25'!H29-' CV AUG-25'!H29</f>
        <v>0</v>
      </c>
      <c r="I29" s="52">
        <v>0</v>
      </c>
      <c r="J29" s="52">
        <f>' CV Nov-25'!J29-' CV AUG-25'!J29</f>
        <v>0</v>
      </c>
      <c r="K29" s="52">
        <f>' CV Nov-25'!K29-' CV AUG-25'!K29</f>
        <v>0</v>
      </c>
      <c r="L29" s="52">
        <v>0</v>
      </c>
      <c r="M29" s="52">
        <f>' CV Nov-25'!M29-' CV AUG-25'!M29</f>
        <v>0</v>
      </c>
      <c r="N29" s="52">
        <f>' CV Nov-25'!N29-' CV AUG-25'!N29</f>
        <v>0</v>
      </c>
      <c r="O29" s="52">
        <v>0</v>
      </c>
      <c r="P29" s="52">
        <f>' CV Nov-25'!P29-' CV AUG-25'!P29</f>
        <v>0</v>
      </c>
      <c r="Q29" s="52">
        <f>' CV Nov-25'!Q29-' CV AUG-25'!Q29</f>
        <v>0</v>
      </c>
      <c r="R29" s="52">
        <v>0</v>
      </c>
      <c r="S29" s="52">
        <f>' CV Nov-25'!U29-' CV AUG-25'!S29</f>
        <v>0</v>
      </c>
      <c r="T29" s="52">
        <f>' CV Nov-25'!V29-' CV AUG-25'!T29</f>
        <v>0</v>
      </c>
      <c r="U29" s="52">
        <v>0</v>
      </c>
      <c r="V29" s="52">
        <f>' CV Nov-25'!X29-' CV AUG-25'!V29</f>
        <v>0</v>
      </c>
      <c r="W29" s="52">
        <f>' CV Nov-25'!Y29-' CV AUG-25'!W29</f>
        <v>0</v>
      </c>
      <c r="X29" s="52">
        <v>0</v>
      </c>
      <c r="Y29" s="52">
        <f>' CV Nov-25'!AC29-' CV AUG-25'!Y29</f>
        <v>0</v>
      </c>
      <c r="Z29" s="52">
        <f>' CV Nov-25'!AD29-' CV AUG-25'!Z29</f>
        <v>0</v>
      </c>
      <c r="AA29" s="52">
        <v>0</v>
      </c>
      <c r="AB29" s="52">
        <f>' CV Nov-25'!AF29-' CV AUG-25'!AB29</f>
        <v>0</v>
      </c>
      <c r="AC29" s="52">
        <f>' CV Nov-25'!AG29-' CV AUG-25'!AC29</f>
        <v>0</v>
      </c>
      <c r="AD29" s="52">
        <v>0</v>
      </c>
      <c r="AE29" s="52">
        <f>' CV Nov-25'!AI29-' CV AUG-25'!AE29</f>
        <v>0</v>
      </c>
      <c r="AF29" s="52">
        <f>' CV Nov-25'!AJ29-' CV AUG-25'!AF29</f>
        <v>0</v>
      </c>
      <c r="AG29" s="52">
        <v>0</v>
      </c>
      <c r="AH29" s="52">
        <f>' CV Nov-25'!AL29-' CV AUG-25'!AH29</f>
        <v>0</v>
      </c>
      <c r="AI29" s="52">
        <f>' CV Nov-25'!AM29-' CV AUG-25'!AI29</f>
        <v>0</v>
      </c>
      <c r="AJ29" s="52">
        <v>0</v>
      </c>
      <c r="AK29" s="52">
        <f>' CV Nov-25'!AO29-' CV AUG-25'!AK29</f>
        <v>0</v>
      </c>
      <c r="AL29" s="52">
        <f>' CV Nov-25'!AP29-' CV AUG-25'!AL29</f>
        <v>0</v>
      </c>
      <c r="AM29" s="52">
        <v>0</v>
      </c>
      <c r="AN29" s="52">
        <f>' CV Nov-25'!AR29-' CV AUG-25'!AN29</f>
        <v>0</v>
      </c>
      <c r="AO29" s="52">
        <f>' CV Nov-25'!AS29-' CV AUG-25'!AO29</f>
        <v>0</v>
      </c>
      <c r="AP29" s="52">
        <v>0</v>
      </c>
      <c r="AQ29" s="52">
        <f>' CV Nov-25'!AU29-' CV AUG-25'!AQ29</f>
        <v>0</v>
      </c>
      <c r="AR29" s="52">
        <f>' CV Nov-25'!AV29-' CV AUG-25'!AR29</f>
        <v>0</v>
      </c>
      <c r="AS29" s="52">
        <v>0</v>
      </c>
      <c r="AT29" s="52">
        <f>' CV Nov-25'!AX29-' CV AUG-25'!AT29</f>
        <v>0</v>
      </c>
      <c r="AU29" s="52">
        <f>' CV Nov-25'!AY29-' CV AUG-25'!AU29</f>
        <v>0</v>
      </c>
      <c r="AV29" s="52">
        <v>0</v>
      </c>
      <c r="AW29" s="52">
        <f>' CV Nov-25'!BA29-' CV AUG-25'!AW29</f>
        <v>0</v>
      </c>
      <c r="AX29" s="52">
        <f>' CV Nov-25'!BB29-' CV AUG-25'!AX29</f>
        <v>0</v>
      </c>
      <c r="AY29" s="52">
        <v>0</v>
      </c>
      <c r="AZ29" s="52">
        <f>' CV Nov-25'!BD29-' CV AUG-25'!AZ29</f>
        <v>0</v>
      </c>
      <c r="BA29" s="52">
        <f>' CV Nov-25'!BE29-' CV AUG-25'!BA29</f>
        <v>0</v>
      </c>
      <c r="BB29" s="52">
        <v>0</v>
      </c>
      <c r="BC29" s="52">
        <f>' CV Nov-25'!BG29-' CV AUG-25'!BC29</f>
        <v>0</v>
      </c>
      <c r="BD29" s="52">
        <f>' CV Nov-25'!BH29-' CV AUG-25'!BD29</f>
        <v>0</v>
      </c>
      <c r="BE29" s="52">
        <v>0</v>
      </c>
      <c r="BF29" s="52">
        <f>' CV Nov-25'!BJ29-' CV AUG-25'!BF29</f>
        <v>0</v>
      </c>
      <c r="BG29" s="52">
        <f>' CV Nov-25'!BK29-' CV AUG-25'!BG29</f>
        <v>0</v>
      </c>
      <c r="BH29" s="52">
        <f>' CV Nov-25'!BL29-' CV AUG-25'!BH29</f>
        <v>0</v>
      </c>
      <c r="BI29" s="52">
        <f>' CV Nov-25'!BM29-' CV AUG-25'!BI29</f>
        <v>0</v>
      </c>
      <c r="BJ29" s="52">
        <f>' CV Nov-25'!BN29-' CV AUG-25'!BJ29</f>
        <v>0</v>
      </c>
      <c r="BK29" s="52">
        <f>' CV Nov-25'!BO29-' CV AUG-25'!BK29</f>
        <v>0</v>
      </c>
    </row>
    <row r="30" spans="2:63" ht="4.5" customHeight="1" x14ac:dyDescent="0.35">
      <c r="B30" s="60"/>
      <c r="C30" s="61"/>
      <c r="D30" s="62"/>
      <c r="E30" s="62"/>
      <c r="F30" s="6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</row>
    <row r="31" spans="2:63" x14ac:dyDescent="0.35">
      <c r="B31" s="56"/>
      <c r="C31" s="146" t="s">
        <v>120</v>
      </c>
      <c r="D31" s="147" t="s">
        <v>121</v>
      </c>
      <c r="E31" s="148"/>
      <c r="F31" s="51"/>
      <c r="G31" s="52">
        <f>' CV Nov-25'!G31-' CV AUG-25'!G31</f>
        <v>0</v>
      </c>
      <c r="H31" s="52">
        <f>' CV Nov-25'!H31-' CV AUG-25'!H31</f>
        <v>0</v>
      </c>
      <c r="I31" s="52">
        <v>0</v>
      </c>
      <c r="J31" s="52">
        <f>' CV Nov-25'!J31-' CV AUG-25'!J31</f>
        <v>0</v>
      </c>
      <c r="K31" s="52">
        <f>' CV Nov-25'!K31-' CV AUG-25'!K31</f>
        <v>0</v>
      </c>
      <c r="L31" s="52">
        <v>0</v>
      </c>
      <c r="M31" s="52">
        <f>' CV Nov-25'!M31-' CV AUG-25'!M31</f>
        <v>0</v>
      </c>
      <c r="N31" s="52">
        <f>' CV Nov-25'!N31-' CV AUG-25'!N31</f>
        <v>0</v>
      </c>
      <c r="O31" s="52">
        <v>0</v>
      </c>
      <c r="P31" s="52">
        <f>' CV Nov-25'!P31-' CV AUG-25'!P31</f>
        <v>0</v>
      </c>
      <c r="Q31" s="52">
        <f>' CV Nov-25'!Q31-' CV AUG-25'!Q31</f>
        <v>0</v>
      </c>
      <c r="R31" s="52">
        <v>0</v>
      </c>
      <c r="S31" s="52">
        <f>' CV Nov-25'!U31-' CV AUG-25'!S31</f>
        <v>0</v>
      </c>
      <c r="T31" s="52">
        <f>' CV Nov-25'!V31-' CV AUG-25'!T31</f>
        <v>0</v>
      </c>
      <c r="U31" s="52">
        <v>0</v>
      </c>
      <c r="V31" s="52">
        <f>' CV Nov-25'!X31-' CV AUG-25'!V31</f>
        <v>0</v>
      </c>
      <c r="W31" s="52">
        <f>' CV Nov-25'!Y31-' CV AUG-25'!W31</f>
        <v>0</v>
      </c>
      <c r="X31" s="52">
        <v>0</v>
      </c>
      <c r="Y31" s="52">
        <f>' CV Nov-25'!AC31-' CV AUG-25'!Y31</f>
        <v>0</v>
      </c>
      <c r="Z31" s="52">
        <f>' CV Nov-25'!AD31-' CV AUG-25'!Z31</f>
        <v>0</v>
      </c>
      <c r="AA31" s="52">
        <v>0</v>
      </c>
      <c r="AB31" s="52">
        <f>' CV Nov-25'!AF31-' CV AUG-25'!AB31</f>
        <v>0</v>
      </c>
      <c r="AC31" s="52">
        <f>' CV Nov-25'!AG31-' CV AUG-25'!AC31</f>
        <v>0</v>
      </c>
      <c r="AD31" s="52">
        <v>0</v>
      </c>
      <c r="AE31" s="52">
        <f>' CV Nov-25'!AI31-' CV AUG-25'!AE31</f>
        <v>0</v>
      </c>
      <c r="AF31" s="52">
        <f>' CV Nov-25'!AJ31-' CV AUG-25'!AF31</f>
        <v>0</v>
      </c>
      <c r="AG31" s="52">
        <v>0</v>
      </c>
      <c r="AH31" s="52">
        <f>' CV Nov-25'!AL31-' CV AUG-25'!AH31</f>
        <v>0</v>
      </c>
      <c r="AI31" s="52">
        <f>' CV Nov-25'!AM31-' CV AUG-25'!AI31</f>
        <v>0</v>
      </c>
      <c r="AJ31" s="52">
        <v>0</v>
      </c>
      <c r="AK31" s="52">
        <f>' CV Nov-25'!AO31-' CV AUG-25'!AK31</f>
        <v>0</v>
      </c>
      <c r="AL31" s="52">
        <f>' CV Nov-25'!AP31-' CV AUG-25'!AL31</f>
        <v>0</v>
      </c>
      <c r="AM31" s="52">
        <v>0</v>
      </c>
      <c r="AN31" s="52">
        <f>' CV Nov-25'!AR31-' CV AUG-25'!AN31</f>
        <v>0</v>
      </c>
      <c r="AO31" s="52">
        <f>' CV Nov-25'!AS31-' CV AUG-25'!AO31</f>
        <v>0</v>
      </c>
      <c r="AP31" s="52">
        <v>0</v>
      </c>
      <c r="AQ31" s="52">
        <f>' CV Nov-25'!AU31-' CV AUG-25'!AQ31</f>
        <v>0</v>
      </c>
      <c r="AR31" s="52">
        <f>' CV Nov-25'!AV31-' CV AUG-25'!AR31</f>
        <v>0</v>
      </c>
      <c r="AS31" s="52">
        <v>0</v>
      </c>
      <c r="AT31" s="52">
        <f>' CV Nov-25'!AX31-' CV AUG-25'!AT31</f>
        <v>0</v>
      </c>
      <c r="AU31" s="52">
        <f>' CV Nov-25'!AY31-' CV AUG-25'!AU31</f>
        <v>0</v>
      </c>
      <c r="AV31" s="52">
        <v>0</v>
      </c>
      <c r="AW31" s="52">
        <f>' CV Nov-25'!BA31-' CV AUG-25'!AW31</f>
        <v>0</v>
      </c>
      <c r="AX31" s="52">
        <f>' CV Nov-25'!BB31-' CV AUG-25'!AX31</f>
        <v>0</v>
      </c>
      <c r="AY31" s="52">
        <v>0</v>
      </c>
      <c r="AZ31" s="52">
        <f>' CV Nov-25'!BD31-' CV AUG-25'!AZ31</f>
        <v>0</v>
      </c>
      <c r="BA31" s="52">
        <f>' CV Nov-25'!BE31-' CV AUG-25'!BA31</f>
        <v>0</v>
      </c>
      <c r="BB31" s="52">
        <v>0</v>
      </c>
      <c r="BC31" s="52">
        <f>' CV Nov-25'!BG31-' CV AUG-25'!BC31</f>
        <v>0</v>
      </c>
      <c r="BD31" s="52">
        <f>' CV Nov-25'!BH31-' CV AUG-25'!BD31</f>
        <v>0</v>
      </c>
      <c r="BE31" s="52">
        <v>0</v>
      </c>
      <c r="BF31" s="52">
        <f>' CV Nov-25'!BJ31-' CV AUG-25'!BF31</f>
        <v>0</v>
      </c>
      <c r="BG31" s="52">
        <f>' CV Nov-25'!BK31-' CV AUG-25'!BG31</f>
        <v>0</v>
      </c>
      <c r="BH31" s="52">
        <f>' CV Nov-25'!BL31-' CV AUG-25'!BH31</f>
        <v>0</v>
      </c>
      <c r="BI31" s="52">
        <f>' CV Nov-25'!BM31-' CV AUG-25'!BI31</f>
        <v>0</v>
      </c>
      <c r="BJ31" s="52">
        <f>' CV Nov-25'!BN31-' CV AUG-25'!BJ31</f>
        <v>0</v>
      </c>
      <c r="BK31" s="52">
        <f>' CV Nov-25'!BO31-' CV AUG-25'!BK31</f>
        <v>0</v>
      </c>
    </row>
    <row r="32" spans="2:63" x14ac:dyDescent="0.35">
      <c r="B32" s="56"/>
      <c r="C32" s="146"/>
      <c r="D32" s="147" t="s">
        <v>122</v>
      </c>
      <c r="E32" s="148"/>
      <c r="F32" s="51"/>
      <c r="G32" s="52">
        <f>' CV Nov-25'!G32-' CV AUG-25'!G32</f>
        <v>0</v>
      </c>
      <c r="H32" s="52">
        <f>' CV Nov-25'!H32-' CV AUG-25'!H32</f>
        <v>0</v>
      </c>
      <c r="I32" s="52">
        <v>0</v>
      </c>
      <c r="J32" s="52">
        <f>' CV Nov-25'!J32-' CV AUG-25'!J32</f>
        <v>0</v>
      </c>
      <c r="K32" s="52">
        <f>' CV Nov-25'!K32-' CV AUG-25'!K32</f>
        <v>0</v>
      </c>
      <c r="L32" s="52">
        <v>0</v>
      </c>
      <c r="M32" s="52">
        <f>' CV Nov-25'!M32-' CV AUG-25'!M32</f>
        <v>0</v>
      </c>
      <c r="N32" s="52">
        <f>' CV Nov-25'!N32-' CV AUG-25'!N32</f>
        <v>0</v>
      </c>
      <c r="O32" s="52">
        <v>0</v>
      </c>
      <c r="P32" s="52">
        <f>' CV Nov-25'!P32-' CV AUG-25'!P32</f>
        <v>0</v>
      </c>
      <c r="Q32" s="52">
        <f>' CV Nov-25'!Q32-' CV AUG-25'!Q32</f>
        <v>0</v>
      </c>
      <c r="R32" s="52">
        <v>0</v>
      </c>
      <c r="S32" s="52">
        <f>' CV Nov-25'!U32-' CV AUG-25'!S32</f>
        <v>0</v>
      </c>
      <c r="T32" s="52">
        <f>' CV Nov-25'!V32-' CV AUG-25'!T32</f>
        <v>0</v>
      </c>
      <c r="U32" s="52">
        <v>0</v>
      </c>
      <c r="V32" s="52">
        <f>' CV Nov-25'!X32-' CV AUG-25'!V32</f>
        <v>0</v>
      </c>
      <c r="W32" s="52">
        <f>' CV Nov-25'!Y32-' CV AUG-25'!W32</f>
        <v>0</v>
      </c>
      <c r="X32" s="52">
        <v>0</v>
      </c>
      <c r="Y32" s="52">
        <f>' CV Nov-25'!AC32-' CV AUG-25'!Y32</f>
        <v>0</v>
      </c>
      <c r="Z32" s="52">
        <f>' CV Nov-25'!AD32-' CV AUG-25'!Z32</f>
        <v>0</v>
      </c>
      <c r="AA32" s="52">
        <v>0</v>
      </c>
      <c r="AB32" s="52">
        <f>' CV Nov-25'!AF32-' CV AUG-25'!AB32</f>
        <v>0</v>
      </c>
      <c r="AC32" s="52">
        <f>' CV Nov-25'!AG32-' CV AUG-25'!AC32</f>
        <v>0</v>
      </c>
      <c r="AD32" s="52">
        <v>0</v>
      </c>
      <c r="AE32" s="52">
        <f>' CV Nov-25'!AI32-' CV AUG-25'!AE32</f>
        <v>0</v>
      </c>
      <c r="AF32" s="52">
        <f>' CV Nov-25'!AJ32-' CV AUG-25'!AF32</f>
        <v>0</v>
      </c>
      <c r="AG32" s="52">
        <v>0</v>
      </c>
      <c r="AH32" s="52">
        <f>' CV Nov-25'!AL32-' CV AUG-25'!AH32</f>
        <v>0</v>
      </c>
      <c r="AI32" s="52">
        <f>' CV Nov-25'!AM32-' CV AUG-25'!AI32</f>
        <v>0</v>
      </c>
      <c r="AJ32" s="52">
        <v>0</v>
      </c>
      <c r="AK32" s="52">
        <f>' CV Nov-25'!AO32-' CV AUG-25'!AK32</f>
        <v>0</v>
      </c>
      <c r="AL32" s="52">
        <f>' CV Nov-25'!AP32-' CV AUG-25'!AL32</f>
        <v>0</v>
      </c>
      <c r="AM32" s="52">
        <v>0</v>
      </c>
      <c r="AN32" s="52">
        <f>' CV Nov-25'!AR32-' CV AUG-25'!AN32</f>
        <v>0</v>
      </c>
      <c r="AO32" s="52">
        <f>' CV Nov-25'!AS32-' CV AUG-25'!AO32</f>
        <v>0</v>
      </c>
      <c r="AP32" s="52">
        <v>0</v>
      </c>
      <c r="AQ32" s="52">
        <f>' CV Nov-25'!AU32-' CV AUG-25'!AQ32</f>
        <v>0</v>
      </c>
      <c r="AR32" s="52">
        <f>' CV Nov-25'!AV32-' CV AUG-25'!AR32</f>
        <v>0</v>
      </c>
      <c r="AS32" s="52">
        <v>0</v>
      </c>
      <c r="AT32" s="52">
        <f>' CV Nov-25'!AX32-' CV AUG-25'!AT32</f>
        <v>0</v>
      </c>
      <c r="AU32" s="52">
        <f>' CV Nov-25'!AY32-' CV AUG-25'!AU32</f>
        <v>0</v>
      </c>
      <c r="AV32" s="52">
        <v>0</v>
      </c>
      <c r="AW32" s="52">
        <f>' CV Nov-25'!BA32-' CV AUG-25'!AW32</f>
        <v>0</v>
      </c>
      <c r="AX32" s="52">
        <f>' CV Nov-25'!BB32-' CV AUG-25'!AX32</f>
        <v>0</v>
      </c>
      <c r="AY32" s="52">
        <v>0</v>
      </c>
      <c r="AZ32" s="52">
        <f>' CV Nov-25'!BD32-' CV AUG-25'!AZ32</f>
        <v>0</v>
      </c>
      <c r="BA32" s="52">
        <f>' CV Nov-25'!BE32-' CV AUG-25'!BA32</f>
        <v>0</v>
      </c>
      <c r="BB32" s="52">
        <v>0</v>
      </c>
      <c r="BC32" s="52">
        <f>' CV Nov-25'!BG32-' CV AUG-25'!BC32</f>
        <v>0</v>
      </c>
      <c r="BD32" s="52">
        <f>' CV Nov-25'!BH32-' CV AUG-25'!BD32</f>
        <v>0</v>
      </c>
      <c r="BE32" s="52">
        <v>0</v>
      </c>
      <c r="BF32" s="52">
        <f>' CV Nov-25'!BJ32-' CV AUG-25'!BF32</f>
        <v>0</v>
      </c>
      <c r="BG32" s="52">
        <f>' CV Nov-25'!BK32-' CV AUG-25'!BG32</f>
        <v>0</v>
      </c>
      <c r="BH32" s="52">
        <f>' CV Nov-25'!BL32-' CV AUG-25'!BH32</f>
        <v>0</v>
      </c>
      <c r="BI32" s="52">
        <f>' CV Nov-25'!BM32-' CV AUG-25'!BI32</f>
        <v>0</v>
      </c>
      <c r="BJ32" s="52">
        <f>' CV Nov-25'!BN32-' CV AUG-25'!BJ32</f>
        <v>0</v>
      </c>
      <c r="BK32" s="52">
        <f>' CV Nov-25'!BO32-' CV AUG-25'!BK32</f>
        <v>0</v>
      </c>
    </row>
    <row r="33" spans="2:63" ht="70" customHeight="1" x14ac:dyDescent="0.35">
      <c r="B33" s="56"/>
      <c r="C33" s="146"/>
      <c r="D33" s="49" t="s">
        <v>123</v>
      </c>
      <c r="E33" s="149" t="s">
        <v>124</v>
      </c>
      <c r="F33" s="150"/>
      <c r="G33" s="52">
        <f>' CV Nov-25'!G33-' CV AUG-25'!G33</f>
        <v>0</v>
      </c>
      <c r="H33" s="52">
        <f>' CV Nov-25'!H33-' CV AUG-25'!H33</f>
        <v>0</v>
      </c>
      <c r="I33" s="52">
        <v>0</v>
      </c>
      <c r="J33" s="52">
        <f>' CV Nov-25'!J33-' CV AUG-25'!J33</f>
        <v>0</v>
      </c>
      <c r="K33" s="52">
        <f>' CV Nov-25'!K33-' CV AUG-25'!K33</f>
        <v>0</v>
      </c>
      <c r="L33" s="52">
        <v>0</v>
      </c>
      <c r="M33" s="52">
        <f>' CV Nov-25'!M33-' CV AUG-25'!M33</f>
        <v>0</v>
      </c>
      <c r="N33" s="52">
        <f>' CV Nov-25'!N33-' CV AUG-25'!N33</f>
        <v>0</v>
      </c>
      <c r="O33" s="52">
        <v>0</v>
      </c>
      <c r="P33" s="52">
        <f>' CV Nov-25'!P33-' CV AUG-25'!P33</f>
        <v>0</v>
      </c>
      <c r="Q33" s="52">
        <f>' CV Nov-25'!Q33-' CV AUG-25'!Q33</f>
        <v>0</v>
      </c>
      <c r="R33" s="52">
        <v>0</v>
      </c>
      <c r="S33" s="52">
        <f>' CV Nov-25'!U33-' CV AUG-25'!S33</f>
        <v>0</v>
      </c>
      <c r="T33" s="52">
        <f>' CV Nov-25'!V33-' CV AUG-25'!T33</f>
        <v>0</v>
      </c>
      <c r="U33" s="52">
        <v>0</v>
      </c>
      <c r="V33" s="52">
        <f>' CV Nov-25'!X33-' CV AUG-25'!V33</f>
        <v>0</v>
      </c>
      <c r="W33" s="52">
        <f>' CV Nov-25'!Y33-' CV AUG-25'!W33</f>
        <v>0</v>
      </c>
      <c r="X33" s="52">
        <v>0</v>
      </c>
      <c r="Y33" s="52">
        <f>' CV Nov-25'!AC33-' CV AUG-25'!Y33</f>
        <v>0</v>
      </c>
      <c r="Z33" s="52">
        <f>' CV Nov-25'!AD33-' CV AUG-25'!Z33</f>
        <v>0</v>
      </c>
      <c r="AA33" s="52">
        <v>0</v>
      </c>
      <c r="AB33" s="52">
        <f>' CV Nov-25'!AF33-' CV AUG-25'!AB33</f>
        <v>0</v>
      </c>
      <c r="AC33" s="52">
        <f>' CV Nov-25'!AG33-' CV AUG-25'!AC33</f>
        <v>0</v>
      </c>
      <c r="AD33" s="52">
        <v>0</v>
      </c>
      <c r="AE33" s="52">
        <f>' CV Nov-25'!AI33-' CV AUG-25'!AE33</f>
        <v>0</v>
      </c>
      <c r="AF33" s="52">
        <f>' CV Nov-25'!AJ33-' CV AUG-25'!AF33</f>
        <v>0</v>
      </c>
      <c r="AG33" s="52">
        <v>0</v>
      </c>
      <c r="AH33" s="52">
        <f>' CV Nov-25'!AL33-' CV AUG-25'!AH33</f>
        <v>0</v>
      </c>
      <c r="AI33" s="52">
        <f>' CV Nov-25'!AM33-' CV AUG-25'!AI33</f>
        <v>0</v>
      </c>
      <c r="AJ33" s="52">
        <v>0</v>
      </c>
      <c r="AK33" s="52">
        <f>' CV Nov-25'!AO33-' CV AUG-25'!AK33</f>
        <v>0</v>
      </c>
      <c r="AL33" s="52">
        <f>' CV Nov-25'!AP33-' CV AUG-25'!AL33</f>
        <v>0</v>
      </c>
      <c r="AM33" s="52">
        <v>0</v>
      </c>
      <c r="AN33" s="52">
        <f>' CV Nov-25'!AR33-' CV AUG-25'!AN33</f>
        <v>0</v>
      </c>
      <c r="AO33" s="52">
        <f>' CV Nov-25'!AS33-' CV AUG-25'!AO33</f>
        <v>0</v>
      </c>
      <c r="AP33" s="52">
        <v>0</v>
      </c>
      <c r="AQ33" s="52">
        <f>' CV Nov-25'!AU33-' CV AUG-25'!AQ33</f>
        <v>0</v>
      </c>
      <c r="AR33" s="52">
        <f>' CV Nov-25'!AV33-' CV AUG-25'!AR33</f>
        <v>0</v>
      </c>
      <c r="AS33" s="52">
        <v>0</v>
      </c>
      <c r="AT33" s="52">
        <f>' CV Nov-25'!AX33-' CV AUG-25'!AT33</f>
        <v>0</v>
      </c>
      <c r="AU33" s="52">
        <f>' CV Nov-25'!AY33-' CV AUG-25'!AU33</f>
        <v>0</v>
      </c>
      <c r="AV33" s="52">
        <v>0</v>
      </c>
      <c r="AW33" s="52">
        <f>' CV Nov-25'!BA33-' CV AUG-25'!AW33</f>
        <v>0</v>
      </c>
      <c r="AX33" s="52">
        <f>' CV Nov-25'!BB33-' CV AUG-25'!AX33</f>
        <v>0</v>
      </c>
      <c r="AY33" s="52">
        <v>0</v>
      </c>
      <c r="AZ33" s="52">
        <f>' CV Nov-25'!BD33-' CV AUG-25'!AZ33</f>
        <v>0</v>
      </c>
      <c r="BA33" s="52">
        <f>' CV Nov-25'!BE33-' CV AUG-25'!BA33</f>
        <v>0</v>
      </c>
      <c r="BB33" s="52">
        <v>0</v>
      </c>
      <c r="BC33" s="52">
        <f>' CV Nov-25'!BG33-' CV AUG-25'!BC33</f>
        <v>0</v>
      </c>
      <c r="BD33" s="52">
        <f>' CV Nov-25'!BH33-' CV AUG-25'!BD33</f>
        <v>0</v>
      </c>
      <c r="BE33" s="52">
        <v>0</v>
      </c>
      <c r="BF33" s="52">
        <f>' CV Nov-25'!BJ33-' CV AUG-25'!BF33</f>
        <v>0</v>
      </c>
      <c r="BG33" s="52">
        <f>' CV Nov-25'!BK33-' CV AUG-25'!BG33</f>
        <v>0</v>
      </c>
      <c r="BH33" s="52">
        <f>' CV Nov-25'!BL33-' CV AUG-25'!BH33</f>
        <v>0</v>
      </c>
      <c r="BI33" s="52">
        <f>' CV Nov-25'!BM33-' CV AUG-25'!BI33</f>
        <v>0</v>
      </c>
      <c r="BJ33" s="52">
        <f>' CV Nov-25'!BN33-' CV AUG-25'!BJ33</f>
        <v>0</v>
      </c>
      <c r="BK33" s="52">
        <f>' CV Nov-25'!BO33-' CV AUG-25'!BK33</f>
        <v>0</v>
      </c>
    </row>
    <row r="34" spans="2:63" x14ac:dyDescent="0.35">
      <c r="B34" s="56"/>
      <c r="C34" s="146"/>
      <c r="D34" s="49" t="s">
        <v>125</v>
      </c>
      <c r="E34" s="50"/>
      <c r="F34" s="51"/>
      <c r="G34" s="52">
        <f>' CV Nov-25'!G34-' CV AUG-25'!G34</f>
        <v>0</v>
      </c>
      <c r="H34" s="52">
        <f>' CV Nov-25'!H34-' CV AUG-25'!H34</f>
        <v>0</v>
      </c>
      <c r="I34" s="52">
        <v>0</v>
      </c>
      <c r="J34" s="52">
        <f>' CV Nov-25'!J34-' CV AUG-25'!J34</f>
        <v>0</v>
      </c>
      <c r="K34" s="52">
        <f>' CV Nov-25'!K34-' CV AUG-25'!K34</f>
        <v>0</v>
      </c>
      <c r="L34" s="52">
        <v>0</v>
      </c>
      <c r="M34" s="52">
        <f>' CV Nov-25'!M34-' CV AUG-25'!M34</f>
        <v>0</v>
      </c>
      <c r="N34" s="52">
        <f>' CV Nov-25'!N34-' CV AUG-25'!N34</f>
        <v>0</v>
      </c>
      <c r="O34" s="52">
        <v>0</v>
      </c>
      <c r="P34" s="52">
        <f>' CV Nov-25'!P34-' CV AUG-25'!P34</f>
        <v>0</v>
      </c>
      <c r="Q34" s="52">
        <f>' CV Nov-25'!Q34-' CV AUG-25'!Q34</f>
        <v>0</v>
      </c>
      <c r="R34" s="52">
        <v>0</v>
      </c>
      <c r="S34" s="52">
        <f>' CV Nov-25'!U34-' CV AUG-25'!S34</f>
        <v>0</v>
      </c>
      <c r="T34" s="52">
        <f>' CV Nov-25'!V34-' CV AUG-25'!T34</f>
        <v>0</v>
      </c>
      <c r="U34" s="52">
        <v>0</v>
      </c>
      <c r="V34" s="52">
        <f>' CV Nov-25'!X34-' CV AUG-25'!V34</f>
        <v>0</v>
      </c>
      <c r="W34" s="52">
        <f>' CV Nov-25'!Y34-' CV AUG-25'!W34</f>
        <v>0</v>
      </c>
      <c r="X34" s="52">
        <v>0</v>
      </c>
      <c r="Y34" s="52">
        <f>' CV Nov-25'!AC34-' CV AUG-25'!Y34</f>
        <v>0</v>
      </c>
      <c r="Z34" s="52">
        <f>' CV Nov-25'!AD34-' CV AUG-25'!Z34</f>
        <v>0</v>
      </c>
      <c r="AA34" s="52">
        <v>0</v>
      </c>
      <c r="AB34" s="52">
        <f>' CV Nov-25'!AF34-' CV AUG-25'!AB34</f>
        <v>0</v>
      </c>
      <c r="AC34" s="52">
        <f>' CV Nov-25'!AG34-' CV AUG-25'!AC34</f>
        <v>0</v>
      </c>
      <c r="AD34" s="52">
        <v>0</v>
      </c>
      <c r="AE34" s="52">
        <f>' CV Nov-25'!AI34-' CV AUG-25'!AE34</f>
        <v>0</v>
      </c>
      <c r="AF34" s="52">
        <f>' CV Nov-25'!AJ34-' CV AUG-25'!AF34</f>
        <v>0</v>
      </c>
      <c r="AG34" s="52">
        <v>0</v>
      </c>
      <c r="AH34" s="52">
        <f>' CV Nov-25'!AL34-' CV AUG-25'!AH34</f>
        <v>0</v>
      </c>
      <c r="AI34" s="52">
        <f>' CV Nov-25'!AM34-' CV AUG-25'!AI34</f>
        <v>0</v>
      </c>
      <c r="AJ34" s="52">
        <v>0</v>
      </c>
      <c r="AK34" s="52">
        <f>' CV Nov-25'!AO34-' CV AUG-25'!AK34</f>
        <v>0</v>
      </c>
      <c r="AL34" s="52">
        <f>' CV Nov-25'!AP34-' CV AUG-25'!AL34</f>
        <v>0</v>
      </c>
      <c r="AM34" s="52">
        <v>0</v>
      </c>
      <c r="AN34" s="52">
        <f>' CV Nov-25'!AR34-' CV AUG-25'!AN34</f>
        <v>0</v>
      </c>
      <c r="AO34" s="52">
        <f>' CV Nov-25'!AS34-' CV AUG-25'!AO34</f>
        <v>0</v>
      </c>
      <c r="AP34" s="52">
        <v>0</v>
      </c>
      <c r="AQ34" s="52">
        <f>' CV Nov-25'!AU34-' CV AUG-25'!AQ34</f>
        <v>0</v>
      </c>
      <c r="AR34" s="52">
        <f>' CV Nov-25'!AV34-' CV AUG-25'!AR34</f>
        <v>0</v>
      </c>
      <c r="AS34" s="52">
        <v>0</v>
      </c>
      <c r="AT34" s="52">
        <f>' CV Nov-25'!AX34-' CV AUG-25'!AT34</f>
        <v>0</v>
      </c>
      <c r="AU34" s="52">
        <f>' CV Nov-25'!AY34-' CV AUG-25'!AU34</f>
        <v>0</v>
      </c>
      <c r="AV34" s="52">
        <v>0</v>
      </c>
      <c r="AW34" s="52">
        <f>' CV Nov-25'!BA34-' CV AUG-25'!AW34</f>
        <v>0</v>
      </c>
      <c r="AX34" s="52">
        <f>' CV Nov-25'!BB34-' CV AUG-25'!AX34</f>
        <v>0</v>
      </c>
      <c r="AY34" s="52">
        <v>0</v>
      </c>
      <c r="AZ34" s="52">
        <f>' CV Nov-25'!BD34-' CV AUG-25'!AZ34</f>
        <v>0</v>
      </c>
      <c r="BA34" s="52">
        <f>' CV Nov-25'!BE34-' CV AUG-25'!BA34</f>
        <v>0</v>
      </c>
      <c r="BB34" s="52">
        <v>0</v>
      </c>
      <c r="BC34" s="52">
        <f>' CV Nov-25'!BG34-' CV AUG-25'!BC34</f>
        <v>0</v>
      </c>
      <c r="BD34" s="52">
        <f>' CV Nov-25'!BH34-' CV AUG-25'!BD34</f>
        <v>0</v>
      </c>
      <c r="BE34" s="52">
        <v>0</v>
      </c>
      <c r="BF34" s="52">
        <f>' CV Nov-25'!BJ34-' CV AUG-25'!BF34</f>
        <v>0</v>
      </c>
      <c r="BG34" s="52">
        <f>' CV Nov-25'!BK34-' CV AUG-25'!BG34</f>
        <v>0</v>
      </c>
      <c r="BH34" s="52">
        <f>' CV Nov-25'!BL34-' CV AUG-25'!BH34</f>
        <v>0</v>
      </c>
      <c r="BI34" s="52">
        <f>' CV Nov-25'!BM34-' CV AUG-25'!BI34</f>
        <v>0</v>
      </c>
      <c r="BJ34" s="52">
        <f>' CV Nov-25'!BN34-' CV AUG-25'!BJ34</f>
        <v>0</v>
      </c>
      <c r="BK34" s="52">
        <f>' CV Nov-25'!BO34-' CV AUG-25'!BK34</f>
        <v>0</v>
      </c>
    </row>
    <row r="35" spans="2:63" x14ac:dyDescent="0.35">
      <c r="B35" s="59"/>
      <c r="C35" s="146"/>
      <c r="D35" s="147" t="s">
        <v>126</v>
      </c>
      <c r="E35" s="148"/>
      <c r="F35" s="151"/>
      <c r="G35" s="52">
        <f>' CV Nov-25'!G35-' CV AUG-25'!G35</f>
        <v>0</v>
      </c>
      <c r="H35" s="52">
        <f>' CV Nov-25'!H35-' CV AUG-25'!H35</f>
        <v>0</v>
      </c>
      <c r="I35" s="52">
        <v>0</v>
      </c>
      <c r="J35" s="52">
        <f>' CV Nov-25'!J35-' CV AUG-25'!J35</f>
        <v>0</v>
      </c>
      <c r="K35" s="52">
        <f>' CV Nov-25'!K35-' CV AUG-25'!K35</f>
        <v>0</v>
      </c>
      <c r="L35" s="52">
        <v>0</v>
      </c>
      <c r="M35" s="52">
        <f>' CV Nov-25'!M35-' CV AUG-25'!M35</f>
        <v>0</v>
      </c>
      <c r="N35" s="52">
        <f>' CV Nov-25'!N35-' CV AUG-25'!N35</f>
        <v>0</v>
      </c>
      <c r="O35" s="52">
        <v>0</v>
      </c>
      <c r="P35" s="52">
        <f>' CV Nov-25'!P35-' CV AUG-25'!P35</f>
        <v>0</v>
      </c>
      <c r="Q35" s="52">
        <f>' CV Nov-25'!Q35-' CV AUG-25'!Q35</f>
        <v>0</v>
      </c>
      <c r="R35" s="52">
        <v>0</v>
      </c>
      <c r="S35" s="52">
        <f>' CV Nov-25'!U35-' CV AUG-25'!S35</f>
        <v>0</v>
      </c>
      <c r="T35" s="52">
        <f>' CV Nov-25'!V35-' CV AUG-25'!T35</f>
        <v>0</v>
      </c>
      <c r="U35" s="52">
        <v>0</v>
      </c>
      <c r="V35" s="52">
        <f>' CV Nov-25'!X35-' CV AUG-25'!V35</f>
        <v>0</v>
      </c>
      <c r="W35" s="52">
        <f>' CV Nov-25'!Y35-' CV AUG-25'!W35</f>
        <v>0</v>
      </c>
      <c r="X35" s="52">
        <v>0</v>
      </c>
      <c r="Y35" s="52">
        <f>' CV Nov-25'!AC35-' CV AUG-25'!Y35</f>
        <v>0</v>
      </c>
      <c r="Z35" s="52">
        <f>' CV Nov-25'!AD35-' CV AUG-25'!Z35</f>
        <v>0</v>
      </c>
      <c r="AA35" s="52">
        <v>0</v>
      </c>
      <c r="AB35" s="52">
        <f>' CV Nov-25'!AF35-' CV AUG-25'!AB35</f>
        <v>0</v>
      </c>
      <c r="AC35" s="52">
        <f>' CV Nov-25'!AG35-' CV AUG-25'!AC35</f>
        <v>0</v>
      </c>
      <c r="AD35" s="52">
        <v>0</v>
      </c>
      <c r="AE35" s="52">
        <f>' CV Nov-25'!AI35-' CV AUG-25'!AE35</f>
        <v>0</v>
      </c>
      <c r="AF35" s="52">
        <f>' CV Nov-25'!AJ35-' CV AUG-25'!AF35</f>
        <v>0</v>
      </c>
      <c r="AG35" s="52">
        <v>0</v>
      </c>
      <c r="AH35" s="52">
        <f>' CV Nov-25'!AL35-' CV AUG-25'!AH35</f>
        <v>0</v>
      </c>
      <c r="AI35" s="52">
        <f>' CV Nov-25'!AM35-' CV AUG-25'!AI35</f>
        <v>0</v>
      </c>
      <c r="AJ35" s="52">
        <v>0</v>
      </c>
      <c r="AK35" s="52">
        <f>' CV Nov-25'!AO35-' CV AUG-25'!AK35</f>
        <v>0</v>
      </c>
      <c r="AL35" s="52">
        <f>' CV Nov-25'!AP35-' CV AUG-25'!AL35</f>
        <v>0</v>
      </c>
      <c r="AM35" s="52">
        <v>0</v>
      </c>
      <c r="AN35" s="52">
        <f>' CV Nov-25'!AR35-' CV AUG-25'!AN35</f>
        <v>0</v>
      </c>
      <c r="AO35" s="52">
        <f>' CV Nov-25'!AS35-' CV AUG-25'!AO35</f>
        <v>0</v>
      </c>
      <c r="AP35" s="52">
        <v>0</v>
      </c>
      <c r="AQ35" s="52">
        <f>' CV Nov-25'!AU35-' CV AUG-25'!AQ35</f>
        <v>0</v>
      </c>
      <c r="AR35" s="52">
        <f>' CV Nov-25'!AV35-' CV AUG-25'!AR35</f>
        <v>0</v>
      </c>
      <c r="AS35" s="52">
        <v>0</v>
      </c>
      <c r="AT35" s="52">
        <f>' CV Nov-25'!AX35-' CV AUG-25'!AT35</f>
        <v>0</v>
      </c>
      <c r="AU35" s="52">
        <f>' CV Nov-25'!AY35-' CV AUG-25'!AU35</f>
        <v>0</v>
      </c>
      <c r="AV35" s="52">
        <v>0</v>
      </c>
      <c r="AW35" s="52">
        <f>' CV Nov-25'!BA35-' CV AUG-25'!AW35</f>
        <v>0</v>
      </c>
      <c r="AX35" s="52">
        <f>' CV Nov-25'!BB35-' CV AUG-25'!AX35</f>
        <v>0</v>
      </c>
      <c r="AY35" s="52">
        <v>0</v>
      </c>
      <c r="AZ35" s="52">
        <f>' CV Nov-25'!BD35-' CV AUG-25'!AZ35</f>
        <v>0</v>
      </c>
      <c r="BA35" s="52">
        <f>' CV Nov-25'!BE35-' CV AUG-25'!BA35</f>
        <v>0</v>
      </c>
      <c r="BB35" s="52">
        <v>0</v>
      </c>
      <c r="BC35" s="52">
        <f>' CV Nov-25'!BG35-' CV AUG-25'!BC35</f>
        <v>0</v>
      </c>
      <c r="BD35" s="52">
        <f>' CV Nov-25'!BH35-' CV AUG-25'!BD35</f>
        <v>0</v>
      </c>
      <c r="BE35" s="52">
        <v>0</v>
      </c>
      <c r="BF35" s="52">
        <f>' CV Nov-25'!BJ35-' CV AUG-25'!BF35</f>
        <v>0</v>
      </c>
      <c r="BG35" s="52">
        <f>' CV Nov-25'!BK35-' CV AUG-25'!BG35</f>
        <v>0</v>
      </c>
      <c r="BH35" s="52">
        <f>' CV Nov-25'!BL35-' CV AUG-25'!BH35</f>
        <v>0</v>
      </c>
      <c r="BI35" s="52">
        <f>' CV Nov-25'!BM35-' CV AUG-25'!BI35</f>
        <v>0</v>
      </c>
      <c r="BJ35" s="52">
        <f>' CV Nov-25'!BN35-' CV AUG-25'!BJ35</f>
        <v>0</v>
      </c>
      <c r="BK35" s="52">
        <f>' CV Nov-25'!BO35-' CV AUG-25'!BK35</f>
        <v>0</v>
      </c>
    </row>
    <row r="36" spans="2:63" ht="4.5" customHeight="1" x14ac:dyDescent="0.35">
      <c r="B36" s="60"/>
      <c r="C36" s="61"/>
      <c r="D36" s="62"/>
      <c r="E36" s="62"/>
      <c r="F36" s="62"/>
      <c r="G36" s="63"/>
      <c r="H36" s="60"/>
      <c r="I36" s="6"/>
      <c r="J36" s="63"/>
      <c r="K36" s="60"/>
      <c r="L36" s="6"/>
      <c r="M36" s="63"/>
      <c r="N36" s="60"/>
      <c r="O36" s="6"/>
      <c r="P36" s="63"/>
      <c r="Q36" s="60"/>
      <c r="R36" s="6"/>
      <c r="S36" s="63"/>
      <c r="T36" s="60"/>
      <c r="U36" s="6"/>
      <c r="V36" s="63"/>
      <c r="W36" s="60"/>
      <c r="X36" s="6"/>
      <c r="Y36" s="63"/>
      <c r="Z36" s="60"/>
      <c r="AA36" s="6"/>
      <c r="AB36" s="63"/>
      <c r="AC36" s="60"/>
      <c r="AD36" s="6"/>
      <c r="AE36" s="63"/>
      <c r="AF36" s="60"/>
      <c r="AG36" s="6"/>
      <c r="AH36" s="63"/>
      <c r="AI36" s="60"/>
      <c r="AJ36" s="6"/>
      <c r="AK36" s="63"/>
      <c r="AL36" s="60"/>
      <c r="AM36" s="6"/>
      <c r="AN36" s="63"/>
      <c r="AO36" s="60"/>
      <c r="AP36" s="6"/>
      <c r="AQ36" s="63"/>
      <c r="AR36" s="60"/>
      <c r="AS36" s="6"/>
      <c r="AT36" s="63"/>
      <c r="AU36" s="60"/>
      <c r="AV36" s="6"/>
      <c r="AW36" s="63"/>
      <c r="AX36" s="60"/>
      <c r="AY36" s="6"/>
      <c r="AZ36" s="63"/>
      <c r="BA36" s="60"/>
      <c r="BB36" s="6"/>
      <c r="BC36" s="63"/>
      <c r="BD36" s="60"/>
      <c r="BE36" s="6"/>
      <c r="BF36" s="63"/>
      <c r="BG36" s="60"/>
      <c r="BH36" s="63"/>
      <c r="BI36" s="60"/>
      <c r="BJ36" s="63"/>
      <c r="BK36" s="60"/>
    </row>
    <row r="37" spans="2:63" ht="15" thickBot="1" x14ac:dyDescent="0.4"/>
    <row r="38" spans="2:63" ht="21" x14ac:dyDescent="0.35">
      <c r="C38" s="64" t="s">
        <v>85</v>
      </c>
      <c r="D38" s="65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7"/>
    </row>
    <row r="39" spans="2:63" ht="21" x14ac:dyDescent="0.35">
      <c r="C39" s="68" t="s">
        <v>127</v>
      </c>
      <c r="D39" s="69"/>
      <c r="E39" s="70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71"/>
    </row>
    <row r="40" spans="2:63" ht="21" x14ac:dyDescent="0.35">
      <c r="C40" s="68" t="s">
        <v>128</v>
      </c>
      <c r="D40" s="69"/>
      <c r="E40" s="70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71"/>
    </row>
    <row r="41" spans="2:63" ht="21" x14ac:dyDescent="0.35">
      <c r="C41" s="68"/>
      <c r="D41" s="72" t="s">
        <v>129</v>
      </c>
      <c r="E41" s="70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71"/>
    </row>
    <row r="42" spans="2:63" ht="21.5" thickBot="1" x14ac:dyDescent="0.4">
      <c r="C42" s="73" t="s">
        <v>130</v>
      </c>
      <c r="D42" s="74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7"/>
    </row>
  </sheetData>
  <mergeCells count="55">
    <mergeCell ref="B2:BG2"/>
    <mergeCell ref="C3:C5"/>
    <mergeCell ref="D3:D5"/>
    <mergeCell ref="E3:E5"/>
    <mergeCell ref="F3:F5"/>
    <mergeCell ref="G3:H4"/>
    <mergeCell ref="J3:K4"/>
    <mergeCell ref="M3:N4"/>
    <mergeCell ref="P3:Q4"/>
    <mergeCell ref="S3:T4"/>
    <mergeCell ref="BC3:BD4"/>
    <mergeCell ref="V3:W4"/>
    <mergeCell ref="Y3:Z4"/>
    <mergeCell ref="AB3:AC4"/>
    <mergeCell ref="AE3:AF4"/>
    <mergeCell ref="AH3:AI4"/>
    <mergeCell ref="AK3:AL4"/>
    <mergeCell ref="D17:F17"/>
    <mergeCell ref="BF3:BG4"/>
    <mergeCell ref="BH3:BI4"/>
    <mergeCell ref="BJ3:BK4"/>
    <mergeCell ref="AN3:AO4"/>
    <mergeCell ref="AQ3:AR4"/>
    <mergeCell ref="AT3:AU4"/>
    <mergeCell ref="AW3:AX4"/>
    <mergeCell ref="AZ3:BA4"/>
    <mergeCell ref="C6:C18"/>
    <mergeCell ref="D6:F6"/>
    <mergeCell ref="D7:F7"/>
    <mergeCell ref="D8:D9"/>
    <mergeCell ref="E9:F9"/>
    <mergeCell ref="D10:F10"/>
    <mergeCell ref="D11:F11"/>
    <mergeCell ref="D12:F12"/>
    <mergeCell ref="D13:F13"/>
    <mergeCell ref="D14:F14"/>
    <mergeCell ref="D15:F15"/>
    <mergeCell ref="D16:F16"/>
    <mergeCell ref="D18:F18"/>
    <mergeCell ref="C20:C23"/>
    <mergeCell ref="D20:F20"/>
    <mergeCell ref="D21:F21"/>
    <mergeCell ref="D22:F22"/>
    <mergeCell ref="D23:F23"/>
    <mergeCell ref="C25:C29"/>
    <mergeCell ref="D25:F25"/>
    <mergeCell ref="D26:F26"/>
    <mergeCell ref="D27:F27"/>
    <mergeCell ref="D28:F28"/>
    <mergeCell ref="D29:F29"/>
    <mergeCell ref="C31:C35"/>
    <mergeCell ref="D31:E31"/>
    <mergeCell ref="D32:E32"/>
    <mergeCell ref="E33:F33"/>
    <mergeCell ref="D35:F35"/>
  </mergeCells>
  <conditionalFormatting sqref="A1:XFD1048576">
    <cfRule type="cellIs" dxfId="7" priority="1" operator="lessThan">
      <formula>0</formula>
    </cfRule>
  </conditionalFormatting>
  <conditionalFormatting sqref="B6:B36">
    <cfRule type="cellIs" dxfId="6" priority="89" operator="equal">
      <formula>"NA"</formula>
    </cfRule>
  </conditionalFormatting>
  <conditionalFormatting sqref="G6:BK35">
    <cfRule type="cellIs" dxfId="5" priority="2" operator="greaterThan">
      <formula>0</formula>
    </cfRule>
  </conditionalFormatting>
  <conditionalFormatting sqref="G19:BK19">
    <cfRule type="cellIs" dxfId="4" priority="3" operator="equal">
      <formula>"NA"</formula>
    </cfRule>
  </conditionalFormatting>
  <conditionalFormatting sqref="G24:BK24">
    <cfRule type="cellIs" dxfId="3" priority="21" operator="equal">
      <formula>"NA"</formula>
    </cfRule>
  </conditionalFormatting>
  <conditionalFormatting sqref="G30:BK30">
    <cfRule type="cellIs" dxfId="2" priority="7" operator="equal">
      <formula>"NA"</formula>
    </cfRule>
  </conditionalFormatting>
  <conditionalFormatting sqref="G36:BK36">
    <cfRule type="cellIs" dxfId="1" priority="5" operator="equal">
      <formula>"NA"</formula>
    </cfRule>
  </conditionalFormatting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C6C2-ACD8-40F4-93B8-BC32A2FF64AC}">
  <sheetPr>
    <tabColor theme="9" tint="-0.499984740745262"/>
  </sheetPr>
  <dimension ref="A1:BE189"/>
  <sheetViews>
    <sheetView showGridLines="0" zoomScale="80" zoomScaleNormal="80" workbookViewId="0">
      <pane xSplit="3" ySplit="5" topLeftCell="D176" activePane="bottomRight" state="frozen"/>
      <selection activeCell="W9" sqref="W9"/>
      <selection pane="topRight" activeCell="W9" sqref="W9"/>
      <selection pane="bottomLeft" activeCell="W9" sqref="W9"/>
      <selection pane="bottomRight" activeCell="A4" sqref="A4"/>
    </sheetView>
  </sheetViews>
  <sheetFormatPr defaultColWidth="9.1796875" defaultRowHeight="14.5" x14ac:dyDescent="0.35"/>
  <cols>
    <col min="1" max="1" width="0.26953125" style="2" customWidth="1"/>
    <col min="2" max="2" width="10.7265625" style="2" bestFit="1" customWidth="1"/>
    <col min="3" max="3" width="20.453125" style="2" customWidth="1"/>
    <col min="4" max="7" width="6.453125" style="2" customWidth="1"/>
    <col min="8" max="8" width="0.7265625" style="2" customWidth="1"/>
    <col min="9" max="12" width="6.453125" style="2" customWidth="1"/>
    <col min="13" max="13" width="0.7265625" style="2" customWidth="1"/>
    <col min="14" max="17" width="6.453125" style="2" customWidth="1"/>
    <col min="18" max="18" width="0.7265625" style="2" customWidth="1"/>
    <col min="19" max="22" width="6.453125" style="2" customWidth="1"/>
    <col min="23" max="23" width="0.7265625" style="2" customWidth="1"/>
    <col min="24" max="25" width="6.453125" style="2" customWidth="1"/>
    <col min="26" max="26" width="0.7265625" style="2" customWidth="1"/>
    <col min="27" max="30" width="6.453125" style="2" customWidth="1"/>
    <col min="31" max="31" width="0.7265625" style="2" customWidth="1"/>
    <col min="32" max="35" width="6.453125" style="2" customWidth="1"/>
    <col min="36" max="36" width="0.7265625" style="2" customWidth="1"/>
    <col min="37" max="40" width="6.453125" style="2" customWidth="1"/>
    <col min="41" max="41" width="0.7265625" style="2" customWidth="1"/>
    <col min="42" max="42" width="9.1796875" style="2" customWidth="1"/>
    <col min="43" max="43" width="17.26953125" style="2" bestFit="1" customWidth="1"/>
    <col min="44" max="47" width="6.453125" style="2" customWidth="1"/>
    <col min="48" max="48" width="0.7265625" style="2" customWidth="1"/>
    <col min="49" max="49" width="9.1796875" style="2" customWidth="1"/>
    <col min="50" max="53" width="0" style="2" hidden="1" customWidth="1"/>
    <col min="54" max="57" width="6.453125" style="2" hidden="1" customWidth="1"/>
    <col min="58" max="16384" width="9.1796875" style="2"/>
  </cols>
  <sheetData>
    <row r="1" spans="1:57" ht="4.5" customHeight="1" x14ac:dyDescent="0.35"/>
    <row r="2" spans="1:57" ht="17.5" customHeight="1" x14ac:dyDescent="0.35">
      <c r="C2" s="3">
        <v>0.05</v>
      </c>
      <c r="E2" s="40" t="s">
        <v>41</v>
      </c>
      <c r="AB2" s="3">
        <v>2.5000000000000001E-2</v>
      </c>
    </row>
    <row r="3" spans="1:57" ht="23.5" x14ac:dyDescent="0.35">
      <c r="A3" s="123" t="s">
        <v>144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4" t="s">
        <v>42</v>
      </c>
      <c r="AP3" s="124"/>
      <c r="AQ3" s="124"/>
      <c r="AR3" s="124"/>
      <c r="AS3" s="124"/>
      <c r="AT3" s="124"/>
      <c r="AU3" s="124"/>
      <c r="AV3" s="124"/>
    </row>
    <row r="4" spans="1:57" ht="18.5" x14ac:dyDescent="0.35">
      <c r="A4" s="5"/>
      <c r="B4" s="125" t="s">
        <v>43</v>
      </c>
      <c r="C4" s="126" t="s">
        <v>44</v>
      </c>
      <c r="D4" s="127" t="s">
        <v>45</v>
      </c>
      <c r="E4" s="127"/>
      <c r="F4" s="127"/>
      <c r="G4" s="127"/>
      <c r="H4" s="41"/>
      <c r="I4" s="127" t="s">
        <v>46</v>
      </c>
      <c r="J4" s="127"/>
      <c r="K4" s="127"/>
      <c r="L4" s="127"/>
      <c r="M4" s="41"/>
      <c r="N4" s="127" t="s">
        <v>47</v>
      </c>
      <c r="O4" s="127"/>
      <c r="P4" s="127"/>
      <c r="Q4" s="127"/>
      <c r="R4" s="41"/>
      <c r="S4" s="127" t="s">
        <v>48</v>
      </c>
      <c r="T4" s="127"/>
      <c r="U4" s="127"/>
      <c r="V4" s="127"/>
      <c r="W4" s="41"/>
      <c r="X4" s="127" t="s">
        <v>49</v>
      </c>
      <c r="Y4" s="127"/>
      <c r="Z4" s="41"/>
      <c r="AA4" s="128" t="s">
        <v>50</v>
      </c>
      <c r="AB4" s="128"/>
      <c r="AC4" s="128"/>
      <c r="AD4" s="128"/>
      <c r="AE4" s="41"/>
      <c r="AF4" s="128" t="s">
        <v>51</v>
      </c>
      <c r="AG4" s="128"/>
      <c r="AH4" s="128"/>
      <c r="AI4" s="128"/>
      <c r="AJ4" s="41"/>
      <c r="AK4" s="128" t="s">
        <v>52</v>
      </c>
      <c r="AL4" s="128"/>
      <c r="AM4" s="128"/>
      <c r="AN4" s="128"/>
      <c r="AO4" s="41"/>
      <c r="AP4" s="133" t="s">
        <v>53</v>
      </c>
      <c r="AQ4" s="133" t="s">
        <v>44</v>
      </c>
      <c r="AR4" s="134" t="s">
        <v>54</v>
      </c>
      <c r="AS4" s="134"/>
      <c r="AT4" s="134"/>
      <c r="AU4" s="134"/>
      <c r="AV4" s="41"/>
      <c r="AX4" s="128" t="s">
        <v>55</v>
      </c>
      <c r="AY4" s="128"/>
      <c r="AZ4" s="128"/>
      <c r="BB4" s="128" t="s">
        <v>51</v>
      </c>
      <c r="BC4" s="128"/>
      <c r="BD4" s="128"/>
      <c r="BE4" s="128"/>
    </row>
    <row r="5" spans="1:57" ht="74.5" x14ac:dyDescent="0.35">
      <c r="A5" s="8"/>
      <c r="B5" s="126"/>
      <c r="C5" s="126" t="s">
        <v>44</v>
      </c>
      <c r="D5" s="42" t="s">
        <v>56</v>
      </c>
      <c r="E5" s="42" t="s">
        <v>57</v>
      </c>
      <c r="F5" s="42" t="s">
        <v>58</v>
      </c>
      <c r="G5" s="42" t="s">
        <v>59</v>
      </c>
      <c r="H5" s="41"/>
      <c r="I5" s="42" t="s">
        <v>56</v>
      </c>
      <c r="J5" s="42" t="s">
        <v>57</v>
      </c>
      <c r="K5" s="42" t="s">
        <v>58</v>
      </c>
      <c r="L5" s="42" t="s">
        <v>59</v>
      </c>
      <c r="M5" s="41"/>
      <c r="N5" s="42" t="s">
        <v>56</v>
      </c>
      <c r="O5" s="42" t="s">
        <v>57</v>
      </c>
      <c r="P5" s="42" t="s">
        <v>58</v>
      </c>
      <c r="Q5" s="42" t="s">
        <v>59</v>
      </c>
      <c r="R5" s="41"/>
      <c r="S5" s="42" t="s">
        <v>56</v>
      </c>
      <c r="T5" s="42" t="s">
        <v>57</v>
      </c>
      <c r="U5" s="42" t="s">
        <v>58</v>
      </c>
      <c r="V5" s="42" t="s">
        <v>59</v>
      </c>
      <c r="W5" s="41"/>
      <c r="X5" s="42" t="s">
        <v>58</v>
      </c>
      <c r="Y5" s="42" t="s">
        <v>59</v>
      </c>
      <c r="Z5" s="41"/>
      <c r="AA5" s="43" t="s">
        <v>56</v>
      </c>
      <c r="AB5" s="43" t="s">
        <v>57</v>
      </c>
      <c r="AC5" s="43" t="s">
        <v>58</v>
      </c>
      <c r="AD5" s="43" t="s">
        <v>59</v>
      </c>
      <c r="AE5" s="41"/>
      <c r="AF5" s="43" t="s">
        <v>56</v>
      </c>
      <c r="AG5" s="43" t="s">
        <v>57</v>
      </c>
      <c r="AH5" s="43" t="s">
        <v>58</v>
      </c>
      <c r="AI5" s="43" t="s">
        <v>59</v>
      </c>
      <c r="AJ5" s="41"/>
      <c r="AK5" s="43" t="s">
        <v>56</v>
      </c>
      <c r="AL5" s="43" t="s">
        <v>57</v>
      </c>
      <c r="AM5" s="43" t="s">
        <v>58</v>
      </c>
      <c r="AN5" s="43" t="s">
        <v>59</v>
      </c>
      <c r="AO5" s="41"/>
      <c r="AP5" s="133"/>
      <c r="AQ5" s="133" t="s">
        <v>44</v>
      </c>
      <c r="AR5" s="44" t="s">
        <v>60</v>
      </c>
      <c r="AS5" s="44" t="s">
        <v>61</v>
      </c>
      <c r="AT5" s="44" t="s">
        <v>62</v>
      </c>
      <c r="AU5" s="44" t="s">
        <v>63</v>
      </c>
      <c r="AV5" s="41"/>
      <c r="AX5" s="43" t="s">
        <v>56</v>
      </c>
      <c r="AY5" s="43" t="s">
        <v>57</v>
      </c>
      <c r="AZ5" s="43" t="s">
        <v>58</v>
      </c>
      <c r="BB5" s="43" t="s">
        <v>56</v>
      </c>
      <c r="BC5" s="43" t="s">
        <v>57</v>
      </c>
      <c r="BD5" s="43" t="s">
        <v>58</v>
      </c>
      <c r="BE5" s="43" t="s">
        <v>59</v>
      </c>
    </row>
    <row r="6" spans="1:57" ht="14.5" customHeight="1" x14ac:dyDescent="0.35">
      <c r="A6" s="6"/>
      <c r="B6" s="129" t="s">
        <v>64</v>
      </c>
      <c r="C6" s="11" t="s">
        <v>65</v>
      </c>
      <c r="D6" s="13">
        <v>0.42499999999999999</v>
      </c>
      <c r="E6" s="13">
        <v>0.42499999999999999</v>
      </c>
      <c r="F6" s="13">
        <v>0.42499999999999999</v>
      </c>
      <c r="G6" s="45">
        <v>0</v>
      </c>
      <c r="H6" s="41"/>
      <c r="I6" s="13">
        <v>0.35</v>
      </c>
      <c r="J6" s="13">
        <v>0.5</v>
      </c>
      <c r="K6" s="13">
        <v>0.3</v>
      </c>
      <c r="L6" s="45">
        <v>0</v>
      </c>
      <c r="M6" s="41"/>
      <c r="N6" s="13">
        <v>0.45</v>
      </c>
      <c r="O6" s="13">
        <v>0.45</v>
      </c>
      <c r="P6" s="13">
        <v>0.45</v>
      </c>
      <c r="Q6" s="45">
        <v>0</v>
      </c>
      <c r="R6" s="41"/>
      <c r="S6" s="13">
        <v>0.35</v>
      </c>
      <c r="T6" s="13">
        <v>0.4</v>
      </c>
      <c r="U6" s="13">
        <v>0.35</v>
      </c>
      <c r="V6" s="45">
        <v>0</v>
      </c>
      <c r="W6" s="41"/>
      <c r="X6" s="13">
        <v>0.15</v>
      </c>
      <c r="Y6" s="13">
        <v>0.15</v>
      </c>
      <c r="Z6" s="41"/>
      <c r="AA6" s="13">
        <v>0.35000000000000003</v>
      </c>
      <c r="AB6" s="13">
        <v>0.47499999999999998</v>
      </c>
      <c r="AC6" s="13">
        <v>0.35000000000000003</v>
      </c>
      <c r="AD6" s="45">
        <v>0</v>
      </c>
      <c r="AE6" s="41"/>
      <c r="AF6" s="13">
        <v>0.16999999999999998</v>
      </c>
      <c r="AG6" s="13">
        <v>0.34499999999999997</v>
      </c>
      <c r="AH6" s="13">
        <v>0.16999999999999998</v>
      </c>
      <c r="AI6" s="45">
        <v>0</v>
      </c>
      <c r="AJ6" s="41"/>
      <c r="AK6" s="13">
        <v>0.16999999999999998</v>
      </c>
      <c r="AL6" s="13">
        <v>0.39499999999999996</v>
      </c>
      <c r="AM6" s="45">
        <v>0</v>
      </c>
      <c r="AN6" s="45">
        <v>0</v>
      </c>
      <c r="AO6" s="41"/>
      <c r="AP6" s="129" t="s">
        <v>64</v>
      </c>
      <c r="AQ6" s="11" t="s">
        <v>65</v>
      </c>
      <c r="AR6" s="13">
        <v>0.16999999999999998</v>
      </c>
      <c r="AS6" s="13">
        <v>0.32</v>
      </c>
      <c r="AT6" s="45">
        <v>0</v>
      </c>
      <c r="AU6" s="45">
        <v>0</v>
      </c>
      <c r="AV6" s="41"/>
      <c r="AX6" s="46">
        <v>-0.20499999999999999</v>
      </c>
      <c r="AY6" s="46">
        <v>-5.4999999999999993E-2</v>
      </c>
      <c r="AZ6" s="46">
        <v>-0.20499999999999999</v>
      </c>
      <c r="BB6" s="13">
        <v>0.22</v>
      </c>
      <c r="BC6" s="13">
        <v>0.37</v>
      </c>
      <c r="BD6" s="13">
        <v>0.22</v>
      </c>
      <c r="BE6" s="45">
        <v>0</v>
      </c>
    </row>
    <row r="7" spans="1:57" ht="14.5" customHeight="1" x14ac:dyDescent="0.35">
      <c r="A7" s="6"/>
      <c r="B7" s="130"/>
      <c r="C7" s="11" t="s">
        <v>66</v>
      </c>
      <c r="D7" s="13">
        <v>0.40499999999999997</v>
      </c>
      <c r="E7" s="13">
        <v>0.40499999999999997</v>
      </c>
      <c r="F7" s="13">
        <v>0.40499999999999997</v>
      </c>
      <c r="G7" s="13">
        <v>0</v>
      </c>
      <c r="H7" s="41"/>
      <c r="I7" s="13">
        <v>0.3</v>
      </c>
      <c r="J7" s="13">
        <v>0.4</v>
      </c>
      <c r="K7" s="13">
        <v>0.3</v>
      </c>
      <c r="L7" s="13">
        <v>0</v>
      </c>
      <c r="M7" s="41"/>
      <c r="N7" s="13">
        <v>0.45</v>
      </c>
      <c r="O7" s="13">
        <v>0.45</v>
      </c>
      <c r="P7" s="13">
        <v>0.45</v>
      </c>
      <c r="Q7" s="13">
        <v>0</v>
      </c>
      <c r="R7" s="41"/>
      <c r="S7" s="13">
        <v>0.32999999999999996</v>
      </c>
      <c r="T7" s="13">
        <v>0.38</v>
      </c>
      <c r="U7" s="13">
        <v>0.32999999999999996</v>
      </c>
      <c r="V7" s="13">
        <v>0</v>
      </c>
      <c r="W7" s="41"/>
      <c r="X7" s="13">
        <v>0.13</v>
      </c>
      <c r="Y7" s="13">
        <v>0.13</v>
      </c>
      <c r="Z7" s="41"/>
      <c r="AA7" s="13">
        <v>0.3</v>
      </c>
      <c r="AB7" s="13">
        <v>0.375</v>
      </c>
      <c r="AC7" s="13">
        <v>0.3</v>
      </c>
      <c r="AD7" s="13">
        <v>0</v>
      </c>
      <c r="AE7" s="41"/>
      <c r="AF7" s="13">
        <v>0.15000000000000002</v>
      </c>
      <c r="AG7" s="13">
        <v>0.32499999999999996</v>
      </c>
      <c r="AH7" s="13">
        <v>0.15000000000000002</v>
      </c>
      <c r="AI7" s="13">
        <v>0</v>
      </c>
      <c r="AJ7" s="41"/>
      <c r="AK7" s="13">
        <v>0.16999999999999998</v>
      </c>
      <c r="AL7" s="13">
        <v>0.39499999999999996</v>
      </c>
      <c r="AM7" s="13">
        <v>0</v>
      </c>
      <c r="AN7" s="13">
        <v>0</v>
      </c>
      <c r="AO7" s="41"/>
      <c r="AP7" s="130"/>
      <c r="AQ7" s="11" t="s">
        <v>66</v>
      </c>
      <c r="AR7" s="13">
        <v>0.16999999999999998</v>
      </c>
      <c r="AS7" s="13">
        <v>0.32</v>
      </c>
      <c r="AT7" s="45">
        <v>0</v>
      </c>
      <c r="AU7" s="45">
        <v>0</v>
      </c>
      <c r="AV7" s="41"/>
      <c r="AX7" s="46"/>
      <c r="AY7" s="46"/>
      <c r="AZ7" s="46"/>
      <c r="BB7" s="13"/>
      <c r="BC7" s="13"/>
      <c r="BD7" s="13"/>
      <c r="BE7" s="45"/>
    </row>
    <row r="8" spans="1:57" ht="14.5" customHeight="1" x14ac:dyDescent="0.35">
      <c r="A8" s="6"/>
      <c r="B8" s="130"/>
      <c r="C8" s="11" t="s">
        <v>67</v>
      </c>
      <c r="D8" s="13">
        <v>0.38499999999999995</v>
      </c>
      <c r="E8" s="13">
        <v>0.38499999999999995</v>
      </c>
      <c r="F8" s="13">
        <v>0.38499999999999995</v>
      </c>
      <c r="G8" s="13">
        <v>0</v>
      </c>
      <c r="H8" s="41"/>
      <c r="I8" s="13">
        <v>0.27</v>
      </c>
      <c r="J8" s="13">
        <v>0.37</v>
      </c>
      <c r="K8" s="13">
        <v>0.27</v>
      </c>
      <c r="L8" s="13">
        <v>0</v>
      </c>
      <c r="M8" s="41"/>
      <c r="N8" s="13">
        <v>0.4</v>
      </c>
      <c r="O8" s="13">
        <v>0.4</v>
      </c>
      <c r="P8" s="13">
        <v>0.4</v>
      </c>
      <c r="Q8" s="13">
        <v>0</v>
      </c>
      <c r="R8" s="41"/>
      <c r="S8" s="13">
        <v>0.30999999999999994</v>
      </c>
      <c r="T8" s="13">
        <v>0.36</v>
      </c>
      <c r="U8" s="13">
        <v>0.30999999999999994</v>
      </c>
      <c r="V8" s="13">
        <v>0</v>
      </c>
      <c r="W8" s="41"/>
      <c r="X8" s="13">
        <v>0.11</v>
      </c>
      <c r="Y8" s="13">
        <v>0.11</v>
      </c>
      <c r="Z8" s="41"/>
      <c r="AA8" s="13">
        <v>0.16999999999999998</v>
      </c>
      <c r="AB8" s="13">
        <v>0.34499999999999997</v>
      </c>
      <c r="AC8" s="13">
        <v>0.16999999999999998</v>
      </c>
      <c r="AD8" s="13">
        <v>0</v>
      </c>
      <c r="AE8" s="41"/>
      <c r="AF8" s="13">
        <v>0.13</v>
      </c>
      <c r="AG8" s="13">
        <v>0.30499999999999994</v>
      </c>
      <c r="AH8" s="13">
        <v>0.13</v>
      </c>
      <c r="AI8" s="13">
        <v>0</v>
      </c>
      <c r="AJ8" s="41"/>
      <c r="AK8" s="13">
        <v>0.16999999999999998</v>
      </c>
      <c r="AL8" s="13">
        <v>0.39499999999999996</v>
      </c>
      <c r="AM8" s="13">
        <v>0</v>
      </c>
      <c r="AN8" s="13">
        <v>0</v>
      </c>
      <c r="AO8" s="41"/>
      <c r="AP8" s="130"/>
      <c r="AQ8" s="11" t="s">
        <v>67</v>
      </c>
      <c r="AR8" s="13">
        <v>0.16999999999999998</v>
      </c>
      <c r="AS8" s="13">
        <v>0.32</v>
      </c>
      <c r="AT8" s="45">
        <v>0</v>
      </c>
      <c r="AU8" s="45">
        <v>0</v>
      </c>
      <c r="AV8" s="41"/>
      <c r="AX8" s="46"/>
      <c r="AY8" s="46"/>
      <c r="AZ8" s="46"/>
      <c r="BB8" s="13"/>
      <c r="BC8" s="13"/>
      <c r="BD8" s="13"/>
      <c r="BE8" s="45"/>
    </row>
    <row r="9" spans="1:57" ht="18.5" x14ac:dyDescent="0.35">
      <c r="A9" s="6"/>
      <c r="B9" s="131"/>
      <c r="C9" s="11" t="s">
        <v>68</v>
      </c>
      <c r="D9" s="13">
        <v>0.22500000000000001</v>
      </c>
      <c r="E9" s="13">
        <v>0.22500000000000001</v>
      </c>
      <c r="F9" s="13">
        <v>0.22500000000000001</v>
      </c>
      <c r="G9" s="45">
        <v>0</v>
      </c>
      <c r="H9" s="41"/>
      <c r="I9" s="13">
        <v>0.2</v>
      </c>
      <c r="J9" s="13">
        <v>0.2</v>
      </c>
      <c r="K9" s="13">
        <v>0.2</v>
      </c>
      <c r="L9" s="45">
        <v>0</v>
      </c>
      <c r="M9" s="41"/>
      <c r="N9" s="13">
        <v>0.22</v>
      </c>
      <c r="O9" s="13">
        <v>0.22</v>
      </c>
      <c r="P9" s="13">
        <v>0.22</v>
      </c>
      <c r="Q9" s="45">
        <v>0</v>
      </c>
      <c r="R9" s="41"/>
      <c r="S9" s="13">
        <v>0.22500000000000001</v>
      </c>
      <c r="T9" s="13">
        <v>0.22500000000000001</v>
      </c>
      <c r="U9" s="13">
        <v>0.22500000000000001</v>
      </c>
      <c r="V9" s="45">
        <v>0</v>
      </c>
      <c r="W9" s="41"/>
      <c r="X9" s="13">
        <v>0.2</v>
      </c>
      <c r="Y9" s="13">
        <v>0.2</v>
      </c>
      <c r="Z9" s="41"/>
      <c r="AA9" s="13">
        <v>0.15000000000000002</v>
      </c>
      <c r="AB9" s="13">
        <v>0.17500000000000002</v>
      </c>
      <c r="AC9" s="13">
        <v>0.15000000000000002</v>
      </c>
      <c r="AD9" s="45">
        <v>0</v>
      </c>
      <c r="AE9" s="41"/>
      <c r="AF9" s="13">
        <v>0.16999999999999998</v>
      </c>
      <c r="AG9" s="13">
        <v>0.34499999999999997</v>
      </c>
      <c r="AH9" s="13">
        <v>0.16999999999999998</v>
      </c>
      <c r="AI9" s="45">
        <v>0</v>
      </c>
      <c r="AJ9" s="41"/>
      <c r="AK9" s="13">
        <v>0.16999999999999998</v>
      </c>
      <c r="AL9" s="13">
        <v>0.19500000000000001</v>
      </c>
      <c r="AM9" s="45">
        <v>0</v>
      </c>
      <c r="AN9" s="45">
        <v>0</v>
      </c>
      <c r="AO9" s="41"/>
      <c r="AP9" s="131"/>
      <c r="AQ9" s="11" t="s">
        <v>68</v>
      </c>
      <c r="AR9" s="45">
        <v>0</v>
      </c>
      <c r="AS9" s="45">
        <v>0</v>
      </c>
      <c r="AT9" s="45">
        <v>0</v>
      </c>
      <c r="AU9" s="45">
        <v>0</v>
      </c>
      <c r="AV9" s="41"/>
      <c r="AX9" s="46">
        <v>-5.0000000000000044E-3</v>
      </c>
      <c r="AY9" s="46">
        <v>0.14499999999999999</v>
      </c>
      <c r="AZ9" s="46">
        <v>-5.0000000000000044E-3</v>
      </c>
      <c r="BB9" s="13">
        <v>0.22</v>
      </c>
      <c r="BC9" s="13">
        <v>0.37</v>
      </c>
      <c r="BD9" s="13">
        <v>0.22</v>
      </c>
      <c r="BE9" s="45">
        <v>0</v>
      </c>
    </row>
    <row r="10" spans="1:57" ht="18.5" x14ac:dyDescent="0.35">
      <c r="A10" s="6"/>
      <c r="B10" s="131"/>
      <c r="C10" s="11" t="s">
        <v>69</v>
      </c>
      <c r="D10" s="13">
        <v>0.1</v>
      </c>
      <c r="E10" s="13">
        <v>0.4</v>
      </c>
      <c r="F10" s="13">
        <v>0.1</v>
      </c>
      <c r="G10" s="45">
        <v>0</v>
      </c>
      <c r="H10" s="41"/>
      <c r="I10" s="13">
        <v>0.1</v>
      </c>
      <c r="J10" s="13">
        <v>0.4</v>
      </c>
      <c r="K10" s="13">
        <v>0.1</v>
      </c>
      <c r="L10" s="45">
        <v>0</v>
      </c>
      <c r="M10" s="41"/>
      <c r="N10" s="13">
        <v>0.1</v>
      </c>
      <c r="O10" s="13">
        <v>0.4</v>
      </c>
      <c r="P10" s="13">
        <v>0.1</v>
      </c>
      <c r="Q10" s="45">
        <v>0</v>
      </c>
      <c r="R10" s="41"/>
      <c r="S10" s="13">
        <v>0.06</v>
      </c>
      <c r="T10" s="13">
        <v>0.4</v>
      </c>
      <c r="U10" s="13">
        <v>0.06</v>
      </c>
      <c r="V10" s="45">
        <v>0</v>
      </c>
      <c r="W10" s="41"/>
      <c r="X10" s="13">
        <v>0</v>
      </c>
      <c r="Y10" s="13">
        <v>0</v>
      </c>
      <c r="Z10" s="41"/>
      <c r="AA10" s="13">
        <v>0.05</v>
      </c>
      <c r="AB10" s="13">
        <v>0.375</v>
      </c>
      <c r="AC10" s="13">
        <v>0.05</v>
      </c>
      <c r="AD10" s="45">
        <v>0</v>
      </c>
      <c r="AE10" s="41"/>
      <c r="AF10" s="13">
        <v>0</v>
      </c>
      <c r="AG10" s="13">
        <v>0.375</v>
      </c>
      <c r="AH10" s="13">
        <v>0</v>
      </c>
      <c r="AI10" s="45">
        <v>0</v>
      </c>
      <c r="AJ10" s="41"/>
      <c r="AK10" s="13">
        <v>0.05</v>
      </c>
      <c r="AL10" s="13">
        <v>0.375</v>
      </c>
      <c r="AM10" s="45">
        <v>0</v>
      </c>
      <c r="AN10" s="45">
        <v>0</v>
      </c>
      <c r="AO10" s="41"/>
      <c r="AP10" s="131"/>
      <c r="AQ10" s="11" t="s">
        <v>69</v>
      </c>
      <c r="AR10" s="45">
        <v>0</v>
      </c>
      <c r="AS10" s="45">
        <v>0</v>
      </c>
      <c r="AT10" s="45">
        <v>0</v>
      </c>
      <c r="AU10" s="45">
        <v>0</v>
      </c>
      <c r="AV10" s="41"/>
      <c r="AX10" s="46">
        <v>-0.3</v>
      </c>
      <c r="AY10" s="46">
        <v>0</v>
      </c>
      <c r="AZ10" s="46">
        <v>-0.3</v>
      </c>
      <c r="BB10" s="13">
        <v>0.22</v>
      </c>
      <c r="BC10" s="13">
        <v>0.37</v>
      </c>
      <c r="BD10" s="13">
        <v>0.22</v>
      </c>
      <c r="BE10" s="45">
        <v>0</v>
      </c>
    </row>
    <row r="11" spans="1:57" ht="18.5" x14ac:dyDescent="0.35">
      <c r="A11" s="6"/>
      <c r="B11" s="132"/>
      <c r="C11" s="11" t="s">
        <v>23</v>
      </c>
      <c r="D11" s="45">
        <v>0</v>
      </c>
      <c r="E11" s="13">
        <v>0.3</v>
      </c>
      <c r="F11" s="45">
        <v>0</v>
      </c>
      <c r="G11" s="45">
        <v>0</v>
      </c>
      <c r="H11" s="41"/>
      <c r="I11" s="45">
        <v>0</v>
      </c>
      <c r="J11" s="13">
        <v>0.3</v>
      </c>
      <c r="K11" s="45">
        <v>0</v>
      </c>
      <c r="L11" s="45">
        <v>0</v>
      </c>
      <c r="M11" s="41"/>
      <c r="N11" s="45">
        <v>0</v>
      </c>
      <c r="O11" s="13">
        <v>0.3</v>
      </c>
      <c r="P11" s="45">
        <v>0</v>
      </c>
      <c r="Q11" s="45">
        <v>0</v>
      </c>
      <c r="R11" s="41"/>
      <c r="S11" s="45">
        <v>0</v>
      </c>
      <c r="T11" s="13">
        <v>0.3</v>
      </c>
      <c r="U11" s="45">
        <v>0</v>
      </c>
      <c r="V11" s="45">
        <v>0</v>
      </c>
      <c r="W11" s="41"/>
      <c r="X11" s="45">
        <v>0</v>
      </c>
      <c r="Y11" s="45">
        <v>0</v>
      </c>
      <c r="Z11" s="41"/>
      <c r="AA11" s="45">
        <v>0</v>
      </c>
      <c r="AB11" s="13">
        <v>0.27499999999999997</v>
      </c>
      <c r="AC11" s="45">
        <v>0</v>
      </c>
      <c r="AD11" s="45">
        <v>0</v>
      </c>
      <c r="AE11" s="41"/>
      <c r="AF11" s="45">
        <v>0</v>
      </c>
      <c r="AG11" s="13">
        <v>0.27499999999999997</v>
      </c>
      <c r="AH11" s="45">
        <v>0</v>
      </c>
      <c r="AI11" s="45">
        <v>0</v>
      </c>
      <c r="AJ11" s="41"/>
      <c r="AK11" s="45">
        <v>0</v>
      </c>
      <c r="AL11" s="13">
        <v>0.27499999999999997</v>
      </c>
      <c r="AM11" s="45">
        <v>0</v>
      </c>
      <c r="AN11" s="45">
        <v>0</v>
      </c>
      <c r="AO11" s="41"/>
      <c r="AP11" s="132"/>
      <c r="AQ11" s="11" t="s">
        <v>23</v>
      </c>
      <c r="AR11" s="45">
        <v>0</v>
      </c>
      <c r="AS11" s="45">
        <v>0</v>
      </c>
      <c r="AT11" s="45">
        <v>0</v>
      </c>
      <c r="AU11" s="45">
        <v>0</v>
      </c>
      <c r="AV11" s="41"/>
      <c r="AX11" s="46"/>
      <c r="AY11" s="46">
        <v>0</v>
      </c>
      <c r="AZ11" s="46"/>
      <c r="BB11" s="45">
        <v>0</v>
      </c>
      <c r="BC11" s="13">
        <v>0.3</v>
      </c>
      <c r="BD11" s="45">
        <v>0</v>
      </c>
      <c r="BE11" s="45">
        <v>0</v>
      </c>
    </row>
    <row r="12" spans="1:57" customFormat="1" ht="4.5" customHeight="1" x14ac:dyDescent="0.35">
      <c r="A12" s="6"/>
      <c r="B12" s="6"/>
      <c r="C12" s="6"/>
      <c r="D12" s="6"/>
      <c r="E12" s="6"/>
      <c r="F12" s="6"/>
      <c r="G12" s="6"/>
      <c r="H12" s="41"/>
      <c r="I12" s="6"/>
      <c r="J12" s="6"/>
      <c r="K12" s="6"/>
      <c r="L12" s="6"/>
      <c r="M12" s="41"/>
      <c r="N12" s="6"/>
      <c r="O12" s="6"/>
      <c r="P12" s="6"/>
      <c r="Q12" s="6"/>
      <c r="R12" s="41"/>
      <c r="S12" s="6"/>
      <c r="T12" s="6"/>
      <c r="U12" s="6"/>
      <c r="V12" s="6"/>
      <c r="W12" s="41"/>
      <c r="X12" s="6"/>
      <c r="Y12" s="6"/>
      <c r="Z12" s="41"/>
      <c r="AA12" s="6"/>
      <c r="AB12" s="6"/>
      <c r="AC12" s="6"/>
      <c r="AD12" s="6"/>
      <c r="AE12" s="41"/>
      <c r="AF12" s="6"/>
      <c r="AG12" s="6"/>
      <c r="AH12" s="6"/>
      <c r="AI12" s="6"/>
      <c r="AJ12" s="41"/>
      <c r="AK12" s="6"/>
      <c r="AL12" s="6"/>
      <c r="AM12" s="6"/>
      <c r="AN12" s="6"/>
      <c r="AO12" s="41"/>
      <c r="AP12" s="6"/>
      <c r="AQ12" s="6"/>
      <c r="AR12" s="6"/>
      <c r="AS12" s="6"/>
      <c r="AT12" s="6"/>
      <c r="AU12" s="6"/>
      <c r="AV12" s="41"/>
      <c r="BB12" s="6"/>
      <c r="BC12" s="6"/>
      <c r="BD12" s="6"/>
      <c r="BE12" s="6"/>
    </row>
    <row r="13" spans="1:57" ht="14.5" customHeight="1" x14ac:dyDescent="0.35">
      <c r="A13" s="6"/>
      <c r="B13" s="129" t="s">
        <v>70</v>
      </c>
      <c r="C13" s="11" t="s">
        <v>65</v>
      </c>
      <c r="D13" s="13">
        <v>0.42</v>
      </c>
      <c r="E13" s="13">
        <v>0.42</v>
      </c>
      <c r="F13" s="13">
        <v>0.42</v>
      </c>
      <c r="G13" s="45">
        <v>0</v>
      </c>
      <c r="H13" s="41"/>
      <c r="I13" s="13">
        <v>0.35</v>
      </c>
      <c r="J13" s="13">
        <v>0.5</v>
      </c>
      <c r="K13" s="13">
        <v>0.3</v>
      </c>
      <c r="L13" s="45">
        <v>0</v>
      </c>
      <c r="M13" s="41"/>
      <c r="N13" s="13">
        <v>0.45</v>
      </c>
      <c r="O13" s="13">
        <v>0.45</v>
      </c>
      <c r="P13" s="13">
        <v>0.45</v>
      </c>
      <c r="Q13" s="45">
        <v>0</v>
      </c>
      <c r="R13" s="41"/>
      <c r="S13" s="13">
        <v>0.43</v>
      </c>
      <c r="T13" s="13">
        <v>0.43</v>
      </c>
      <c r="U13" s="13">
        <v>0.43</v>
      </c>
      <c r="V13" s="45">
        <v>0</v>
      </c>
      <c r="W13" s="41"/>
      <c r="X13" s="13">
        <v>0.22500000000000001</v>
      </c>
      <c r="Y13" s="13">
        <v>0.22500000000000001</v>
      </c>
      <c r="Z13" s="41"/>
      <c r="AA13" s="13">
        <v>0.35000000000000003</v>
      </c>
      <c r="AB13" s="13">
        <v>0.47499999999999998</v>
      </c>
      <c r="AC13" s="13">
        <v>0.35000000000000003</v>
      </c>
      <c r="AD13" s="45">
        <v>0</v>
      </c>
      <c r="AE13" s="41"/>
      <c r="AF13" s="13">
        <v>0.16999999999999998</v>
      </c>
      <c r="AG13" s="13">
        <v>0.34499999999999997</v>
      </c>
      <c r="AH13" s="13">
        <v>0.16999999999999998</v>
      </c>
      <c r="AI13" s="45">
        <v>0</v>
      </c>
      <c r="AJ13" s="41"/>
      <c r="AK13" s="13">
        <v>0.16999999999999998</v>
      </c>
      <c r="AL13" s="13">
        <v>0.39499999999999996</v>
      </c>
      <c r="AM13" s="45">
        <v>0</v>
      </c>
      <c r="AN13" s="45">
        <v>0</v>
      </c>
      <c r="AO13" s="41"/>
      <c r="AP13" s="129" t="s">
        <v>70</v>
      </c>
      <c r="AQ13" s="11" t="s">
        <v>65</v>
      </c>
      <c r="AR13" s="13">
        <v>0.16999999999999998</v>
      </c>
      <c r="AS13" s="13">
        <v>0.32</v>
      </c>
      <c r="AT13" s="45">
        <v>0</v>
      </c>
      <c r="AU13" s="45">
        <v>0</v>
      </c>
      <c r="AV13" s="41"/>
      <c r="AX13" s="46">
        <v>-0.19999999999999998</v>
      </c>
      <c r="AY13" s="46">
        <v>-4.9999999999999989E-2</v>
      </c>
      <c r="AZ13" s="46">
        <v>-0.19999999999999998</v>
      </c>
      <c r="BB13" s="13">
        <v>0.22</v>
      </c>
      <c r="BC13" s="13">
        <v>0.37</v>
      </c>
      <c r="BD13" s="13">
        <v>0.22</v>
      </c>
      <c r="BE13" s="45">
        <v>0</v>
      </c>
    </row>
    <row r="14" spans="1:57" ht="14.5" customHeight="1" x14ac:dyDescent="0.35">
      <c r="A14" s="6"/>
      <c r="B14" s="130"/>
      <c r="C14" s="11" t="s">
        <v>66</v>
      </c>
      <c r="D14" s="13">
        <v>0.39999999999999997</v>
      </c>
      <c r="E14" s="13">
        <v>0.39999999999999997</v>
      </c>
      <c r="F14" s="13">
        <v>0.39999999999999997</v>
      </c>
      <c r="G14" s="13">
        <v>0</v>
      </c>
      <c r="H14" s="41"/>
      <c r="I14" s="13">
        <v>0.3</v>
      </c>
      <c r="J14" s="13">
        <v>0.4</v>
      </c>
      <c r="K14" s="13">
        <v>0.3</v>
      </c>
      <c r="L14" s="13">
        <v>0</v>
      </c>
      <c r="M14" s="41"/>
      <c r="N14" s="13">
        <v>0.45</v>
      </c>
      <c r="O14" s="13">
        <v>0.45</v>
      </c>
      <c r="P14" s="13">
        <v>0.45</v>
      </c>
      <c r="Q14" s="13">
        <v>0</v>
      </c>
      <c r="R14" s="41"/>
      <c r="S14" s="13">
        <v>0.41</v>
      </c>
      <c r="T14" s="13">
        <v>0.41</v>
      </c>
      <c r="U14" s="13">
        <v>0.41</v>
      </c>
      <c r="V14" s="13">
        <v>0</v>
      </c>
      <c r="W14" s="41"/>
      <c r="X14" s="13">
        <v>0.20500000000000002</v>
      </c>
      <c r="Y14" s="13">
        <v>0.20500000000000002</v>
      </c>
      <c r="Z14" s="41"/>
      <c r="AA14" s="13">
        <v>0.3</v>
      </c>
      <c r="AB14" s="13">
        <v>0.375</v>
      </c>
      <c r="AC14" s="13">
        <v>0.3</v>
      </c>
      <c r="AD14" s="13">
        <v>0</v>
      </c>
      <c r="AE14" s="41"/>
      <c r="AF14" s="13">
        <v>0.15000000000000002</v>
      </c>
      <c r="AG14" s="13">
        <v>0.32499999999999996</v>
      </c>
      <c r="AH14" s="13">
        <v>0.15000000000000002</v>
      </c>
      <c r="AI14" s="13">
        <v>0</v>
      </c>
      <c r="AJ14" s="41"/>
      <c r="AK14" s="13">
        <v>0.16999999999999998</v>
      </c>
      <c r="AL14" s="13">
        <v>0.39499999999999996</v>
      </c>
      <c r="AM14" s="13">
        <v>0</v>
      </c>
      <c r="AN14" s="13">
        <v>0</v>
      </c>
      <c r="AO14" s="41"/>
      <c r="AP14" s="130"/>
      <c r="AQ14" s="11" t="s">
        <v>66</v>
      </c>
      <c r="AR14" s="13">
        <v>0.16999999999999998</v>
      </c>
      <c r="AS14" s="13">
        <v>0.32</v>
      </c>
      <c r="AT14" s="45">
        <v>0</v>
      </c>
      <c r="AU14" s="45">
        <v>0</v>
      </c>
      <c r="AV14" s="41"/>
      <c r="AX14" s="46"/>
      <c r="AY14" s="46"/>
      <c r="AZ14" s="46"/>
      <c r="BB14" s="13"/>
      <c r="BC14" s="13"/>
      <c r="BD14" s="13"/>
      <c r="BE14" s="45"/>
    </row>
    <row r="15" spans="1:57" ht="14.5" customHeight="1" x14ac:dyDescent="0.35">
      <c r="A15" s="6"/>
      <c r="B15" s="130"/>
      <c r="C15" s="11" t="s">
        <v>67</v>
      </c>
      <c r="D15" s="13">
        <v>0.37999999999999995</v>
      </c>
      <c r="E15" s="13">
        <v>0.37999999999999995</v>
      </c>
      <c r="F15" s="13">
        <v>0.37999999999999995</v>
      </c>
      <c r="G15" s="13">
        <v>0</v>
      </c>
      <c r="H15" s="41"/>
      <c r="I15" s="13">
        <v>0.27</v>
      </c>
      <c r="J15" s="13">
        <v>0.37</v>
      </c>
      <c r="K15" s="13">
        <v>0.27</v>
      </c>
      <c r="L15" s="13">
        <v>0</v>
      </c>
      <c r="M15" s="41"/>
      <c r="N15" s="13">
        <v>0.4</v>
      </c>
      <c r="O15" s="13">
        <v>0.4</v>
      </c>
      <c r="P15" s="13">
        <v>0.4</v>
      </c>
      <c r="Q15" s="13">
        <v>0</v>
      </c>
      <c r="R15" s="41"/>
      <c r="S15" s="13">
        <v>0.38999999999999996</v>
      </c>
      <c r="T15" s="13">
        <v>0.38999999999999996</v>
      </c>
      <c r="U15" s="13">
        <v>0.38999999999999996</v>
      </c>
      <c r="V15" s="13">
        <v>0</v>
      </c>
      <c r="W15" s="41"/>
      <c r="X15" s="13">
        <v>0.18500000000000003</v>
      </c>
      <c r="Y15" s="13">
        <v>0.18500000000000003</v>
      </c>
      <c r="Z15" s="41"/>
      <c r="AA15" s="13">
        <v>0.16999999999999998</v>
      </c>
      <c r="AB15" s="13">
        <v>0.34499999999999997</v>
      </c>
      <c r="AC15" s="13">
        <v>0.16999999999999998</v>
      </c>
      <c r="AD15" s="13">
        <v>0</v>
      </c>
      <c r="AE15" s="41"/>
      <c r="AF15" s="13">
        <v>0.13</v>
      </c>
      <c r="AG15" s="13">
        <v>0.30499999999999994</v>
      </c>
      <c r="AH15" s="13">
        <v>0.13</v>
      </c>
      <c r="AI15" s="13">
        <v>0</v>
      </c>
      <c r="AJ15" s="41"/>
      <c r="AK15" s="13">
        <v>0.16999999999999998</v>
      </c>
      <c r="AL15" s="13">
        <v>0.39499999999999996</v>
      </c>
      <c r="AM15" s="13">
        <v>0</v>
      </c>
      <c r="AN15" s="13">
        <v>0</v>
      </c>
      <c r="AO15" s="41"/>
      <c r="AP15" s="130"/>
      <c r="AQ15" s="11" t="s">
        <v>67</v>
      </c>
      <c r="AR15" s="13">
        <v>0.16999999999999998</v>
      </c>
      <c r="AS15" s="13">
        <v>0.32</v>
      </c>
      <c r="AT15" s="45">
        <v>0</v>
      </c>
      <c r="AU15" s="45">
        <v>0</v>
      </c>
      <c r="AV15" s="41"/>
      <c r="AX15" s="46"/>
      <c r="AY15" s="46"/>
      <c r="AZ15" s="46"/>
      <c r="BB15" s="13"/>
      <c r="BC15" s="13"/>
      <c r="BD15" s="13"/>
      <c r="BE15" s="45"/>
    </row>
    <row r="16" spans="1:57" ht="18.5" x14ac:dyDescent="0.35">
      <c r="A16" s="6"/>
      <c r="B16" s="131"/>
      <c r="C16" s="11" t="s">
        <v>68</v>
      </c>
      <c r="D16" s="13">
        <v>0.22500000000000001</v>
      </c>
      <c r="E16" s="13">
        <v>0.22500000000000001</v>
      </c>
      <c r="F16" s="13">
        <v>0.22500000000000001</v>
      </c>
      <c r="G16" s="45">
        <v>0</v>
      </c>
      <c r="H16" s="41"/>
      <c r="I16" s="13">
        <v>0.2</v>
      </c>
      <c r="J16" s="13">
        <v>0.2</v>
      </c>
      <c r="K16" s="13">
        <v>0.2</v>
      </c>
      <c r="L16" s="45">
        <v>0</v>
      </c>
      <c r="M16" s="41"/>
      <c r="N16" s="13">
        <v>0.22</v>
      </c>
      <c r="O16" s="13">
        <v>0.22</v>
      </c>
      <c r="P16" s="13">
        <v>0.22</v>
      </c>
      <c r="Q16" s="45">
        <v>0</v>
      </c>
      <c r="R16" s="41"/>
      <c r="S16" s="13">
        <v>0.22500000000000001</v>
      </c>
      <c r="T16" s="13">
        <v>0.22500000000000001</v>
      </c>
      <c r="U16" s="13">
        <v>0.22500000000000001</v>
      </c>
      <c r="V16" s="45">
        <v>0</v>
      </c>
      <c r="W16" s="41"/>
      <c r="X16" s="13">
        <v>0.2</v>
      </c>
      <c r="Y16" s="13">
        <v>0.2</v>
      </c>
      <c r="Z16" s="41"/>
      <c r="AA16" s="13">
        <v>0.15000000000000002</v>
      </c>
      <c r="AB16" s="13">
        <v>0.17500000000000002</v>
      </c>
      <c r="AC16" s="13">
        <v>0.15000000000000002</v>
      </c>
      <c r="AD16" s="45">
        <v>0</v>
      </c>
      <c r="AE16" s="41"/>
      <c r="AF16" s="13">
        <v>0.16999999999999998</v>
      </c>
      <c r="AG16" s="13">
        <v>0.34499999999999997</v>
      </c>
      <c r="AH16" s="13">
        <v>0.16999999999999998</v>
      </c>
      <c r="AI16" s="45">
        <v>0</v>
      </c>
      <c r="AJ16" s="41"/>
      <c r="AK16" s="13">
        <v>0.16999999999999998</v>
      </c>
      <c r="AL16" s="13">
        <v>0.19500000000000001</v>
      </c>
      <c r="AM16" s="45">
        <v>0</v>
      </c>
      <c r="AN16" s="45">
        <v>0</v>
      </c>
      <c r="AO16" s="41"/>
      <c r="AP16" s="131"/>
      <c r="AQ16" s="11" t="s">
        <v>68</v>
      </c>
      <c r="AR16" s="45">
        <v>0</v>
      </c>
      <c r="AS16" s="45">
        <v>0</v>
      </c>
      <c r="AT16" s="45">
        <v>0</v>
      </c>
      <c r="AU16" s="45">
        <v>0</v>
      </c>
      <c r="AV16" s="41"/>
      <c r="AX16" s="46">
        <v>-5.0000000000000044E-3</v>
      </c>
      <c r="AY16" s="46">
        <v>0.14499999999999999</v>
      </c>
      <c r="AZ16" s="46">
        <v>-5.0000000000000044E-3</v>
      </c>
      <c r="BB16" s="13">
        <v>0.22</v>
      </c>
      <c r="BC16" s="13">
        <v>0.37</v>
      </c>
      <c r="BD16" s="13">
        <v>0.22</v>
      </c>
      <c r="BE16" s="45">
        <v>0</v>
      </c>
    </row>
    <row r="17" spans="1:57" ht="18.5" x14ac:dyDescent="0.35">
      <c r="A17" s="6"/>
      <c r="B17" s="131"/>
      <c r="C17" s="11" t="s">
        <v>69</v>
      </c>
      <c r="D17" s="13">
        <v>0.1</v>
      </c>
      <c r="E17" s="13">
        <v>0.4</v>
      </c>
      <c r="F17" s="13">
        <v>0.3</v>
      </c>
      <c r="G17" s="45">
        <v>0</v>
      </c>
      <c r="H17" s="41"/>
      <c r="I17" s="13">
        <v>0.1</v>
      </c>
      <c r="J17" s="13">
        <v>0.4</v>
      </c>
      <c r="K17" s="13">
        <v>0.1</v>
      </c>
      <c r="L17" s="45">
        <v>0</v>
      </c>
      <c r="M17" s="41"/>
      <c r="N17" s="13">
        <v>0.1</v>
      </c>
      <c r="O17" s="13">
        <v>0.4</v>
      </c>
      <c r="P17" s="13">
        <v>0.1</v>
      </c>
      <c r="Q17" s="45">
        <v>0</v>
      </c>
      <c r="R17" s="41"/>
      <c r="S17" s="13">
        <v>0.06</v>
      </c>
      <c r="T17" s="13">
        <v>0.4</v>
      </c>
      <c r="U17" s="13">
        <v>0.06</v>
      </c>
      <c r="V17" s="45">
        <v>0</v>
      </c>
      <c r="W17" s="41"/>
      <c r="X17" s="13">
        <v>0</v>
      </c>
      <c r="Y17" s="13">
        <v>0</v>
      </c>
      <c r="Z17" s="41"/>
      <c r="AA17" s="13">
        <v>0.05</v>
      </c>
      <c r="AB17" s="13">
        <v>0.375</v>
      </c>
      <c r="AC17" s="13">
        <v>0.05</v>
      </c>
      <c r="AD17" s="45">
        <v>0</v>
      </c>
      <c r="AE17" s="41"/>
      <c r="AF17" s="13">
        <v>0</v>
      </c>
      <c r="AG17" s="13">
        <v>0.375</v>
      </c>
      <c r="AH17" s="13">
        <v>0</v>
      </c>
      <c r="AI17" s="45">
        <v>0</v>
      </c>
      <c r="AJ17" s="41"/>
      <c r="AK17" s="13">
        <v>0.05</v>
      </c>
      <c r="AL17" s="13">
        <v>0.375</v>
      </c>
      <c r="AM17" s="45">
        <v>0</v>
      </c>
      <c r="AN17" s="45">
        <v>0</v>
      </c>
      <c r="AO17" s="41"/>
      <c r="AP17" s="131"/>
      <c r="AQ17" s="11" t="s">
        <v>69</v>
      </c>
      <c r="AR17" s="45">
        <v>0</v>
      </c>
      <c r="AS17" s="45">
        <v>0</v>
      </c>
      <c r="AT17" s="45">
        <v>0</v>
      </c>
      <c r="AU17" s="45">
        <v>0</v>
      </c>
      <c r="AV17" s="41"/>
      <c r="AX17" s="46">
        <v>-0.3</v>
      </c>
      <c r="AY17" s="46">
        <v>0</v>
      </c>
      <c r="AZ17" s="46">
        <v>-0.3</v>
      </c>
      <c r="BB17" s="13">
        <v>0.22</v>
      </c>
      <c r="BC17" s="13">
        <v>0.37</v>
      </c>
      <c r="BD17" s="13">
        <v>0.22</v>
      </c>
      <c r="BE17" s="45">
        <v>0</v>
      </c>
    </row>
    <row r="18" spans="1:57" ht="18.5" x14ac:dyDescent="0.35">
      <c r="A18" s="6"/>
      <c r="B18" s="132"/>
      <c r="C18" s="11" t="s">
        <v>23</v>
      </c>
      <c r="D18" s="45">
        <v>0</v>
      </c>
      <c r="E18" s="13">
        <v>0.3</v>
      </c>
      <c r="F18" s="45">
        <v>0</v>
      </c>
      <c r="G18" s="45">
        <v>0</v>
      </c>
      <c r="H18" s="41"/>
      <c r="I18" s="45">
        <v>0</v>
      </c>
      <c r="J18" s="13">
        <v>0.3</v>
      </c>
      <c r="K18" s="45">
        <v>0</v>
      </c>
      <c r="L18" s="45">
        <v>0</v>
      </c>
      <c r="M18" s="41"/>
      <c r="N18" s="45">
        <v>0</v>
      </c>
      <c r="O18" s="13">
        <v>0.3</v>
      </c>
      <c r="P18" s="45">
        <v>0</v>
      </c>
      <c r="Q18" s="45">
        <v>0</v>
      </c>
      <c r="R18" s="41"/>
      <c r="S18" s="45">
        <v>0</v>
      </c>
      <c r="T18" s="13">
        <v>0.3</v>
      </c>
      <c r="U18" s="45">
        <v>0</v>
      </c>
      <c r="V18" s="45">
        <v>0</v>
      </c>
      <c r="W18" s="41"/>
      <c r="X18" s="45">
        <v>0</v>
      </c>
      <c r="Y18" s="45">
        <v>0</v>
      </c>
      <c r="Z18" s="41"/>
      <c r="AA18" s="45">
        <v>0</v>
      </c>
      <c r="AB18" s="13">
        <v>0.27499999999999997</v>
      </c>
      <c r="AC18" s="45">
        <v>0</v>
      </c>
      <c r="AD18" s="45">
        <v>0</v>
      </c>
      <c r="AE18" s="41"/>
      <c r="AF18" s="45">
        <v>0</v>
      </c>
      <c r="AG18" s="13">
        <v>0.27499999999999997</v>
      </c>
      <c r="AH18" s="45">
        <v>0</v>
      </c>
      <c r="AI18" s="45">
        <v>0</v>
      </c>
      <c r="AJ18" s="41"/>
      <c r="AK18" s="45">
        <v>0</v>
      </c>
      <c r="AL18" s="13">
        <v>0.27499999999999997</v>
      </c>
      <c r="AM18" s="45">
        <v>0</v>
      </c>
      <c r="AN18" s="45">
        <v>0</v>
      </c>
      <c r="AO18" s="41"/>
      <c r="AP18" s="132"/>
      <c r="AQ18" s="11" t="s">
        <v>23</v>
      </c>
      <c r="AR18" s="45">
        <v>0</v>
      </c>
      <c r="AS18" s="45">
        <v>0</v>
      </c>
      <c r="AT18" s="45">
        <v>0</v>
      </c>
      <c r="AU18" s="45">
        <v>0</v>
      </c>
      <c r="AV18" s="41"/>
      <c r="AX18" s="46"/>
      <c r="AY18" s="46">
        <v>0</v>
      </c>
      <c r="AZ18" s="46"/>
      <c r="BB18" s="45">
        <v>0</v>
      </c>
      <c r="BC18" s="13">
        <v>0.3</v>
      </c>
      <c r="BD18" s="45">
        <v>0</v>
      </c>
      <c r="BE18" s="45">
        <v>0</v>
      </c>
    </row>
    <row r="19" spans="1:57" customFormat="1" ht="4.5" customHeight="1" x14ac:dyDescent="0.35">
      <c r="A19" s="6"/>
      <c r="B19" s="6"/>
      <c r="C19" s="6"/>
      <c r="D19" s="6"/>
      <c r="E19" s="6"/>
      <c r="F19" s="6"/>
      <c r="G19" s="6"/>
      <c r="H19" s="41"/>
      <c r="I19" s="6"/>
      <c r="J19" s="6"/>
      <c r="K19" s="6"/>
      <c r="L19" s="6"/>
      <c r="M19" s="41"/>
      <c r="N19" s="6"/>
      <c r="O19" s="6"/>
      <c r="P19" s="6"/>
      <c r="Q19" s="6"/>
      <c r="R19" s="41"/>
      <c r="S19" s="6"/>
      <c r="T19" s="6"/>
      <c r="U19" s="6"/>
      <c r="V19" s="6"/>
      <c r="W19" s="41"/>
      <c r="X19" s="6"/>
      <c r="Y19" s="6"/>
      <c r="Z19" s="41"/>
      <c r="AA19" s="6"/>
      <c r="AB19" s="6"/>
      <c r="AC19" s="6"/>
      <c r="AD19" s="6"/>
      <c r="AE19" s="41"/>
      <c r="AF19" s="6"/>
      <c r="AG19" s="6"/>
      <c r="AH19" s="6"/>
      <c r="AI19" s="6"/>
      <c r="AJ19" s="41"/>
      <c r="AK19" s="6"/>
      <c r="AL19" s="6"/>
      <c r="AM19" s="6"/>
      <c r="AN19" s="6"/>
      <c r="AO19" s="41"/>
      <c r="AP19" s="6"/>
      <c r="AQ19" s="6"/>
      <c r="AR19" s="6"/>
      <c r="AS19" s="6"/>
      <c r="AT19" s="6"/>
      <c r="AU19" s="6"/>
      <c r="AV19" s="41"/>
      <c r="BB19" s="6"/>
      <c r="BC19" s="6"/>
      <c r="BD19" s="6"/>
      <c r="BE19" s="6"/>
    </row>
    <row r="20" spans="1:57" ht="14.5" customHeight="1" x14ac:dyDescent="0.35">
      <c r="A20" s="6"/>
      <c r="B20" s="129" t="s">
        <v>71</v>
      </c>
      <c r="C20" s="11" t="s">
        <v>65</v>
      </c>
      <c r="D20" s="13">
        <v>0.1</v>
      </c>
      <c r="E20" s="13">
        <v>0.1</v>
      </c>
      <c r="F20" s="13">
        <v>0.1</v>
      </c>
      <c r="G20" s="45">
        <v>0</v>
      </c>
      <c r="H20" s="41"/>
      <c r="I20" s="13">
        <v>0.15</v>
      </c>
      <c r="J20" s="13">
        <v>0.42</v>
      </c>
      <c r="K20" s="13">
        <v>0.08</v>
      </c>
      <c r="L20" s="45">
        <v>0</v>
      </c>
      <c r="M20" s="41"/>
      <c r="N20" s="13">
        <v>0.45</v>
      </c>
      <c r="O20" s="13">
        <v>0.45</v>
      </c>
      <c r="P20" s="13">
        <v>0.45</v>
      </c>
      <c r="Q20" s="45">
        <v>0</v>
      </c>
      <c r="R20" s="41"/>
      <c r="S20" s="13">
        <v>0.1</v>
      </c>
      <c r="T20" s="13">
        <v>0.1</v>
      </c>
      <c r="U20" s="13">
        <v>0.1</v>
      </c>
      <c r="V20" s="45">
        <v>0</v>
      </c>
      <c r="W20" s="41"/>
      <c r="X20" s="13">
        <v>7.4999999999999997E-2</v>
      </c>
      <c r="Y20" s="13">
        <v>7.4999999999999997E-2</v>
      </c>
      <c r="Z20" s="41"/>
      <c r="AA20" s="13">
        <v>9.9999999999999992E-2</v>
      </c>
      <c r="AB20" s="13">
        <v>0.39499999999999996</v>
      </c>
      <c r="AC20" s="13">
        <v>9.9999999999999992E-2</v>
      </c>
      <c r="AD20" s="45">
        <v>0</v>
      </c>
      <c r="AE20" s="41"/>
      <c r="AF20" s="13">
        <v>2.4999999999999994E-2</v>
      </c>
      <c r="AG20" s="13">
        <v>0.29499999999999998</v>
      </c>
      <c r="AH20" s="13">
        <v>2.4999999999999994E-2</v>
      </c>
      <c r="AI20" s="45">
        <v>0</v>
      </c>
      <c r="AJ20" s="41"/>
      <c r="AK20" s="13">
        <v>2.4999999999999994E-2</v>
      </c>
      <c r="AL20" s="13">
        <v>0.39499999999999996</v>
      </c>
      <c r="AM20" s="45">
        <v>0</v>
      </c>
      <c r="AN20" s="45">
        <v>0</v>
      </c>
      <c r="AO20" s="41"/>
      <c r="AP20" s="129" t="s">
        <v>3</v>
      </c>
      <c r="AQ20" s="11" t="s">
        <v>65</v>
      </c>
      <c r="AR20" s="13">
        <v>2.4999999999999994E-2</v>
      </c>
      <c r="AS20" s="13">
        <v>0.27</v>
      </c>
      <c r="AT20" s="45">
        <v>0</v>
      </c>
      <c r="AU20" s="45">
        <v>0</v>
      </c>
      <c r="AV20" s="41"/>
      <c r="AX20" s="46">
        <v>-2.5000000000000008E-2</v>
      </c>
      <c r="AY20" s="46">
        <v>0.22</v>
      </c>
      <c r="AZ20" s="46">
        <v>-2.5000000000000008E-2</v>
      </c>
      <c r="BB20" s="13">
        <v>7.4999999999999997E-2</v>
      </c>
      <c r="BC20" s="13">
        <v>0.32</v>
      </c>
      <c r="BD20" s="13">
        <v>7.4999999999999997E-2</v>
      </c>
      <c r="BE20" s="45">
        <v>0</v>
      </c>
    </row>
    <row r="21" spans="1:57" ht="14.5" customHeight="1" x14ac:dyDescent="0.35">
      <c r="A21" s="6"/>
      <c r="B21" s="130"/>
      <c r="C21" s="11" t="s">
        <v>66</v>
      </c>
      <c r="D21" s="13">
        <v>0.08</v>
      </c>
      <c r="E21" s="13">
        <v>0.08</v>
      </c>
      <c r="F21" s="13">
        <v>0.08</v>
      </c>
      <c r="G21" s="13">
        <v>0</v>
      </c>
      <c r="H21" s="41"/>
      <c r="I21" s="13">
        <v>0.1</v>
      </c>
      <c r="J21" s="13">
        <v>0.375</v>
      </c>
      <c r="K21" s="13">
        <v>0.08</v>
      </c>
      <c r="L21" s="13">
        <v>0</v>
      </c>
      <c r="M21" s="41"/>
      <c r="N21" s="13">
        <v>0.45</v>
      </c>
      <c r="O21" s="13">
        <v>0.45</v>
      </c>
      <c r="P21" s="13">
        <v>0.45</v>
      </c>
      <c r="Q21" s="13">
        <v>0</v>
      </c>
      <c r="R21" s="41"/>
      <c r="S21" s="13">
        <v>0.08</v>
      </c>
      <c r="T21" s="13">
        <v>0.08</v>
      </c>
      <c r="U21" s="13">
        <v>0.08</v>
      </c>
      <c r="V21" s="13">
        <v>0</v>
      </c>
      <c r="W21" s="41"/>
      <c r="X21" s="13">
        <v>7.4999999999999997E-2</v>
      </c>
      <c r="Y21" s="13">
        <v>7.4999999999999997E-2</v>
      </c>
      <c r="Z21" s="41"/>
      <c r="AA21" s="13">
        <v>0.05</v>
      </c>
      <c r="AB21" s="13">
        <v>0.34499999999999997</v>
      </c>
      <c r="AC21" s="13">
        <v>0.05</v>
      </c>
      <c r="AD21" s="13">
        <v>0</v>
      </c>
      <c r="AE21" s="41"/>
      <c r="AF21" s="13">
        <v>0</v>
      </c>
      <c r="AG21" s="13">
        <v>0.27499999999999997</v>
      </c>
      <c r="AH21" s="13">
        <v>9.999999999999995E-3</v>
      </c>
      <c r="AI21" s="13">
        <v>0</v>
      </c>
      <c r="AJ21" s="41"/>
      <c r="AK21" s="13">
        <v>2.4999999999999994E-2</v>
      </c>
      <c r="AL21" s="13">
        <v>0.39499999999999996</v>
      </c>
      <c r="AM21" s="13">
        <v>0</v>
      </c>
      <c r="AN21" s="13">
        <v>0</v>
      </c>
      <c r="AO21" s="41"/>
      <c r="AP21" s="130"/>
      <c r="AQ21" s="11" t="s">
        <v>66</v>
      </c>
      <c r="AR21" s="13">
        <v>2.4999999999999994E-2</v>
      </c>
      <c r="AS21" s="13">
        <v>0.27</v>
      </c>
      <c r="AT21" s="45">
        <v>0</v>
      </c>
      <c r="AU21" s="45">
        <v>0</v>
      </c>
      <c r="AV21" s="41"/>
      <c r="AX21" s="46"/>
      <c r="AY21" s="46"/>
      <c r="AZ21" s="46"/>
      <c r="BB21" s="13"/>
      <c r="BC21" s="13"/>
      <c r="BD21" s="13"/>
      <c r="BE21" s="45"/>
    </row>
    <row r="22" spans="1:57" ht="14.5" customHeight="1" x14ac:dyDescent="0.35">
      <c r="A22" s="6"/>
      <c r="B22" s="130"/>
      <c r="C22" s="11" t="s">
        <v>67</v>
      </c>
      <c r="D22" s="13">
        <v>0.06</v>
      </c>
      <c r="E22" s="13">
        <v>0.06</v>
      </c>
      <c r="F22" s="13">
        <v>0.06</v>
      </c>
      <c r="G22" s="13">
        <v>0</v>
      </c>
      <c r="H22" s="41"/>
      <c r="I22" s="13">
        <v>0.08</v>
      </c>
      <c r="J22" s="13">
        <v>0.32500000000000001</v>
      </c>
      <c r="K22" s="13">
        <v>0.08</v>
      </c>
      <c r="L22" s="13">
        <v>0</v>
      </c>
      <c r="M22" s="41"/>
      <c r="N22" s="13">
        <v>0.4</v>
      </c>
      <c r="O22" s="13">
        <v>0.4</v>
      </c>
      <c r="P22" s="13">
        <v>0.4</v>
      </c>
      <c r="Q22" s="13">
        <v>0</v>
      </c>
      <c r="R22" s="41"/>
      <c r="S22" s="13">
        <v>0.06</v>
      </c>
      <c r="T22" s="13">
        <v>0.06</v>
      </c>
      <c r="U22" s="13">
        <v>0.06</v>
      </c>
      <c r="V22" s="13">
        <v>0</v>
      </c>
      <c r="W22" s="41"/>
      <c r="X22" s="13">
        <v>7.4999999999999997E-2</v>
      </c>
      <c r="Y22" s="13">
        <v>7.4999999999999997E-2</v>
      </c>
      <c r="Z22" s="41"/>
      <c r="AA22" s="13">
        <v>0.03</v>
      </c>
      <c r="AB22" s="13">
        <v>0.29499999999999998</v>
      </c>
      <c r="AC22" s="13">
        <v>0.03</v>
      </c>
      <c r="AD22" s="13">
        <v>0</v>
      </c>
      <c r="AE22" s="41"/>
      <c r="AF22" s="13">
        <v>0</v>
      </c>
      <c r="AG22" s="13">
        <v>0.25499999999999995</v>
      </c>
      <c r="AH22" s="13">
        <v>9.999999999999995E-3</v>
      </c>
      <c r="AI22" s="13">
        <v>0</v>
      </c>
      <c r="AJ22" s="41"/>
      <c r="AK22" s="13">
        <v>2.4999999999999994E-2</v>
      </c>
      <c r="AL22" s="13">
        <v>0.39499999999999996</v>
      </c>
      <c r="AM22" s="13">
        <v>0</v>
      </c>
      <c r="AN22" s="13">
        <v>0</v>
      </c>
      <c r="AO22" s="41"/>
      <c r="AP22" s="130"/>
      <c r="AQ22" s="11" t="s">
        <v>67</v>
      </c>
      <c r="AR22" s="13">
        <v>2.4999999999999994E-2</v>
      </c>
      <c r="AS22" s="13">
        <v>0.27</v>
      </c>
      <c r="AT22" s="45">
        <v>0</v>
      </c>
      <c r="AU22" s="45">
        <v>0</v>
      </c>
      <c r="AV22" s="41"/>
      <c r="AX22" s="46"/>
      <c r="AY22" s="46"/>
      <c r="AZ22" s="46"/>
      <c r="BB22" s="13"/>
      <c r="BC22" s="13"/>
      <c r="BD22" s="13"/>
      <c r="BE22" s="45"/>
    </row>
    <row r="23" spans="1:57" ht="18.5" x14ac:dyDescent="0.35">
      <c r="A23" s="6"/>
      <c r="B23" s="131"/>
      <c r="C23" s="11" t="s">
        <v>68</v>
      </c>
      <c r="D23" s="13">
        <v>0.22500000000000001</v>
      </c>
      <c r="E23" s="13">
        <v>0.22500000000000001</v>
      </c>
      <c r="F23" s="13">
        <v>0.22500000000000001</v>
      </c>
      <c r="G23" s="45">
        <v>0</v>
      </c>
      <c r="H23" s="41"/>
      <c r="I23" s="13">
        <v>0.2</v>
      </c>
      <c r="J23" s="13">
        <v>0.2</v>
      </c>
      <c r="K23" s="13">
        <v>0.2</v>
      </c>
      <c r="L23" s="45">
        <v>0</v>
      </c>
      <c r="M23" s="41"/>
      <c r="N23" s="13">
        <v>0.15</v>
      </c>
      <c r="O23" s="13">
        <v>0.15</v>
      </c>
      <c r="P23" s="13">
        <v>0.15</v>
      </c>
      <c r="Q23" s="45">
        <v>0</v>
      </c>
      <c r="R23" s="41"/>
      <c r="S23" s="13">
        <v>0.22500000000000001</v>
      </c>
      <c r="T23" s="13">
        <v>0.22500000000000001</v>
      </c>
      <c r="U23" s="13">
        <v>0.22500000000000001</v>
      </c>
      <c r="V23" s="45">
        <v>0</v>
      </c>
      <c r="W23" s="41"/>
      <c r="X23" s="13">
        <v>0.15</v>
      </c>
      <c r="Y23" s="13">
        <v>0.15</v>
      </c>
      <c r="Z23" s="41"/>
      <c r="AA23" s="13">
        <v>0.15000000000000002</v>
      </c>
      <c r="AB23" s="13">
        <v>0.17500000000000002</v>
      </c>
      <c r="AC23" s="13">
        <v>0.15000000000000002</v>
      </c>
      <c r="AD23" s="45">
        <v>0</v>
      </c>
      <c r="AE23" s="41"/>
      <c r="AF23" s="13">
        <v>9.9999999999999992E-2</v>
      </c>
      <c r="AG23" s="13">
        <v>0.29499999999999998</v>
      </c>
      <c r="AH23" s="13">
        <v>9.9999999999999992E-2</v>
      </c>
      <c r="AI23" s="45">
        <v>0</v>
      </c>
      <c r="AJ23" s="41"/>
      <c r="AK23" s="13">
        <v>9.9999999999999992E-2</v>
      </c>
      <c r="AL23" s="13">
        <v>0.125</v>
      </c>
      <c r="AM23" s="45">
        <v>0</v>
      </c>
      <c r="AN23" s="45">
        <v>0</v>
      </c>
      <c r="AO23" s="41"/>
      <c r="AP23" s="131"/>
      <c r="AQ23" s="11" t="s">
        <v>68</v>
      </c>
      <c r="AR23" s="45">
        <v>0</v>
      </c>
      <c r="AS23" s="45">
        <v>0</v>
      </c>
      <c r="AT23" s="45">
        <v>0</v>
      </c>
      <c r="AU23" s="45">
        <v>0</v>
      </c>
      <c r="AV23" s="41"/>
      <c r="AX23" s="46">
        <v>-7.5000000000000011E-2</v>
      </c>
      <c r="AY23" s="46">
        <v>9.5000000000000001E-2</v>
      </c>
      <c r="AZ23" s="46">
        <v>-7.5000000000000011E-2</v>
      </c>
      <c r="BB23" s="13">
        <v>0.15</v>
      </c>
      <c r="BC23" s="13">
        <v>0.32</v>
      </c>
      <c r="BD23" s="13">
        <v>0.15</v>
      </c>
      <c r="BE23" s="45">
        <v>0</v>
      </c>
    </row>
    <row r="24" spans="1:57" ht="18.5" x14ac:dyDescent="0.35">
      <c r="A24" s="6"/>
      <c r="B24" s="131"/>
      <c r="C24" s="11" t="s">
        <v>69</v>
      </c>
      <c r="D24" s="13">
        <v>7.4999999999999997E-2</v>
      </c>
      <c r="E24" s="13">
        <v>0.4</v>
      </c>
      <c r="F24" s="13">
        <v>7.4999999999999997E-2</v>
      </c>
      <c r="G24" s="45">
        <v>0</v>
      </c>
      <c r="H24" s="41"/>
      <c r="I24" s="13">
        <v>7.4999999999999997E-2</v>
      </c>
      <c r="J24" s="13">
        <v>0.4</v>
      </c>
      <c r="K24" s="13">
        <v>7.4999999999999997E-2</v>
      </c>
      <c r="L24" s="45">
        <v>0</v>
      </c>
      <c r="M24" s="41"/>
      <c r="N24" s="13">
        <v>0.1</v>
      </c>
      <c r="O24" s="13">
        <v>0.4</v>
      </c>
      <c r="P24" s="13">
        <v>0.1</v>
      </c>
      <c r="Q24" s="45">
        <v>0</v>
      </c>
      <c r="R24" s="41"/>
      <c r="S24" s="13">
        <v>7.4999999999999997E-2</v>
      </c>
      <c r="T24" s="13">
        <v>0.4</v>
      </c>
      <c r="U24" s="13">
        <v>7.4999999999999997E-2</v>
      </c>
      <c r="V24" s="45">
        <v>0</v>
      </c>
      <c r="W24" s="41"/>
      <c r="X24" s="13">
        <v>7.4999999999999997E-2</v>
      </c>
      <c r="Y24" s="13">
        <v>7.4999999999999997E-2</v>
      </c>
      <c r="Z24" s="41"/>
      <c r="AA24" s="13">
        <v>0.03</v>
      </c>
      <c r="AB24" s="13">
        <v>0.375</v>
      </c>
      <c r="AC24" s="13">
        <v>0.03</v>
      </c>
      <c r="AD24" s="45">
        <v>0</v>
      </c>
      <c r="AE24" s="41"/>
      <c r="AF24" s="13">
        <v>2.4999999999999994E-2</v>
      </c>
      <c r="AG24" s="13">
        <v>0.375</v>
      </c>
      <c r="AH24" s="13">
        <v>2.4999999999999994E-2</v>
      </c>
      <c r="AI24" s="45">
        <v>0</v>
      </c>
      <c r="AJ24" s="41"/>
      <c r="AK24" s="13">
        <v>2.4999999999999994E-2</v>
      </c>
      <c r="AL24" s="13">
        <v>0.375</v>
      </c>
      <c r="AM24" s="45">
        <v>0</v>
      </c>
      <c r="AN24" s="45">
        <v>0</v>
      </c>
      <c r="AO24" s="41"/>
      <c r="AP24" s="131"/>
      <c r="AQ24" s="11" t="s">
        <v>69</v>
      </c>
      <c r="AR24" s="45">
        <v>0</v>
      </c>
      <c r="AS24" s="45">
        <v>0</v>
      </c>
      <c r="AT24" s="45">
        <v>0</v>
      </c>
      <c r="AU24" s="45">
        <v>0</v>
      </c>
      <c r="AV24" s="41"/>
      <c r="AX24" s="46">
        <v>0</v>
      </c>
      <c r="AY24" s="46">
        <v>0</v>
      </c>
      <c r="AZ24" s="46">
        <v>0</v>
      </c>
      <c r="BB24" s="13">
        <v>7.4999999999999997E-2</v>
      </c>
      <c r="BC24" s="13">
        <v>0.32</v>
      </c>
      <c r="BD24" s="13">
        <v>7.4999999999999997E-2</v>
      </c>
      <c r="BE24" s="45">
        <v>0</v>
      </c>
    </row>
    <row r="25" spans="1:57" ht="18.5" x14ac:dyDescent="0.35">
      <c r="A25" s="6"/>
      <c r="B25" s="132"/>
      <c r="C25" s="11" t="s">
        <v>23</v>
      </c>
      <c r="D25" s="45">
        <v>0</v>
      </c>
      <c r="E25" s="13">
        <v>0.3</v>
      </c>
      <c r="F25" s="45">
        <v>0</v>
      </c>
      <c r="G25" s="45">
        <v>0</v>
      </c>
      <c r="H25" s="41"/>
      <c r="I25" s="45">
        <v>0</v>
      </c>
      <c r="J25" s="13">
        <v>0.3</v>
      </c>
      <c r="K25" s="45">
        <v>0</v>
      </c>
      <c r="L25" s="45">
        <v>0</v>
      </c>
      <c r="M25" s="41"/>
      <c r="N25" s="45">
        <v>0</v>
      </c>
      <c r="O25" s="13">
        <v>0.3</v>
      </c>
      <c r="P25" s="45">
        <v>0</v>
      </c>
      <c r="Q25" s="45">
        <v>0</v>
      </c>
      <c r="R25" s="41"/>
      <c r="S25" s="45">
        <v>0</v>
      </c>
      <c r="T25" s="13">
        <v>0.3</v>
      </c>
      <c r="U25" s="45">
        <v>0</v>
      </c>
      <c r="V25" s="45">
        <v>0</v>
      </c>
      <c r="W25" s="41"/>
      <c r="X25" s="45">
        <v>0</v>
      </c>
      <c r="Y25" s="45">
        <v>0</v>
      </c>
      <c r="Z25" s="41"/>
      <c r="AA25" s="45">
        <v>0</v>
      </c>
      <c r="AB25" s="13">
        <v>0.27499999999999997</v>
      </c>
      <c r="AC25" s="45">
        <v>0</v>
      </c>
      <c r="AD25" s="45">
        <v>0</v>
      </c>
      <c r="AE25" s="41"/>
      <c r="AF25" s="45">
        <v>0</v>
      </c>
      <c r="AG25" s="13">
        <v>0.27499999999999997</v>
      </c>
      <c r="AH25" s="45">
        <v>0</v>
      </c>
      <c r="AI25" s="45">
        <v>0</v>
      </c>
      <c r="AJ25" s="41"/>
      <c r="AK25" s="45">
        <v>0</v>
      </c>
      <c r="AL25" s="13">
        <v>0.27499999999999997</v>
      </c>
      <c r="AM25" s="45">
        <v>0</v>
      </c>
      <c r="AN25" s="45">
        <v>0</v>
      </c>
      <c r="AO25" s="41"/>
      <c r="AP25" s="132"/>
      <c r="AQ25" s="11" t="s">
        <v>23</v>
      </c>
      <c r="AR25" s="45">
        <v>0</v>
      </c>
      <c r="AS25" s="45">
        <v>0</v>
      </c>
      <c r="AT25" s="45">
        <v>0</v>
      </c>
      <c r="AU25" s="45">
        <v>0</v>
      </c>
      <c r="AV25" s="41"/>
      <c r="AX25" s="46"/>
      <c r="AY25" s="46">
        <v>0</v>
      </c>
      <c r="AZ25" s="46"/>
      <c r="BB25" s="45">
        <v>0</v>
      </c>
      <c r="BC25" s="13">
        <v>0.3</v>
      </c>
      <c r="BD25" s="45">
        <v>0</v>
      </c>
      <c r="BE25" s="45">
        <v>0</v>
      </c>
    </row>
    <row r="26" spans="1:57" customFormat="1" ht="4.5" customHeight="1" x14ac:dyDescent="0.35">
      <c r="A26" s="6"/>
      <c r="B26" s="6"/>
      <c r="C26" s="6"/>
      <c r="D26" s="6"/>
      <c r="E26" s="6"/>
      <c r="F26" s="6"/>
      <c r="G26" s="6"/>
      <c r="H26" s="41"/>
      <c r="I26" s="6"/>
      <c r="J26" s="6"/>
      <c r="K26" s="6"/>
      <c r="L26" s="6"/>
      <c r="M26" s="41"/>
      <c r="N26" s="6"/>
      <c r="O26" s="6"/>
      <c r="P26" s="6"/>
      <c r="Q26" s="6"/>
      <c r="R26" s="41"/>
      <c r="S26" s="6"/>
      <c r="T26" s="6"/>
      <c r="U26" s="6"/>
      <c r="V26" s="6"/>
      <c r="W26" s="41"/>
      <c r="X26" s="6"/>
      <c r="Y26" s="6"/>
      <c r="Z26" s="41"/>
      <c r="AA26" s="6"/>
      <c r="AB26" s="6"/>
      <c r="AC26" s="6"/>
      <c r="AD26" s="6"/>
      <c r="AE26" s="41"/>
      <c r="AF26" s="6"/>
      <c r="AG26" s="6"/>
      <c r="AH26" s="6"/>
      <c r="AI26" s="6"/>
      <c r="AJ26" s="41"/>
      <c r="AK26" s="6"/>
      <c r="AL26" s="6"/>
      <c r="AM26" s="6"/>
      <c r="AN26" s="6"/>
      <c r="AO26" s="41"/>
      <c r="AP26" s="6"/>
      <c r="AQ26" s="6"/>
      <c r="AR26" s="6"/>
      <c r="AS26" s="6"/>
      <c r="AT26" s="6"/>
      <c r="AU26" s="6"/>
      <c r="AV26" s="41"/>
      <c r="BB26" s="6"/>
      <c r="BC26" s="6"/>
      <c r="BD26" s="6"/>
      <c r="BE26" s="6"/>
    </row>
    <row r="27" spans="1:57" ht="14.5" customHeight="1" x14ac:dyDescent="0.35">
      <c r="A27" s="6"/>
      <c r="B27" s="135" t="s">
        <v>72</v>
      </c>
      <c r="C27" s="11" t="s">
        <v>65</v>
      </c>
      <c r="D27" s="13">
        <v>0.125</v>
      </c>
      <c r="E27" s="13">
        <v>0.125</v>
      </c>
      <c r="F27" s="13">
        <v>0.125</v>
      </c>
      <c r="G27" s="45">
        <v>0</v>
      </c>
      <c r="H27" s="41"/>
      <c r="I27" s="13">
        <v>0.15</v>
      </c>
      <c r="J27" s="13">
        <v>0.42</v>
      </c>
      <c r="K27" s="13">
        <v>0.08</v>
      </c>
      <c r="L27" s="45">
        <v>0</v>
      </c>
      <c r="M27" s="41"/>
      <c r="N27" s="13">
        <v>0.45</v>
      </c>
      <c r="O27" s="13">
        <v>0.45</v>
      </c>
      <c r="P27" s="13">
        <v>0.45</v>
      </c>
      <c r="Q27" s="45">
        <v>0</v>
      </c>
      <c r="R27" s="41"/>
      <c r="S27" s="13">
        <v>0.1</v>
      </c>
      <c r="T27" s="13">
        <v>0.32</v>
      </c>
      <c r="U27" s="13">
        <v>0.1</v>
      </c>
      <c r="V27" s="45">
        <v>0</v>
      </c>
      <c r="W27" s="41"/>
      <c r="X27" s="13">
        <v>7.4999999999999997E-2</v>
      </c>
      <c r="Y27" s="13">
        <v>7.4999999999999997E-2</v>
      </c>
      <c r="Z27" s="41"/>
      <c r="AA27" s="13">
        <v>9.9999999999999992E-2</v>
      </c>
      <c r="AB27" s="13">
        <v>0.39499999999999996</v>
      </c>
      <c r="AC27" s="13">
        <v>9.9999999999999992E-2</v>
      </c>
      <c r="AD27" s="45">
        <v>0</v>
      </c>
      <c r="AE27" s="41"/>
      <c r="AF27" s="13">
        <v>0.05</v>
      </c>
      <c r="AG27" s="13">
        <v>0.29499999999999998</v>
      </c>
      <c r="AH27" s="13">
        <v>0.05</v>
      </c>
      <c r="AI27" s="45">
        <v>0</v>
      </c>
      <c r="AJ27" s="41"/>
      <c r="AK27" s="13">
        <v>0.05</v>
      </c>
      <c r="AL27" s="13">
        <v>0.39499999999999996</v>
      </c>
      <c r="AM27" s="45">
        <v>0</v>
      </c>
      <c r="AN27" s="45">
        <v>0</v>
      </c>
      <c r="AO27" s="41"/>
      <c r="AP27" s="129" t="s">
        <v>4</v>
      </c>
      <c r="AQ27" s="11" t="s">
        <v>65</v>
      </c>
      <c r="AR27" s="13">
        <v>0.05</v>
      </c>
      <c r="AS27" s="13">
        <v>0.27</v>
      </c>
      <c r="AT27" s="45">
        <v>0</v>
      </c>
      <c r="AU27" s="45">
        <v>0</v>
      </c>
      <c r="AV27" s="41"/>
      <c r="AX27" s="46">
        <v>-2.4999999999999994E-2</v>
      </c>
      <c r="AY27" s="46">
        <v>0.19500000000000001</v>
      </c>
      <c r="AZ27" s="46">
        <v>-2.4999999999999994E-2</v>
      </c>
      <c r="BB27" s="13">
        <v>0.1</v>
      </c>
      <c r="BC27" s="13">
        <v>0.32</v>
      </c>
      <c r="BD27" s="13">
        <v>0.1</v>
      </c>
      <c r="BE27" s="45">
        <v>0</v>
      </c>
    </row>
    <row r="28" spans="1:57" ht="14.5" customHeight="1" x14ac:dyDescent="0.35">
      <c r="A28" s="6"/>
      <c r="B28" s="136"/>
      <c r="C28" s="11" t="s">
        <v>66</v>
      </c>
      <c r="D28" s="13">
        <v>0.105</v>
      </c>
      <c r="E28" s="13">
        <v>0.105</v>
      </c>
      <c r="F28" s="13">
        <v>0.105</v>
      </c>
      <c r="G28" s="13">
        <v>0</v>
      </c>
      <c r="H28" s="41"/>
      <c r="I28" s="13">
        <v>0.1</v>
      </c>
      <c r="J28" s="13">
        <v>0.375</v>
      </c>
      <c r="K28" s="13">
        <v>0.08</v>
      </c>
      <c r="L28" s="13">
        <v>0</v>
      </c>
      <c r="M28" s="41"/>
      <c r="N28" s="13">
        <v>0.45</v>
      </c>
      <c r="O28" s="13">
        <v>0.45</v>
      </c>
      <c r="P28" s="13">
        <v>0.45</v>
      </c>
      <c r="Q28" s="13">
        <v>0</v>
      </c>
      <c r="R28" s="41"/>
      <c r="S28" s="13">
        <v>0.08</v>
      </c>
      <c r="T28" s="13">
        <v>0.3</v>
      </c>
      <c r="U28" s="13">
        <v>0.08</v>
      </c>
      <c r="V28" s="13">
        <v>0</v>
      </c>
      <c r="W28" s="41"/>
      <c r="X28" s="13">
        <v>7.4999999999999997E-2</v>
      </c>
      <c r="Y28" s="13">
        <v>7.4999999999999997E-2</v>
      </c>
      <c r="Z28" s="41"/>
      <c r="AA28" s="13">
        <v>0.05</v>
      </c>
      <c r="AB28" s="13">
        <v>0.34499999999999997</v>
      </c>
      <c r="AC28" s="13">
        <v>0.05</v>
      </c>
      <c r="AD28" s="13">
        <v>0</v>
      </c>
      <c r="AE28" s="41"/>
      <c r="AF28" s="13">
        <v>0.03</v>
      </c>
      <c r="AG28" s="13">
        <v>0.27499999999999997</v>
      </c>
      <c r="AH28" s="13">
        <v>0.03</v>
      </c>
      <c r="AI28" s="13">
        <v>0</v>
      </c>
      <c r="AJ28" s="41"/>
      <c r="AK28" s="13">
        <v>0.05</v>
      </c>
      <c r="AL28" s="13">
        <v>0.39499999999999996</v>
      </c>
      <c r="AM28" s="13">
        <v>0</v>
      </c>
      <c r="AN28" s="13">
        <v>0</v>
      </c>
      <c r="AO28" s="41"/>
      <c r="AP28" s="130"/>
      <c r="AQ28" s="11" t="s">
        <v>66</v>
      </c>
      <c r="AR28" s="13">
        <v>0.05</v>
      </c>
      <c r="AS28" s="13">
        <v>0.27</v>
      </c>
      <c r="AT28" s="45">
        <v>0</v>
      </c>
      <c r="AU28" s="45">
        <v>0</v>
      </c>
      <c r="AV28" s="41"/>
      <c r="AX28" s="46"/>
      <c r="AY28" s="46"/>
      <c r="AZ28" s="46"/>
      <c r="BB28" s="13"/>
      <c r="BC28" s="13"/>
      <c r="BD28" s="13"/>
      <c r="BE28" s="45"/>
    </row>
    <row r="29" spans="1:57" ht="14.5" customHeight="1" x14ac:dyDescent="0.35">
      <c r="A29" s="6"/>
      <c r="B29" s="136"/>
      <c r="C29" s="11" t="s">
        <v>67</v>
      </c>
      <c r="D29" s="13">
        <v>8.4999999999999992E-2</v>
      </c>
      <c r="E29" s="13">
        <v>8.4999999999999992E-2</v>
      </c>
      <c r="F29" s="13">
        <v>8.4999999999999992E-2</v>
      </c>
      <c r="G29" s="13">
        <v>0</v>
      </c>
      <c r="H29" s="41"/>
      <c r="I29" s="13">
        <v>0.08</v>
      </c>
      <c r="J29" s="13">
        <v>0.32500000000000001</v>
      </c>
      <c r="K29" s="13">
        <v>0.08</v>
      </c>
      <c r="L29" s="13">
        <v>0</v>
      </c>
      <c r="M29" s="41"/>
      <c r="N29" s="13">
        <v>0.4</v>
      </c>
      <c r="O29" s="13">
        <v>0.4</v>
      </c>
      <c r="P29" s="13">
        <v>0.4</v>
      </c>
      <c r="Q29" s="13">
        <v>0</v>
      </c>
      <c r="R29" s="41"/>
      <c r="S29" s="13">
        <v>0.06</v>
      </c>
      <c r="T29" s="13">
        <v>0.27999999999999997</v>
      </c>
      <c r="U29" s="13">
        <v>0.06</v>
      </c>
      <c r="V29" s="13">
        <v>0</v>
      </c>
      <c r="W29" s="41"/>
      <c r="X29" s="13">
        <v>7.4999999999999997E-2</v>
      </c>
      <c r="Y29" s="13">
        <v>7.4999999999999997E-2</v>
      </c>
      <c r="Z29" s="41"/>
      <c r="AA29" s="13">
        <v>0.03</v>
      </c>
      <c r="AB29" s="13">
        <v>0.29499999999999998</v>
      </c>
      <c r="AC29" s="13">
        <v>0.03</v>
      </c>
      <c r="AD29" s="13">
        <v>0</v>
      </c>
      <c r="AE29" s="41"/>
      <c r="AF29" s="13">
        <v>9.999999999999995E-3</v>
      </c>
      <c r="AG29" s="13">
        <v>0.25499999999999995</v>
      </c>
      <c r="AH29" s="13">
        <v>9.999999999999995E-3</v>
      </c>
      <c r="AI29" s="13">
        <v>0</v>
      </c>
      <c r="AJ29" s="41"/>
      <c r="AK29" s="13">
        <v>0.05</v>
      </c>
      <c r="AL29" s="13">
        <v>0.39499999999999996</v>
      </c>
      <c r="AM29" s="13">
        <v>0</v>
      </c>
      <c r="AN29" s="13">
        <v>0</v>
      </c>
      <c r="AO29" s="41"/>
      <c r="AP29" s="130"/>
      <c r="AQ29" s="11" t="s">
        <v>67</v>
      </c>
      <c r="AR29" s="13">
        <v>0.05</v>
      </c>
      <c r="AS29" s="13">
        <v>0.27</v>
      </c>
      <c r="AT29" s="45">
        <v>0</v>
      </c>
      <c r="AU29" s="45">
        <v>0</v>
      </c>
      <c r="AV29" s="41"/>
      <c r="AX29" s="46"/>
      <c r="AY29" s="46"/>
      <c r="AZ29" s="46"/>
      <c r="BB29" s="13"/>
      <c r="BC29" s="13"/>
      <c r="BD29" s="13"/>
      <c r="BE29" s="45"/>
    </row>
    <row r="30" spans="1:57" ht="18.5" x14ac:dyDescent="0.35">
      <c r="A30" s="6"/>
      <c r="B30" s="131"/>
      <c r="C30" s="11" t="s">
        <v>68</v>
      </c>
      <c r="D30" s="13">
        <v>0.22500000000000001</v>
      </c>
      <c r="E30" s="13">
        <v>0.22500000000000001</v>
      </c>
      <c r="F30" s="13">
        <v>0.22500000000000001</v>
      </c>
      <c r="G30" s="45">
        <v>0</v>
      </c>
      <c r="H30" s="41"/>
      <c r="I30" s="13">
        <v>0.2</v>
      </c>
      <c r="J30" s="13">
        <v>0.2</v>
      </c>
      <c r="K30" s="13">
        <v>0.2</v>
      </c>
      <c r="L30" s="45">
        <v>0</v>
      </c>
      <c r="M30" s="41"/>
      <c r="N30" s="13">
        <v>0.22</v>
      </c>
      <c r="O30" s="13">
        <v>0.22</v>
      </c>
      <c r="P30" s="13">
        <v>0.22</v>
      </c>
      <c r="Q30" s="45">
        <v>0</v>
      </c>
      <c r="R30" s="41"/>
      <c r="S30" s="13">
        <v>0.22500000000000001</v>
      </c>
      <c r="T30" s="13">
        <v>0.22500000000000001</v>
      </c>
      <c r="U30" s="13">
        <v>0.22500000000000001</v>
      </c>
      <c r="V30" s="45">
        <v>0</v>
      </c>
      <c r="W30" s="41"/>
      <c r="X30" s="13">
        <v>0.15</v>
      </c>
      <c r="Y30" s="13">
        <v>0.15</v>
      </c>
      <c r="Z30" s="41"/>
      <c r="AA30" s="13">
        <v>0.15000000000000002</v>
      </c>
      <c r="AB30" s="13">
        <v>0.17500000000000002</v>
      </c>
      <c r="AC30" s="13">
        <v>0.15000000000000002</v>
      </c>
      <c r="AD30" s="45">
        <v>0</v>
      </c>
      <c r="AE30" s="41"/>
      <c r="AF30" s="13">
        <v>9.9999999999999992E-2</v>
      </c>
      <c r="AG30" s="13">
        <v>0.29499999999999998</v>
      </c>
      <c r="AH30" s="13">
        <v>9.9999999999999992E-2</v>
      </c>
      <c r="AI30" s="45">
        <v>0</v>
      </c>
      <c r="AJ30" s="41"/>
      <c r="AK30" s="13">
        <v>9.9999999999999992E-2</v>
      </c>
      <c r="AL30" s="13">
        <v>0.19500000000000001</v>
      </c>
      <c r="AM30" s="45">
        <v>0</v>
      </c>
      <c r="AN30" s="45">
        <v>0</v>
      </c>
      <c r="AO30" s="41"/>
      <c r="AP30" s="131"/>
      <c r="AQ30" s="11" t="s">
        <v>68</v>
      </c>
      <c r="AR30" s="45">
        <v>0</v>
      </c>
      <c r="AS30" s="45">
        <v>0</v>
      </c>
      <c r="AT30" s="45">
        <v>0</v>
      </c>
      <c r="AU30" s="45">
        <v>0</v>
      </c>
      <c r="AV30" s="41"/>
      <c r="AX30" s="46">
        <v>-7.5000000000000011E-2</v>
      </c>
      <c r="AY30" s="46">
        <v>9.5000000000000001E-2</v>
      </c>
      <c r="AZ30" s="46">
        <v>-7.5000000000000011E-2</v>
      </c>
      <c r="BB30" s="13">
        <v>0.15</v>
      </c>
      <c r="BC30" s="13">
        <v>0.32</v>
      </c>
      <c r="BD30" s="13">
        <v>0.15</v>
      </c>
      <c r="BE30" s="45">
        <v>0</v>
      </c>
    </row>
    <row r="31" spans="1:57" ht="18.5" x14ac:dyDescent="0.35">
      <c r="A31" s="6"/>
      <c r="B31" s="131"/>
      <c r="C31" s="11" t="s">
        <v>69</v>
      </c>
      <c r="D31" s="13">
        <v>7.4999999999999997E-2</v>
      </c>
      <c r="E31" s="13">
        <v>0.4</v>
      </c>
      <c r="F31" s="13">
        <v>7.4999999999999997E-2</v>
      </c>
      <c r="G31" s="45">
        <v>0</v>
      </c>
      <c r="H31" s="41"/>
      <c r="I31" s="13">
        <v>7.4999999999999997E-2</v>
      </c>
      <c r="J31" s="13">
        <v>0.4</v>
      </c>
      <c r="K31" s="13">
        <v>7.4999999999999997E-2</v>
      </c>
      <c r="L31" s="45">
        <v>0</v>
      </c>
      <c r="M31" s="41"/>
      <c r="N31" s="13">
        <v>0.1</v>
      </c>
      <c r="O31" s="13">
        <v>0.4</v>
      </c>
      <c r="P31" s="13">
        <v>0.1</v>
      </c>
      <c r="Q31" s="45">
        <v>0</v>
      </c>
      <c r="R31" s="41"/>
      <c r="S31" s="13">
        <v>7.4999999999999997E-2</v>
      </c>
      <c r="T31" s="13">
        <v>0.4</v>
      </c>
      <c r="U31" s="13">
        <v>7.4999999999999997E-2</v>
      </c>
      <c r="V31" s="45">
        <v>0</v>
      </c>
      <c r="W31" s="41"/>
      <c r="X31" s="13">
        <v>7.4999999999999997E-2</v>
      </c>
      <c r="Y31" s="13">
        <v>7.4999999999999997E-2</v>
      </c>
      <c r="Z31" s="41"/>
      <c r="AA31" s="13">
        <v>0.03</v>
      </c>
      <c r="AB31" s="13">
        <v>0.375</v>
      </c>
      <c r="AC31" s="13">
        <v>0.03</v>
      </c>
      <c r="AD31" s="45">
        <v>0</v>
      </c>
      <c r="AE31" s="41"/>
      <c r="AF31" s="13">
        <v>2.4999999999999994E-2</v>
      </c>
      <c r="AG31" s="13">
        <v>0.375</v>
      </c>
      <c r="AH31" s="13">
        <v>2.4999999999999994E-2</v>
      </c>
      <c r="AI31" s="45">
        <v>0</v>
      </c>
      <c r="AJ31" s="41"/>
      <c r="AK31" s="13">
        <v>0.05</v>
      </c>
      <c r="AL31" s="13">
        <v>0.375</v>
      </c>
      <c r="AM31" s="45">
        <v>0</v>
      </c>
      <c r="AN31" s="45">
        <v>0</v>
      </c>
      <c r="AO31" s="41"/>
      <c r="AP31" s="131"/>
      <c r="AQ31" s="11" t="s">
        <v>69</v>
      </c>
      <c r="AR31" s="45">
        <v>0</v>
      </c>
      <c r="AS31" s="45">
        <v>0</v>
      </c>
      <c r="AT31" s="45">
        <v>0</v>
      </c>
      <c r="AU31" s="45">
        <v>0</v>
      </c>
      <c r="AV31" s="41"/>
      <c r="AX31" s="46">
        <v>0</v>
      </c>
      <c r="AY31" s="46">
        <v>0</v>
      </c>
      <c r="AZ31" s="46">
        <v>0</v>
      </c>
      <c r="BB31" s="13">
        <v>0.1</v>
      </c>
      <c r="BC31" s="13">
        <v>0.32</v>
      </c>
      <c r="BD31" s="13">
        <v>0.1</v>
      </c>
      <c r="BE31" s="45">
        <v>0</v>
      </c>
    </row>
    <row r="32" spans="1:57" ht="18.5" x14ac:dyDescent="0.35">
      <c r="A32" s="6"/>
      <c r="B32" s="132"/>
      <c r="C32" s="11" t="s">
        <v>23</v>
      </c>
      <c r="D32" s="45">
        <v>0</v>
      </c>
      <c r="E32" s="13">
        <v>7.4999999999999997E-2</v>
      </c>
      <c r="F32" s="45">
        <v>0</v>
      </c>
      <c r="G32" s="45">
        <v>0</v>
      </c>
      <c r="H32" s="41"/>
      <c r="I32" s="45">
        <v>0</v>
      </c>
      <c r="J32" s="13">
        <v>7.4999999999999997E-2</v>
      </c>
      <c r="K32" s="45">
        <v>0</v>
      </c>
      <c r="L32" s="45">
        <v>0</v>
      </c>
      <c r="M32" s="41"/>
      <c r="N32" s="45">
        <v>0</v>
      </c>
      <c r="O32" s="13">
        <v>7.4999999999999997E-2</v>
      </c>
      <c r="P32" s="45">
        <v>0</v>
      </c>
      <c r="Q32" s="45">
        <v>0</v>
      </c>
      <c r="R32" s="41"/>
      <c r="S32" s="45">
        <v>0</v>
      </c>
      <c r="T32" s="13">
        <v>7.4999999999999997E-2</v>
      </c>
      <c r="U32" s="45">
        <v>0</v>
      </c>
      <c r="V32" s="45">
        <v>0</v>
      </c>
      <c r="W32" s="41"/>
      <c r="X32" s="45">
        <v>0</v>
      </c>
      <c r="Y32" s="45">
        <v>0</v>
      </c>
      <c r="Z32" s="41"/>
      <c r="AA32" s="45">
        <v>0</v>
      </c>
      <c r="AB32" s="13">
        <v>4.9999999999999996E-2</v>
      </c>
      <c r="AC32" s="45">
        <v>0</v>
      </c>
      <c r="AD32" s="45">
        <v>0</v>
      </c>
      <c r="AE32" s="41"/>
      <c r="AF32" s="45">
        <v>0</v>
      </c>
      <c r="AG32" s="13">
        <v>4.9999999999999996E-2</v>
      </c>
      <c r="AH32" s="45">
        <v>0</v>
      </c>
      <c r="AI32" s="45">
        <v>0</v>
      </c>
      <c r="AJ32" s="41"/>
      <c r="AK32" s="13">
        <v>0</v>
      </c>
      <c r="AL32" s="13">
        <v>4.9999999999999996E-2</v>
      </c>
      <c r="AM32" s="45">
        <v>0</v>
      </c>
      <c r="AN32" s="45">
        <v>0</v>
      </c>
      <c r="AO32" s="41"/>
      <c r="AP32" s="132"/>
      <c r="AQ32" s="11" t="s">
        <v>23</v>
      </c>
      <c r="AR32" s="45">
        <v>0</v>
      </c>
      <c r="AS32" s="45">
        <v>0</v>
      </c>
      <c r="AT32" s="45">
        <v>0</v>
      </c>
      <c r="AU32" s="45">
        <v>0</v>
      </c>
      <c r="AV32" s="41"/>
      <c r="AX32" s="46"/>
      <c r="AY32" s="46">
        <v>0</v>
      </c>
      <c r="AZ32" s="46"/>
      <c r="BB32" s="45">
        <v>0</v>
      </c>
      <c r="BC32" s="13">
        <v>7.4999999999999997E-2</v>
      </c>
      <c r="BD32" s="45">
        <v>0</v>
      </c>
      <c r="BE32" s="45">
        <v>0</v>
      </c>
    </row>
    <row r="33" spans="1:57" customFormat="1" ht="4.5" customHeight="1" x14ac:dyDescent="0.35">
      <c r="A33" s="6"/>
      <c r="B33" s="6"/>
      <c r="C33" s="6"/>
      <c r="D33" s="6"/>
      <c r="E33" s="6"/>
      <c r="F33" s="6"/>
      <c r="G33" s="6"/>
      <c r="H33" s="41"/>
      <c r="I33" s="6"/>
      <c r="J33" s="6"/>
      <c r="K33" s="6"/>
      <c r="L33" s="6"/>
      <c r="M33" s="41"/>
      <c r="N33" s="6"/>
      <c r="O33" s="6"/>
      <c r="P33" s="6"/>
      <c r="Q33" s="6"/>
      <c r="R33" s="41"/>
      <c r="S33" s="6"/>
      <c r="T33" s="6"/>
      <c r="U33" s="6"/>
      <c r="V33" s="6"/>
      <c r="W33" s="41"/>
      <c r="X33" s="6"/>
      <c r="Y33" s="6"/>
      <c r="Z33" s="41"/>
      <c r="AA33" s="6"/>
      <c r="AB33" s="6"/>
      <c r="AC33" s="6"/>
      <c r="AD33" s="6"/>
      <c r="AE33" s="41"/>
      <c r="AF33" s="6"/>
      <c r="AG33" s="6"/>
      <c r="AH33" s="6"/>
      <c r="AI33" s="6"/>
      <c r="AJ33" s="41"/>
      <c r="AK33" s="6"/>
      <c r="AL33" s="6"/>
      <c r="AM33" s="6"/>
      <c r="AN33" s="6"/>
      <c r="AO33" s="41"/>
      <c r="AP33" s="6"/>
      <c r="AQ33" s="6"/>
      <c r="AR33" s="6"/>
      <c r="AS33" s="6"/>
      <c r="AT33" s="6"/>
      <c r="AU33" s="6"/>
      <c r="AV33" s="41"/>
      <c r="BB33" s="6"/>
      <c r="BC33" s="6"/>
      <c r="BD33" s="6"/>
      <c r="BE33" s="6"/>
    </row>
    <row r="34" spans="1:57" ht="14.5" customHeight="1" x14ac:dyDescent="0.35">
      <c r="A34" s="6"/>
      <c r="B34" s="129" t="s">
        <v>73</v>
      </c>
      <c r="C34" s="11" t="s">
        <v>65</v>
      </c>
      <c r="D34" s="13">
        <v>0</v>
      </c>
      <c r="E34" s="13">
        <v>0</v>
      </c>
      <c r="F34" s="13">
        <v>0</v>
      </c>
      <c r="G34" s="45">
        <v>0</v>
      </c>
      <c r="H34" s="41"/>
      <c r="I34" s="13">
        <v>0.05</v>
      </c>
      <c r="J34" s="13">
        <v>0.1</v>
      </c>
      <c r="K34" s="13">
        <v>0.05</v>
      </c>
      <c r="L34" s="45">
        <v>0</v>
      </c>
      <c r="M34" s="41"/>
      <c r="N34" s="13">
        <v>7.4999999999999997E-2</v>
      </c>
      <c r="O34" s="13">
        <v>7.4999999999999997E-2</v>
      </c>
      <c r="P34" s="13">
        <v>7.4999999999999997E-2</v>
      </c>
      <c r="Q34" s="45">
        <v>0</v>
      </c>
      <c r="R34" s="41"/>
      <c r="S34" s="13">
        <v>0</v>
      </c>
      <c r="T34" s="13">
        <v>0</v>
      </c>
      <c r="U34" s="13">
        <v>0</v>
      </c>
      <c r="V34" s="45">
        <v>0</v>
      </c>
      <c r="W34" s="41"/>
      <c r="X34" s="13">
        <v>0</v>
      </c>
      <c r="Y34" s="13">
        <v>0</v>
      </c>
      <c r="Z34" s="41"/>
      <c r="AA34" s="13">
        <v>0</v>
      </c>
      <c r="AB34" s="13">
        <v>0</v>
      </c>
      <c r="AC34" s="13">
        <v>0</v>
      </c>
      <c r="AD34" s="45">
        <v>0</v>
      </c>
      <c r="AE34" s="41"/>
      <c r="AF34" s="13">
        <v>0</v>
      </c>
      <c r="AG34" s="13">
        <v>0</v>
      </c>
      <c r="AH34" s="13">
        <v>0</v>
      </c>
      <c r="AI34" s="45">
        <v>0</v>
      </c>
      <c r="AJ34" s="41"/>
      <c r="AK34" s="13">
        <v>0</v>
      </c>
      <c r="AL34" s="13">
        <v>4.9999999999999996E-2</v>
      </c>
      <c r="AM34" s="13">
        <v>0</v>
      </c>
      <c r="AN34" s="13">
        <v>0</v>
      </c>
      <c r="AO34" s="41"/>
      <c r="AP34" s="129" t="s">
        <v>74</v>
      </c>
      <c r="AQ34" s="11" t="s">
        <v>65</v>
      </c>
      <c r="AR34" s="45">
        <v>0</v>
      </c>
      <c r="AS34" s="45">
        <v>0</v>
      </c>
      <c r="AT34" s="45">
        <v>0</v>
      </c>
      <c r="AU34" s="45">
        <v>0</v>
      </c>
      <c r="AV34" s="41"/>
      <c r="AX34" s="46">
        <v>0</v>
      </c>
      <c r="AY34" s="46">
        <v>0</v>
      </c>
      <c r="AZ34" s="46">
        <v>0</v>
      </c>
      <c r="BB34" s="13">
        <v>0</v>
      </c>
      <c r="BC34" s="13">
        <v>0</v>
      </c>
      <c r="BD34" s="13">
        <v>0</v>
      </c>
      <c r="BE34" s="45">
        <v>0</v>
      </c>
    </row>
    <row r="35" spans="1:57" ht="14.5" customHeight="1" x14ac:dyDescent="0.35">
      <c r="A35" s="6"/>
      <c r="B35" s="130"/>
      <c r="C35" s="11" t="s">
        <v>66</v>
      </c>
      <c r="D35" s="13">
        <v>0</v>
      </c>
      <c r="E35" s="13">
        <v>0</v>
      </c>
      <c r="F35" s="13">
        <v>0</v>
      </c>
      <c r="G35" s="13">
        <v>0</v>
      </c>
      <c r="H35" s="41"/>
      <c r="I35" s="13">
        <v>0.05</v>
      </c>
      <c r="J35" s="13">
        <v>0.1</v>
      </c>
      <c r="K35" s="13">
        <v>0.05</v>
      </c>
      <c r="L35" s="13">
        <v>0</v>
      </c>
      <c r="M35" s="41"/>
      <c r="N35" s="13">
        <v>7.4999999999999997E-2</v>
      </c>
      <c r="O35" s="13">
        <v>7.4999999999999997E-2</v>
      </c>
      <c r="P35" s="13">
        <v>7.4999999999999997E-2</v>
      </c>
      <c r="Q35" s="13">
        <v>0</v>
      </c>
      <c r="R35" s="41"/>
      <c r="S35" s="13">
        <v>0</v>
      </c>
      <c r="T35" s="13">
        <v>0</v>
      </c>
      <c r="U35" s="13">
        <v>0</v>
      </c>
      <c r="V35" s="13">
        <v>0</v>
      </c>
      <c r="W35" s="41"/>
      <c r="X35" s="13">
        <v>0</v>
      </c>
      <c r="Y35" s="13">
        <v>0</v>
      </c>
      <c r="Z35" s="41"/>
      <c r="AA35" s="13">
        <v>0</v>
      </c>
      <c r="AB35" s="13">
        <v>0</v>
      </c>
      <c r="AC35" s="13">
        <v>0</v>
      </c>
      <c r="AD35" s="13">
        <v>0</v>
      </c>
      <c r="AE35" s="41"/>
      <c r="AF35" s="13">
        <v>0</v>
      </c>
      <c r="AG35" s="13">
        <v>0</v>
      </c>
      <c r="AH35" s="13">
        <v>0</v>
      </c>
      <c r="AI35" s="13">
        <v>0</v>
      </c>
      <c r="AJ35" s="41"/>
      <c r="AK35" s="13">
        <v>0</v>
      </c>
      <c r="AL35" s="13">
        <v>4.9999999999999996E-2</v>
      </c>
      <c r="AM35" s="13">
        <v>0</v>
      </c>
      <c r="AN35" s="13">
        <v>0</v>
      </c>
      <c r="AO35" s="41"/>
      <c r="AP35" s="130"/>
      <c r="AQ35" s="11" t="s">
        <v>66</v>
      </c>
      <c r="AR35" s="13">
        <v>0</v>
      </c>
      <c r="AS35" s="13">
        <v>0</v>
      </c>
      <c r="AT35" s="45">
        <v>0</v>
      </c>
      <c r="AU35" s="45">
        <v>0</v>
      </c>
      <c r="AV35" s="41"/>
      <c r="AX35" s="46"/>
      <c r="AY35" s="46"/>
      <c r="AZ35" s="46"/>
      <c r="BB35" s="13"/>
      <c r="BC35" s="13"/>
      <c r="BD35" s="13"/>
      <c r="BE35" s="45"/>
    </row>
    <row r="36" spans="1:57" ht="14.5" customHeight="1" x14ac:dyDescent="0.35">
      <c r="A36" s="6"/>
      <c r="B36" s="130"/>
      <c r="C36" s="11" t="s">
        <v>67</v>
      </c>
      <c r="D36" s="13">
        <v>0</v>
      </c>
      <c r="E36" s="13">
        <v>0</v>
      </c>
      <c r="F36" s="13">
        <v>0</v>
      </c>
      <c r="G36" s="13">
        <v>0</v>
      </c>
      <c r="H36" s="41"/>
      <c r="I36" s="13">
        <v>0.05</v>
      </c>
      <c r="J36" s="13">
        <v>0.1</v>
      </c>
      <c r="K36" s="13">
        <v>0.05</v>
      </c>
      <c r="L36" s="13">
        <v>0</v>
      </c>
      <c r="M36" s="41"/>
      <c r="N36" s="13">
        <v>7.4999999999999997E-2</v>
      </c>
      <c r="O36" s="13">
        <v>7.4999999999999997E-2</v>
      </c>
      <c r="P36" s="13">
        <v>7.4999999999999997E-2</v>
      </c>
      <c r="Q36" s="13">
        <v>0</v>
      </c>
      <c r="R36" s="41"/>
      <c r="S36" s="13">
        <v>0</v>
      </c>
      <c r="T36" s="13">
        <v>0</v>
      </c>
      <c r="U36" s="13">
        <v>0</v>
      </c>
      <c r="V36" s="13">
        <v>0</v>
      </c>
      <c r="W36" s="41"/>
      <c r="X36" s="13">
        <v>0</v>
      </c>
      <c r="Y36" s="13">
        <v>0</v>
      </c>
      <c r="Z36" s="41"/>
      <c r="AA36" s="13">
        <v>0</v>
      </c>
      <c r="AB36" s="13">
        <v>0</v>
      </c>
      <c r="AC36" s="13">
        <v>0</v>
      </c>
      <c r="AD36" s="13">
        <v>0</v>
      </c>
      <c r="AE36" s="41"/>
      <c r="AF36" s="13">
        <v>0</v>
      </c>
      <c r="AG36" s="13">
        <v>0</v>
      </c>
      <c r="AH36" s="13">
        <v>0</v>
      </c>
      <c r="AI36" s="13">
        <v>0</v>
      </c>
      <c r="AJ36" s="41"/>
      <c r="AK36" s="13">
        <v>0</v>
      </c>
      <c r="AL36" s="13">
        <v>4.9999999999999996E-2</v>
      </c>
      <c r="AM36" s="13">
        <v>0</v>
      </c>
      <c r="AN36" s="13">
        <v>0</v>
      </c>
      <c r="AO36" s="41"/>
      <c r="AP36" s="130"/>
      <c r="AQ36" s="11" t="s">
        <v>67</v>
      </c>
      <c r="AR36" s="13">
        <v>0</v>
      </c>
      <c r="AS36" s="13">
        <v>0</v>
      </c>
      <c r="AT36" s="45">
        <v>0</v>
      </c>
      <c r="AU36" s="45">
        <v>0</v>
      </c>
      <c r="AV36" s="41"/>
      <c r="AX36" s="46"/>
      <c r="AY36" s="46"/>
      <c r="AZ36" s="46"/>
      <c r="BB36" s="13"/>
      <c r="BC36" s="13"/>
      <c r="BD36" s="13"/>
      <c r="BE36" s="45"/>
    </row>
    <row r="37" spans="1:57" ht="18.5" x14ac:dyDescent="0.35">
      <c r="A37" s="6"/>
      <c r="B37" s="131"/>
      <c r="C37" s="11" t="s">
        <v>68</v>
      </c>
      <c r="D37" s="13">
        <v>0</v>
      </c>
      <c r="E37" s="13">
        <v>0</v>
      </c>
      <c r="F37" s="13">
        <v>0</v>
      </c>
      <c r="G37" s="45">
        <v>0</v>
      </c>
      <c r="H37" s="41"/>
      <c r="I37" s="13">
        <v>0.1</v>
      </c>
      <c r="J37" s="13">
        <v>0.15000000000000002</v>
      </c>
      <c r="K37" s="13">
        <v>0.1</v>
      </c>
      <c r="L37" s="45">
        <v>0</v>
      </c>
      <c r="M37" s="41"/>
      <c r="N37" s="13">
        <v>0.1</v>
      </c>
      <c r="O37" s="13">
        <v>0.15000000000000002</v>
      </c>
      <c r="P37" s="13">
        <v>0.1</v>
      </c>
      <c r="Q37" s="45">
        <v>0</v>
      </c>
      <c r="R37" s="41"/>
      <c r="S37" s="13">
        <v>0</v>
      </c>
      <c r="T37" s="13">
        <v>0</v>
      </c>
      <c r="U37" s="13">
        <v>0</v>
      </c>
      <c r="V37" s="45">
        <v>0</v>
      </c>
      <c r="W37" s="41"/>
      <c r="X37" s="13">
        <v>0</v>
      </c>
      <c r="Y37" s="13">
        <v>0</v>
      </c>
      <c r="Z37" s="41"/>
      <c r="AA37" s="13">
        <v>0</v>
      </c>
      <c r="AB37" s="13">
        <v>0</v>
      </c>
      <c r="AC37" s="13">
        <v>0</v>
      </c>
      <c r="AD37" s="45">
        <v>0</v>
      </c>
      <c r="AE37" s="41"/>
      <c r="AF37" s="13">
        <v>0</v>
      </c>
      <c r="AG37" s="13">
        <v>0</v>
      </c>
      <c r="AH37" s="13">
        <v>0</v>
      </c>
      <c r="AI37" s="45">
        <v>0</v>
      </c>
      <c r="AJ37" s="41"/>
      <c r="AK37" s="13">
        <v>0</v>
      </c>
      <c r="AL37" s="13">
        <v>0.12500000000000003</v>
      </c>
      <c r="AM37" s="13">
        <v>0</v>
      </c>
      <c r="AN37" s="13">
        <v>0</v>
      </c>
      <c r="AO37" s="41"/>
      <c r="AP37" s="131"/>
      <c r="AQ37" s="11" t="s">
        <v>68</v>
      </c>
      <c r="AR37" s="45">
        <v>0</v>
      </c>
      <c r="AS37" s="45">
        <v>0</v>
      </c>
      <c r="AT37" s="45">
        <v>0</v>
      </c>
      <c r="AU37" s="45">
        <v>0</v>
      </c>
      <c r="AV37" s="41"/>
      <c r="AX37" s="46">
        <v>0</v>
      </c>
      <c r="AY37" s="46">
        <v>0</v>
      </c>
      <c r="AZ37" s="46">
        <v>0</v>
      </c>
      <c r="BB37" s="13">
        <v>0</v>
      </c>
      <c r="BC37" s="13">
        <v>0</v>
      </c>
      <c r="BD37" s="13">
        <v>0</v>
      </c>
      <c r="BE37" s="45">
        <v>0</v>
      </c>
    </row>
    <row r="38" spans="1:57" ht="18.5" x14ac:dyDescent="0.35">
      <c r="A38" s="6"/>
      <c r="B38" s="131"/>
      <c r="C38" s="11" t="s">
        <v>69</v>
      </c>
      <c r="D38" s="13">
        <v>0</v>
      </c>
      <c r="E38" s="13">
        <v>0</v>
      </c>
      <c r="F38" s="13">
        <v>0</v>
      </c>
      <c r="G38" s="45">
        <v>0</v>
      </c>
      <c r="H38" s="41"/>
      <c r="I38" s="13">
        <v>0.05</v>
      </c>
      <c r="J38" s="13">
        <v>0</v>
      </c>
      <c r="K38" s="13">
        <v>0.05</v>
      </c>
      <c r="L38" s="45">
        <v>0</v>
      </c>
      <c r="M38" s="41"/>
      <c r="N38" s="13">
        <v>0.05</v>
      </c>
      <c r="O38" s="13">
        <v>0</v>
      </c>
      <c r="P38" s="13">
        <v>0.05</v>
      </c>
      <c r="Q38" s="45">
        <v>0</v>
      </c>
      <c r="R38" s="41"/>
      <c r="S38" s="13">
        <v>0</v>
      </c>
      <c r="T38" s="13">
        <v>0</v>
      </c>
      <c r="U38" s="13">
        <v>0</v>
      </c>
      <c r="V38" s="45">
        <v>0</v>
      </c>
      <c r="W38" s="41"/>
      <c r="X38" s="13">
        <v>0</v>
      </c>
      <c r="Y38" s="13">
        <v>0</v>
      </c>
      <c r="Z38" s="41"/>
      <c r="AA38" s="13">
        <v>0</v>
      </c>
      <c r="AB38" s="13">
        <v>0</v>
      </c>
      <c r="AC38" s="13">
        <v>0</v>
      </c>
      <c r="AD38" s="45">
        <v>0</v>
      </c>
      <c r="AE38" s="41"/>
      <c r="AF38" s="13">
        <v>0</v>
      </c>
      <c r="AG38" s="13">
        <v>0</v>
      </c>
      <c r="AH38" s="13">
        <v>0</v>
      </c>
      <c r="AI38" s="45">
        <v>0</v>
      </c>
      <c r="AJ38" s="41"/>
      <c r="AK38" s="13">
        <v>0</v>
      </c>
      <c r="AL38" s="13">
        <v>0</v>
      </c>
      <c r="AM38" s="13">
        <v>0</v>
      </c>
      <c r="AN38" s="13">
        <v>0</v>
      </c>
      <c r="AO38" s="41"/>
      <c r="AP38" s="131"/>
      <c r="AQ38" s="11" t="s">
        <v>69</v>
      </c>
      <c r="AR38" s="45">
        <v>0</v>
      </c>
      <c r="AS38" s="45">
        <v>0</v>
      </c>
      <c r="AT38" s="45">
        <v>0</v>
      </c>
      <c r="AU38" s="45">
        <v>0</v>
      </c>
      <c r="AV38" s="41"/>
      <c r="AX38" s="46">
        <v>0</v>
      </c>
      <c r="AY38" s="46">
        <v>0</v>
      </c>
      <c r="AZ38" s="46">
        <v>0</v>
      </c>
      <c r="BB38" s="13">
        <v>0</v>
      </c>
      <c r="BC38" s="13">
        <v>0</v>
      </c>
      <c r="BD38" s="13">
        <v>0</v>
      </c>
      <c r="BE38" s="45">
        <v>0</v>
      </c>
    </row>
    <row r="39" spans="1:57" ht="18.5" x14ac:dyDescent="0.35">
      <c r="A39" s="6"/>
      <c r="B39" s="132"/>
      <c r="C39" s="11" t="s">
        <v>23</v>
      </c>
      <c r="D39" s="45">
        <v>0</v>
      </c>
      <c r="E39" s="13">
        <v>0</v>
      </c>
      <c r="F39" s="45">
        <v>0</v>
      </c>
      <c r="G39" s="45">
        <v>0</v>
      </c>
      <c r="H39" s="41"/>
      <c r="I39" s="45">
        <v>0</v>
      </c>
      <c r="J39" s="13">
        <v>0</v>
      </c>
      <c r="K39" s="45">
        <v>0</v>
      </c>
      <c r="L39" s="45">
        <v>0</v>
      </c>
      <c r="M39" s="41"/>
      <c r="N39" s="45">
        <v>0</v>
      </c>
      <c r="O39" s="13">
        <v>0</v>
      </c>
      <c r="P39" s="45">
        <v>0</v>
      </c>
      <c r="Q39" s="45">
        <v>0</v>
      </c>
      <c r="R39" s="41"/>
      <c r="S39" s="13">
        <v>0</v>
      </c>
      <c r="T39" s="13">
        <v>0</v>
      </c>
      <c r="U39" s="13">
        <v>0</v>
      </c>
      <c r="V39" s="45">
        <v>0</v>
      </c>
      <c r="W39" s="41"/>
      <c r="X39" s="45">
        <v>0</v>
      </c>
      <c r="Y39" s="45">
        <v>0</v>
      </c>
      <c r="Z39" s="41"/>
      <c r="AA39" s="45">
        <v>0</v>
      </c>
      <c r="AB39" s="13">
        <v>0</v>
      </c>
      <c r="AC39" s="45">
        <v>0</v>
      </c>
      <c r="AD39" s="45">
        <v>0</v>
      </c>
      <c r="AE39" s="41"/>
      <c r="AF39" s="45">
        <v>0</v>
      </c>
      <c r="AG39" s="13">
        <v>0</v>
      </c>
      <c r="AH39" s="45">
        <v>0</v>
      </c>
      <c r="AI39" s="45">
        <v>0</v>
      </c>
      <c r="AJ39" s="41"/>
      <c r="AK39" s="13">
        <v>0</v>
      </c>
      <c r="AL39" s="13">
        <v>0</v>
      </c>
      <c r="AM39" s="13">
        <v>0</v>
      </c>
      <c r="AN39" s="13">
        <v>0</v>
      </c>
      <c r="AO39" s="41"/>
      <c r="AP39" s="132"/>
      <c r="AQ39" s="11" t="s">
        <v>23</v>
      </c>
      <c r="AR39" s="45">
        <v>0</v>
      </c>
      <c r="AS39" s="45">
        <v>0</v>
      </c>
      <c r="AT39" s="45">
        <v>0</v>
      </c>
      <c r="AU39" s="45">
        <v>0</v>
      </c>
      <c r="AV39" s="41"/>
      <c r="AX39" s="46"/>
      <c r="AY39" s="46">
        <v>0</v>
      </c>
      <c r="AZ39" s="46"/>
      <c r="BB39" s="45">
        <v>0</v>
      </c>
      <c r="BC39" s="13">
        <v>0</v>
      </c>
      <c r="BD39" s="45">
        <v>0</v>
      </c>
      <c r="BE39" s="45">
        <v>0</v>
      </c>
    </row>
    <row r="40" spans="1:57" customFormat="1" ht="4.5" customHeight="1" x14ac:dyDescent="0.35">
      <c r="A40" s="6"/>
      <c r="B40" s="6"/>
      <c r="C40" s="6"/>
      <c r="D40" s="6"/>
      <c r="E40" s="6"/>
      <c r="F40" s="6"/>
      <c r="G40" s="6"/>
      <c r="H40" s="41"/>
      <c r="I40" s="6"/>
      <c r="J40" s="6"/>
      <c r="K40" s="6"/>
      <c r="L40" s="6"/>
      <c r="M40" s="41"/>
      <c r="N40" s="6"/>
      <c r="O40" s="6"/>
      <c r="P40" s="6"/>
      <c r="Q40" s="6"/>
      <c r="R40" s="41"/>
      <c r="S40" s="6"/>
      <c r="T40" s="6"/>
      <c r="U40" s="6"/>
      <c r="V40" s="6"/>
      <c r="W40" s="41"/>
      <c r="X40" s="6"/>
      <c r="Y40" s="6"/>
      <c r="Z40" s="41"/>
      <c r="AA40" s="6"/>
      <c r="AB40" s="6"/>
      <c r="AC40" s="6"/>
      <c r="AD40" s="6"/>
      <c r="AE40" s="41"/>
      <c r="AF40" s="6"/>
      <c r="AG40" s="6"/>
      <c r="AH40" s="6"/>
      <c r="AI40" s="6"/>
      <c r="AJ40" s="41"/>
      <c r="AK40" s="6"/>
      <c r="AL40" s="6"/>
      <c r="AM40" s="6"/>
      <c r="AN40" s="6"/>
      <c r="AO40" s="41"/>
      <c r="AP40" s="6"/>
      <c r="AQ40" s="6"/>
      <c r="AR40" s="6"/>
      <c r="AS40" s="6"/>
      <c r="AT40" s="6"/>
      <c r="AU40" s="6"/>
      <c r="AV40" s="41"/>
      <c r="BB40" s="6"/>
      <c r="BC40" s="6"/>
      <c r="BD40" s="6"/>
      <c r="BE40" s="6"/>
    </row>
    <row r="41" spans="1:57" ht="14.5" customHeight="1" x14ac:dyDescent="0.35">
      <c r="A41" s="6"/>
      <c r="B41" s="129" t="s">
        <v>75</v>
      </c>
      <c r="C41" s="11" t="s">
        <v>65</v>
      </c>
      <c r="D41" s="13">
        <v>0</v>
      </c>
      <c r="E41" s="13">
        <v>0</v>
      </c>
      <c r="F41" s="13">
        <v>0</v>
      </c>
      <c r="G41" s="45">
        <v>0</v>
      </c>
      <c r="H41" s="41"/>
      <c r="I41" s="13">
        <v>0</v>
      </c>
      <c r="J41" s="13">
        <v>0</v>
      </c>
      <c r="K41" s="13">
        <v>0</v>
      </c>
      <c r="L41" s="45">
        <v>0</v>
      </c>
      <c r="M41" s="41"/>
      <c r="N41" s="13">
        <v>0</v>
      </c>
      <c r="O41" s="13">
        <v>0</v>
      </c>
      <c r="P41" s="13">
        <v>0</v>
      </c>
      <c r="Q41" s="45">
        <v>0</v>
      </c>
      <c r="R41" s="41"/>
      <c r="S41" s="13">
        <v>0</v>
      </c>
      <c r="T41" s="13">
        <v>0</v>
      </c>
      <c r="U41" s="13">
        <v>0</v>
      </c>
      <c r="V41" s="45">
        <v>0</v>
      </c>
      <c r="W41" s="41"/>
      <c r="X41" s="13">
        <v>0</v>
      </c>
      <c r="Y41" s="13">
        <v>0</v>
      </c>
      <c r="Z41" s="41"/>
      <c r="AA41" s="13">
        <v>0</v>
      </c>
      <c r="AB41" s="13">
        <v>0</v>
      </c>
      <c r="AC41" s="13">
        <v>0</v>
      </c>
      <c r="AD41" s="45">
        <v>0</v>
      </c>
      <c r="AE41" s="41"/>
      <c r="AF41" s="13">
        <v>0</v>
      </c>
      <c r="AG41" s="13">
        <v>0</v>
      </c>
      <c r="AH41" s="13">
        <v>0</v>
      </c>
      <c r="AI41" s="45">
        <v>0</v>
      </c>
      <c r="AJ41" s="41"/>
      <c r="AK41" s="13">
        <v>0</v>
      </c>
      <c r="AL41" s="13">
        <v>0</v>
      </c>
      <c r="AM41" s="45">
        <v>0</v>
      </c>
      <c r="AN41" s="45">
        <v>0</v>
      </c>
      <c r="AO41" s="41"/>
      <c r="AP41" s="129" t="s">
        <v>75</v>
      </c>
      <c r="AQ41" s="11" t="s">
        <v>65</v>
      </c>
      <c r="AR41" s="45">
        <v>0</v>
      </c>
      <c r="AS41" s="45">
        <v>0</v>
      </c>
      <c r="AT41" s="45">
        <v>0</v>
      </c>
      <c r="AU41" s="45">
        <v>0</v>
      </c>
      <c r="AV41" s="41"/>
      <c r="AX41" s="46">
        <v>0</v>
      </c>
      <c r="AY41" s="46">
        <v>0</v>
      </c>
      <c r="AZ41" s="46">
        <v>0</v>
      </c>
      <c r="BB41" s="13">
        <v>0</v>
      </c>
      <c r="BC41" s="13">
        <v>0</v>
      </c>
      <c r="BD41" s="13">
        <v>0</v>
      </c>
      <c r="BE41" s="45">
        <v>0</v>
      </c>
    </row>
    <row r="42" spans="1:57" ht="14.5" customHeight="1" x14ac:dyDescent="0.35">
      <c r="A42" s="6"/>
      <c r="B42" s="130"/>
      <c r="C42" s="11" t="s">
        <v>66</v>
      </c>
      <c r="D42" s="13">
        <v>0</v>
      </c>
      <c r="E42" s="13">
        <v>0</v>
      </c>
      <c r="F42" s="13">
        <v>0</v>
      </c>
      <c r="G42" s="13">
        <v>0</v>
      </c>
      <c r="H42" s="41"/>
      <c r="I42" s="13">
        <v>0</v>
      </c>
      <c r="J42" s="13">
        <v>0</v>
      </c>
      <c r="K42" s="13">
        <v>0</v>
      </c>
      <c r="L42" s="13">
        <v>0</v>
      </c>
      <c r="M42" s="41"/>
      <c r="N42" s="13">
        <v>0</v>
      </c>
      <c r="O42" s="13">
        <v>0</v>
      </c>
      <c r="P42" s="13">
        <v>0</v>
      </c>
      <c r="Q42" s="13">
        <v>0</v>
      </c>
      <c r="R42" s="41"/>
      <c r="S42" s="13">
        <v>0</v>
      </c>
      <c r="T42" s="13">
        <v>0</v>
      </c>
      <c r="U42" s="13">
        <v>0</v>
      </c>
      <c r="V42" s="13">
        <v>0</v>
      </c>
      <c r="W42" s="41"/>
      <c r="X42" s="13">
        <v>0</v>
      </c>
      <c r="Y42" s="13">
        <v>0</v>
      </c>
      <c r="Z42" s="41"/>
      <c r="AA42" s="13">
        <v>0</v>
      </c>
      <c r="AB42" s="13">
        <v>0</v>
      </c>
      <c r="AC42" s="13">
        <v>0</v>
      </c>
      <c r="AD42" s="13">
        <v>0</v>
      </c>
      <c r="AE42" s="41"/>
      <c r="AF42" s="13">
        <v>0</v>
      </c>
      <c r="AG42" s="13">
        <v>0</v>
      </c>
      <c r="AH42" s="13">
        <v>0</v>
      </c>
      <c r="AI42" s="13">
        <v>0</v>
      </c>
      <c r="AJ42" s="41"/>
      <c r="AK42" s="13">
        <v>0</v>
      </c>
      <c r="AL42" s="13">
        <v>0</v>
      </c>
      <c r="AM42" s="13">
        <v>0</v>
      </c>
      <c r="AN42" s="13">
        <v>0</v>
      </c>
      <c r="AO42" s="41"/>
      <c r="AP42" s="130"/>
      <c r="AQ42" s="11" t="s">
        <v>66</v>
      </c>
      <c r="AR42" s="13">
        <v>0</v>
      </c>
      <c r="AS42" s="13">
        <v>0</v>
      </c>
      <c r="AT42" s="45">
        <v>0</v>
      </c>
      <c r="AU42" s="45">
        <v>0</v>
      </c>
      <c r="AV42" s="41"/>
      <c r="AX42" s="46"/>
      <c r="AY42" s="46"/>
      <c r="AZ42" s="46"/>
      <c r="BB42" s="13"/>
      <c r="BC42" s="13"/>
      <c r="BD42" s="13"/>
      <c r="BE42" s="45"/>
    </row>
    <row r="43" spans="1:57" ht="14.5" customHeight="1" x14ac:dyDescent="0.35">
      <c r="A43" s="6"/>
      <c r="B43" s="130"/>
      <c r="C43" s="11" t="s">
        <v>67</v>
      </c>
      <c r="D43" s="13">
        <v>0</v>
      </c>
      <c r="E43" s="13">
        <v>0</v>
      </c>
      <c r="F43" s="13">
        <v>0</v>
      </c>
      <c r="G43" s="13">
        <v>0</v>
      </c>
      <c r="H43" s="41"/>
      <c r="I43" s="13">
        <v>0</v>
      </c>
      <c r="J43" s="13">
        <v>0</v>
      </c>
      <c r="K43" s="13">
        <v>0</v>
      </c>
      <c r="L43" s="13">
        <v>0</v>
      </c>
      <c r="M43" s="41"/>
      <c r="N43" s="13">
        <v>0</v>
      </c>
      <c r="O43" s="13">
        <v>0</v>
      </c>
      <c r="P43" s="13">
        <v>0</v>
      </c>
      <c r="Q43" s="13">
        <v>0</v>
      </c>
      <c r="R43" s="41"/>
      <c r="S43" s="13">
        <v>0</v>
      </c>
      <c r="T43" s="13">
        <v>0</v>
      </c>
      <c r="U43" s="13">
        <v>0</v>
      </c>
      <c r="V43" s="13">
        <v>0</v>
      </c>
      <c r="W43" s="41"/>
      <c r="X43" s="13">
        <v>0</v>
      </c>
      <c r="Y43" s="13">
        <v>0</v>
      </c>
      <c r="Z43" s="41"/>
      <c r="AA43" s="13">
        <v>0</v>
      </c>
      <c r="AB43" s="13">
        <v>0</v>
      </c>
      <c r="AC43" s="13">
        <v>0</v>
      </c>
      <c r="AD43" s="13">
        <v>0</v>
      </c>
      <c r="AE43" s="41"/>
      <c r="AF43" s="13">
        <v>0</v>
      </c>
      <c r="AG43" s="13">
        <v>0</v>
      </c>
      <c r="AH43" s="13">
        <v>0</v>
      </c>
      <c r="AI43" s="13">
        <v>0</v>
      </c>
      <c r="AJ43" s="41"/>
      <c r="AK43" s="13">
        <v>0</v>
      </c>
      <c r="AL43" s="13">
        <v>0</v>
      </c>
      <c r="AM43" s="13">
        <v>0</v>
      </c>
      <c r="AN43" s="13">
        <v>0</v>
      </c>
      <c r="AO43" s="41"/>
      <c r="AP43" s="130"/>
      <c r="AQ43" s="11" t="s">
        <v>67</v>
      </c>
      <c r="AR43" s="13">
        <v>0</v>
      </c>
      <c r="AS43" s="13">
        <v>0</v>
      </c>
      <c r="AT43" s="45">
        <v>0</v>
      </c>
      <c r="AU43" s="45">
        <v>0</v>
      </c>
      <c r="AV43" s="41"/>
      <c r="AX43" s="46"/>
      <c r="AY43" s="46"/>
      <c r="AZ43" s="46"/>
      <c r="BB43" s="13"/>
      <c r="BC43" s="13"/>
      <c r="BD43" s="13"/>
      <c r="BE43" s="45"/>
    </row>
    <row r="44" spans="1:57" ht="18.5" x14ac:dyDescent="0.35">
      <c r="A44" s="6"/>
      <c r="B44" s="131"/>
      <c r="C44" s="11" t="s">
        <v>68</v>
      </c>
      <c r="D44" s="13">
        <v>0</v>
      </c>
      <c r="E44" s="13">
        <v>0</v>
      </c>
      <c r="F44" s="13">
        <v>0</v>
      </c>
      <c r="G44" s="45">
        <v>0</v>
      </c>
      <c r="H44" s="41"/>
      <c r="I44" s="13">
        <v>0</v>
      </c>
      <c r="J44" s="13">
        <v>0</v>
      </c>
      <c r="K44" s="13">
        <v>0</v>
      </c>
      <c r="L44" s="45">
        <v>0</v>
      </c>
      <c r="M44" s="41"/>
      <c r="N44" s="13">
        <v>0</v>
      </c>
      <c r="O44" s="13">
        <v>0</v>
      </c>
      <c r="P44" s="13">
        <v>0</v>
      </c>
      <c r="Q44" s="45">
        <v>0</v>
      </c>
      <c r="R44" s="41"/>
      <c r="S44" s="13">
        <v>0</v>
      </c>
      <c r="T44" s="13">
        <v>0</v>
      </c>
      <c r="U44" s="13">
        <v>0</v>
      </c>
      <c r="V44" s="45">
        <v>0</v>
      </c>
      <c r="W44" s="41"/>
      <c r="X44" s="13">
        <v>0</v>
      </c>
      <c r="Y44" s="13">
        <v>0</v>
      </c>
      <c r="Z44" s="41"/>
      <c r="AA44" s="13">
        <v>0</v>
      </c>
      <c r="AB44" s="13">
        <v>0</v>
      </c>
      <c r="AC44" s="13">
        <v>0</v>
      </c>
      <c r="AD44" s="45">
        <v>0</v>
      </c>
      <c r="AE44" s="41"/>
      <c r="AF44" s="13">
        <v>0</v>
      </c>
      <c r="AG44" s="13">
        <v>0</v>
      </c>
      <c r="AH44" s="13">
        <v>0</v>
      </c>
      <c r="AI44" s="45">
        <v>0</v>
      </c>
      <c r="AJ44" s="41"/>
      <c r="AK44" s="13">
        <v>0</v>
      </c>
      <c r="AL44" s="13">
        <v>0</v>
      </c>
      <c r="AM44" s="45">
        <v>0</v>
      </c>
      <c r="AN44" s="45">
        <v>0</v>
      </c>
      <c r="AO44" s="41"/>
      <c r="AP44" s="131"/>
      <c r="AQ44" s="11" t="s">
        <v>68</v>
      </c>
      <c r="AR44" s="45">
        <v>0</v>
      </c>
      <c r="AS44" s="45">
        <v>0</v>
      </c>
      <c r="AT44" s="45">
        <v>0</v>
      </c>
      <c r="AU44" s="45">
        <v>0</v>
      </c>
      <c r="AV44" s="41"/>
      <c r="AX44" s="46">
        <v>0</v>
      </c>
      <c r="AY44" s="46">
        <v>0</v>
      </c>
      <c r="AZ44" s="46">
        <v>0</v>
      </c>
      <c r="BB44" s="13">
        <v>0</v>
      </c>
      <c r="BC44" s="13">
        <v>0</v>
      </c>
      <c r="BD44" s="13">
        <v>0</v>
      </c>
      <c r="BE44" s="45">
        <v>0</v>
      </c>
    </row>
    <row r="45" spans="1:57" ht="18.5" x14ac:dyDescent="0.35">
      <c r="A45" s="6"/>
      <c r="B45" s="131"/>
      <c r="C45" s="11" t="s">
        <v>69</v>
      </c>
      <c r="D45" s="13">
        <v>0</v>
      </c>
      <c r="E45" s="13">
        <v>0</v>
      </c>
      <c r="F45" s="13">
        <v>0</v>
      </c>
      <c r="G45" s="45">
        <v>0</v>
      </c>
      <c r="H45" s="41"/>
      <c r="I45" s="13">
        <v>0</v>
      </c>
      <c r="J45" s="13">
        <v>0</v>
      </c>
      <c r="K45" s="13">
        <v>0</v>
      </c>
      <c r="L45" s="45">
        <v>0</v>
      </c>
      <c r="M45" s="41"/>
      <c r="N45" s="13">
        <v>0</v>
      </c>
      <c r="O45" s="13">
        <v>0</v>
      </c>
      <c r="P45" s="13">
        <v>0</v>
      </c>
      <c r="Q45" s="45">
        <v>0</v>
      </c>
      <c r="R45" s="41"/>
      <c r="S45" s="13">
        <v>0</v>
      </c>
      <c r="T45" s="13">
        <v>0</v>
      </c>
      <c r="U45" s="13">
        <v>0</v>
      </c>
      <c r="V45" s="45">
        <v>0</v>
      </c>
      <c r="W45" s="41"/>
      <c r="X45" s="13">
        <v>0</v>
      </c>
      <c r="Y45" s="13">
        <v>0</v>
      </c>
      <c r="Z45" s="41"/>
      <c r="AA45" s="13">
        <v>0</v>
      </c>
      <c r="AB45" s="13">
        <v>0</v>
      </c>
      <c r="AC45" s="13">
        <v>0</v>
      </c>
      <c r="AD45" s="45">
        <v>0</v>
      </c>
      <c r="AE45" s="41"/>
      <c r="AF45" s="13">
        <v>0</v>
      </c>
      <c r="AG45" s="13">
        <v>0</v>
      </c>
      <c r="AH45" s="13">
        <v>0</v>
      </c>
      <c r="AI45" s="45">
        <v>0</v>
      </c>
      <c r="AJ45" s="41"/>
      <c r="AK45" s="13">
        <v>0</v>
      </c>
      <c r="AL45" s="13">
        <v>0</v>
      </c>
      <c r="AM45" s="45">
        <v>0</v>
      </c>
      <c r="AN45" s="45">
        <v>0</v>
      </c>
      <c r="AO45" s="41"/>
      <c r="AP45" s="131"/>
      <c r="AQ45" s="11" t="s">
        <v>69</v>
      </c>
      <c r="AR45" s="45">
        <v>0</v>
      </c>
      <c r="AS45" s="45">
        <v>0</v>
      </c>
      <c r="AT45" s="45">
        <v>0</v>
      </c>
      <c r="AU45" s="45">
        <v>0</v>
      </c>
      <c r="AV45" s="41"/>
      <c r="AX45" s="46">
        <v>0</v>
      </c>
      <c r="AY45" s="46">
        <v>0</v>
      </c>
      <c r="AZ45" s="46">
        <v>0</v>
      </c>
      <c r="BB45" s="13">
        <v>0</v>
      </c>
      <c r="BC45" s="13">
        <v>0</v>
      </c>
      <c r="BD45" s="13">
        <v>0</v>
      </c>
      <c r="BE45" s="45">
        <v>0</v>
      </c>
    </row>
    <row r="46" spans="1:57" ht="18.5" x14ac:dyDescent="0.35">
      <c r="A46" s="6"/>
      <c r="B46" s="132"/>
      <c r="C46" s="11" t="s">
        <v>23</v>
      </c>
      <c r="D46" s="13">
        <v>0</v>
      </c>
      <c r="E46" s="13">
        <v>0</v>
      </c>
      <c r="F46" s="13">
        <v>0</v>
      </c>
      <c r="G46" s="45">
        <v>0</v>
      </c>
      <c r="H46" s="41"/>
      <c r="I46" s="13">
        <v>0</v>
      </c>
      <c r="J46" s="13">
        <v>0</v>
      </c>
      <c r="K46" s="13">
        <v>0</v>
      </c>
      <c r="L46" s="45">
        <v>0</v>
      </c>
      <c r="M46" s="41"/>
      <c r="N46" s="13">
        <v>0</v>
      </c>
      <c r="O46" s="13">
        <v>0</v>
      </c>
      <c r="P46" s="13">
        <v>0</v>
      </c>
      <c r="Q46" s="45">
        <v>0</v>
      </c>
      <c r="R46" s="41"/>
      <c r="S46" s="13">
        <v>0</v>
      </c>
      <c r="T46" s="13">
        <v>0</v>
      </c>
      <c r="U46" s="13">
        <v>0</v>
      </c>
      <c r="V46" s="45">
        <v>0</v>
      </c>
      <c r="W46" s="41"/>
      <c r="X46" s="45">
        <v>0</v>
      </c>
      <c r="Y46" s="45">
        <v>0</v>
      </c>
      <c r="Z46" s="41"/>
      <c r="AA46" s="13">
        <v>0</v>
      </c>
      <c r="AB46" s="13">
        <v>0</v>
      </c>
      <c r="AC46" s="13">
        <v>0</v>
      </c>
      <c r="AD46" s="45">
        <v>0</v>
      </c>
      <c r="AE46" s="41"/>
      <c r="AF46" s="45">
        <v>0</v>
      </c>
      <c r="AG46" s="13">
        <v>0</v>
      </c>
      <c r="AH46" s="45">
        <v>0</v>
      </c>
      <c r="AI46" s="45">
        <v>0</v>
      </c>
      <c r="AJ46" s="41"/>
      <c r="AK46" s="13">
        <v>0</v>
      </c>
      <c r="AL46" s="13">
        <v>0</v>
      </c>
      <c r="AM46" s="45">
        <v>0</v>
      </c>
      <c r="AN46" s="45">
        <v>0</v>
      </c>
      <c r="AO46" s="41"/>
      <c r="AP46" s="132"/>
      <c r="AQ46" s="11" t="s">
        <v>23</v>
      </c>
      <c r="AR46" s="45">
        <v>0</v>
      </c>
      <c r="AS46" s="45">
        <v>0</v>
      </c>
      <c r="AT46" s="45">
        <v>0</v>
      </c>
      <c r="AU46" s="45">
        <v>0</v>
      </c>
      <c r="AV46" s="41"/>
      <c r="AX46" s="46"/>
      <c r="AY46" s="46">
        <v>0</v>
      </c>
      <c r="AZ46" s="46"/>
      <c r="BB46" s="45">
        <v>0</v>
      </c>
      <c r="BC46" s="13">
        <v>0</v>
      </c>
      <c r="BD46" s="45">
        <v>0</v>
      </c>
      <c r="BE46" s="45">
        <v>0</v>
      </c>
    </row>
    <row r="47" spans="1:57" customFormat="1" ht="4.5" customHeight="1" x14ac:dyDescent="0.35">
      <c r="A47" s="6"/>
      <c r="B47" s="6"/>
      <c r="C47" s="6"/>
      <c r="D47" s="6"/>
      <c r="E47" s="6"/>
      <c r="F47" s="6"/>
      <c r="G47" s="6"/>
      <c r="H47" s="41"/>
      <c r="I47" s="6"/>
      <c r="J47" s="6"/>
      <c r="K47" s="6"/>
      <c r="L47" s="6"/>
      <c r="M47" s="41"/>
      <c r="N47" s="6"/>
      <c r="O47" s="6"/>
      <c r="P47" s="6"/>
      <c r="Q47" s="6"/>
      <c r="R47" s="41"/>
      <c r="S47" s="6"/>
      <c r="T47" s="6"/>
      <c r="U47" s="6"/>
      <c r="V47" s="6"/>
      <c r="W47" s="41"/>
      <c r="X47" s="6"/>
      <c r="Y47" s="6"/>
      <c r="Z47" s="41"/>
      <c r="AA47" s="6"/>
      <c r="AB47" s="6"/>
      <c r="AC47" s="6"/>
      <c r="AD47" s="6"/>
      <c r="AE47" s="41"/>
      <c r="AF47" s="6"/>
      <c r="AG47" s="6"/>
      <c r="AH47" s="6"/>
      <c r="AI47" s="6"/>
      <c r="AJ47" s="41"/>
      <c r="AK47" s="6"/>
      <c r="AL47" s="6"/>
      <c r="AM47" s="6"/>
      <c r="AN47" s="6"/>
      <c r="AO47" s="41"/>
      <c r="AP47" s="6"/>
      <c r="AQ47" s="6"/>
      <c r="AR47" s="6"/>
      <c r="AS47" s="6"/>
      <c r="AT47" s="6"/>
      <c r="AU47" s="6"/>
      <c r="AV47" s="41"/>
      <c r="BB47" s="6"/>
      <c r="BC47" s="6"/>
      <c r="BD47" s="6"/>
      <c r="BE47" s="6"/>
    </row>
    <row r="48" spans="1:57" ht="14.5" customHeight="1" x14ac:dyDescent="0.35">
      <c r="A48" s="6"/>
      <c r="B48" s="129" t="s">
        <v>76</v>
      </c>
      <c r="C48" s="11" t="s">
        <v>65</v>
      </c>
      <c r="D48" s="16">
        <v>0.35</v>
      </c>
      <c r="E48" s="13">
        <v>0.4</v>
      </c>
      <c r="F48" s="13">
        <v>0.4</v>
      </c>
      <c r="G48" s="45">
        <v>0</v>
      </c>
      <c r="H48" s="41"/>
      <c r="I48" s="16">
        <v>0.25</v>
      </c>
      <c r="J48" s="13">
        <v>0.45</v>
      </c>
      <c r="K48" s="13">
        <v>0.25</v>
      </c>
      <c r="L48" s="45">
        <v>0</v>
      </c>
      <c r="M48" s="41"/>
      <c r="N48" s="13">
        <v>0.45</v>
      </c>
      <c r="O48" s="13">
        <v>0.45</v>
      </c>
      <c r="P48" s="13">
        <v>0.45</v>
      </c>
      <c r="Q48" s="45">
        <v>0</v>
      </c>
      <c r="R48" s="41"/>
      <c r="S48" s="16">
        <v>0.35</v>
      </c>
      <c r="T48" s="13">
        <v>0.4</v>
      </c>
      <c r="U48" s="16">
        <v>0.35</v>
      </c>
      <c r="V48" s="45">
        <v>0</v>
      </c>
      <c r="W48" s="41"/>
      <c r="X48" s="13">
        <v>0.22500000000000001</v>
      </c>
      <c r="Y48" s="13">
        <v>0.22500000000000001</v>
      </c>
      <c r="Z48" s="41"/>
      <c r="AA48" s="16">
        <v>0.35</v>
      </c>
      <c r="AB48" s="13">
        <v>0.52500000000000002</v>
      </c>
      <c r="AC48" s="16">
        <v>0.35</v>
      </c>
      <c r="AD48" s="45">
        <v>0</v>
      </c>
      <c r="AE48" s="41"/>
      <c r="AF48" s="16">
        <v>0</v>
      </c>
      <c r="AG48" s="13">
        <v>0.32499999999999996</v>
      </c>
      <c r="AH48" s="16">
        <v>0</v>
      </c>
      <c r="AI48" s="45">
        <v>0</v>
      </c>
      <c r="AJ48" s="41"/>
      <c r="AK48" s="16">
        <v>0</v>
      </c>
      <c r="AL48" s="13">
        <v>0.39499999999999996</v>
      </c>
      <c r="AM48" s="45">
        <v>0</v>
      </c>
      <c r="AN48" s="45">
        <v>0</v>
      </c>
      <c r="AO48" s="41"/>
      <c r="AP48" s="129" t="s">
        <v>76</v>
      </c>
      <c r="AQ48" s="11" t="s">
        <v>65</v>
      </c>
      <c r="AR48" s="13">
        <v>0.16999999999999998</v>
      </c>
      <c r="AS48" s="13">
        <v>0.3</v>
      </c>
      <c r="AT48" s="45">
        <v>0</v>
      </c>
      <c r="AU48" s="45">
        <v>0</v>
      </c>
      <c r="AV48" s="41"/>
      <c r="AX48" s="46">
        <v>-0.18000000000000002</v>
      </c>
      <c r="AY48" s="46">
        <v>-5.0000000000000044E-2</v>
      </c>
      <c r="AZ48" s="46">
        <v>-0.18000000000000002</v>
      </c>
      <c r="BB48" s="13">
        <v>0.22</v>
      </c>
      <c r="BC48" s="13">
        <v>0.35</v>
      </c>
      <c r="BD48" s="13">
        <v>0.22</v>
      </c>
      <c r="BE48" s="45">
        <v>0</v>
      </c>
    </row>
    <row r="49" spans="1:57" ht="14.5" customHeight="1" x14ac:dyDescent="0.35">
      <c r="A49" s="6"/>
      <c r="B49" s="130"/>
      <c r="C49" s="11" t="s">
        <v>66</v>
      </c>
      <c r="D49" s="16">
        <v>0.3</v>
      </c>
      <c r="E49" s="16">
        <v>0.35</v>
      </c>
      <c r="F49" s="16">
        <v>0.35</v>
      </c>
      <c r="G49" s="13">
        <v>0</v>
      </c>
      <c r="H49" s="41"/>
      <c r="I49" s="16">
        <v>0.2</v>
      </c>
      <c r="J49" s="13">
        <v>0.4</v>
      </c>
      <c r="K49" s="13">
        <v>0.2</v>
      </c>
      <c r="L49" s="13">
        <v>0</v>
      </c>
      <c r="M49" s="41"/>
      <c r="N49" s="13">
        <v>0.45</v>
      </c>
      <c r="O49" s="13">
        <v>0.45</v>
      </c>
      <c r="P49" s="13">
        <v>0.45</v>
      </c>
      <c r="Q49" s="13">
        <v>0</v>
      </c>
      <c r="R49" s="41"/>
      <c r="S49" s="16">
        <v>0.33</v>
      </c>
      <c r="T49" s="13">
        <v>0.38</v>
      </c>
      <c r="U49" s="16">
        <v>0.33</v>
      </c>
      <c r="V49" s="13">
        <v>0</v>
      </c>
      <c r="W49" s="41"/>
      <c r="X49" s="13">
        <v>0.20500000000000002</v>
      </c>
      <c r="Y49" s="13">
        <v>0.20500000000000002</v>
      </c>
      <c r="Z49" s="41"/>
      <c r="AA49" s="16">
        <v>0.2</v>
      </c>
      <c r="AB49" s="13">
        <v>0.375</v>
      </c>
      <c r="AC49" s="16">
        <v>0.2</v>
      </c>
      <c r="AD49" s="13">
        <v>0</v>
      </c>
      <c r="AE49" s="41"/>
      <c r="AF49" s="16">
        <v>0</v>
      </c>
      <c r="AG49" s="13">
        <v>0.30499999999999994</v>
      </c>
      <c r="AH49" s="16">
        <v>0</v>
      </c>
      <c r="AI49" s="13">
        <v>0</v>
      </c>
      <c r="AJ49" s="41"/>
      <c r="AK49" s="16">
        <v>0</v>
      </c>
      <c r="AL49" s="13">
        <v>0.39499999999999996</v>
      </c>
      <c r="AM49" s="13">
        <v>0</v>
      </c>
      <c r="AN49" s="13">
        <v>0</v>
      </c>
      <c r="AO49" s="41"/>
      <c r="AP49" s="130"/>
      <c r="AQ49" s="11" t="s">
        <v>66</v>
      </c>
      <c r="AR49" s="13">
        <v>0.16999999999999998</v>
      </c>
      <c r="AS49" s="13">
        <v>0.3</v>
      </c>
      <c r="AT49" s="45">
        <v>0</v>
      </c>
      <c r="AU49" s="45">
        <v>0</v>
      </c>
      <c r="AV49" s="41"/>
      <c r="AX49" s="46"/>
      <c r="AY49" s="46"/>
      <c r="AZ49" s="46"/>
      <c r="BB49" s="13"/>
      <c r="BC49" s="13"/>
      <c r="BD49" s="13"/>
      <c r="BE49" s="45"/>
    </row>
    <row r="50" spans="1:57" ht="14.5" customHeight="1" x14ac:dyDescent="0.35">
      <c r="A50" s="6"/>
      <c r="B50" s="130"/>
      <c r="C50" s="11" t="s">
        <v>67</v>
      </c>
      <c r="D50" s="16">
        <v>0.25</v>
      </c>
      <c r="E50" s="16">
        <v>0.3</v>
      </c>
      <c r="F50" s="16">
        <v>0.3</v>
      </c>
      <c r="G50" s="13">
        <v>0</v>
      </c>
      <c r="H50" s="41"/>
      <c r="I50" s="16">
        <v>0.15</v>
      </c>
      <c r="J50" s="13">
        <v>0.375</v>
      </c>
      <c r="K50" s="13">
        <v>0.17</v>
      </c>
      <c r="L50" s="13">
        <v>0</v>
      </c>
      <c r="M50" s="41"/>
      <c r="N50" s="13">
        <v>0.4</v>
      </c>
      <c r="O50" s="13">
        <v>0.4</v>
      </c>
      <c r="P50" s="13">
        <v>0.4</v>
      </c>
      <c r="Q50" s="13">
        <v>0</v>
      </c>
      <c r="R50" s="41"/>
      <c r="S50" s="16">
        <v>0.3</v>
      </c>
      <c r="T50" s="13">
        <v>0.36</v>
      </c>
      <c r="U50" s="16">
        <v>0.3</v>
      </c>
      <c r="V50" s="13">
        <v>0</v>
      </c>
      <c r="W50" s="41"/>
      <c r="X50" s="13">
        <v>0.18500000000000003</v>
      </c>
      <c r="Y50" s="13">
        <v>0.18500000000000003</v>
      </c>
      <c r="Z50" s="41"/>
      <c r="AA50" s="16">
        <v>0.15</v>
      </c>
      <c r="AB50" s="13">
        <v>0.34499999999999997</v>
      </c>
      <c r="AC50" s="16">
        <v>0.15</v>
      </c>
      <c r="AD50" s="13">
        <v>0</v>
      </c>
      <c r="AE50" s="41"/>
      <c r="AF50" s="16">
        <v>0</v>
      </c>
      <c r="AG50" s="13">
        <v>0.28499999999999992</v>
      </c>
      <c r="AH50" s="16">
        <v>0</v>
      </c>
      <c r="AI50" s="13">
        <v>0</v>
      </c>
      <c r="AJ50" s="41"/>
      <c r="AK50" s="16">
        <v>0</v>
      </c>
      <c r="AL50" s="13">
        <v>0.39499999999999996</v>
      </c>
      <c r="AM50" s="13">
        <v>0</v>
      </c>
      <c r="AN50" s="13">
        <v>0</v>
      </c>
      <c r="AO50" s="41"/>
      <c r="AP50" s="130"/>
      <c r="AQ50" s="11" t="s">
        <v>67</v>
      </c>
      <c r="AR50" s="13">
        <v>0.16999999999999998</v>
      </c>
      <c r="AS50" s="13">
        <v>0.3</v>
      </c>
      <c r="AT50" s="45">
        <v>0</v>
      </c>
      <c r="AU50" s="45">
        <v>0</v>
      </c>
      <c r="AV50" s="41"/>
      <c r="AX50" s="46"/>
      <c r="AY50" s="46"/>
      <c r="AZ50" s="46"/>
      <c r="BB50" s="13"/>
      <c r="BC50" s="13"/>
      <c r="BD50" s="13"/>
      <c r="BE50" s="45"/>
    </row>
    <row r="51" spans="1:57" ht="18.5" x14ac:dyDescent="0.35">
      <c r="A51" s="6"/>
      <c r="B51" s="131"/>
      <c r="C51" s="11" t="s">
        <v>68</v>
      </c>
      <c r="D51" s="13">
        <v>0.22500000000000001</v>
      </c>
      <c r="E51" s="13">
        <v>0.22500000000000001</v>
      </c>
      <c r="F51" s="13">
        <v>0.22500000000000001</v>
      </c>
      <c r="G51" s="45">
        <v>0</v>
      </c>
      <c r="H51" s="41"/>
      <c r="I51" s="13">
        <v>0.2</v>
      </c>
      <c r="J51" s="13">
        <v>0.2</v>
      </c>
      <c r="K51" s="13">
        <v>0.2</v>
      </c>
      <c r="L51" s="45">
        <v>0</v>
      </c>
      <c r="M51" s="41"/>
      <c r="N51" s="13">
        <v>0.22500000000000001</v>
      </c>
      <c r="O51" s="13">
        <v>0.22500000000000001</v>
      </c>
      <c r="P51" s="13">
        <v>0.22500000000000001</v>
      </c>
      <c r="Q51" s="45">
        <v>0</v>
      </c>
      <c r="R51" s="41"/>
      <c r="S51" s="13">
        <v>0.22500000000000001</v>
      </c>
      <c r="T51" s="13">
        <v>0.22500000000000001</v>
      </c>
      <c r="U51" s="13">
        <v>0.22500000000000001</v>
      </c>
      <c r="V51" s="45">
        <v>0</v>
      </c>
      <c r="W51" s="41"/>
      <c r="X51" s="13">
        <v>0.2</v>
      </c>
      <c r="Y51" s="13">
        <v>0.2</v>
      </c>
      <c r="Z51" s="41"/>
      <c r="AA51" s="13">
        <v>0.15000000000000002</v>
      </c>
      <c r="AB51" s="13">
        <v>0.17500000000000002</v>
      </c>
      <c r="AC51" s="13">
        <v>0.15000000000000002</v>
      </c>
      <c r="AD51" s="45">
        <v>0</v>
      </c>
      <c r="AE51" s="41"/>
      <c r="AF51" s="13">
        <v>0.16999999999999998</v>
      </c>
      <c r="AG51" s="13">
        <v>0.32499999999999996</v>
      </c>
      <c r="AH51" s="13">
        <v>0.16999999999999998</v>
      </c>
      <c r="AI51" s="45">
        <v>0</v>
      </c>
      <c r="AJ51" s="41"/>
      <c r="AK51" s="13">
        <v>0.16999999999999998</v>
      </c>
      <c r="AL51" s="13">
        <v>0.2</v>
      </c>
      <c r="AM51" s="45">
        <v>0</v>
      </c>
      <c r="AN51" s="45">
        <v>0</v>
      </c>
      <c r="AO51" s="41"/>
      <c r="AP51" s="131"/>
      <c r="AQ51" s="11" t="s">
        <v>68</v>
      </c>
      <c r="AR51" s="45">
        <v>0</v>
      </c>
      <c r="AS51" s="45">
        <v>0</v>
      </c>
      <c r="AT51" s="45">
        <v>0</v>
      </c>
      <c r="AU51" s="45">
        <v>0</v>
      </c>
      <c r="AV51" s="41"/>
      <c r="AX51" s="46">
        <v>-5.0000000000000044E-3</v>
      </c>
      <c r="AY51" s="46">
        <v>0.12499999999999997</v>
      </c>
      <c r="AZ51" s="46">
        <v>-5.0000000000000044E-3</v>
      </c>
      <c r="BB51" s="13">
        <v>0.22</v>
      </c>
      <c r="BC51" s="13">
        <v>0.35</v>
      </c>
      <c r="BD51" s="13">
        <v>0.22</v>
      </c>
      <c r="BE51" s="45">
        <v>0</v>
      </c>
    </row>
    <row r="52" spans="1:57" ht="18.5" x14ac:dyDescent="0.35">
      <c r="A52" s="6"/>
      <c r="B52" s="131"/>
      <c r="C52" s="11" t="s">
        <v>69</v>
      </c>
      <c r="D52" s="13">
        <v>0.1</v>
      </c>
      <c r="E52" s="13">
        <v>0.45</v>
      </c>
      <c r="F52" s="13">
        <v>0.1</v>
      </c>
      <c r="G52" s="45">
        <v>0</v>
      </c>
      <c r="H52" s="41"/>
      <c r="I52" s="13">
        <v>0.1</v>
      </c>
      <c r="J52" s="13">
        <v>0.45</v>
      </c>
      <c r="K52" s="13">
        <v>0.1</v>
      </c>
      <c r="L52" s="45">
        <v>0</v>
      </c>
      <c r="M52" s="41"/>
      <c r="N52" s="13">
        <v>0.1</v>
      </c>
      <c r="O52" s="13">
        <v>0.45</v>
      </c>
      <c r="P52" s="13">
        <v>0.1</v>
      </c>
      <c r="Q52" s="45">
        <v>0</v>
      </c>
      <c r="R52" s="41"/>
      <c r="S52" s="13">
        <v>0.1</v>
      </c>
      <c r="T52" s="13">
        <v>0.45</v>
      </c>
      <c r="U52" s="13">
        <v>0.1</v>
      </c>
      <c r="V52" s="45">
        <v>0</v>
      </c>
      <c r="W52" s="41"/>
      <c r="X52" s="13">
        <v>0</v>
      </c>
      <c r="Y52" s="13">
        <v>0</v>
      </c>
      <c r="Z52" s="41"/>
      <c r="AA52" s="13">
        <v>0.05</v>
      </c>
      <c r="AB52" s="13">
        <v>0.42499999999999999</v>
      </c>
      <c r="AC52" s="13">
        <v>0.05</v>
      </c>
      <c r="AD52" s="45">
        <v>0</v>
      </c>
      <c r="AE52" s="41"/>
      <c r="AF52" s="13">
        <v>0.05</v>
      </c>
      <c r="AG52" s="13">
        <v>0.42499999999999999</v>
      </c>
      <c r="AH52" s="13">
        <v>0.05</v>
      </c>
      <c r="AI52" s="45">
        <v>0</v>
      </c>
      <c r="AJ52" s="41"/>
      <c r="AK52" s="13">
        <v>0.05</v>
      </c>
      <c r="AL52" s="13">
        <v>0.42499999999999999</v>
      </c>
      <c r="AM52" s="45">
        <v>0</v>
      </c>
      <c r="AN52" s="45">
        <v>0</v>
      </c>
      <c r="AO52" s="41"/>
      <c r="AP52" s="131"/>
      <c r="AQ52" s="11" t="s">
        <v>69</v>
      </c>
      <c r="AR52" s="45">
        <v>0</v>
      </c>
      <c r="AS52" s="45">
        <v>0</v>
      </c>
      <c r="AT52" s="45">
        <v>0</v>
      </c>
      <c r="AU52" s="45">
        <v>0</v>
      </c>
      <c r="AV52" s="41"/>
      <c r="AX52" s="46">
        <v>7.0000000000000007E-2</v>
      </c>
      <c r="AY52" s="46">
        <v>0</v>
      </c>
      <c r="AZ52" s="46">
        <v>7.0000000000000007E-2</v>
      </c>
      <c r="BB52" s="13">
        <v>0.22</v>
      </c>
      <c r="BC52" s="13">
        <v>0.35</v>
      </c>
      <c r="BD52" s="13">
        <v>0.22</v>
      </c>
      <c r="BE52" s="45">
        <v>0</v>
      </c>
    </row>
    <row r="53" spans="1:57" ht="18.5" x14ac:dyDescent="0.35">
      <c r="A53" s="6"/>
      <c r="B53" s="132"/>
      <c r="C53" s="11" t="s">
        <v>23</v>
      </c>
      <c r="D53" s="13">
        <v>0</v>
      </c>
      <c r="E53" s="13">
        <v>0.25</v>
      </c>
      <c r="F53" s="13">
        <v>0</v>
      </c>
      <c r="G53" s="45">
        <v>0</v>
      </c>
      <c r="H53" s="41"/>
      <c r="I53" s="13">
        <v>0</v>
      </c>
      <c r="J53" s="13">
        <v>0.25</v>
      </c>
      <c r="K53" s="13">
        <v>0</v>
      </c>
      <c r="L53" s="45">
        <v>0</v>
      </c>
      <c r="M53" s="41"/>
      <c r="N53" s="13">
        <v>0</v>
      </c>
      <c r="O53" s="13">
        <v>0.25</v>
      </c>
      <c r="P53" s="13">
        <v>0</v>
      </c>
      <c r="Q53" s="45">
        <v>0</v>
      </c>
      <c r="R53" s="41"/>
      <c r="S53" s="13">
        <v>0</v>
      </c>
      <c r="T53" s="13">
        <v>0.25</v>
      </c>
      <c r="U53" s="13">
        <v>0</v>
      </c>
      <c r="V53" s="45">
        <v>0</v>
      </c>
      <c r="W53" s="41"/>
      <c r="X53" s="13">
        <v>0</v>
      </c>
      <c r="Y53" s="13">
        <v>0</v>
      </c>
      <c r="Z53" s="41"/>
      <c r="AA53" s="13">
        <v>0</v>
      </c>
      <c r="AB53" s="13">
        <v>0.22500000000000001</v>
      </c>
      <c r="AC53" s="13">
        <v>0</v>
      </c>
      <c r="AD53" s="45">
        <v>0</v>
      </c>
      <c r="AE53" s="41"/>
      <c r="AF53" s="13">
        <v>0</v>
      </c>
      <c r="AG53" s="13">
        <v>0.22500000000000001</v>
      </c>
      <c r="AH53" s="13">
        <v>0</v>
      </c>
      <c r="AI53" s="45">
        <v>0</v>
      </c>
      <c r="AJ53" s="41"/>
      <c r="AK53" s="13">
        <v>0</v>
      </c>
      <c r="AL53" s="13">
        <v>0.22500000000000001</v>
      </c>
      <c r="AM53" s="45">
        <v>0</v>
      </c>
      <c r="AN53" s="45">
        <v>0</v>
      </c>
      <c r="AO53" s="41"/>
      <c r="AP53" s="132"/>
      <c r="AQ53" s="11" t="s">
        <v>23</v>
      </c>
      <c r="AR53" s="45">
        <v>0</v>
      </c>
      <c r="AS53" s="45">
        <v>0</v>
      </c>
      <c r="AT53" s="45">
        <v>0</v>
      </c>
      <c r="AU53" s="45">
        <v>0</v>
      </c>
      <c r="AV53" s="41"/>
      <c r="AX53" s="46"/>
      <c r="AY53" s="46">
        <v>0</v>
      </c>
      <c r="AZ53" s="46"/>
      <c r="BB53" s="45">
        <v>0</v>
      </c>
      <c r="BC53" s="13">
        <v>0.25</v>
      </c>
      <c r="BD53" s="45">
        <v>0</v>
      </c>
      <c r="BE53" s="45">
        <v>0</v>
      </c>
    </row>
    <row r="54" spans="1:57" customFormat="1" ht="4.5" customHeight="1" x14ac:dyDescent="0.35">
      <c r="A54" s="6"/>
      <c r="B54" s="6"/>
      <c r="C54" s="6"/>
      <c r="D54" s="6"/>
      <c r="E54" s="6"/>
      <c r="F54" s="6"/>
      <c r="G54" s="6"/>
      <c r="H54" s="41"/>
      <c r="I54" s="6"/>
      <c r="J54" s="6"/>
      <c r="K54" s="6"/>
      <c r="L54" s="6"/>
      <c r="M54" s="41"/>
      <c r="N54" s="6"/>
      <c r="O54" s="6"/>
      <c r="P54" s="6"/>
      <c r="Q54" s="6"/>
      <c r="R54" s="41"/>
      <c r="S54" s="6"/>
      <c r="T54" s="6"/>
      <c r="U54" s="6"/>
      <c r="V54" s="6"/>
      <c r="W54" s="41"/>
      <c r="X54" s="6"/>
      <c r="Y54" s="6"/>
      <c r="Z54" s="41"/>
      <c r="AA54" s="6"/>
      <c r="AB54" s="6"/>
      <c r="AC54" s="6"/>
      <c r="AD54" s="6"/>
      <c r="AE54" s="41"/>
      <c r="AF54" s="6"/>
      <c r="AG54" s="6"/>
      <c r="AH54" s="6"/>
      <c r="AI54" s="6"/>
      <c r="AJ54" s="41"/>
      <c r="AK54" s="6"/>
      <c r="AL54" s="6"/>
      <c r="AM54" s="6"/>
      <c r="AN54" s="6"/>
      <c r="AO54" s="41"/>
      <c r="AP54" s="6"/>
      <c r="AQ54" s="6"/>
      <c r="AR54" s="6"/>
      <c r="AS54" s="6"/>
      <c r="AT54" s="6"/>
      <c r="AU54" s="6"/>
      <c r="AV54" s="41"/>
      <c r="BB54" s="6"/>
      <c r="BC54" s="6"/>
      <c r="BD54" s="6"/>
      <c r="BE54" s="6"/>
    </row>
    <row r="55" spans="1:57" ht="14.5" customHeight="1" x14ac:dyDescent="0.35">
      <c r="A55" s="6"/>
      <c r="B55" s="129" t="s">
        <v>77</v>
      </c>
      <c r="C55" s="11" t="s">
        <v>65</v>
      </c>
      <c r="D55" s="13">
        <v>0.4</v>
      </c>
      <c r="E55" s="13">
        <v>0.4</v>
      </c>
      <c r="F55" s="13">
        <v>0.4</v>
      </c>
      <c r="G55" s="45">
        <v>0</v>
      </c>
      <c r="H55" s="41"/>
      <c r="I55" s="13">
        <v>0.1</v>
      </c>
      <c r="J55" s="13">
        <v>0.5</v>
      </c>
      <c r="K55" s="13">
        <v>0.1</v>
      </c>
      <c r="L55" s="45">
        <v>0</v>
      </c>
      <c r="M55" s="41"/>
      <c r="N55" s="13">
        <v>0.45</v>
      </c>
      <c r="O55" s="13">
        <v>0.45</v>
      </c>
      <c r="P55" s="13">
        <v>0.45</v>
      </c>
      <c r="Q55" s="45">
        <v>0</v>
      </c>
      <c r="R55" s="41"/>
      <c r="S55" s="13">
        <v>7.4999999999999997E-2</v>
      </c>
      <c r="T55" s="13">
        <v>0.3</v>
      </c>
      <c r="U55" s="13">
        <v>7.4999999999999997E-2</v>
      </c>
      <c r="V55" s="45">
        <v>0</v>
      </c>
      <c r="W55" s="41"/>
      <c r="X55" s="13">
        <v>0.15</v>
      </c>
      <c r="Y55" s="13">
        <v>0.15</v>
      </c>
      <c r="Z55" s="41"/>
      <c r="AA55" s="13">
        <v>0.16999999999999998</v>
      </c>
      <c r="AB55" s="13">
        <v>0.47499999999999998</v>
      </c>
      <c r="AC55" s="13">
        <v>0.16999999999999998</v>
      </c>
      <c r="AD55" s="45">
        <v>0</v>
      </c>
      <c r="AE55" s="41"/>
      <c r="AF55" s="13">
        <v>2.4999999999999994E-2</v>
      </c>
      <c r="AG55" s="13">
        <v>0.27499999999999997</v>
      </c>
      <c r="AH55" s="13">
        <v>2.4999999999999994E-2</v>
      </c>
      <c r="AI55" s="45">
        <v>0</v>
      </c>
      <c r="AJ55" s="41"/>
      <c r="AK55" s="13">
        <v>0.16999999999999998</v>
      </c>
      <c r="AL55" s="13">
        <v>0.39499999999999996</v>
      </c>
      <c r="AM55" s="45">
        <v>0</v>
      </c>
      <c r="AN55" s="45">
        <v>0</v>
      </c>
      <c r="AO55" s="41"/>
      <c r="AP55" s="129" t="s">
        <v>6</v>
      </c>
      <c r="AQ55" s="11" t="s">
        <v>65</v>
      </c>
      <c r="AR55" s="13">
        <v>0.16999999999999998</v>
      </c>
      <c r="AS55" s="13">
        <v>0.3</v>
      </c>
      <c r="AT55" s="45">
        <v>0</v>
      </c>
      <c r="AU55" s="45">
        <v>0</v>
      </c>
      <c r="AV55" s="41"/>
      <c r="AX55" s="46">
        <v>-0.32500000000000001</v>
      </c>
      <c r="AY55" s="46">
        <v>-0.10000000000000003</v>
      </c>
      <c r="AZ55" s="46">
        <v>-0.32500000000000001</v>
      </c>
      <c r="BB55" s="13">
        <v>0.22</v>
      </c>
      <c r="BC55" s="13">
        <v>0.35</v>
      </c>
      <c r="BD55" s="13">
        <v>0.22</v>
      </c>
      <c r="BE55" s="45">
        <v>0</v>
      </c>
    </row>
    <row r="56" spans="1:57" ht="14.5" customHeight="1" x14ac:dyDescent="0.35">
      <c r="A56" s="6"/>
      <c r="B56" s="130"/>
      <c r="C56" s="11" t="s">
        <v>66</v>
      </c>
      <c r="D56" s="13">
        <v>0.38</v>
      </c>
      <c r="E56" s="13">
        <v>0.38</v>
      </c>
      <c r="F56" s="13">
        <v>0.38</v>
      </c>
      <c r="G56" s="13">
        <v>0</v>
      </c>
      <c r="H56" s="41"/>
      <c r="I56" s="13">
        <v>0.1</v>
      </c>
      <c r="J56" s="13">
        <v>0.45</v>
      </c>
      <c r="K56" s="13">
        <v>0.1</v>
      </c>
      <c r="L56" s="13">
        <v>0</v>
      </c>
      <c r="M56" s="41"/>
      <c r="N56" s="13">
        <v>0.45</v>
      </c>
      <c r="O56" s="13">
        <v>0.45</v>
      </c>
      <c r="P56" s="13">
        <v>0.45</v>
      </c>
      <c r="Q56" s="13">
        <v>0</v>
      </c>
      <c r="R56" s="41"/>
      <c r="S56" s="13">
        <v>0.06</v>
      </c>
      <c r="T56" s="13">
        <v>0.27999999999999997</v>
      </c>
      <c r="U56" s="13">
        <v>0.06</v>
      </c>
      <c r="V56" s="13">
        <v>0</v>
      </c>
      <c r="W56" s="41"/>
      <c r="X56" s="13">
        <v>0.13</v>
      </c>
      <c r="Y56" s="13">
        <v>0.13</v>
      </c>
      <c r="Z56" s="41"/>
      <c r="AA56" s="13">
        <v>0.16999999999999998</v>
      </c>
      <c r="AB56" s="13">
        <v>0.42499999999999999</v>
      </c>
      <c r="AC56" s="13">
        <v>0.16999999999999998</v>
      </c>
      <c r="AD56" s="13">
        <v>0</v>
      </c>
      <c r="AE56" s="41"/>
      <c r="AF56" s="13">
        <v>0</v>
      </c>
      <c r="AG56" s="13">
        <v>0.25499999999999995</v>
      </c>
      <c r="AH56" s="13">
        <v>9.999999999999995E-3</v>
      </c>
      <c r="AI56" s="13">
        <v>0</v>
      </c>
      <c r="AJ56" s="41"/>
      <c r="AK56" s="13">
        <v>0.16999999999999998</v>
      </c>
      <c r="AL56" s="13">
        <v>0.39499999999999996</v>
      </c>
      <c r="AM56" s="13">
        <v>0</v>
      </c>
      <c r="AN56" s="13">
        <v>0</v>
      </c>
      <c r="AO56" s="41"/>
      <c r="AP56" s="130"/>
      <c r="AQ56" s="11" t="s">
        <v>66</v>
      </c>
      <c r="AR56" s="13">
        <v>0.16999999999999998</v>
      </c>
      <c r="AS56" s="13">
        <v>0.3</v>
      </c>
      <c r="AT56" s="45">
        <v>0</v>
      </c>
      <c r="AU56" s="45">
        <v>0</v>
      </c>
      <c r="AV56" s="41"/>
      <c r="AX56" s="46"/>
      <c r="AY56" s="46"/>
      <c r="AZ56" s="46"/>
      <c r="BB56" s="13"/>
      <c r="BC56" s="13"/>
      <c r="BD56" s="13"/>
      <c r="BE56" s="45"/>
    </row>
    <row r="57" spans="1:57" ht="14.5" customHeight="1" x14ac:dyDescent="0.35">
      <c r="A57" s="6"/>
      <c r="B57" s="130"/>
      <c r="C57" s="11" t="s">
        <v>67</v>
      </c>
      <c r="D57" s="13">
        <v>0.36</v>
      </c>
      <c r="E57" s="13">
        <v>0.36</v>
      </c>
      <c r="F57" s="13">
        <v>0.36</v>
      </c>
      <c r="G57" s="13">
        <v>0</v>
      </c>
      <c r="H57" s="41"/>
      <c r="I57" s="13">
        <v>0.1</v>
      </c>
      <c r="J57" s="13">
        <v>0.4</v>
      </c>
      <c r="K57" s="13">
        <v>0.1</v>
      </c>
      <c r="L57" s="13">
        <v>0</v>
      </c>
      <c r="M57" s="41"/>
      <c r="N57" s="13">
        <v>0.4</v>
      </c>
      <c r="O57" s="13">
        <v>0.4</v>
      </c>
      <c r="P57" s="13">
        <v>0.4</v>
      </c>
      <c r="Q57" s="13">
        <v>0</v>
      </c>
      <c r="R57" s="41"/>
      <c r="S57" s="13">
        <v>0.06</v>
      </c>
      <c r="T57" s="13">
        <v>0.25999999999999995</v>
      </c>
      <c r="U57" s="13">
        <v>0.06</v>
      </c>
      <c r="V57" s="13">
        <v>0</v>
      </c>
      <c r="W57" s="41"/>
      <c r="X57" s="13">
        <v>0.11</v>
      </c>
      <c r="Y57" s="13">
        <v>0.11</v>
      </c>
      <c r="Z57" s="41"/>
      <c r="AA57" s="13">
        <v>0.16999999999999998</v>
      </c>
      <c r="AB57" s="13">
        <v>0.34499999999999997</v>
      </c>
      <c r="AC57" s="13">
        <v>0.16999999999999998</v>
      </c>
      <c r="AD57" s="13">
        <v>0</v>
      </c>
      <c r="AE57" s="41"/>
      <c r="AF57" s="13">
        <v>0</v>
      </c>
      <c r="AG57" s="13">
        <v>0.23499999999999996</v>
      </c>
      <c r="AH57" s="13">
        <v>9.999999999999995E-3</v>
      </c>
      <c r="AI57" s="13">
        <v>0</v>
      </c>
      <c r="AJ57" s="41"/>
      <c r="AK57" s="13">
        <v>0.16999999999999998</v>
      </c>
      <c r="AL57" s="13">
        <v>0.39499999999999996</v>
      </c>
      <c r="AM57" s="13">
        <v>0</v>
      </c>
      <c r="AN57" s="13">
        <v>0</v>
      </c>
      <c r="AO57" s="41"/>
      <c r="AP57" s="130"/>
      <c r="AQ57" s="11" t="s">
        <v>67</v>
      </c>
      <c r="AR57" s="13">
        <v>0.16999999999999998</v>
      </c>
      <c r="AS57" s="13">
        <v>0.3</v>
      </c>
      <c r="AT57" s="45">
        <v>0</v>
      </c>
      <c r="AU57" s="45">
        <v>0</v>
      </c>
      <c r="AV57" s="41"/>
      <c r="AX57" s="46"/>
      <c r="AY57" s="46"/>
      <c r="AZ57" s="46"/>
      <c r="BB57" s="13"/>
      <c r="BC57" s="13"/>
      <c r="BD57" s="13"/>
      <c r="BE57" s="45"/>
    </row>
    <row r="58" spans="1:57" ht="18.5" x14ac:dyDescent="0.35">
      <c r="A58" s="6"/>
      <c r="B58" s="131"/>
      <c r="C58" s="11" t="s">
        <v>68</v>
      </c>
      <c r="D58" s="13">
        <v>0.22500000000000001</v>
      </c>
      <c r="E58" s="13">
        <v>0.22500000000000001</v>
      </c>
      <c r="F58" s="13">
        <v>0.22500000000000001</v>
      </c>
      <c r="G58" s="45">
        <v>0</v>
      </c>
      <c r="H58" s="41"/>
      <c r="I58" s="13">
        <v>0.2</v>
      </c>
      <c r="J58" s="13">
        <v>0.2</v>
      </c>
      <c r="K58" s="13">
        <v>0.2</v>
      </c>
      <c r="L58" s="45">
        <v>0</v>
      </c>
      <c r="M58" s="41"/>
      <c r="N58" s="13">
        <v>0.22</v>
      </c>
      <c r="O58" s="13">
        <v>0.22</v>
      </c>
      <c r="P58" s="13">
        <v>0.22</v>
      </c>
      <c r="Q58" s="45">
        <v>0</v>
      </c>
      <c r="R58" s="41"/>
      <c r="S58" s="13">
        <v>0.2</v>
      </c>
      <c r="T58" s="13">
        <v>0.2</v>
      </c>
      <c r="U58" s="13">
        <v>0.2</v>
      </c>
      <c r="V58" s="45">
        <v>0</v>
      </c>
      <c r="W58" s="41"/>
      <c r="X58" s="13">
        <v>0.2</v>
      </c>
      <c r="Y58" s="13">
        <v>0.2</v>
      </c>
      <c r="Z58" s="41"/>
      <c r="AA58" s="13">
        <v>0.15000000000000002</v>
      </c>
      <c r="AB58" s="13">
        <v>0.17500000000000002</v>
      </c>
      <c r="AC58" s="13">
        <v>0.15000000000000002</v>
      </c>
      <c r="AD58" s="45">
        <v>0</v>
      </c>
      <c r="AE58" s="41"/>
      <c r="AF58" s="13">
        <v>0.15000000000000002</v>
      </c>
      <c r="AG58" s="13">
        <v>0.17500000000000002</v>
      </c>
      <c r="AH58" s="13">
        <v>0.15000000000000002</v>
      </c>
      <c r="AI58" s="45">
        <v>0</v>
      </c>
      <c r="AJ58" s="41"/>
      <c r="AK58" s="13">
        <v>0.16999999999999998</v>
      </c>
      <c r="AL58" s="13">
        <v>0.19500000000000001</v>
      </c>
      <c r="AM58" s="45">
        <v>0</v>
      </c>
      <c r="AN58" s="45">
        <v>0</v>
      </c>
      <c r="AO58" s="41"/>
      <c r="AP58" s="131"/>
      <c r="AQ58" s="11" t="s">
        <v>68</v>
      </c>
      <c r="AR58" s="45">
        <v>0</v>
      </c>
      <c r="AS58" s="45">
        <v>0</v>
      </c>
      <c r="AT58" s="45">
        <v>0</v>
      </c>
      <c r="AU58" s="45">
        <v>0</v>
      </c>
      <c r="AV58" s="41"/>
      <c r="AX58" s="46">
        <v>-2.4999999999999994E-2</v>
      </c>
      <c r="AY58" s="46">
        <v>-2.4999999999999994E-2</v>
      </c>
      <c r="AZ58" s="46">
        <v>-2.4999999999999994E-2</v>
      </c>
      <c r="BB58" s="13">
        <v>0.22</v>
      </c>
      <c r="BC58" s="13">
        <v>0.35</v>
      </c>
      <c r="BD58" s="13">
        <v>0.22</v>
      </c>
      <c r="BE58" s="45">
        <v>0</v>
      </c>
    </row>
    <row r="59" spans="1:57" ht="18.5" x14ac:dyDescent="0.35">
      <c r="A59" s="6"/>
      <c r="B59" s="131"/>
      <c r="C59" s="11" t="s">
        <v>69</v>
      </c>
      <c r="D59" s="13">
        <v>0.1</v>
      </c>
      <c r="E59" s="13">
        <v>0.45</v>
      </c>
      <c r="F59" s="13">
        <v>0.1</v>
      </c>
      <c r="G59" s="45">
        <v>0</v>
      </c>
      <c r="H59" s="41"/>
      <c r="I59" s="13">
        <v>0.1</v>
      </c>
      <c r="J59" s="13">
        <v>0.45</v>
      </c>
      <c r="K59" s="13">
        <v>0.1</v>
      </c>
      <c r="L59" s="45">
        <v>0</v>
      </c>
      <c r="M59" s="41"/>
      <c r="N59" s="13">
        <v>0.1</v>
      </c>
      <c r="O59" s="13">
        <v>0.45</v>
      </c>
      <c r="P59" s="13">
        <v>0.1</v>
      </c>
      <c r="Q59" s="45">
        <v>0</v>
      </c>
      <c r="R59" s="41"/>
      <c r="S59" s="13">
        <v>7.4999999999999997E-2</v>
      </c>
      <c r="T59" s="13">
        <v>0.45</v>
      </c>
      <c r="U59" s="13">
        <v>7.4999999999999997E-2</v>
      </c>
      <c r="V59" s="45">
        <v>0</v>
      </c>
      <c r="W59" s="41"/>
      <c r="X59" s="13">
        <v>0</v>
      </c>
      <c r="Y59" s="13">
        <v>0</v>
      </c>
      <c r="Z59" s="41"/>
      <c r="AA59" s="13">
        <v>0.05</v>
      </c>
      <c r="AB59" s="13">
        <v>0.42499999999999999</v>
      </c>
      <c r="AC59" s="13">
        <v>0.05</v>
      </c>
      <c r="AD59" s="45">
        <v>0</v>
      </c>
      <c r="AE59" s="41"/>
      <c r="AF59" s="13">
        <v>2.4999999999999994E-2</v>
      </c>
      <c r="AG59" s="13">
        <v>0.42499999999999999</v>
      </c>
      <c r="AH59" s="13">
        <v>2.4999999999999994E-2</v>
      </c>
      <c r="AI59" s="45">
        <v>0</v>
      </c>
      <c r="AJ59" s="41"/>
      <c r="AK59" s="13">
        <v>0.05</v>
      </c>
      <c r="AL59" s="13">
        <v>0.42499999999999999</v>
      </c>
      <c r="AM59" s="45">
        <v>0</v>
      </c>
      <c r="AN59" s="45">
        <v>0</v>
      </c>
      <c r="AO59" s="41"/>
      <c r="AP59" s="131"/>
      <c r="AQ59" s="11" t="s">
        <v>69</v>
      </c>
      <c r="AR59" s="45">
        <v>0</v>
      </c>
      <c r="AS59" s="45">
        <v>0</v>
      </c>
      <c r="AT59" s="45">
        <v>0</v>
      </c>
      <c r="AU59" s="45">
        <v>0</v>
      </c>
      <c r="AV59" s="41"/>
      <c r="AX59" s="46">
        <v>-7.4999999999999997E-2</v>
      </c>
      <c r="AY59" s="46">
        <v>0</v>
      </c>
      <c r="AZ59" s="46">
        <v>-7.4999999999999997E-2</v>
      </c>
      <c r="BB59" s="13">
        <v>0.22</v>
      </c>
      <c r="BC59" s="13">
        <v>0.35</v>
      </c>
      <c r="BD59" s="13">
        <v>0.22</v>
      </c>
      <c r="BE59" s="45">
        <v>0</v>
      </c>
    </row>
    <row r="60" spans="1:57" ht="18.5" x14ac:dyDescent="0.35">
      <c r="A60" s="6"/>
      <c r="B60" s="132"/>
      <c r="C60" s="11" t="s">
        <v>23</v>
      </c>
      <c r="D60" s="13">
        <v>0</v>
      </c>
      <c r="E60" s="13">
        <v>0.25</v>
      </c>
      <c r="F60" s="13">
        <v>0</v>
      </c>
      <c r="G60" s="45">
        <v>0</v>
      </c>
      <c r="H60" s="41"/>
      <c r="I60" s="13">
        <v>0</v>
      </c>
      <c r="J60" s="13">
        <v>0.25</v>
      </c>
      <c r="K60" s="13">
        <v>0</v>
      </c>
      <c r="L60" s="45">
        <v>0</v>
      </c>
      <c r="M60" s="41"/>
      <c r="N60" s="13">
        <v>0</v>
      </c>
      <c r="O60" s="13">
        <v>0.25</v>
      </c>
      <c r="P60" s="13">
        <v>0</v>
      </c>
      <c r="Q60" s="45">
        <v>0</v>
      </c>
      <c r="R60" s="41"/>
      <c r="S60" s="13">
        <v>0</v>
      </c>
      <c r="T60" s="13">
        <v>0.25</v>
      </c>
      <c r="U60" s="13">
        <v>0</v>
      </c>
      <c r="V60" s="45">
        <v>0</v>
      </c>
      <c r="W60" s="41"/>
      <c r="X60" s="13">
        <v>0</v>
      </c>
      <c r="Y60" s="13">
        <v>0</v>
      </c>
      <c r="Z60" s="41"/>
      <c r="AA60" s="13">
        <v>0</v>
      </c>
      <c r="AB60" s="13">
        <v>0.22500000000000001</v>
      </c>
      <c r="AC60" s="13">
        <v>0</v>
      </c>
      <c r="AD60" s="45">
        <v>0</v>
      </c>
      <c r="AE60" s="41"/>
      <c r="AF60" s="13">
        <v>0</v>
      </c>
      <c r="AG60" s="13">
        <v>0.22500000000000001</v>
      </c>
      <c r="AH60" s="13">
        <v>0</v>
      </c>
      <c r="AI60" s="45">
        <v>0</v>
      </c>
      <c r="AJ60" s="41"/>
      <c r="AK60" s="13">
        <v>0</v>
      </c>
      <c r="AL60" s="13">
        <v>0.22500000000000001</v>
      </c>
      <c r="AM60" s="45">
        <v>0</v>
      </c>
      <c r="AN60" s="45">
        <v>0</v>
      </c>
      <c r="AO60" s="41"/>
      <c r="AP60" s="132"/>
      <c r="AQ60" s="11" t="s">
        <v>23</v>
      </c>
      <c r="AR60" s="45">
        <v>0</v>
      </c>
      <c r="AS60" s="45">
        <v>0</v>
      </c>
      <c r="AT60" s="45">
        <v>0</v>
      </c>
      <c r="AU60" s="45">
        <v>0</v>
      </c>
      <c r="AV60" s="41"/>
      <c r="AX60" s="46"/>
      <c r="AY60" s="46">
        <v>0</v>
      </c>
      <c r="AZ60" s="46"/>
      <c r="BB60" s="45">
        <v>0</v>
      </c>
      <c r="BC60" s="13">
        <v>0.25</v>
      </c>
      <c r="BD60" s="45">
        <v>0</v>
      </c>
      <c r="BE60" s="45">
        <v>0</v>
      </c>
    </row>
    <row r="61" spans="1:57" customFormat="1" ht="4.5" customHeight="1" x14ac:dyDescent="0.35">
      <c r="A61" s="6"/>
      <c r="B61" s="6"/>
      <c r="C61" s="6"/>
      <c r="D61" s="6"/>
      <c r="E61" s="6"/>
      <c r="F61" s="6"/>
      <c r="G61" s="6"/>
      <c r="H61" s="41"/>
      <c r="I61" s="6"/>
      <c r="J61" s="6"/>
      <c r="K61" s="6"/>
      <c r="L61" s="6"/>
      <c r="M61" s="41"/>
      <c r="N61" s="6"/>
      <c r="O61" s="6"/>
      <c r="P61" s="6"/>
      <c r="Q61" s="6"/>
      <c r="R61" s="41"/>
      <c r="S61" s="6"/>
      <c r="T61" s="6"/>
      <c r="U61" s="6"/>
      <c r="V61" s="6"/>
      <c r="W61" s="41"/>
      <c r="X61" s="6"/>
      <c r="Y61" s="6"/>
      <c r="Z61" s="41"/>
      <c r="AA61" s="6"/>
      <c r="AB61" s="6"/>
      <c r="AC61" s="6"/>
      <c r="AD61" s="6"/>
      <c r="AE61" s="41"/>
      <c r="AF61" s="6"/>
      <c r="AG61" s="6"/>
      <c r="AH61" s="6"/>
      <c r="AI61" s="6"/>
      <c r="AJ61" s="41"/>
      <c r="AK61" s="6"/>
      <c r="AL61" s="6"/>
      <c r="AM61" s="6"/>
      <c r="AN61" s="6"/>
      <c r="AO61" s="41"/>
      <c r="AP61" s="6"/>
      <c r="AQ61" s="6"/>
      <c r="AR61" s="6"/>
      <c r="AS61" s="6"/>
      <c r="AT61" s="6"/>
      <c r="AU61" s="6"/>
      <c r="AV61" s="41"/>
      <c r="BB61" s="6"/>
      <c r="BC61" s="6"/>
      <c r="BD61" s="6"/>
      <c r="BE61" s="6"/>
    </row>
    <row r="62" spans="1:57" ht="14.5" customHeight="1" x14ac:dyDescent="0.35">
      <c r="A62" s="6"/>
      <c r="B62" s="129" t="s">
        <v>78</v>
      </c>
      <c r="C62" s="11" t="s">
        <v>65</v>
      </c>
      <c r="D62" s="13">
        <v>0.4</v>
      </c>
      <c r="E62" s="13">
        <v>0.4</v>
      </c>
      <c r="F62" s="13">
        <v>0.4</v>
      </c>
      <c r="G62" s="45">
        <v>0</v>
      </c>
      <c r="H62" s="41"/>
      <c r="I62" s="13">
        <v>0.2</v>
      </c>
      <c r="J62" s="13">
        <v>0.45</v>
      </c>
      <c r="K62" s="13">
        <v>0.2</v>
      </c>
      <c r="L62" s="45">
        <v>0</v>
      </c>
      <c r="M62" s="41"/>
      <c r="N62" s="13">
        <v>0.45</v>
      </c>
      <c r="O62" s="13">
        <v>0.45</v>
      </c>
      <c r="P62" s="13">
        <v>0.45</v>
      </c>
      <c r="Q62" s="45">
        <v>0</v>
      </c>
      <c r="R62" s="41"/>
      <c r="S62" s="13">
        <v>0.4</v>
      </c>
      <c r="T62" s="13">
        <v>0.4</v>
      </c>
      <c r="U62" s="13">
        <v>0.4</v>
      </c>
      <c r="V62" s="45">
        <v>0</v>
      </c>
      <c r="W62" s="41"/>
      <c r="X62" s="13">
        <v>0.22500000000000001</v>
      </c>
      <c r="Y62" s="13">
        <v>0.22500000000000001</v>
      </c>
      <c r="Z62" s="41"/>
      <c r="AA62" s="13">
        <v>0.4</v>
      </c>
      <c r="AB62" s="13">
        <v>0.52500000000000002</v>
      </c>
      <c r="AC62" s="13">
        <v>0.4</v>
      </c>
      <c r="AD62" s="45">
        <v>0</v>
      </c>
      <c r="AE62" s="41"/>
      <c r="AF62" s="13">
        <v>0.16999999999999998</v>
      </c>
      <c r="AG62" s="13">
        <v>0.32499999999999996</v>
      </c>
      <c r="AH62" s="13">
        <v>0.16999999999999998</v>
      </c>
      <c r="AI62" s="45">
        <v>0</v>
      </c>
      <c r="AJ62" s="41"/>
      <c r="AK62" s="13">
        <v>0.16999999999999998</v>
      </c>
      <c r="AL62" s="13">
        <v>0.39499999999999996</v>
      </c>
      <c r="AM62" s="45">
        <v>0</v>
      </c>
      <c r="AN62" s="45">
        <v>0</v>
      </c>
      <c r="AO62" s="41"/>
      <c r="AP62" s="129" t="s">
        <v>78</v>
      </c>
      <c r="AQ62" s="11" t="s">
        <v>65</v>
      </c>
      <c r="AR62" s="13">
        <v>0.16999999999999998</v>
      </c>
      <c r="AS62" s="13">
        <v>0.3</v>
      </c>
      <c r="AT62" s="45">
        <v>0</v>
      </c>
      <c r="AU62" s="45">
        <v>0</v>
      </c>
      <c r="AV62" s="41"/>
      <c r="AX62" s="46">
        <v>-0.18000000000000002</v>
      </c>
      <c r="AY62" s="46">
        <v>-5.0000000000000044E-2</v>
      </c>
      <c r="AZ62" s="46">
        <v>-0.18000000000000002</v>
      </c>
      <c r="BB62" s="13">
        <v>0.22</v>
      </c>
      <c r="BC62" s="13">
        <v>0.35</v>
      </c>
      <c r="BD62" s="13">
        <v>0.22</v>
      </c>
      <c r="BE62" s="45">
        <v>0</v>
      </c>
    </row>
    <row r="63" spans="1:57" ht="14.5" customHeight="1" x14ac:dyDescent="0.35">
      <c r="A63" s="6"/>
      <c r="B63" s="130"/>
      <c r="C63" s="11" t="s">
        <v>66</v>
      </c>
      <c r="D63" s="13">
        <v>0.38</v>
      </c>
      <c r="E63" s="13">
        <v>0.38</v>
      </c>
      <c r="F63" s="13">
        <v>0.38</v>
      </c>
      <c r="G63" s="13">
        <v>0</v>
      </c>
      <c r="H63" s="41"/>
      <c r="I63" s="13">
        <v>0.2</v>
      </c>
      <c r="J63" s="13">
        <v>0.45</v>
      </c>
      <c r="K63" s="13">
        <v>0.2</v>
      </c>
      <c r="L63" s="13">
        <v>0</v>
      </c>
      <c r="M63" s="41"/>
      <c r="N63" s="13">
        <v>0.45</v>
      </c>
      <c r="O63" s="13">
        <v>0.45</v>
      </c>
      <c r="P63" s="13">
        <v>0.45</v>
      </c>
      <c r="Q63" s="13">
        <v>0</v>
      </c>
      <c r="R63" s="41"/>
      <c r="S63" s="13">
        <v>0.38</v>
      </c>
      <c r="T63" s="13">
        <v>0.38</v>
      </c>
      <c r="U63" s="13">
        <v>0.38</v>
      </c>
      <c r="V63" s="13">
        <v>0</v>
      </c>
      <c r="W63" s="41"/>
      <c r="X63" s="13">
        <v>0.20500000000000002</v>
      </c>
      <c r="Y63" s="13">
        <v>0.20500000000000002</v>
      </c>
      <c r="Z63" s="41"/>
      <c r="AA63" s="13">
        <v>0.25</v>
      </c>
      <c r="AB63" s="13">
        <v>0.375</v>
      </c>
      <c r="AC63" s="13">
        <v>0.25</v>
      </c>
      <c r="AD63" s="13">
        <v>0</v>
      </c>
      <c r="AE63" s="41"/>
      <c r="AF63" s="13">
        <v>0.15000000000000002</v>
      </c>
      <c r="AG63" s="13">
        <v>0.30499999999999994</v>
      </c>
      <c r="AH63" s="13">
        <v>0.15000000000000002</v>
      </c>
      <c r="AI63" s="13">
        <v>0</v>
      </c>
      <c r="AJ63" s="41"/>
      <c r="AK63" s="13">
        <v>0.16999999999999998</v>
      </c>
      <c r="AL63" s="13">
        <v>0.39499999999999996</v>
      </c>
      <c r="AM63" s="13">
        <v>0</v>
      </c>
      <c r="AN63" s="13">
        <v>0</v>
      </c>
      <c r="AO63" s="41"/>
      <c r="AP63" s="130"/>
      <c r="AQ63" s="11" t="s">
        <v>66</v>
      </c>
      <c r="AR63" s="13">
        <v>0.16999999999999998</v>
      </c>
      <c r="AS63" s="13">
        <v>0.3</v>
      </c>
      <c r="AT63" s="45">
        <v>0</v>
      </c>
      <c r="AU63" s="45">
        <v>0</v>
      </c>
      <c r="AV63" s="41"/>
      <c r="AX63" s="46"/>
      <c r="AY63" s="46"/>
      <c r="AZ63" s="46"/>
      <c r="BB63" s="13"/>
      <c r="BC63" s="13"/>
      <c r="BD63" s="13"/>
      <c r="BE63" s="45"/>
    </row>
    <row r="64" spans="1:57" ht="14.5" customHeight="1" x14ac:dyDescent="0.35">
      <c r="A64" s="6"/>
      <c r="B64" s="130"/>
      <c r="C64" s="11" t="s">
        <v>67</v>
      </c>
      <c r="D64" s="13">
        <v>0.36</v>
      </c>
      <c r="E64" s="13">
        <v>0.36</v>
      </c>
      <c r="F64" s="13">
        <v>0.36</v>
      </c>
      <c r="G64" s="13">
        <v>0</v>
      </c>
      <c r="H64" s="41"/>
      <c r="I64" s="13">
        <v>0.2</v>
      </c>
      <c r="J64" s="13">
        <v>0.45</v>
      </c>
      <c r="K64" s="13">
        <v>0.2</v>
      </c>
      <c r="L64" s="13">
        <v>0</v>
      </c>
      <c r="M64" s="41"/>
      <c r="N64" s="13">
        <v>0.4</v>
      </c>
      <c r="O64" s="13">
        <v>0.4</v>
      </c>
      <c r="P64" s="13">
        <v>0.4</v>
      </c>
      <c r="Q64" s="13">
        <v>0</v>
      </c>
      <c r="R64" s="41"/>
      <c r="S64" s="13">
        <v>0.36</v>
      </c>
      <c r="T64" s="13">
        <v>0.36</v>
      </c>
      <c r="U64" s="13">
        <v>0.36</v>
      </c>
      <c r="V64" s="13">
        <v>0</v>
      </c>
      <c r="W64" s="41"/>
      <c r="X64" s="13">
        <v>0.18500000000000003</v>
      </c>
      <c r="Y64" s="13">
        <v>0.18500000000000003</v>
      </c>
      <c r="Z64" s="41"/>
      <c r="AA64" s="13">
        <v>0.16999999999999998</v>
      </c>
      <c r="AB64" s="13">
        <v>0.34499999999999997</v>
      </c>
      <c r="AC64" s="13">
        <v>0.16999999999999998</v>
      </c>
      <c r="AD64" s="13">
        <v>0</v>
      </c>
      <c r="AE64" s="41"/>
      <c r="AF64" s="13">
        <v>0.13</v>
      </c>
      <c r="AG64" s="13">
        <v>0.28499999999999992</v>
      </c>
      <c r="AH64" s="13">
        <v>0.13</v>
      </c>
      <c r="AI64" s="13">
        <v>0</v>
      </c>
      <c r="AJ64" s="41"/>
      <c r="AK64" s="13">
        <v>0.16999999999999998</v>
      </c>
      <c r="AL64" s="13">
        <v>0.39499999999999996</v>
      </c>
      <c r="AM64" s="13">
        <v>0</v>
      </c>
      <c r="AN64" s="13">
        <v>0</v>
      </c>
      <c r="AO64" s="41"/>
      <c r="AP64" s="130"/>
      <c r="AQ64" s="11" t="s">
        <v>67</v>
      </c>
      <c r="AR64" s="13">
        <v>0.16999999999999998</v>
      </c>
      <c r="AS64" s="13">
        <v>0.3</v>
      </c>
      <c r="AT64" s="45">
        <v>0</v>
      </c>
      <c r="AU64" s="45">
        <v>0</v>
      </c>
      <c r="AV64" s="41"/>
      <c r="AX64" s="46"/>
      <c r="AY64" s="46"/>
      <c r="AZ64" s="46"/>
      <c r="BB64" s="13"/>
      <c r="BC64" s="13"/>
      <c r="BD64" s="13"/>
      <c r="BE64" s="45"/>
    </row>
    <row r="65" spans="1:57" ht="18.5" x14ac:dyDescent="0.35">
      <c r="A65" s="6"/>
      <c r="B65" s="131"/>
      <c r="C65" s="11" t="s">
        <v>68</v>
      </c>
      <c r="D65" s="13">
        <v>0.22500000000000001</v>
      </c>
      <c r="E65" s="13">
        <v>0.22500000000000001</v>
      </c>
      <c r="F65" s="13">
        <v>0.22500000000000001</v>
      </c>
      <c r="G65" s="45">
        <v>0</v>
      </c>
      <c r="H65" s="41"/>
      <c r="I65" s="13">
        <v>0.2</v>
      </c>
      <c r="J65" s="13">
        <v>0.2</v>
      </c>
      <c r="K65" s="13">
        <v>0.2</v>
      </c>
      <c r="L65" s="45">
        <v>0</v>
      </c>
      <c r="M65" s="41"/>
      <c r="N65" s="13">
        <v>0.22500000000000001</v>
      </c>
      <c r="O65" s="13">
        <v>0.22500000000000001</v>
      </c>
      <c r="P65" s="13">
        <v>0.22500000000000001</v>
      </c>
      <c r="Q65" s="45">
        <v>0</v>
      </c>
      <c r="R65" s="41"/>
      <c r="S65" s="13">
        <v>0.22500000000000001</v>
      </c>
      <c r="T65" s="13">
        <v>0.22500000000000001</v>
      </c>
      <c r="U65" s="13">
        <v>0.22500000000000001</v>
      </c>
      <c r="V65" s="45">
        <v>0</v>
      </c>
      <c r="W65" s="41"/>
      <c r="X65" s="13">
        <v>0.2</v>
      </c>
      <c r="Y65" s="13">
        <v>0.2</v>
      </c>
      <c r="Z65" s="41"/>
      <c r="AA65" s="13">
        <v>0.15000000000000002</v>
      </c>
      <c r="AB65" s="13">
        <v>0.17500000000000002</v>
      </c>
      <c r="AC65" s="13">
        <v>0.15000000000000002</v>
      </c>
      <c r="AD65" s="45">
        <v>0</v>
      </c>
      <c r="AE65" s="41"/>
      <c r="AF65" s="13">
        <v>0.16999999999999998</v>
      </c>
      <c r="AG65" s="13">
        <v>0.32499999999999996</v>
      </c>
      <c r="AH65" s="13">
        <v>0.16999999999999998</v>
      </c>
      <c r="AI65" s="45">
        <v>0</v>
      </c>
      <c r="AJ65" s="41"/>
      <c r="AK65" s="13">
        <v>0.16999999999999998</v>
      </c>
      <c r="AL65" s="13">
        <v>0.2</v>
      </c>
      <c r="AM65" s="45">
        <v>0</v>
      </c>
      <c r="AN65" s="45">
        <v>0</v>
      </c>
      <c r="AO65" s="41"/>
      <c r="AP65" s="131"/>
      <c r="AQ65" s="11" t="s">
        <v>68</v>
      </c>
      <c r="AR65" s="45">
        <v>0</v>
      </c>
      <c r="AS65" s="45">
        <v>0</v>
      </c>
      <c r="AT65" s="45">
        <v>0</v>
      </c>
      <c r="AU65" s="45">
        <v>0</v>
      </c>
      <c r="AV65" s="41"/>
      <c r="AX65" s="46">
        <v>-5.0000000000000044E-3</v>
      </c>
      <c r="AY65" s="46">
        <v>0.12499999999999997</v>
      </c>
      <c r="AZ65" s="46">
        <v>-5.0000000000000044E-3</v>
      </c>
      <c r="BB65" s="13">
        <v>0.22</v>
      </c>
      <c r="BC65" s="13">
        <v>0.35</v>
      </c>
      <c r="BD65" s="13">
        <v>0.22</v>
      </c>
      <c r="BE65" s="45">
        <v>0</v>
      </c>
    </row>
    <row r="66" spans="1:57" ht="18.5" x14ac:dyDescent="0.35">
      <c r="A66" s="6"/>
      <c r="B66" s="131"/>
      <c r="C66" s="11" t="s">
        <v>69</v>
      </c>
      <c r="D66" s="13">
        <v>0.1</v>
      </c>
      <c r="E66" s="13">
        <v>0.45</v>
      </c>
      <c r="F66" s="13">
        <v>0.1</v>
      </c>
      <c r="G66" s="45">
        <v>0</v>
      </c>
      <c r="H66" s="41"/>
      <c r="I66" s="13">
        <v>0.1</v>
      </c>
      <c r="J66" s="13">
        <v>0.45</v>
      </c>
      <c r="K66" s="13">
        <v>0.1</v>
      </c>
      <c r="L66" s="45">
        <v>0</v>
      </c>
      <c r="M66" s="41"/>
      <c r="N66" s="13">
        <v>0.1</v>
      </c>
      <c r="O66" s="13">
        <v>0.45</v>
      </c>
      <c r="P66" s="13">
        <v>0.1</v>
      </c>
      <c r="Q66" s="45">
        <v>0</v>
      </c>
      <c r="R66" s="41"/>
      <c r="S66" s="13">
        <v>0.1</v>
      </c>
      <c r="T66" s="13">
        <v>0.45</v>
      </c>
      <c r="U66" s="13">
        <v>0.1</v>
      </c>
      <c r="V66" s="45">
        <v>0</v>
      </c>
      <c r="W66" s="41"/>
      <c r="X66" s="13">
        <v>0</v>
      </c>
      <c r="Y66" s="13">
        <v>0</v>
      </c>
      <c r="Z66" s="41"/>
      <c r="AA66" s="13">
        <v>0.05</v>
      </c>
      <c r="AB66" s="13">
        <v>0.42499999999999999</v>
      </c>
      <c r="AC66" s="13">
        <v>0.05</v>
      </c>
      <c r="AD66" s="45">
        <v>0</v>
      </c>
      <c r="AE66" s="41"/>
      <c r="AF66" s="13">
        <v>0.05</v>
      </c>
      <c r="AG66" s="13">
        <v>0.42499999999999999</v>
      </c>
      <c r="AH66" s="13">
        <v>0.05</v>
      </c>
      <c r="AI66" s="45">
        <v>0</v>
      </c>
      <c r="AJ66" s="41"/>
      <c r="AK66" s="13">
        <v>0.05</v>
      </c>
      <c r="AL66" s="13">
        <v>0.42499999999999999</v>
      </c>
      <c r="AM66" s="45">
        <v>0</v>
      </c>
      <c r="AN66" s="45">
        <v>0</v>
      </c>
      <c r="AO66" s="41"/>
      <c r="AP66" s="131"/>
      <c r="AQ66" s="11" t="s">
        <v>69</v>
      </c>
      <c r="AR66" s="45">
        <v>0</v>
      </c>
      <c r="AS66" s="45">
        <v>0</v>
      </c>
      <c r="AT66" s="45">
        <v>0</v>
      </c>
      <c r="AU66" s="45">
        <v>0</v>
      </c>
      <c r="AV66" s="41"/>
      <c r="AX66" s="46">
        <v>7.0000000000000007E-2</v>
      </c>
      <c r="AY66" s="46">
        <v>0</v>
      </c>
      <c r="AZ66" s="46">
        <v>7.0000000000000007E-2</v>
      </c>
      <c r="BB66" s="13">
        <v>0.22</v>
      </c>
      <c r="BC66" s="13">
        <v>0.35</v>
      </c>
      <c r="BD66" s="13">
        <v>0.22</v>
      </c>
      <c r="BE66" s="45">
        <v>0</v>
      </c>
    </row>
    <row r="67" spans="1:57" ht="18.5" x14ac:dyDescent="0.35">
      <c r="A67" s="6"/>
      <c r="B67" s="132"/>
      <c r="C67" s="11" t="s">
        <v>23</v>
      </c>
      <c r="D67" s="13">
        <v>0</v>
      </c>
      <c r="E67" s="13">
        <v>0.25</v>
      </c>
      <c r="F67" s="13">
        <v>0</v>
      </c>
      <c r="G67" s="45">
        <v>0</v>
      </c>
      <c r="H67" s="41"/>
      <c r="I67" s="13">
        <v>0</v>
      </c>
      <c r="J67" s="13">
        <v>0.25</v>
      </c>
      <c r="K67" s="13">
        <v>0</v>
      </c>
      <c r="L67" s="45">
        <v>0</v>
      </c>
      <c r="M67" s="41"/>
      <c r="N67" s="13">
        <v>0</v>
      </c>
      <c r="O67" s="13">
        <v>0.25</v>
      </c>
      <c r="P67" s="13">
        <v>0</v>
      </c>
      <c r="Q67" s="45">
        <v>0</v>
      </c>
      <c r="R67" s="41"/>
      <c r="S67" s="13">
        <v>0</v>
      </c>
      <c r="T67" s="13">
        <v>0.25</v>
      </c>
      <c r="U67" s="13">
        <v>0</v>
      </c>
      <c r="V67" s="45">
        <v>0</v>
      </c>
      <c r="W67" s="41"/>
      <c r="X67" s="13">
        <v>0</v>
      </c>
      <c r="Y67" s="13">
        <v>0</v>
      </c>
      <c r="Z67" s="41"/>
      <c r="AA67" s="13">
        <v>0</v>
      </c>
      <c r="AB67" s="13">
        <v>0.22500000000000001</v>
      </c>
      <c r="AC67" s="13">
        <v>0</v>
      </c>
      <c r="AD67" s="45">
        <v>0</v>
      </c>
      <c r="AE67" s="41"/>
      <c r="AF67" s="13">
        <v>0</v>
      </c>
      <c r="AG67" s="13">
        <v>0.22500000000000001</v>
      </c>
      <c r="AH67" s="13">
        <v>0</v>
      </c>
      <c r="AI67" s="45">
        <v>0</v>
      </c>
      <c r="AJ67" s="41"/>
      <c r="AK67" s="13">
        <v>0</v>
      </c>
      <c r="AL67" s="13">
        <v>0.22500000000000001</v>
      </c>
      <c r="AM67" s="45">
        <v>0</v>
      </c>
      <c r="AN67" s="45">
        <v>0</v>
      </c>
      <c r="AO67" s="41"/>
      <c r="AP67" s="132"/>
      <c r="AQ67" s="11" t="s">
        <v>23</v>
      </c>
      <c r="AR67" s="45">
        <v>0</v>
      </c>
      <c r="AS67" s="45">
        <v>0</v>
      </c>
      <c r="AT67" s="45">
        <v>0</v>
      </c>
      <c r="AU67" s="45">
        <v>0</v>
      </c>
      <c r="AV67" s="41"/>
      <c r="AX67" s="46"/>
      <c r="AY67" s="46">
        <v>0</v>
      </c>
      <c r="AZ67" s="46"/>
      <c r="BB67" s="45">
        <v>0</v>
      </c>
      <c r="BC67" s="13">
        <v>0.25</v>
      </c>
      <c r="BD67" s="45">
        <v>0</v>
      </c>
      <c r="BE67" s="45">
        <v>0</v>
      </c>
    </row>
    <row r="68" spans="1:57" customFormat="1" ht="4.5" customHeight="1" x14ac:dyDescent="0.35">
      <c r="A68" s="6"/>
      <c r="B68" s="6"/>
      <c r="C68" s="6"/>
      <c r="D68" s="6"/>
      <c r="E68" s="6"/>
      <c r="F68" s="6"/>
      <c r="G68" s="6"/>
      <c r="H68" s="41"/>
      <c r="I68" s="6"/>
      <c r="J68" s="6"/>
      <c r="K68" s="6"/>
      <c r="L68" s="6"/>
      <c r="M68" s="41"/>
      <c r="N68" s="6"/>
      <c r="O68" s="6"/>
      <c r="P68" s="6"/>
      <c r="Q68" s="6"/>
      <c r="R68" s="41"/>
      <c r="S68" s="6"/>
      <c r="T68" s="6"/>
      <c r="U68" s="6"/>
      <c r="V68" s="6"/>
      <c r="W68" s="41"/>
      <c r="X68" s="6"/>
      <c r="Y68" s="6"/>
      <c r="Z68" s="41"/>
      <c r="AA68" s="6"/>
      <c r="AB68" s="6"/>
      <c r="AC68" s="6"/>
      <c r="AD68" s="6"/>
      <c r="AE68" s="41"/>
      <c r="AF68" s="6"/>
      <c r="AG68" s="6"/>
      <c r="AH68" s="6"/>
      <c r="AI68" s="6"/>
      <c r="AJ68" s="41"/>
      <c r="AK68" s="6"/>
      <c r="AL68" s="6"/>
      <c r="AM68" s="6"/>
      <c r="AN68" s="6"/>
      <c r="AO68" s="41"/>
      <c r="AP68" s="6"/>
      <c r="AQ68" s="6"/>
      <c r="AR68" s="6"/>
      <c r="AS68" s="6"/>
      <c r="AT68" s="6"/>
      <c r="AU68" s="6"/>
      <c r="AV68" s="41"/>
      <c r="BB68" s="6"/>
      <c r="BC68" s="6"/>
      <c r="BD68" s="6"/>
      <c r="BE68" s="6"/>
    </row>
    <row r="69" spans="1:57" ht="14.5" customHeight="1" x14ac:dyDescent="0.35">
      <c r="A69" s="6"/>
      <c r="B69" s="129" t="s">
        <v>79</v>
      </c>
      <c r="C69" s="11" t="s">
        <v>65</v>
      </c>
      <c r="D69" s="13">
        <v>0.4</v>
      </c>
      <c r="E69" s="13">
        <v>0.4</v>
      </c>
      <c r="F69" s="13">
        <v>0.4</v>
      </c>
      <c r="G69" s="45">
        <v>0</v>
      </c>
      <c r="H69" s="41"/>
      <c r="I69" s="13">
        <v>0.35</v>
      </c>
      <c r="J69" s="13">
        <v>0.5</v>
      </c>
      <c r="K69" s="13">
        <v>0.3</v>
      </c>
      <c r="L69" s="45">
        <v>0</v>
      </c>
      <c r="M69" s="41"/>
      <c r="N69" s="13">
        <v>0.45</v>
      </c>
      <c r="O69" s="13">
        <v>0.45</v>
      </c>
      <c r="P69" s="13">
        <v>0.45</v>
      </c>
      <c r="Q69" s="45">
        <v>0</v>
      </c>
      <c r="R69" s="41"/>
      <c r="S69" s="13">
        <v>0.15</v>
      </c>
      <c r="T69" s="13">
        <v>0.32</v>
      </c>
      <c r="U69" s="13">
        <v>0.15</v>
      </c>
      <c r="V69" s="45">
        <v>0</v>
      </c>
      <c r="W69" s="41"/>
      <c r="X69" s="13">
        <v>0.1</v>
      </c>
      <c r="Y69" s="13">
        <v>0.1</v>
      </c>
      <c r="Z69" s="41"/>
      <c r="AA69" s="13">
        <v>0.35000000000000003</v>
      </c>
      <c r="AB69" s="13">
        <v>0.47499999999999998</v>
      </c>
      <c r="AC69" s="13">
        <v>0.35000000000000003</v>
      </c>
      <c r="AD69" s="45">
        <v>0</v>
      </c>
      <c r="AE69" s="41"/>
      <c r="AF69" s="13">
        <v>9.9999999999999992E-2</v>
      </c>
      <c r="AG69" s="13">
        <v>0.29499999999999998</v>
      </c>
      <c r="AH69" s="13">
        <v>9.9999999999999992E-2</v>
      </c>
      <c r="AI69" s="45">
        <v>0</v>
      </c>
      <c r="AJ69" s="41"/>
      <c r="AK69" s="13">
        <v>0.23000000000000004</v>
      </c>
      <c r="AL69" s="13">
        <v>0.39499999999999996</v>
      </c>
      <c r="AM69" s="45">
        <v>0</v>
      </c>
      <c r="AN69" s="45">
        <v>0</v>
      </c>
      <c r="AO69" s="41"/>
      <c r="AP69" s="129" t="s">
        <v>79</v>
      </c>
      <c r="AQ69" s="11" t="s">
        <v>65</v>
      </c>
      <c r="AR69" s="13">
        <v>0.23000000000000004</v>
      </c>
      <c r="AS69" s="13">
        <v>0.3</v>
      </c>
      <c r="AT69" s="45">
        <v>0</v>
      </c>
      <c r="AU69" s="45">
        <v>0</v>
      </c>
      <c r="AV69" s="41"/>
      <c r="AX69" s="46">
        <v>-0.25</v>
      </c>
      <c r="AY69" s="46">
        <v>-8.0000000000000016E-2</v>
      </c>
      <c r="AZ69" s="46">
        <v>-0.25</v>
      </c>
      <c r="BB69" s="13">
        <v>0.28000000000000003</v>
      </c>
      <c r="BC69" s="13">
        <v>0.35</v>
      </c>
      <c r="BD69" s="13">
        <v>0.28000000000000003</v>
      </c>
      <c r="BE69" s="45">
        <v>0</v>
      </c>
    </row>
    <row r="70" spans="1:57" ht="14.5" customHeight="1" x14ac:dyDescent="0.35">
      <c r="A70" s="6"/>
      <c r="B70" s="130"/>
      <c r="C70" s="11" t="s">
        <v>66</v>
      </c>
      <c r="D70" s="13">
        <v>0.38</v>
      </c>
      <c r="E70" s="13">
        <v>0.38</v>
      </c>
      <c r="F70" s="13">
        <v>0.38</v>
      </c>
      <c r="G70" s="13">
        <v>0</v>
      </c>
      <c r="H70" s="41"/>
      <c r="I70" s="13">
        <v>0.3</v>
      </c>
      <c r="J70" s="13">
        <v>0.4</v>
      </c>
      <c r="K70" s="13">
        <v>0.3</v>
      </c>
      <c r="L70" s="13">
        <v>0</v>
      </c>
      <c r="M70" s="41"/>
      <c r="N70" s="13">
        <v>0.45</v>
      </c>
      <c r="O70" s="13">
        <v>0.45</v>
      </c>
      <c r="P70" s="13">
        <v>0.45</v>
      </c>
      <c r="Q70" s="13">
        <v>0</v>
      </c>
      <c r="R70" s="41"/>
      <c r="S70" s="13">
        <v>0.13</v>
      </c>
      <c r="T70" s="13">
        <v>0.3</v>
      </c>
      <c r="U70" s="13">
        <v>0.13</v>
      </c>
      <c r="V70" s="13">
        <v>0</v>
      </c>
      <c r="W70" s="41"/>
      <c r="X70" s="13">
        <v>0.08</v>
      </c>
      <c r="Y70" s="13">
        <v>0.08</v>
      </c>
      <c r="Z70" s="41"/>
      <c r="AA70" s="13">
        <v>0.3</v>
      </c>
      <c r="AB70" s="13">
        <v>0.375</v>
      </c>
      <c r="AC70" s="13">
        <v>0.3</v>
      </c>
      <c r="AD70" s="13">
        <v>0</v>
      </c>
      <c r="AE70" s="41"/>
      <c r="AF70" s="13">
        <v>0.08</v>
      </c>
      <c r="AG70" s="13">
        <v>0.27499999999999997</v>
      </c>
      <c r="AH70" s="13">
        <v>0.08</v>
      </c>
      <c r="AI70" s="13">
        <v>0</v>
      </c>
      <c r="AJ70" s="41"/>
      <c r="AK70" s="13">
        <v>0.23000000000000004</v>
      </c>
      <c r="AL70" s="13">
        <v>0.39499999999999996</v>
      </c>
      <c r="AM70" s="13">
        <v>0</v>
      </c>
      <c r="AN70" s="13">
        <v>0</v>
      </c>
      <c r="AO70" s="41"/>
      <c r="AP70" s="130"/>
      <c r="AQ70" s="11" t="s">
        <v>66</v>
      </c>
      <c r="AR70" s="13">
        <v>0.23000000000000004</v>
      </c>
      <c r="AS70" s="13">
        <v>0.3</v>
      </c>
      <c r="AT70" s="45">
        <v>0</v>
      </c>
      <c r="AU70" s="45">
        <v>0</v>
      </c>
      <c r="AV70" s="41"/>
      <c r="AX70" s="46"/>
      <c r="AY70" s="46"/>
      <c r="AZ70" s="46"/>
      <c r="BB70" s="13"/>
      <c r="BC70" s="13"/>
      <c r="BD70" s="13"/>
      <c r="BE70" s="45"/>
    </row>
    <row r="71" spans="1:57" ht="14.5" customHeight="1" x14ac:dyDescent="0.35">
      <c r="A71" s="6"/>
      <c r="B71" s="130"/>
      <c r="C71" s="11" t="s">
        <v>67</v>
      </c>
      <c r="D71" s="13">
        <v>0.36</v>
      </c>
      <c r="E71" s="13">
        <v>0.36</v>
      </c>
      <c r="F71" s="13">
        <v>0.36</v>
      </c>
      <c r="G71" s="13">
        <v>0</v>
      </c>
      <c r="H71" s="41"/>
      <c r="I71" s="13">
        <v>0.27</v>
      </c>
      <c r="J71" s="13">
        <v>0.37</v>
      </c>
      <c r="K71" s="13">
        <v>0.27</v>
      </c>
      <c r="L71" s="13">
        <v>0</v>
      </c>
      <c r="M71" s="41"/>
      <c r="N71" s="13">
        <v>0.4</v>
      </c>
      <c r="O71" s="13">
        <v>0.4</v>
      </c>
      <c r="P71" s="13">
        <v>0.4</v>
      </c>
      <c r="Q71" s="13">
        <v>0</v>
      </c>
      <c r="R71" s="41"/>
      <c r="S71" s="13">
        <v>0.11</v>
      </c>
      <c r="T71" s="13">
        <v>0.27999999999999997</v>
      </c>
      <c r="U71" s="13">
        <v>0.11</v>
      </c>
      <c r="V71" s="13">
        <v>0</v>
      </c>
      <c r="W71" s="41"/>
      <c r="X71" s="13">
        <v>0.06</v>
      </c>
      <c r="Y71" s="13">
        <v>0.06</v>
      </c>
      <c r="Z71" s="41"/>
      <c r="AA71" s="13">
        <v>0.23000000000000004</v>
      </c>
      <c r="AB71" s="13">
        <v>0.34499999999999997</v>
      </c>
      <c r="AC71" s="13">
        <v>0.23000000000000004</v>
      </c>
      <c r="AD71" s="13">
        <v>0</v>
      </c>
      <c r="AE71" s="41"/>
      <c r="AF71" s="13">
        <v>0.06</v>
      </c>
      <c r="AG71" s="13">
        <v>0.25499999999999995</v>
      </c>
      <c r="AH71" s="13">
        <v>0.06</v>
      </c>
      <c r="AI71" s="13">
        <v>0</v>
      </c>
      <c r="AJ71" s="41"/>
      <c r="AK71" s="13">
        <v>0.23000000000000004</v>
      </c>
      <c r="AL71" s="13">
        <v>0.39499999999999996</v>
      </c>
      <c r="AM71" s="13">
        <v>0</v>
      </c>
      <c r="AN71" s="13">
        <v>0</v>
      </c>
      <c r="AO71" s="41"/>
      <c r="AP71" s="130"/>
      <c r="AQ71" s="11" t="s">
        <v>67</v>
      </c>
      <c r="AR71" s="13">
        <v>0.23000000000000004</v>
      </c>
      <c r="AS71" s="13">
        <v>0.3</v>
      </c>
      <c r="AT71" s="45">
        <v>0</v>
      </c>
      <c r="AU71" s="45">
        <v>0</v>
      </c>
      <c r="AV71" s="41"/>
      <c r="AX71" s="46"/>
      <c r="AY71" s="46"/>
      <c r="AZ71" s="46"/>
      <c r="BB71" s="13"/>
      <c r="BC71" s="13"/>
      <c r="BD71" s="13"/>
      <c r="BE71" s="45"/>
    </row>
    <row r="72" spans="1:57" ht="18.5" x14ac:dyDescent="0.35">
      <c r="A72" s="6"/>
      <c r="B72" s="131"/>
      <c r="C72" s="11" t="s">
        <v>68</v>
      </c>
      <c r="D72" s="13">
        <v>0.22500000000000001</v>
      </c>
      <c r="E72" s="13">
        <v>0.22500000000000001</v>
      </c>
      <c r="F72" s="13">
        <v>0.22500000000000001</v>
      </c>
      <c r="G72" s="45">
        <v>0</v>
      </c>
      <c r="H72" s="41"/>
      <c r="I72" s="13">
        <v>0.2</v>
      </c>
      <c r="J72" s="13">
        <v>0.2</v>
      </c>
      <c r="K72" s="13">
        <v>0.2</v>
      </c>
      <c r="L72" s="45">
        <v>0</v>
      </c>
      <c r="M72" s="41"/>
      <c r="N72" s="13">
        <v>0.2</v>
      </c>
      <c r="O72" s="13">
        <v>0.2</v>
      </c>
      <c r="P72" s="13">
        <v>0.2</v>
      </c>
      <c r="Q72" s="45">
        <v>0</v>
      </c>
      <c r="R72" s="41"/>
      <c r="S72" s="13">
        <v>0.22500000000000001</v>
      </c>
      <c r="T72" s="13">
        <v>0.22500000000000001</v>
      </c>
      <c r="U72" s="13">
        <v>0.22500000000000001</v>
      </c>
      <c r="V72" s="45">
        <v>0</v>
      </c>
      <c r="W72" s="41"/>
      <c r="X72" s="13">
        <v>0.1</v>
      </c>
      <c r="Y72" s="13">
        <v>0.1</v>
      </c>
      <c r="Z72" s="41"/>
      <c r="AA72" s="13">
        <v>0.15000000000000002</v>
      </c>
      <c r="AB72" s="13">
        <v>0.17500000000000002</v>
      </c>
      <c r="AC72" s="13">
        <v>0.15000000000000002</v>
      </c>
      <c r="AD72" s="45">
        <v>0</v>
      </c>
      <c r="AE72" s="41"/>
      <c r="AF72" s="13">
        <v>0</v>
      </c>
      <c r="AG72" s="13">
        <v>0</v>
      </c>
      <c r="AH72" s="13">
        <v>0</v>
      </c>
      <c r="AI72" s="45">
        <v>0</v>
      </c>
      <c r="AJ72" s="41"/>
      <c r="AK72" s="13">
        <v>0</v>
      </c>
      <c r="AL72" s="13">
        <v>0.17500000000000002</v>
      </c>
      <c r="AM72" s="45">
        <v>0</v>
      </c>
      <c r="AN72" s="45">
        <v>0</v>
      </c>
      <c r="AO72" s="41"/>
      <c r="AP72" s="131"/>
      <c r="AQ72" s="11" t="s">
        <v>68</v>
      </c>
      <c r="AR72" s="45">
        <v>0</v>
      </c>
      <c r="AS72" s="45">
        <v>0</v>
      </c>
      <c r="AT72" s="45">
        <v>0</v>
      </c>
      <c r="AU72" s="45">
        <v>0</v>
      </c>
      <c r="AV72" s="41"/>
      <c r="AX72" s="46">
        <v>-0.22500000000000001</v>
      </c>
      <c r="AY72" s="46">
        <v>-0.22500000000000001</v>
      </c>
      <c r="AZ72" s="46">
        <v>-0.22500000000000001</v>
      </c>
      <c r="BB72" s="13">
        <v>0</v>
      </c>
      <c r="BC72" s="13">
        <v>0</v>
      </c>
      <c r="BD72" s="13">
        <v>0</v>
      </c>
      <c r="BE72" s="45">
        <v>0</v>
      </c>
    </row>
    <row r="73" spans="1:57" ht="18.5" x14ac:dyDescent="0.35">
      <c r="A73" s="6"/>
      <c r="B73" s="131"/>
      <c r="C73" s="11" t="s">
        <v>69</v>
      </c>
      <c r="D73" s="13">
        <v>0.1</v>
      </c>
      <c r="E73" s="13">
        <v>0.4</v>
      </c>
      <c r="F73" s="13">
        <v>0.1</v>
      </c>
      <c r="G73" s="45">
        <v>0</v>
      </c>
      <c r="H73" s="41"/>
      <c r="I73" s="13">
        <v>0.1</v>
      </c>
      <c r="J73" s="13">
        <v>0.4</v>
      </c>
      <c r="K73" s="13">
        <v>0.1</v>
      </c>
      <c r="L73" s="45">
        <v>0</v>
      </c>
      <c r="M73" s="41"/>
      <c r="N73" s="13">
        <v>0.1</v>
      </c>
      <c r="O73" s="13">
        <v>0.4</v>
      </c>
      <c r="P73" s="13">
        <v>0.1</v>
      </c>
      <c r="Q73" s="45">
        <v>0</v>
      </c>
      <c r="R73" s="41"/>
      <c r="S73" s="13">
        <v>6.5000000000000002E-2</v>
      </c>
      <c r="T73" s="13">
        <v>0.4</v>
      </c>
      <c r="U73" s="13">
        <v>6.5000000000000002E-2</v>
      </c>
      <c r="V73" s="45">
        <v>0</v>
      </c>
      <c r="W73" s="41"/>
      <c r="X73" s="13">
        <v>0.1</v>
      </c>
      <c r="Y73" s="13">
        <v>0.1</v>
      </c>
      <c r="Z73" s="41"/>
      <c r="AA73" s="13">
        <v>0.05</v>
      </c>
      <c r="AB73" s="13">
        <v>0.375</v>
      </c>
      <c r="AC73" s="13">
        <v>0.05</v>
      </c>
      <c r="AD73" s="45">
        <v>0</v>
      </c>
      <c r="AE73" s="41"/>
      <c r="AF73" s="13">
        <v>0.05</v>
      </c>
      <c r="AG73" s="13">
        <v>0.375</v>
      </c>
      <c r="AH73" s="13">
        <v>0.05</v>
      </c>
      <c r="AI73" s="45">
        <v>0</v>
      </c>
      <c r="AJ73" s="41"/>
      <c r="AK73" s="13">
        <v>0.05</v>
      </c>
      <c r="AL73" s="13">
        <v>0.375</v>
      </c>
      <c r="AM73" s="45">
        <v>0</v>
      </c>
      <c r="AN73" s="45">
        <v>0</v>
      </c>
      <c r="AO73" s="41"/>
      <c r="AP73" s="131"/>
      <c r="AQ73" s="11" t="s">
        <v>69</v>
      </c>
      <c r="AR73" s="45">
        <v>0</v>
      </c>
      <c r="AS73" s="45">
        <v>0</v>
      </c>
      <c r="AT73" s="45">
        <v>0</v>
      </c>
      <c r="AU73" s="45">
        <v>0</v>
      </c>
      <c r="AV73" s="41"/>
      <c r="AX73" s="46">
        <v>0</v>
      </c>
      <c r="AY73" s="46">
        <v>0</v>
      </c>
      <c r="AZ73" s="46">
        <v>0</v>
      </c>
      <c r="BB73" s="13">
        <v>0.28000000000000003</v>
      </c>
      <c r="BC73" s="13">
        <v>0.35</v>
      </c>
      <c r="BD73" s="13">
        <v>0.28000000000000003</v>
      </c>
      <c r="BE73" s="45">
        <v>0</v>
      </c>
    </row>
    <row r="74" spans="1:57" ht="18.5" x14ac:dyDescent="0.35">
      <c r="A74" s="6"/>
      <c r="B74" s="132"/>
      <c r="C74" s="11" t="s">
        <v>23</v>
      </c>
      <c r="D74" s="13">
        <v>0</v>
      </c>
      <c r="E74" s="13">
        <v>0.125</v>
      </c>
      <c r="F74" s="13">
        <v>0</v>
      </c>
      <c r="G74" s="45">
        <v>0</v>
      </c>
      <c r="H74" s="41"/>
      <c r="I74" s="13">
        <v>0</v>
      </c>
      <c r="J74" s="13">
        <v>0.125</v>
      </c>
      <c r="K74" s="13">
        <v>0</v>
      </c>
      <c r="L74" s="45">
        <v>0</v>
      </c>
      <c r="M74" s="41"/>
      <c r="N74" s="13">
        <v>0</v>
      </c>
      <c r="O74" s="13">
        <v>0.125</v>
      </c>
      <c r="P74" s="13">
        <v>0</v>
      </c>
      <c r="Q74" s="45">
        <v>0</v>
      </c>
      <c r="R74" s="41"/>
      <c r="S74" s="13">
        <v>0</v>
      </c>
      <c r="T74" s="13">
        <v>0.125</v>
      </c>
      <c r="U74" s="13">
        <v>0</v>
      </c>
      <c r="V74" s="45">
        <v>0</v>
      </c>
      <c r="W74" s="41"/>
      <c r="X74" s="13">
        <v>0</v>
      </c>
      <c r="Y74" s="13">
        <v>0</v>
      </c>
      <c r="Z74" s="41"/>
      <c r="AA74" s="13">
        <v>0</v>
      </c>
      <c r="AB74" s="13">
        <v>0.1</v>
      </c>
      <c r="AC74" s="13">
        <v>0</v>
      </c>
      <c r="AD74" s="45">
        <v>0</v>
      </c>
      <c r="AE74" s="41"/>
      <c r="AF74" s="13">
        <v>0</v>
      </c>
      <c r="AG74" s="13">
        <v>0.1</v>
      </c>
      <c r="AH74" s="13">
        <v>0</v>
      </c>
      <c r="AI74" s="45">
        <v>0</v>
      </c>
      <c r="AJ74" s="41"/>
      <c r="AK74" s="13">
        <v>0</v>
      </c>
      <c r="AL74" s="13">
        <v>0.1</v>
      </c>
      <c r="AM74" s="45">
        <v>0</v>
      </c>
      <c r="AN74" s="45">
        <v>0</v>
      </c>
      <c r="AO74" s="41"/>
      <c r="AP74" s="132"/>
      <c r="AQ74" s="11" t="s">
        <v>23</v>
      </c>
      <c r="AR74" s="45">
        <v>0</v>
      </c>
      <c r="AS74" s="45">
        <v>0</v>
      </c>
      <c r="AT74" s="45">
        <v>0</v>
      </c>
      <c r="AU74" s="45">
        <v>0</v>
      </c>
      <c r="AV74" s="41"/>
      <c r="AX74" s="46"/>
      <c r="AY74" s="46">
        <v>0</v>
      </c>
      <c r="AZ74" s="46"/>
      <c r="BB74" s="45">
        <v>0</v>
      </c>
      <c r="BC74" s="13">
        <v>0.125</v>
      </c>
      <c r="BD74" s="45">
        <v>0</v>
      </c>
      <c r="BE74" s="45">
        <v>0</v>
      </c>
    </row>
    <row r="75" spans="1:57" customFormat="1" ht="4.5" customHeight="1" x14ac:dyDescent="0.35">
      <c r="A75" s="6"/>
      <c r="B75" s="6"/>
      <c r="C75" s="6"/>
      <c r="D75" s="6"/>
      <c r="E75" s="6"/>
      <c r="F75" s="6"/>
      <c r="G75" s="6"/>
      <c r="H75" s="41"/>
      <c r="I75" s="6"/>
      <c r="J75" s="6"/>
      <c r="K75" s="6"/>
      <c r="L75" s="6"/>
      <c r="M75" s="41"/>
      <c r="N75" s="6"/>
      <c r="O75" s="6"/>
      <c r="P75" s="6"/>
      <c r="Q75" s="6"/>
      <c r="R75" s="41"/>
      <c r="S75" s="6"/>
      <c r="T75" s="6"/>
      <c r="U75" s="6"/>
      <c r="V75" s="6"/>
      <c r="W75" s="41"/>
      <c r="X75" s="6"/>
      <c r="Y75" s="6"/>
      <c r="Z75" s="41"/>
      <c r="AA75" s="6"/>
      <c r="AB75" s="6"/>
      <c r="AC75" s="6"/>
      <c r="AD75" s="6"/>
      <c r="AE75" s="41"/>
      <c r="AF75" s="6"/>
      <c r="AG75" s="6"/>
      <c r="AH75" s="6"/>
      <c r="AI75" s="6"/>
      <c r="AJ75" s="41"/>
      <c r="AK75" s="6"/>
      <c r="AL75" s="6"/>
      <c r="AM75" s="6"/>
      <c r="AN75" s="6"/>
      <c r="AO75" s="41"/>
      <c r="AP75" s="6"/>
      <c r="AQ75" s="6"/>
      <c r="AR75" s="6"/>
      <c r="AS75" s="6"/>
      <c r="AT75" s="6"/>
      <c r="AU75" s="6"/>
      <c r="AV75" s="41"/>
      <c r="BB75" s="6"/>
      <c r="BC75" s="6"/>
      <c r="BD75" s="6"/>
      <c r="BE75" s="6"/>
    </row>
    <row r="76" spans="1:57" ht="14.5" customHeight="1" x14ac:dyDescent="0.35">
      <c r="A76" s="6"/>
      <c r="B76" s="129" t="s">
        <v>8</v>
      </c>
      <c r="C76" s="11" t="s">
        <v>65</v>
      </c>
      <c r="D76" s="13">
        <v>0.4</v>
      </c>
      <c r="E76" s="13">
        <v>0.4</v>
      </c>
      <c r="F76" s="13">
        <v>0.4</v>
      </c>
      <c r="G76" s="45">
        <v>0</v>
      </c>
      <c r="H76" s="41"/>
      <c r="I76" s="13">
        <v>0.35</v>
      </c>
      <c r="J76" s="13">
        <v>0.5</v>
      </c>
      <c r="K76" s="13">
        <v>0.3</v>
      </c>
      <c r="L76" s="45">
        <v>0</v>
      </c>
      <c r="M76" s="41"/>
      <c r="N76" s="13">
        <v>0.45</v>
      </c>
      <c r="O76" s="13">
        <v>0.45</v>
      </c>
      <c r="P76" s="13">
        <v>0.45</v>
      </c>
      <c r="Q76" s="45">
        <v>0</v>
      </c>
      <c r="R76" s="41"/>
      <c r="S76" s="13">
        <v>0.15</v>
      </c>
      <c r="T76" s="13">
        <v>0.32</v>
      </c>
      <c r="U76" s="13">
        <v>0.15</v>
      </c>
      <c r="V76" s="45">
        <v>0</v>
      </c>
      <c r="W76" s="41"/>
      <c r="X76" s="13">
        <v>0.1</v>
      </c>
      <c r="Y76" s="13">
        <v>0.1</v>
      </c>
      <c r="Z76" s="41"/>
      <c r="AA76" s="13">
        <v>0.35000000000000003</v>
      </c>
      <c r="AB76" s="13">
        <v>0.47499999999999998</v>
      </c>
      <c r="AC76" s="13">
        <v>0.35000000000000003</v>
      </c>
      <c r="AD76" s="45">
        <v>0</v>
      </c>
      <c r="AE76" s="41"/>
      <c r="AF76" s="13">
        <v>9.9999999999999992E-2</v>
      </c>
      <c r="AG76" s="13">
        <v>0.29499999999999998</v>
      </c>
      <c r="AH76" s="13">
        <v>9.9999999999999992E-2</v>
      </c>
      <c r="AI76" s="45">
        <v>0</v>
      </c>
      <c r="AJ76" s="41"/>
      <c r="AK76" s="13">
        <v>0.23000000000000004</v>
      </c>
      <c r="AL76" s="13">
        <v>0.39499999999999996</v>
      </c>
      <c r="AM76" s="45">
        <v>0</v>
      </c>
      <c r="AN76" s="45">
        <v>0</v>
      </c>
      <c r="AO76" s="41"/>
      <c r="AP76" s="129" t="s">
        <v>8</v>
      </c>
      <c r="AQ76" s="11" t="s">
        <v>65</v>
      </c>
      <c r="AR76" s="13">
        <v>0.23000000000000004</v>
      </c>
      <c r="AS76" s="13">
        <v>0.3</v>
      </c>
      <c r="AT76" s="45">
        <v>0</v>
      </c>
      <c r="AU76" s="45">
        <v>0</v>
      </c>
      <c r="AV76" s="41"/>
      <c r="AX76" s="46">
        <v>-0.25</v>
      </c>
      <c r="AY76" s="46">
        <v>-8.0000000000000016E-2</v>
      </c>
      <c r="AZ76" s="46">
        <v>-0.25</v>
      </c>
      <c r="BB76" s="13">
        <v>0.28000000000000003</v>
      </c>
      <c r="BC76" s="13">
        <v>0.35</v>
      </c>
      <c r="BD76" s="13">
        <v>0.28000000000000003</v>
      </c>
      <c r="BE76" s="45">
        <v>0</v>
      </c>
    </row>
    <row r="77" spans="1:57" ht="14.5" customHeight="1" x14ac:dyDescent="0.35">
      <c r="A77" s="6"/>
      <c r="B77" s="130"/>
      <c r="C77" s="11" t="s">
        <v>66</v>
      </c>
      <c r="D77" s="13">
        <v>0.38</v>
      </c>
      <c r="E77" s="13">
        <v>0.38</v>
      </c>
      <c r="F77" s="13">
        <v>0.38</v>
      </c>
      <c r="G77" s="13">
        <v>0</v>
      </c>
      <c r="H77" s="41"/>
      <c r="I77" s="13">
        <v>0.3</v>
      </c>
      <c r="J77" s="13">
        <v>0.4</v>
      </c>
      <c r="K77" s="13">
        <v>0.3</v>
      </c>
      <c r="L77" s="13">
        <v>0</v>
      </c>
      <c r="M77" s="41"/>
      <c r="N77" s="13">
        <v>0.45</v>
      </c>
      <c r="O77" s="13">
        <v>0.45</v>
      </c>
      <c r="P77" s="13">
        <v>0.45</v>
      </c>
      <c r="Q77" s="13">
        <v>0</v>
      </c>
      <c r="R77" s="41"/>
      <c r="S77" s="13">
        <v>0.13</v>
      </c>
      <c r="T77" s="13">
        <v>0.3</v>
      </c>
      <c r="U77" s="13">
        <v>0.13</v>
      </c>
      <c r="V77" s="13">
        <v>0</v>
      </c>
      <c r="W77" s="41"/>
      <c r="X77" s="13">
        <v>0.08</v>
      </c>
      <c r="Y77" s="13">
        <v>0.08</v>
      </c>
      <c r="Z77" s="41"/>
      <c r="AA77" s="13">
        <v>0.3</v>
      </c>
      <c r="AB77" s="13">
        <v>0.375</v>
      </c>
      <c r="AC77" s="13">
        <v>0.3</v>
      </c>
      <c r="AD77" s="13">
        <v>0</v>
      </c>
      <c r="AE77" s="41"/>
      <c r="AF77" s="13">
        <v>0.08</v>
      </c>
      <c r="AG77" s="13">
        <v>0.27499999999999997</v>
      </c>
      <c r="AH77" s="13">
        <v>0.08</v>
      </c>
      <c r="AI77" s="13">
        <v>0</v>
      </c>
      <c r="AJ77" s="41"/>
      <c r="AK77" s="13">
        <v>0.23000000000000004</v>
      </c>
      <c r="AL77" s="13">
        <v>0.39499999999999996</v>
      </c>
      <c r="AM77" s="13">
        <v>0</v>
      </c>
      <c r="AN77" s="13">
        <v>0</v>
      </c>
      <c r="AO77" s="41"/>
      <c r="AP77" s="130"/>
      <c r="AQ77" s="11" t="s">
        <v>66</v>
      </c>
      <c r="AR77" s="13">
        <v>0.23000000000000004</v>
      </c>
      <c r="AS77" s="13">
        <v>0.3</v>
      </c>
      <c r="AT77" s="45">
        <v>0</v>
      </c>
      <c r="AU77" s="45">
        <v>0</v>
      </c>
      <c r="AV77" s="41"/>
      <c r="AX77" s="46"/>
      <c r="AY77" s="46"/>
      <c r="AZ77" s="46"/>
      <c r="BB77" s="13"/>
      <c r="BC77" s="13"/>
      <c r="BD77" s="13"/>
      <c r="BE77" s="45"/>
    </row>
    <row r="78" spans="1:57" ht="14.5" customHeight="1" x14ac:dyDescent="0.35">
      <c r="A78" s="6"/>
      <c r="B78" s="130"/>
      <c r="C78" s="11" t="s">
        <v>67</v>
      </c>
      <c r="D78" s="13">
        <v>0.36</v>
      </c>
      <c r="E78" s="13">
        <v>0.36</v>
      </c>
      <c r="F78" s="13">
        <v>0.36</v>
      </c>
      <c r="G78" s="13">
        <v>0</v>
      </c>
      <c r="H78" s="41"/>
      <c r="I78" s="13">
        <v>0.27</v>
      </c>
      <c r="J78" s="13">
        <v>0.37</v>
      </c>
      <c r="K78" s="13">
        <v>0.27</v>
      </c>
      <c r="L78" s="13">
        <v>0</v>
      </c>
      <c r="M78" s="41"/>
      <c r="N78" s="13">
        <v>0.4</v>
      </c>
      <c r="O78" s="13">
        <v>0.4</v>
      </c>
      <c r="P78" s="13">
        <v>0.4</v>
      </c>
      <c r="Q78" s="13">
        <v>0</v>
      </c>
      <c r="R78" s="41"/>
      <c r="S78" s="13">
        <v>0.11</v>
      </c>
      <c r="T78" s="13">
        <v>0.27999999999999997</v>
      </c>
      <c r="U78" s="13">
        <v>0.11</v>
      </c>
      <c r="V78" s="13">
        <v>0</v>
      </c>
      <c r="W78" s="41"/>
      <c r="X78" s="13">
        <v>0.06</v>
      </c>
      <c r="Y78" s="13">
        <v>0.06</v>
      </c>
      <c r="Z78" s="41"/>
      <c r="AA78" s="13">
        <v>0.23000000000000004</v>
      </c>
      <c r="AB78" s="13">
        <v>0.34499999999999997</v>
      </c>
      <c r="AC78" s="13">
        <v>0.23000000000000004</v>
      </c>
      <c r="AD78" s="13">
        <v>0</v>
      </c>
      <c r="AE78" s="41"/>
      <c r="AF78" s="13">
        <v>0.06</v>
      </c>
      <c r="AG78" s="13">
        <v>0.25499999999999995</v>
      </c>
      <c r="AH78" s="13">
        <v>0.06</v>
      </c>
      <c r="AI78" s="13">
        <v>0</v>
      </c>
      <c r="AJ78" s="41"/>
      <c r="AK78" s="13">
        <v>0.23000000000000004</v>
      </c>
      <c r="AL78" s="13">
        <v>0.39499999999999996</v>
      </c>
      <c r="AM78" s="13">
        <v>0</v>
      </c>
      <c r="AN78" s="13">
        <v>0</v>
      </c>
      <c r="AO78" s="41"/>
      <c r="AP78" s="130"/>
      <c r="AQ78" s="11" t="s">
        <v>67</v>
      </c>
      <c r="AR78" s="13">
        <v>0.23000000000000004</v>
      </c>
      <c r="AS78" s="13">
        <v>0.3</v>
      </c>
      <c r="AT78" s="45">
        <v>0</v>
      </c>
      <c r="AU78" s="45">
        <v>0</v>
      </c>
      <c r="AV78" s="41"/>
      <c r="AX78" s="46"/>
      <c r="AY78" s="46"/>
      <c r="AZ78" s="46"/>
      <c r="BB78" s="13"/>
      <c r="BC78" s="13"/>
      <c r="BD78" s="13"/>
      <c r="BE78" s="45"/>
    </row>
    <row r="79" spans="1:57" ht="18.5" x14ac:dyDescent="0.35">
      <c r="A79" s="6"/>
      <c r="B79" s="131"/>
      <c r="C79" s="11" t="s">
        <v>68</v>
      </c>
      <c r="D79" s="13">
        <v>7.4999999999999997E-2</v>
      </c>
      <c r="E79" s="13">
        <v>7.4999999999999997E-2</v>
      </c>
      <c r="F79" s="13">
        <v>7.4999999999999997E-2</v>
      </c>
      <c r="G79" s="45">
        <v>0</v>
      </c>
      <c r="H79" s="41"/>
      <c r="I79" s="13">
        <v>0.2</v>
      </c>
      <c r="J79" s="13">
        <v>0.2</v>
      </c>
      <c r="K79" s="13">
        <v>0.2</v>
      </c>
      <c r="L79" s="45">
        <v>0</v>
      </c>
      <c r="M79" s="41"/>
      <c r="N79" s="13">
        <v>0.2</v>
      </c>
      <c r="O79" s="13">
        <v>0.2</v>
      </c>
      <c r="P79" s="13">
        <v>0.2</v>
      </c>
      <c r="Q79" s="45">
        <v>0</v>
      </c>
      <c r="R79" s="41"/>
      <c r="S79" s="13">
        <v>0.22500000000000001</v>
      </c>
      <c r="T79" s="13">
        <v>0.22500000000000001</v>
      </c>
      <c r="U79" s="13">
        <v>0.22500000000000001</v>
      </c>
      <c r="V79" s="45">
        <v>0</v>
      </c>
      <c r="W79" s="41"/>
      <c r="X79" s="13">
        <v>0.1</v>
      </c>
      <c r="Y79" s="13">
        <v>0.1</v>
      </c>
      <c r="Z79" s="41"/>
      <c r="AA79" s="13">
        <v>0.15000000000000002</v>
      </c>
      <c r="AB79" s="13">
        <v>0.17500000000000002</v>
      </c>
      <c r="AC79" s="13">
        <v>0.15000000000000002</v>
      </c>
      <c r="AD79" s="45">
        <v>0</v>
      </c>
      <c r="AE79" s="41"/>
      <c r="AF79" s="13">
        <v>0</v>
      </c>
      <c r="AG79" s="13">
        <v>0</v>
      </c>
      <c r="AH79" s="13">
        <v>0</v>
      </c>
      <c r="AI79" s="45">
        <v>0</v>
      </c>
      <c r="AJ79" s="41"/>
      <c r="AK79" s="13">
        <v>0</v>
      </c>
      <c r="AL79" s="13">
        <v>0.17500000000000002</v>
      </c>
      <c r="AM79" s="45">
        <v>0</v>
      </c>
      <c r="AN79" s="45">
        <v>0</v>
      </c>
      <c r="AO79" s="41"/>
      <c r="AP79" s="131"/>
      <c r="AQ79" s="11" t="s">
        <v>68</v>
      </c>
      <c r="AR79" s="45">
        <v>0</v>
      </c>
      <c r="AS79" s="45">
        <v>0</v>
      </c>
      <c r="AT79" s="45">
        <v>0</v>
      </c>
      <c r="AU79" s="45">
        <v>0</v>
      </c>
      <c r="AV79" s="41"/>
      <c r="AX79" s="46">
        <v>-7.4999999999999997E-2</v>
      </c>
      <c r="AY79" s="46">
        <v>-7.4999999999999997E-2</v>
      </c>
      <c r="AZ79" s="46">
        <v>-7.4999999999999997E-2</v>
      </c>
      <c r="BB79" s="13">
        <v>0</v>
      </c>
      <c r="BC79" s="13">
        <v>0</v>
      </c>
      <c r="BD79" s="13">
        <v>0</v>
      </c>
      <c r="BE79" s="45">
        <v>0</v>
      </c>
    </row>
    <row r="80" spans="1:57" ht="18.5" x14ac:dyDescent="0.35">
      <c r="A80" s="6"/>
      <c r="B80" s="131"/>
      <c r="C80" s="11" t="s">
        <v>69</v>
      </c>
      <c r="D80" s="13">
        <v>0.1</v>
      </c>
      <c r="E80" s="13">
        <v>0.4</v>
      </c>
      <c r="F80" s="13">
        <v>0.1</v>
      </c>
      <c r="G80" s="45">
        <v>0</v>
      </c>
      <c r="H80" s="41"/>
      <c r="I80" s="13">
        <v>0.1</v>
      </c>
      <c r="J80" s="13">
        <v>0.4</v>
      </c>
      <c r="K80" s="13">
        <v>0.1</v>
      </c>
      <c r="L80" s="45">
        <v>0</v>
      </c>
      <c r="M80" s="41"/>
      <c r="N80" s="13">
        <v>0.1</v>
      </c>
      <c r="O80" s="13">
        <v>0.4</v>
      </c>
      <c r="P80" s="13">
        <v>0.1</v>
      </c>
      <c r="Q80" s="45">
        <v>0</v>
      </c>
      <c r="R80" s="41"/>
      <c r="S80" s="13">
        <v>6.5000000000000002E-2</v>
      </c>
      <c r="T80" s="13">
        <v>0.4</v>
      </c>
      <c r="U80" s="13">
        <v>6.5000000000000002E-2</v>
      </c>
      <c r="V80" s="45">
        <v>0</v>
      </c>
      <c r="W80" s="41"/>
      <c r="X80" s="13">
        <v>0.1</v>
      </c>
      <c r="Y80" s="13">
        <v>0.1</v>
      </c>
      <c r="Z80" s="41"/>
      <c r="AA80" s="13">
        <v>0.05</v>
      </c>
      <c r="AB80" s="13">
        <v>0.375</v>
      </c>
      <c r="AC80" s="13">
        <v>0.05</v>
      </c>
      <c r="AD80" s="45">
        <v>0</v>
      </c>
      <c r="AE80" s="41"/>
      <c r="AF80" s="13">
        <v>0.05</v>
      </c>
      <c r="AG80" s="13">
        <v>0.375</v>
      </c>
      <c r="AH80" s="13">
        <v>0.05</v>
      </c>
      <c r="AI80" s="45">
        <v>0</v>
      </c>
      <c r="AJ80" s="41"/>
      <c r="AK80" s="13">
        <v>0.05</v>
      </c>
      <c r="AL80" s="13">
        <v>0.375</v>
      </c>
      <c r="AM80" s="45">
        <v>0</v>
      </c>
      <c r="AN80" s="45">
        <v>0</v>
      </c>
      <c r="AO80" s="41"/>
      <c r="AP80" s="131"/>
      <c r="AQ80" s="11" t="s">
        <v>69</v>
      </c>
      <c r="AR80" s="45">
        <v>0</v>
      </c>
      <c r="AS80" s="45">
        <v>0</v>
      </c>
      <c r="AT80" s="45">
        <v>0</v>
      </c>
      <c r="AU80" s="45">
        <v>0</v>
      </c>
      <c r="AV80" s="41"/>
      <c r="AX80" s="46">
        <v>0</v>
      </c>
      <c r="AY80" s="46">
        <v>0</v>
      </c>
      <c r="AZ80" s="46">
        <v>0</v>
      </c>
      <c r="BB80" s="13">
        <v>0.28000000000000003</v>
      </c>
      <c r="BC80" s="13">
        <v>0.35</v>
      </c>
      <c r="BD80" s="13">
        <v>0.28000000000000003</v>
      </c>
      <c r="BE80" s="45">
        <v>0</v>
      </c>
    </row>
    <row r="81" spans="1:57" ht="18.5" x14ac:dyDescent="0.35">
      <c r="A81" s="6"/>
      <c r="B81" s="132"/>
      <c r="C81" s="11" t="s">
        <v>23</v>
      </c>
      <c r="D81" s="13">
        <v>0</v>
      </c>
      <c r="E81" s="13">
        <v>0.125</v>
      </c>
      <c r="F81" s="13">
        <v>0</v>
      </c>
      <c r="G81" s="45">
        <v>0</v>
      </c>
      <c r="H81" s="41"/>
      <c r="I81" s="13">
        <v>0</v>
      </c>
      <c r="J81" s="13">
        <v>0.125</v>
      </c>
      <c r="K81" s="13">
        <v>0</v>
      </c>
      <c r="L81" s="45">
        <v>0</v>
      </c>
      <c r="M81" s="41"/>
      <c r="N81" s="13">
        <v>0</v>
      </c>
      <c r="O81" s="13">
        <v>0.125</v>
      </c>
      <c r="P81" s="13">
        <v>0</v>
      </c>
      <c r="Q81" s="45">
        <v>0</v>
      </c>
      <c r="R81" s="41"/>
      <c r="S81" s="13">
        <v>0</v>
      </c>
      <c r="T81" s="13">
        <v>0.125</v>
      </c>
      <c r="U81" s="13">
        <v>0</v>
      </c>
      <c r="V81" s="45">
        <v>0</v>
      </c>
      <c r="W81" s="41"/>
      <c r="X81" s="13">
        <v>0</v>
      </c>
      <c r="Y81" s="13">
        <v>0</v>
      </c>
      <c r="Z81" s="41"/>
      <c r="AA81" s="13">
        <v>0</v>
      </c>
      <c r="AB81" s="13">
        <v>0.1</v>
      </c>
      <c r="AC81" s="13">
        <v>0</v>
      </c>
      <c r="AD81" s="45">
        <v>0</v>
      </c>
      <c r="AE81" s="41"/>
      <c r="AF81" s="13">
        <v>0</v>
      </c>
      <c r="AG81" s="13">
        <v>0.1</v>
      </c>
      <c r="AH81" s="13">
        <v>0</v>
      </c>
      <c r="AI81" s="45">
        <v>0</v>
      </c>
      <c r="AJ81" s="41"/>
      <c r="AK81" s="13">
        <v>0</v>
      </c>
      <c r="AL81" s="13">
        <v>0.1</v>
      </c>
      <c r="AM81" s="45">
        <v>0</v>
      </c>
      <c r="AN81" s="45">
        <v>0</v>
      </c>
      <c r="AO81" s="41"/>
      <c r="AP81" s="132"/>
      <c r="AQ81" s="11" t="s">
        <v>23</v>
      </c>
      <c r="AR81" s="45">
        <v>0</v>
      </c>
      <c r="AS81" s="45">
        <v>0</v>
      </c>
      <c r="AT81" s="45">
        <v>0</v>
      </c>
      <c r="AU81" s="45">
        <v>0</v>
      </c>
      <c r="AV81" s="41"/>
      <c r="AX81" s="46"/>
      <c r="AY81" s="46">
        <v>0</v>
      </c>
      <c r="AZ81" s="46"/>
      <c r="BB81" s="45">
        <v>0</v>
      </c>
      <c r="BC81" s="13">
        <v>0.125</v>
      </c>
      <c r="BD81" s="45">
        <v>0</v>
      </c>
      <c r="BE81" s="45">
        <v>0</v>
      </c>
    </row>
    <row r="82" spans="1:57" customFormat="1" ht="4.5" customHeight="1" x14ac:dyDescent="0.35">
      <c r="A82" s="6"/>
      <c r="B82" s="6"/>
      <c r="C82" s="6"/>
      <c r="D82" s="6"/>
      <c r="E82" s="6"/>
      <c r="F82" s="6"/>
      <c r="G82" s="6"/>
      <c r="H82" s="41"/>
      <c r="I82" s="6"/>
      <c r="J82" s="6"/>
      <c r="K82" s="6"/>
      <c r="L82" s="6"/>
      <c r="M82" s="41"/>
      <c r="N82" s="6"/>
      <c r="O82" s="6"/>
      <c r="P82" s="6"/>
      <c r="Q82" s="6"/>
      <c r="R82" s="41"/>
      <c r="S82" s="6"/>
      <c r="T82" s="6"/>
      <c r="U82" s="6"/>
      <c r="V82" s="6"/>
      <c r="W82" s="41"/>
      <c r="X82" s="6"/>
      <c r="Y82" s="6"/>
      <c r="Z82" s="41"/>
      <c r="AA82" s="6"/>
      <c r="AB82" s="6"/>
      <c r="AC82" s="6"/>
      <c r="AD82" s="6"/>
      <c r="AE82" s="41"/>
      <c r="AF82" s="6"/>
      <c r="AG82" s="6"/>
      <c r="AH82" s="6"/>
      <c r="AI82" s="6"/>
      <c r="AJ82" s="41"/>
      <c r="AK82" s="6"/>
      <c r="AL82" s="6"/>
      <c r="AM82" s="6"/>
      <c r="AN82" s="6"/>
      <c r="AO82" s="41"/>
      <c r="AP82" s="6"/>
      <c r="AQ82" s="6"/>
      <c r="AR82" s="6"/>
      <c r="AS82" s="6"/>
      <c r="AT82" s="6"/>
      <c r="AU82" s="6"/>
      <c r="AV82" s="41"/>
      <c r="BB82" s="6"/>
      <c r="BC82" s="6"/>
      <c r="BD82" s="6"/>
      <c r="BE82" s="6"/>
    </row>
    <row r="83" spans="1:57" ht="14.5" customHeight="1" x14ac:dyDescent="0.35">
      <c r="A83" s="6"/>
      <c r="B83" s="129" t="s">
        <v>11</v>
      </c>
      <c r="C83" s="11" t="s">
        <v>65</v>
      </c>
      <c r="D83" s="13">
        <v>0</v>
      </c>
      <c r="E83" s="13">
        <v>0</v>
      </c>
      <c r="F83" s="13">
        <v>0</v>
      </c>
      <c r="G83" s="45">
        <v>0</v>
      </c>
      <c r="H83" s="41"/>
      <c r="I83" s="13">
        <v>0</v>
      </c>
      <c r="J83" s="13">
        <v>0</v>
      </c>
      <c r="K83" s="13">
        <v>0</v>
      </c>
      <c r="L83" s="45">
        <v>0</v>
      </c>
      <c r="M83" s="41"/>
      <c r="N83" s="13">
        <v>0</v>
      </c>
      <c r="O83" s="13">
        <v>0</v>
      </c>
      <c r="P83" s="13">
        <v>0</v>
      </c>
      <c r="Q83" s="45">
        <v>0</v>
      </c>
      <c r="R83" s="41"/>
      <c r="S83" s="13">
        <v>0</v>
      </c>
      <c r="T83" s="13">
        <v>0</v>
      </c>
      <c r="U83" s="13">
        <v>0</v>
      </c>
      <c r="V83" s="45">
        <v>0</v>
      </c>
      <c r="W83" s="41"/>
      <c r="X83" s="13">
        <v>0</v>
      </c>
      <c r="Y83" s="13">
        <v>0</v>
      </c>
      <c r="Z83" s="41"/>
      <c r="AA83" s="45">
        <v>0</v>
      </c>
      <c r="AB83" s="45">
        <v>0</v>
      </c>
      <c r="AC83" s="45">
        <v>0</v>
      </c>
      <c r="AD83" s="45">
        <v>0</v>
      </c>
      <c r="AE83" s="41"/>
      <c r="AF83" s="13">
        <v>0</v>
      </c>
      <c r="AG83" s="13">
        <v>0</v>
      </c>
      <c r="AH83" s="13">
        <v>0</v>
      </c>
      <c r="AI83" s="45">
        <v>0</v>
      </c>
      <c r="AJ83" s="41"/>
      <c r="AK83" s="13">
        <v>0</v>
      </c>
      <c r="AL83" s="13">
        <v>0</v>
      </c>
      <c r="AM83" s="45">
        <v>0</v>
      </c>
      <c r="AN83" s="45">
        <v>0</v>
      </c>
      <c r="AO83" s="41"/>
      <c r="AP83" s="129" t="s">
        <v>11</v>
      </c>
      <c r="AQ83" s="11" t="s">
        <v>65</v>
      </c>
      <c r="AR83" s="45">
        <v>0</v>
      </c>
      <c r="AS83" s="45">
        <v>0</v>
      </c>
      <c r="AT83" s="45">
        <v>0</v>
      </c>
      <c r="AU83" s="45">
        <v>0</v>
      </c>
      <c r="AV83" s="41"/>
      <c r="AX83" s="46">
        <v>0</v>
      </c>
      <c r="AY83" s="46">
        <v>0</v>
      </c>
      <c r="AZ83" s="46">
        <v>0</v>
      </c>
      <c r="BB83" s="13">
        <v>0</v>
      </c>
      <c r="BC83" s="13">
        <v>0</v>
      </c>
      <c r="BD83" s="13">
        <v>0</v>
      </c>
      <c r="BE83" s="45">
        <v>0</v>
      </c>
    </row>
    <row r="84" spans="1:57" ht="14.5" customHeight="1" x14ac:dyDescent="0.35">
      <c r="A84" s="6"/>
      <c r="B84" s="130"/>
      <c r="C84" s="11" t="s">
        <v>66</v>
      </c>
      <c r="D84" s="13">
        <v>0</v>
      </c>
      <c r="E84" s="13">
        <v>0</v>
      </c>
      <c r="F84" s="13">
        <v>0</v>
      </c>
      <c r="G84" s="13">
        <v>0</v>
      </c>
      <c r="H84" s="41"/>
      <c r="I84" s="13">
        <v>0</v>
      </c>
      <c r="J84" s="13">
        <v>0</v>
      </c>
      <c r="K84" s="13">
        <v>0</v>
      </c>
      <c r="L84" s="13">
        <v>0</v>
      </c>
      <c r="M84" s="41"/>
      <c r="N84" s="13">
        <v>0</v>
      </c>
      <c r="O84" s="13">
        <v>0</v>
      </c>
      <c r="P84" s="13">
        <v>0</v>
      </c>
      <c r="Q84" s="13">
        <v>0</v>
      </c>
      <c r="R84" s="41"/>
      <c r="S84" s="13">
        <v>0</v>
      </c>
      <c r="T84" s="13">
        <v>0</v>
      </c>
      <c r="U84" s="13">
        <v>0</v>
      </c>
      <c r="V84" s="13">
        <v>0</v>
      </c>
      <c r="W84" s="41"/>
      <c r="X84" s="13">
        <v>0</v>
      </c>
      <c r="Y84" s="13">
        <v>0</v>
      </c>
      <c r="Z84" s="41"/>
      <c r="AA84" s="45">
        <v>0</v>
      </c>
      <c r="AB84" s="45">
        <v>0</v>
      </c>
      <c r="AC84" s="45">
        <v>0</v>
      </c>
      <c r="AD84" s="13">
        <v>0</v>
      </c>
      <c r="AE84" s="41"/>
      <c r="AF84" s="13">
        <v>0</v>
      </c>
      <c r="AG84" s="13">
        <v>0</v>
      </c>
      <c r="AH84" s="13">
        <v>0</v>
      </c>
      <c r="AI84" s="13">
        <v>0</v>
      </c>
      <c r="AJ84" s="41"/>
      <c r="AK84" s="13">
        <v>0</v>
      </c>
      <c r="AL84" s="13">
        <v>0</v>
      </c>
      <c r="AM84" s="13">
        <v>0</v>
      </c>
      <c r="AN84" s="13">
        <v>0</v>
      </c>
      <c r="AO84" s="41"/>
      <c r="AP84" s="130"/>
      <c r="AQ84" s="11" t="s">
        <v>66</v>
      </c>
      <c r="AR84" s="13">
        <v>0</v>
      </c>
      <c r="AS84" s="13">
        <v>0</v>
      </c>
      <c r="AT84" s="45">
        <v>0</v>
      </c>
      <c r="AU84" s="45">
        <v>0</v>
      </c>
      <c r="AV84" s="41"/>
      <c r="AX84" s="46"/>
      <c r="AY84" s="46"/>
      <c r="AZ84" s="46"/>
      <c r="BB84" s="13"/>
      <c r="BC84" s="13"/>
      <c r="BD84" s="13"/>
      <c r="BE84" s="45"/>
    </row>
    <row r="85" spans="1:57" ht="14.5" customHeight="1" x14ac:dyDescent="0.35">
      <c r="A85" s="6"/>
      <c r="B85" s="130"/>
      <c r="C85" s="11" t="s">
        <v>67</v>
      </c>
      <c r="D85" s="13">
        <v>0</v>
      </c>
      <c r="E85" s="13">
        <v>0</v>
      </c>
      <c r="F85" s="13">
        <v>0</v>
      </c>
      <c r="G85" s="13">
        <v>0</v>
      </c>
      <c r="H85" s="41"/>
      <c r="I85" s="13">
        <v>0</v>
      </c>
      <c r="J85" s="13">
        <v>0</v>
      </c>
      <c r="K85" s="13">
        <v>0</v>
      </c>
      <c r="L85" s="13">
        <v>0</v>
      </c>
      <c r="M85" s="41"/>
      <c r="N85" s="13">
        <v>0</v>
      </c>
      <c r="O85" s="13">
        <v>0</v>
      </c>
      <c r="P85" s="13">
        <v>0</v>
      </c>
      <c r="Q85" s="13">
        <v>0</v>
      </c>
      <c r="R85" s="41"/>
      <c r="S85" s="13">
        <v>0</v>
      </c>
      <c r="T85" s="13">
        <v>0</v>
      </c>
      <c r="U85" s="13">
        <v>0</v>
      </c>
      <c r="V85" s="13">
        <v>0</v>
      </c>
      <c r="W85" s="41"/>
      <c r="X85" s="13">
        <v>0</v>
      </c>
      <c r="Y85" s="13">
        <v>0</v>
      </c>
      <c r="Z85" s="41"/>
      <c r="AA85" s="45">
        <v>0</v>
      </c>
      <c r="AB85" s="45">
        <v>0</v>
      </c>
      <c r="AC85" s="45">
        <v>0</v>
      </c>
      <c r="AD85" s="13">
        <v>0</v>
      </c>
      <c r="AE85" s="41"/>
      <c r="AF85" s="13">
        <v>0</v>
      </c>
      <c r="AG85" s="13">
        <v>0</v>
      </c>
      <c r="AH85" s="13">
        <v>0</v>
      </c>
      <c r="AI85" s="13">
        <v>0</v>
      </c>
      <c r="AJ85" s="41"/>
      <c r="AK85" s="13">
        <v>0</v>
      </c>
      <c r="AL85" s="13">
        <v>0</v>
      </c>
      <c r="AM85" s="13">
        <v>0</v>
      </c>
      <c r="AN85" s="13">
        <v>0</v>
      </c>
      <c r="AO85" s="41"/>
      <c r="AP85" s="130"/>
      <c r="AQ85" s="11" t="s">
        <v>67</v>
      </c>
      <c r="AR85" s="13">
        <v>0</v>
      </c>
      <c r="AS85" s="13">
        <v>0</v>
      </c>
      <c r="AT85" s="45">
        <v>0</v>
      </c>
      <c r="AU85" s="45">
        <v>0</v>
      </c>
      <c r="AV85" s="41"/>
      <c r="AX85" s="46"/>
      <c r="AY85" s="46"/>
      <c r="AZ85" s="46"/>
      <c r="BB85" s="13"/>
      <c r="BC85" s="13"/>
      <c r="BD85" s="13"/>
      <c r="BE85" s="45"/>
    </row>
    <row r="86" spans="1:57" ht="18.5" x14ac:dyDescent="0.35">
      <c r="A86" s="6"/>
      <c r="B86" s="131"/>
      <c r="C86" s="11" t="s">
        <v>68</v>
      </c>
      <c r="D86" s="13">
        <v>0</v>
      </c>
      <c r="E86" s="13">
        <v>0</v>
      </c>
      <c r="F86" s="13">
        <v>0</v>
      </c>
      <c r="G86" s="45">
        <v>0</v>
      </c>
      <c r="H86" s="41"/>
      <c r="I86" s="13">
        <v>0</v>
      </c>
      <c r="J86" s="13">
        <v>0</v>
      </c>
      <c r="K86" s="13">
        <v>0</v>
      </c>
      <c r="L86" s="45">
        <v>0</v>
      </c>
      <c r="M86" s="41"/>
      <c r="N86" s="13">
        <v>0</v>
      </c>
      <c r="O86" s="13">
        <v>0</v>
      </c>
      <c r="P86" s="13">
        <v>0</v>
      </c>
      <c r="Q86" s="45">
        <v>0</v>
      </c>
      <c r="R86" s="41"/>
      <c r="S86" s="13">
        <v>0</v>
      </c>
      <c r="T86" s="13">
        <v>0</v>
      </c>
      <c r="U86" s="13">
        <v>0</v>
      </c>
      <c r="V86" s="45">
        <v>0</v>
      </c>
      <c r="W86" s="41"/>
      <c r="X86" s="13">
        <v>0</v>
      </c>
      <c r="Y86" s="13">
        <v>0</v>
      </c>
      <c r="Z86" s="41"/>
      <c r="AA86" s="45">
        <v>0</v>
      </c>
      <c r="AB86" s="45">
        <v>0</v>
      </c>
      <c r="AC86" s="45">
        <v>0</v>
      </c>
      <c r="AD86" s="45">
        <v>0</v>
      </c>
      <c r="AE86" s="41"/>
      <c r="AF86" s="13">
        <v>0</v>
      </c>
      <c r="AG86" s="13">
        <v>0</v>
      </c>
      <c r="AH86" s="13">
        <v>0</v>
      </c>
      <c r="AI86" s="45">
        <v>0</v>
      </c>
      <c r="AJ86" s="41"/>
      <c r="AK86" s="13">
        <v>0</v>
      </c>
      <c r="AL86" s="13">
        <v>0</v>
      </c>
      <c r="AM86" s="45">
        <v>0</v>
      </c>
      <c r="AN86" s="45">
        <v>0</v>
      </c>
      <c r="AO86" s="41"/>
      <c r="AP86" s="131"/>
      <c r="AQ86" s="11" t="s">
        <v>68</v>
      </c>
      <c r="AR86" s="45">
        <v>0</v>
      </c>
      <c r="AS86" s="45">
        <v>0</v>
      </c>
      <c r="AT86" s="45">
        <v>0</v>
      </c>
      <c r="AU86" s="45">
        <v>0</v>
      </c>
      <c r="AV86" s="41"/>
      <c r="AX86" s="46">
        <v>0</v>
      </c>
      <c r="AY86" s="46">
        <v>0</v>
      </c>
      <c r="AZ86" s="46">
        <v>0</v>
      </c>
      <c r="BB86" s="13">
        <v>0</v>
      </c>
      <c r="BC86" s="13">
        <v>0</v>
      </c>
      <c r="BD86" s="13">
        <v>0</v>
      </c>
      <c r="BE86" s="45">
        <v>0</v>
      </c>
    </row>
    <row r="87" spans="1:57" ht="18.5" x14ac:dyDescent="0.35">
      <c r="A87" s="6"/>
      <c r="B87" s="131"/>
      <c r="C87" s="11" t="s">
        <v>69</v>
      </c>
      <c r="D87" s="13">
        <v>0</v>
      </c>
      <c r="E87" s="13">
        <v>0</v>
      </c>
      <c r="F87" s="13">
        <v>0</v>
      </c>
      <c r="G87" s="45">
        <v>0</v>
      </c>
      <c r="H87" s="41"/>
      <c r="I87" s="13">
        <v>0</v>
      </c>
      <c r="J87" s="13">
        <v>0</v>
      </c>
      <c r="K87" s="13">
        <v>0</v>
      </c>
      <c r="L87" s="45">
        <v>0</v>
      </c>
      <c r="M87" s="41"/>
      <c r="N87" s="13">
        <v>0</v>
      </c>
      <c r="O87" s="13">
        <v>0</v>
      </c>
      <c r="P87" s="13">
        <v>0</v>
      </c>
      <c r="Q87" s="45">
        <v>0</v>
      </c>
      <c r="R87" s="41"/>
      <c r="S87" s="13">
        <v>0</v>
      </c>
      <c r="T87" s="13">
        <v>0</v>
      </c>
      <c r="U87" s="13">
        <v>0</v>
      </c>
      <c r="V87" s="45">
        <v>0</v>
      </c>
      <c r="W87" s="41"/>
      <c r="X87" s="13">
        <v>0</v>
      </c>
      <c r="Y87" s="13">
        <v>0</v>
      </c>
      <c r="Z87" s="41"/>
      <c r="AA87" s="45">
        <v>0</v>
      </c>
      <c r="AB87" s="45">
        <v>0</v>
      </c>
      <c r="AC87" s="45">
        <v>0</v>
      </c>
      <c r="AD87" s="45">
        <v>0</v>
      </c>
      <c r="AE87" s="41"/>
      <c r="AF87" s="13">
        <v>0</v>
      </c>
      <c r="AG87" s="13">
        <v>0</v>
      </c>
      <c r="AH87" s="13">
        <v>0</v>
      </c>
      <c r="AI87" s="45">
        <v>0</v>
      </c>
      <c r="AJ87" s="41"/>
      <c r="AK87" s="13">
        <v>0</v>
      </c>
      <c r="AL87" s="13">
        <v>0</v>
      </c>
      <c r="AM87" s="45">
        <v>0</v>
      </c>
      <c r="AN87" s="45">
        <v>0</v>
      </c>
      <c r="AO87" s="41"/>
      <c r="AP87" s="131"/>
      <c r="AQ87" s="11" t="s">
        <v>69</v>
      </c>
      <c r="AR87" s="45">
        <v>0</v>
      </c>
      <c r="AS87" s="45">
        <v>0</v>
      </c>
      <c r="AT87" s="45">
        <v>0</v>
      </c>
      <c r="AU87" s="45">
        <v>0</v>
      </c>
      <c r="AV87" s="41"/>
      <c r="AX87" s="46">
        <v>0</v>
      </c>
      <c r="AY87" s="46">
        <v>0</v>
      </c>
      <c r="AZ87" s="46">
        <v>0</v>
      </c>
      <c r="BB87" s="13">
        <v>0</v>
      </c>
      <c r="BC87" s="13">
        <v>0</v>
      </c>
      <c r="BD87" s="13">
        <v>0</v>
      </c>
      <c r="BE87" s="45">
        <v>0</v>
      </c>
    </row>
    <row r="88" spans="1:57" ht="18.5" x14ac:dyDescent="0.35">
      <c r="A88" s="6"/>
      <c r="B88" s="132"/>
      <c r="C88" s="11" t="s">
        <v>23</v>
      </c>
      <c r="D88" s="13">
        <v>0</v>
      </c>
      <c r="E88" s="13">
        <v>0</v>
      </c>
      <c r="F88" s="13">
        <v>0</v>
      </c>
      <c r="G88" s="45">
        <v>0</v>
      </c>
      <c r="H88" s="41"/>
      <c r="I88" s="45">
        <v>0</v>
      </c>
      <c r="J88" s="45">
        <v>0</v>
      </c>
      <c r="K88" s="45">
        <v>0</v>
      </c>
      <c r="L88" s="45">
        <v>0</v>
      </c>
      <c r="M88" s="41"/>
      <c r="N88" s="45">
        <v>0</v>
      </c>
      <c r="O88" s="45">
        <v>0</v>
      </c>
      <c r="P88" s="45">
        <v>0</v>
      </c>
      <c r="Q88" s="45">
        <v>0</v>
      </c>
      <c r="R88" s="41"/>
      <c r="S88" s="45">
        <v>0</v>
      </c>
      <c r="T88" s="45">
        <v>0</v>
      </c>
      <c r="U88" s="45">
        <v>0</v>
      </c>
      <c r="V88" s="45">
        <v>0</v>
      </c>
      <c r="W88" s="41"/>
      <c r="X88" s="45">
        <v>0</v>
      </c>
      <c r="Y88" s="45">
        <v>0</v>
      </c>
      <c r="Z88" s="41"/>
      <c r="AA88" s="45">
        <v>0</v>
      </c>
      <c r="AB88" s="45">
        <v>0</v>
      </c>
      <c r="AC88" s="45">
        <v>0</v>
      </c>
      <c r="AD88" s="45">
        <v>0</v>
      </c>
      <c r="AE88" s="41"/>
      <c r="AF88" s="45">
        <v>0</v>
      </c>
      <c r="AG88" s="13">
        <v>0</v>
      </c>
      <c r="AH88" s="45">
        <v>0</v>
      </c>
      <c r="AI88" s="45">
        <v>0</v>
      </c>
      <c r="AJ88" s="41"/>
      <c r="AK88" s="45">
        <v>0</v>
      </c>
      <c r="AL88" s="45">
        <v>0</v>
      </c>
      <c r="AM88" s="45">
        <v>0</v>
      </c>
      <c r="AN88" s="45">
        <v>0</v>
      </c>
      <c r="AO88" s="41"/>
      <c r="AP88" s="132"/>
      <c r="AQ88" s="11" t="s">
        <v>23</v>
      </c>
      <c r="AR88" s="45">
        <v>0</v>
      </c>
      <c r="AS88" s="45">
        <v>0</v>
      </c>
      <c r="AT88" s="45">
        <v>0</v>
      </c>
      <c r="AU88" s="45">
        <v>0</v>
      </c>
      <c r="AV88" s="41"/>
      <c r="AX88" s="46"/>
      <c r="AY88" s="46" t="e">
        <v>#VALUE!</v>
      </c>
      <c r="AZ88" s="46"/>
      <c r="BB88" s="45">
        <v>0</v>
      </c>
      <c r="BC88" s="13">
        <v>7.4999999999999997E-2</v>
      </c>
      <c r="BD88" s="45">
        <v>0</v>
      </c>
      <c r="BE88" s="45">
        <v>0</v>
      </c>
    </row>
    <row r="89" spans="1:57" customFormat="1" ht="4.5" customHeight="1" x14ac:dyDescent="0.35">
      <c r="A89" s="6"/>
      <c r="B89" s="6"/>
      <c r="C89" s="6"/>
      <c r="D89" s="6"/>
      <c r="E89" s="6"/>
      <c r="F89" s="6"/>
      <c r="G89" s="6"/>
      <c r="H89" s="41"/>
      <c r="I89" s="6"/>
      <c r="J89" s="6"/>
      <c r="K89" s="6"/>
      <c r="L89" s="6"/>
      <c r="M89" s="41"/>
      <c r="N89" s="6"/>
      <c r="O89" s="6"/>
      <c r="P89" s="6"/>
      <c r="Q89" s="6"/>
      <c r="R89" s="41"/>
      <c r="S89" s="6"/>
      <c r="T89" s="6"/>
      <c r="U89" s="6"/>
      <c r="V89" s="6"/>
      <c r="W89" s="41"/>
      <c r="X89" s="6"/>
      <c r="Y89" s="6"/>
      <c r="Z89" s="41"/>
      <c r="AA89" s="6"/>
      <c r="AB89" s="6"/>
      <c r="AC89" s="6"/>
      <c r="AD89" s="6"/>
      <c r="AE89" s="41"/>
      <c r="AF89" s="6"/>
      <c r="AG89" s="6"/>
      <c r="AH89" s="6"/>
      <c r="AI89" s="6"/>
      <c r="AJ89" s="41"/>
      <c r="AK89" s="6"/>
      <c r="AL89" s="6"/>
      <c r="AM89" s="6"/>
      <c r="AN89" s="6"/>
      <c r="AO89" s="41"/>
      <c r="AP89" s="6"/>
      <c r="AQ89" s="6"/>
      <c r="AR89" s="6"/>
      <c r="AS89" s="6"/>
      <c r="AT89" s="6"/>
      <c r="AU89" s="6"/>
      <c r="AV89" s="41"/>
      <c r="BB89" s="6"/>
      <c r="BC89" s="6"/>
      <c r="BD89" s="6"/>
      <c r="BE89" s="6"/>
    </row>
    <row r="90" spans="1:57" ht="14.5" customHeight="1" x14ac:dyDescent="0.35">
      <c r="A90" s="6"/>
      <c r="B90" s="129" t="s">
        <v>9</v>
      </c>
      <c r="C90" s="11" t="s">
        <v>65</v>
      </c>
      <c r="D90" s="16">
        <v>0</v>
      </c>
      <c r="E90" s="13">
        <v>0.25</v>
      </c>
      <c r="F90" s="13">
        <v>0.25</v>
      </c>
      <c r="G90" s="45">
        <v>0</v>
      </c>
      <c r="H90" s="41"/>
      <c r="I90" s="13">
        <v>0</v>
      </c>
      <c r="J90" s="13">
        <v>0.42</v>
      </c>
      <c r="K90" s="13">
        <v>0</v>
      </c>
      <c r="L90" s="45">
        <v>0</v>
      </c>
      <c r="M90" s="41"/>
      <c r="N90" s="16">
        <v>0</v>
      </c>
      <c r="O90" s="13">
        <v>0.45</v>
      </c>
      <c r="P90" s="13">
        <v>0.45</v>
      </c>
      <c r="Q90" s="45">
        <v>0</v>
      </c>
      <c r="R90" s="41"/>
      <c r="S90" s="16">
        <v>0</v>
      </c>
      <c r="T90" s="13">
        <v>0.32</v>
      </c>
      <c r="U90" s="13">
        <v>7.4999999999999997E-2</v>
      </c>
      <c r="V90" s="45">
        <v>0</v>
      </c>
      <c r="W90" s="41"/>
      <c r="X90" s="16">
        <v>0</v>
      </c>
      <c r="Y90" s="13">
        <v>7.4999999999999997E-2</v>
      </c>
      <c r="Z90" s="41"/>
      <c r="AA90" s="13">
        <v>0</v>
      </c>
      <c r="AB90" s="13">
        <v>0.39499999999999996</v>
      </c>
      <c r="AC90" s="13">
        <v>0</v>
      </c>
      <c r="AD90" s="45">
        <v>0</v>
      </c>
      <c r="AE90" s="41"/>
      <c r="AF90" s="13">
        <v>0</v>
      </c>
      <c r="AG90" s="13">
        <v>7.5000000000000011E-2</v>
      </c>
      <c r="AH90" s="13">
        <v>0</v>
      </c>
      <c r="AI90" s="13">
        <v>0</v>
      </c>
      <c r="AJ90" s="41"/>
      <c r="AK90" s="16">
        <v>0</v>
      </c>
      <c r="AL90" s="13">
        <v>0.39499999999999996</v>
      </c>
      <c r="AM90" s="13">
        <v>0</v>
      </c>
      <c r="AN90" s="13">
        <v>0</v>
      </c>
      <c r="AO90" s="41"/>
      <c r="AP90" s="129" t="s">
        <v>9</v>
      </c>
      <c r="AQ90" s="11" t="s">
        <v>65</v>
      </c>
      <c r="AR90" s="13">
        <v>0.05</v>
      </c>
      <c r="AS90" s="13">
        <v>0.05</v>
      </c>
      <c r="AT90" s="45">
        <v>0</v>
      </c>
      <c r="AU90" s="45">
        <v>0</v>
      </c>
      <c r="AV90" s="41"/>
      <c r="AX90" s="46">
        <v>-0.15</v>
      </c>
      <c r="AY90" s="46">
        <v>-0.15</v>
      </c>
      <c r="AZ90" s="46">
        <v>-0.15</v>
      </c>
      <c r="BB90" s="13">
        <v>0.1</v>
      </c>
      <c r="BC90" s="13">
        <v>0.1</v>
      </c>
      <c r="BD90" s="13">
        <v>0.1</v>
      </c>
      <c r="BE90" s="45">
        <v>0</v>
      </c>
    </row>
    <row r="91" spans="1:57" ht="14.5" customHeight="1" x14ac:dyDescent="0.35">
      <c r="A91" s="6"/>
      <c r="B91" s="130"/>
      <c r="C91" s="11" t="s">
        <v>66</v>
      </c>
      <c r="D91" s="16">
        <v>0</v>
      </c>
      <c r="E91" s="13">
        <v>0.23</v>
      </c>
      <c r="F91" s="13">
        <v>0.23</v>
      </c>
      <c r="G91" s="13">
        <v>0</v>
      </c>
      <c r="H91" s="41"/>
      <c r="I91" s="13">
        <v>0</v>
      </c>
      <c r="J91" s="13">
        <v>0.37</v>
      </c>
      <c r="K91" s="13">
        <v>0</v>
      </c>
      <c r="L91" s="13">
        <v>0</v>
      </c>
      <c r="M91" s="41"/>
      <c r="N91" s="16">
        <v>0</v>
      </c>
      <c r="O91" s="13">
        <v>0.45</v>
      </c>
      <c r="P91" s="13">
        <v>0.45</v>
      </c>
      <c r="Q91" s="13">
        <v>0</v>
      </c>
      <c r="R91" s="41"/>
      <c r="S91" s="16">
        <v>0</v>
      </c>
      <c r="T91" s="13">
        <v>0.3</v>
      </c>
      <c r="U91" s="13">
        <v>0.06</v>
      </c>
      <c r="V91" s="13">
        <v>0</v>
      </c>
      <c r="W91" s="41"/>
      <c r="X91" s="16">
        <v>0</v>
      </c>
      <c r="Y91" s="13">
        <v>7.4999999999999997E-2</v>
      </c>
      <c r="Z91" s="41"/>
      <c r="AA91" s="13">
        <v>0</v>
      </c>
      <c r="AB91" s="13">
        <v>0.34499999999999997</v>
      </c>
      <c r="AC91" s="13">
        <v>0</v>
      </c>
      <c r="AD91" s="13">
        <v>0</v>
      </c>
      <c r="AE91" s="41"/>
      <c r="AF91" s="13">
        <v>0</v>
      </c>
      <c r="AG91" s="13">
        <v>7.5000000000000011E-2</v>
      </c>
      <c r="AH91" s="13">
        <v>0</v>
      </c>
      <c r="AI91" s="13">
        <v>0</v>
      </c>
      <c r="AJ91" s="41"/>
      <c r="AK91" s="16">
        <v>0</v>
      </c>
      <c r="AL91" s="13">
        <v>0.39499999999999996</v>
      </c>
      <c r="AM91" s="13">
        <v>0</v>
      </c>
      <c r="AN91" s="13">
        <v>0</v>
      </c>
      <c r="AO91" s="41"/>
      <c r="AP91" s="130"/>
      <c r="AQ91" s="11" t="s">
        <v>66</v>
      </c>
      <c r="AR91" s="13">
        <v>0.05</v>
      </c>
      <c r="AS91" s="13">
        <v>0.05</v>
      </c>
      <c r="AT91" s="45">
        <v>0</v>
      </c>
      <c r="AU91" s="45">
        <v>0</v>
      </c>
      <c r="AV91" s="41"/>
      <c r="AX91" s="46"/>
      <c r="AY91" s="46"/>
      <c r="AZ91" s="46"/>
      <c r="BB91" s="13"/>
      <c r="BC91" s="13"/>
      <c r="BD91" s="13"/>
      <c r="BE91" s="45"/>
    </row>
    <row r="92" spans="1:57" ht="14.5" customHeight="1" x14ac:dyDescent="0.35">
      <c r="A92" s="6"/>
      <c r="B92" s="130"/>
      <c r="C92" s="11" t="s">
        <v>67</v>
      </c>
      <c r="D92" s="16">
        <v>0</v>
      </c>
      <c r="E92" s="13">
        <v>0.21000000000000002</v>
      </c>
      <c r="F92" s="13">
        <v>0.21000000000000002</v>
      </c>
      <c r="G92" s="13">
        <v>0</v>
      </c>
      <c r="H92" s="41"/>
      <c r="I92" s="13">
        <v>0</v>
      </c>
      <c r="J92" s="13">
        <v>0.32</v>
      </c>
      <c r="K92" s="13">
        <v>0</v>
      </c>
      <c r="L92" s="13">
        <v>0</v>
      </c>
      <c r="M92" s="41"/>
      <c r="N92" s="16">
        <v>0</v>
      </c>
      <c r="O92" s="13">
        <v>0.4</v>
      </c>
      <c r="P92" s="13">
        <v>0.4</v>
      </c>
      <c r="Q92" s="13">
        <v>0</v>
      </c>
      <c r="R92" s="41"/>
      <c r="S92" s="16">
        <v>0</v>
      </c>
      <c r="T92" s="13">
        <v>0.27999999999999997</v>
      </c>
      <c r="U92" s="13">
        <v>0.06</v>
      </c>
      <c r="V92" s="13">
        <v>0</v>
      </c>
      <c r="W92" s="41"/>
      <c r="X92" s="16">
        <v>0</v>
      </c>
      <c r="Y92" s="13">
        <v>7.4999999999999997E-2</v>
      </c>
      <c r="Z92" s="41"/>
      <c r="AA92" s="13">
        <v>0</v>
      </c>
      <c r="AB92" s="13">
        <v>0.29499999999999998</v>
      </c>
      <c r="AC92" s="13">
        <v>0</v>
      </c>
      <c r="AD92" s="13">
        <v>0</v>
      </c>
      <c r="AE92" s="41"/>
      <c r="AF92" s="13">
        <v>0</v>
      </c>
      <c r="AG92" s="13">
        <v>7.5000000000000011E-2</v>
      </c>
      <c r="AH92" s="13">
        <v>0</v>
      </c>
      <c r="AI92" s="13">
        <v>0</v>
      </c>
      <c r="AJ92" s="41"/>
      <c r="AK92" s="16">
        <v>0</v>
      </c>
      <c r="AL92" s="13">
        <v>0.39499999999999996</v>
      </c>
      <c r="AM92" s="13">
        <v>0</v>
      </c>
      <c r="AN92" s="13">
        <v>0</v>
      </c>
      <c r="AO92" s="41"/>
      <c r="AP92" s="130"/>
      <c r="AQ92" s="11" t="s">
        <v>67</v>
      </c>
      <c r="AR92" s="13">
        <v>0.05</v>
      </c>
      <c r="AS92" s="13">
        <v>0.05</v>
      </c>
      <c r="AT92" s="45">
        <v>0</v>
      </c>
      <c r="AU92" s="45">
        <v>0</v>
      </c>
      <c r="AV92" s="41"/>
      <c r="AX92" s="46"/>
      <c r="AY92" s="46"/>
      <c r="AZ92" s="46"/>
      <c r="BB92" s="13"/>
      <c r="BC92" s="13"/>
      <c r="BD92" s="13"/>
      <c r="BE92" s="45"/>
    </row>
    <row r="93" spans="1:57" ht="18.5" x14ac:dyDescent="0.35">
      <c r="A93" s="6"/>
      <c r="B93" s="131"/>
      <c r="C93" s="11" t="s">
        <v>68</v>
      </c>
      <c r="D93" s="13">
        <v>7.4999999999999997E-2</v>
      </c>
      <c r="E93" s="13">
        <v>7.4999999999999997E-2</v>
      </c>
      <c r="F93" s="13">
        <v>7.4999999999999997E-2</v>
      </c>
      <c r="G93" s="45">
        <v>0</v>
      </c>
      <c r="H93" s="41"/>
      <c r="I93" s="13">
        <v>0</v>
      </c>
      <c r="J93" s="13">
        <v>0.35</v>
      </c>
      <c r="K93" s="13">
        <v>0</v>
      </c>
      <c r="L93" s="45">
        <v>0</v>
      </c>
      <c r="M93" s="41"/>
      <c r="N93" s="13">
        <v>0</v>
      </c>
      <c r="O93" s="13">
        <v>0.35</v>
      </c>
      <c r="P93" s="13">
        <v>0</v>
      </c>
      <c r="Q93" s="45">
        <v>0</v>
      </c>
      <c r="R93" s="41"/>
      <c r="S93" s="13">
        <v>0.22500000000000001</v>
      </c>
      <c r="T93" s="13">
        <v>0.22500000000000001</v>
      </c>
      <c r="U93" s="13">
        <v>0.22500000000000001</v>
      </c>
      <c r="V93" s="45">
        <v>0</v>
      </c>
      <c r="W93" s="41"/>
      <c r="X93" s="13">
        <v>0.1</v>
      </c>
      <c r="Y93" s="13">
        <v>0.1</v>
      </c>
      <c r="Z93" s="41"/>
      <c r="AA93" s="13">
        <v>0</v>
      </c>
      <c r="AB93" s="13">
        <v>0.32499999999999996</v>
      </c>
      <c r="AC93" s="13">
        <v>0</v>
      </c>
      <c r="AD93" s="45">
        <v>0</v>
      </c>
      <c r="AE93" s="41"/>
      <c r="AF93" s="13">
        <v>2.4999999999999994E-2</v>
      </c>
      <c r="AG93" s="13">
        <v>7.5000000000000011E-2</v>
      </c>
      <c r="AH93" s="13">
        <v>2.4999999999999994E-2</v>
      </c>
      <c r="AI93" s="13">
        <v>0</v>
      </c>
      <c r="AJ93" s="41"/>
      <c r="AK93" s="13">
        <v>0.05</v>
      </c>
      <c r="AL93" s="13">
        <v>0.32499999999999996</v>
      </c>
      <c r="AM93" s="13">
        <v>0</v>
      </c>
      <c r="AN93" s="13">
        <v>0</v>
      </c>
      <c r="AO93" s="41"/>
      <c r="AP93" s="131"/>
      <c r="AQ93" s="11" t="s">
        <v>68</v>
      </c>
      <c r="AR93" s="45">
        <v>0</v>
      </c>
      <c r="AS93" s="45">
        <v>0</v>
      </c>
      <c r="AT93" s="45">
        <v>0</v>
      </c>
      <c r="AU93" s="45">
        <v>0</v>
      </c>
      <c r="AV93" s="41"/>
      <c r="AX93" s="46">
        <v>0</v>
      </c>
      <c r="AY93" s="46">
        <v>2.5000000000000008E-2</v>
      </c>
      <c r="AZ93" s="46">
        <v>0</v>
      </c>
      <c r="BB93" s="13">
        <v>0.1</v>
      </c>
      <c r="BC93" s="13">
        <v>0.1</v>
      </c>
      <c r="BD93" s="13">
        <v>0.1</v>
      </c>
      <c r="BE93" s="45">
        <v>0</v>
      </c>
    </row>
    <row r="94" spans="1:57" ht="18.5" x14ac:dyDescent="0.35">
      <c r="A94" s="6"/>
      <c r="B94" s="131"/>
      <c r="C94" s="11" t="s">
        <v>69</v>
      </c>
      <c r="D94" s="16">
        <v>0</v>
      </c>
      <c r="E94" s="13">
        <v>0.25</v>
      </c>
      <c r="F94" s="13">
        <v>7.4999999999999997E-2</v>
      </c>
      <c r="G94" s="45">
        <v>0</v>
      </c>
      <c r="H94" s="41"/>
      <c r="I94" s="13">
        <v>0</v>
      </c>
      <c r="J94" s="13">
        <v>0.25</v>
      </c>
      <c r="K94" s="13">
        <v>0</v>
      </c>
      <c r="L94" s="45">
        <v>0</v>
      </c>
      <c r="M94" s="41"/>
      <c r="N94" s="13">
        <v>0</v>
      </c>
      <c r="O94" s="13">
        <v>0.25</v>
      </c>
      <c r="P94" s="13">
        <v>0</v>
      </c>
      <c r="Q94" s="45">
        <v>0</v>
      </c>
      <c r="R94" s="41"/>
      <c r="S94" s="16">
        <v>0</v>
      </c>
      <c r="T94" s="13">
        <v>0.25</v>
      </c>
      <c r="U94" s="13">
        <v>7.4999999999999997E-2</v>
      </c>
      <c r="V94" s="45">
        <v>0</v>
      </c>
      <c r="W94" s="41"/>
      <c r="X94" s="16">
        <v>0</v>
      </c>
      <c r="Y94" s="13">
        <v>7.4999999999999997E-2</v>
      </c>
      <c r="Z94" s="41"/>
      <c r="AA94" s="13">
        <v>0</v>
      </c>
      <c r="AB94" s="13">
        <v>0.22500000000000001</v>
      </c>
      <c r="AC94" s="13">
        <v>0</v>
      </c>
      <c r="AD94" s="45">
        <v>0</v>
      </c>
      <c r="AE94" s="41"/>
      <c r="AF94" s="13">
        <v>0</v>
      </c>
      <c r="AG94" s="13">
        <v>0.22500000000000001</v>
      </c>
      <c r="AH94" s="13">
        <v>0</v>
      </c>
      <c r="AI94" s="13">
        <v>0</v>
      </c>
      <c r="AJ94" s="41"/>
      <c r="AK94" s="16">
        <v>0</v>
      </c>
      <c r="AL94" s="13">
        <v>0.22500000000000001</v>
      </c>
      <c r="AM94" s="13">
        <v>0</v>
      </c>
      <c r="AN94" s="13">
        <v>0</v>
      </c>
      <c r="AO94" s="41"/>
      <c r="AP94" s="131"/>
      <c r="AQ94" s="11" t="s">
        <v>69</v>
      </c>
      <c r="AR94" s="45">
        <v>0</v>
      </c>
      <c r="AS94" s="45">
        <v>0</v>
      </c>
      <c r="AT94" s="45">
        <v>0</v>
      </c>
      <c r="AU94" s="45">
        <v>0</v>
      </c>
      <c r="AV94" s="41"/>
      <c r="AX94" s="46">
        <v>0</v>
      </c>
      <c r="AY94" s="46">
        <v>0</v>
      </c>
      <c r="AZ94" s="46">
        <v>0</v>
      </c>
      <c r="BB94" s="13">
        <v>0.1</v>
      </c>
      <c r="BC94" s="13">
        <v>0.1</v>
      </c>
      <c r="BD94" s="13">
        <v>0.1</v>
      </c>
      <c r="BE94" s="45">
        <v>0</v>
      </c>
    </row>
    <row r="95" spans="1:57" ht="18.5" x14ac:dyDescent="0.35">
      <c r="A95" s="6"/>
      <c r="B95" s="132"/>
      <c r="C95" s="11" t="s">
        <v>23</v>
      </c>
      <c r="D95" s="13">
        <v>0</v>
      </c>
      <c r="E95" s="13">
        <v>7.4999999999999997E-2</v>
      </c>
      <c r="F95" s="13">
        <v>0</v>
      </c>
      <c r="G95" s="45">
        <v>0</v>
      </c>
      <c r="H95" s="41"/>
      <c r="I95" s="13">
        <v>0</v>
      </c>
      <c r="J95" s="13">
        <v>7.4999999999999997E-2</v>
      </c>
      <c r="K95" s="13">
        <v>0</v>
      </c>
      <c r="L95" s="45">
        <v>0</v>
      </c>
      <c r="M95" s="41"/>
      <c r="N95" s="13">
        <v>0</v>
      </c>
      <c r="O95" s="13">
        <v>7.4999999999999997E-2</v>
      </c>
      <c r="P95" s="13">
        <v>0</v>
      </c>
      <c r="Q95" s="45">
        <v>0</v>
      </c>
      <c r="R95" s="41"/>
      <c r="S95" s="13">
        <v>0</v>
      </c>
      <c r="T95" s="13">
        <v>7.4999999999999997E-2</v>
      </c>
      <c r="U95" s="13">
        <v>0</v>
      </c>
      <c r="V95" s="45">
        <v>0</v>
      </c>
      <c r="W95" s="41"/>
      <c r="X95" s="45">
        <v>0</v>
      </c>
      <c r="Y95" s="45">
        <v>0</v>
      </c>
      <c r="Z95" s="41"/>
      <c r="AA95" s="13">
        <v>0</v>
      </c>
      <c r="AB95" s="13">
        <v>4.9999999999999996E-2</v>
      </c>
      <c r="AC95" s="13">
        <v>0</v>
      </c>
      <c r="AD95" s="45">
        <v>0</v>
      </c>
      <c r="AE95" s="41"/>
      <c r="AF95" s="13">
        <v>0</v>
      </c>
      <c r="AG95" s="13">
        <v>4.9999999999999996E-2</v>
      </c>
      <c r="AH95" s="13">
        <v>0</v>
      </c>
      <c r="AI95" s="13">
        <v>0</v>
      </c>
      <c r="AJ95" s="41"/>
      <c r="AK95" s="13">
        <v>0</v>
      </c>
      <c r="AL95" s="13">
        <v>4.9999999999999996E-2</v>
      </c>
      <c r="AM95" s="13">
        <v>0</v>
      </c>
      <c r="AN95" s="13">
        <v>0</v>
      </c>
      <c r="AO95" s="41"/>
      <c r="AP95" s="132"/>
      <c r="AQ95" s="11" t="s">
        <v>23</v>
      </c>
      <c r="AR95" s="45">
        <v>0</v>
      </c>
      <c r="AS95" s="45">
        <v>0</v>
      </c>
      <c r="AT95" s="45">
        <v>0</v>
      </c>
      <c r="AU95" s="45">
        <v>0</v>
      </c>
      <c r="AV95" s="41"/>
      <c r="AX95" s="46"/>
      <c r="AY95" s="46">
        <v>0</v>
      </c>
      <c r="AZ95" s="46"/>
      <c r="BB95" s="45">
        <v>0</v>
      </c>
      <c r="BC95" s="13">
        <v>7.4999999999999997E-2</v>
      </c>
      <c r="BD95" s="45">
        <v>0</v>
      </c>
      <c r="BE95" s="45">
        <v>0</v>
      </c>
    </row>
    <row r="96" spans="1:57" customFormat="1" ht="4.5" customHeight="1" x14ac:dyDescent="0.35">
      <c r="A96" s="6"/>
      <c r="B96" s="6"/>
      <c r="C96" s="6"/>
      <c r="D96" s="6"/>
      <c r="E96" s="6"/>
      <c r="F96" s="6"/>
      <c r="G96" s="6"/>
      <c r="H96" s="41"/>
      <c r="I96" s="6"/>
      <c r="J96" s="6"/>
      <c r="K96" s="6"/>
      <c r="L96" s="6"/>
      <c r="M96" s="41"/>
      <c r="N96" s="6"/>
      <c r="O96" s="6"/>
      <c r="P96" s="6"/>
      <c r="Q96" s="6"/>
      <c r="R96" s="41"/>
      <c r="S96" s="6"/>
      <c r="T96" s="6"/>
      <c r="U96" s="6"/>
      <c r="V96" s="6"/>
      <c r="W96" s="41"/>
      <c r="X96" s="6"/>
      <c r="Y96" s="6"/>
      <c r="Z96" s="41"/>
      <c r="AA96" s="6"/>
      <c r="AB96" s="6"/>
      <c r="AC96" s="6"/>
      <c r="AD96" s="6"/>
      <c r="AE96" s="41"/>
      <c r="AF96" s="6"/>
      <c r="AG96" s="6"/>
      <c r="AH96" s="6"/>
      <c r="AI96" s="6"/>
      <c r="AJ96" s="41"/>
      <c r="AK96" s="6"/>
      <c r="AL96" s="6"/>
      <c r="AM96" s="6"/>
      <c r="AN96" s="6"/>
      <c r="AO96" s="41"/>
      <c r="AP96" s="6"/>
      <c r="AQ96" s="6"/>
      <c r="AR96" s="6"/>
      <c r="AS96" s="6"/>
      <c r="AT96" s="6"/>
      <c r="AU96" s="6"/>
      <c r="AV96" s="41"/>
      <c r="BB96" s="6"/>
      <c r="BC96" s="6"/>
      <c r="BD96" s="6"/>
      <c r="BE96" s="6"/>
    </row>
    <row r="97" spans="1:57" ht="14.5" customHeight="1" x14ac:dyDescent="0.35">
      <c r="A97" s="6"/>
      <c r="B97" s="129" t="s">
        <v>10</v>
      </c>
      <c r="C97" s="11" t="s">
        <v>65</v>
      </c>
      <c r="D97" s="13">
        <v>0.35</v>
      </c>
      <c r="E97" s="13">
        <v>0.35</v>
      </c>
      <c r="F97" s="13">
        <v>0.35</v>
      </c>
      <c r="G97" s="45">
        <v>0</v>
      </c>
      <c r="H97" s="41"/>
      <c r="I97" s="13">
        <v>0.35</v>
      </c>
      <c r="J97" s="13">
        <v>0.5</v>
      </c>
      <c r="K97" s="13">
        <v>0.3</v>
      </c>
      <c r="L97" s="45">
        <v>0</v>
      </c>
      <c r="M97" s="41"/>
      <c r="N97" s="13">
        <v>0.45</v>
      </c>
      <c r="O97" s="13">
        <v>0.45</v>
      </c>
      <c r="P97" s="13">
        <v>0.45</v>
      </c>
      <c r="Q97" s="45">
        <v>0</v>
      </c>
      <c r="R97" s="41"/>
      <c r="S97" s="13">
        <v>0.15</v>
      </c>
      <c r="T97" s="13">
        <v>0.2</v>
      </c>
      <c r="U97" s="13">
        <v>0.15</v>
      </c>
      <c r="V97" s="45">
        <v>0</v>
      </c>
      <c r="W97" s="41"/>
      <c r="X97" s="13">
        <v>0.2</v>
      </c>
      <c r="Y97" s="13">
        <v>0.2</v>
      </c>
      <c r="Z97" s="41"/>
      <c r="AA97" s="13">
        <v>0.35000000000000003</v>
      </c>
      <c r="AB97" s="13">
        <v>0.47499999999999998</v>
      </c>
      <c r="AC97" s="13">
        <v>0.35000000000000003</v>
      </c>
      <c r="AD97" s="45">
        <v>0</v>
      </c>
      <c r="AE97" s="41"/>
      <c r="AF97" s="13">
        <v>2.4999999999999994E-2</v>
      </c>
      <c r="AG97" s="13">
        <v>0.32499999999999996</v>
      </c>
      <c r="AH97" s="13">
        <v>2.4999999999999994E-2</v>
      </c>
      <c r="AI97" s="45">
        <v>0</v>
      </c>
      <c r="AJ97" s="41"/>
      <c r="AK97" s="13">
        <v>2.4999999999999994E-2</v>
      </c>
      <c r="AL97" s="13">
        <v>0.39499999999999996</v>
      </c>
      <c r="AM97" s="45">
        <v>0</v>
      </c>
      <c r="AN97" s="45">
        <v>0</v>
      </c>
      <c r="AO97" s="41"/>
      <c r="AP97" s="129" t="s">
        <v>10</v>
      </c>
      <c r="AQ97" s="11" t="s">
        <v>65</v>
      </c>
      <c r="AR97" s="13">
        <v>2.4999999999999994E-2</v>
      </c>
      <c r="AS97" s="13">
        <v>0.3</v>
      </c>
      <c r="AT97" s="45">
        <v>0</v>
      </c>
      <c r="AU97" s="45">
        <v>0</v>
      </c>
      <c r="AV97" s="41"/>
      <c r="AX97" s="46">
        <v>-0.27499999999999997</v>
      </c>
      <c r="AY97" s="46">
        <v>0</v>
      </c>
      <c r="AZ97" s="46">
        <v>-0.27499999999999997</v>
      </c>
      <c r="BB97" s="13">
        <v>7.4999999999999997E-2</v>
      </c>
      <c r="BC97" s="13">
        <v>0.35</v>
      </c>
      <c r="BD97" s="13">
        <v>7.4999999999999997E-2</v>
      </c>
      <c r="BE97" s="45">
        <v>0</v>
      </c>
    </row>
    <row r="98" spans="1:57" ht="14.5" customHeight="1" x14ac:dyDescent="0.35">
      <c r="A98" s="6"/>
      <c r="B98" s="130"/>
      <c r="C98" s="11" t="s">
        <v>66</v>
      </c>
      <c r="D98" s="13">
        <v>0.32999999999999996</v>
      </c>
      <c r="E98" s="13">
        <v>0.32999999999999996</v>
      </c>
      <c r="F98" s="13">
        <v>0.32999999999999996</v>
      </c>
      <c r="G98" s="13">
        <v>0</v>
      </c>
      <c r="H98" s="41"/>
      <c r="I98" s="13">
        <v>0.3</v>
      </c>
      <c r="J98" s="13">
        <v>0.4</v>
      </c>
      <c r="K98" s="13">
        <v>0.3</v>
      </c>
      <c r="L98" s="13">
        <v>0</v>
      </c>
      <c r="M98" s="41"/>
      <c r="N98" s="13">
        <v>0.45</v>
      </c>
      <c r="O98" s="13">
        <v>0.45</v>
      </c>
      <c r="P98" s="13">
        <v>0.45</v>
      </c>
      <c r="Q98" s="13">
        <v>0</v>
      </c>
      <c r="R98" s="41"/>
      <c r="S98" s="13">
        <v>0.13</v>
      </c>
      <c r="T98" s="13">
        <v>0.18000000000000002</v>
      </c>
      <c r="U98" s="13">
        <v>0.13</v>
      </c>
      <c r="V98" s="13">
        <v>0</v>
      </c>
      <c r="W98" s="41"/>
      <c r="X98" s="13">
        <v>0.18000000000000002</v>
      </c>
      <c r="Y98" s="13">
        <v>0.18000000000000002</v>
      </c>
      <c r="Z98" s="41"/>
      <c r="AA98" s="13">
        <v>0.3</v>
      </c>
      <c r="AB98" s="13">
        <v>0.375</v>
      </c>
      <c r="AC98" s="13">
        <v>0.3</v>
      </c>
      <c r="AD98" s="13">
        <v>0</v>
      </c>
      <c r="AE98" s="41"/>
      <c r="AF98" s="13">
        <v>9.999999999999995E-3</v>
      </c>
      <c r="AG98" s="13">
        <v>0.30499999999999994</v>
      </c>
      <c r="AH98" s="13">
        <v>9.999999999999995E-3</v>
      </c>
      <c r="AI98" s="13">
        <v>0</v>
      </c>
      <c r="AJ98" s="41"/>
      <c r="AK98" s="13">
        <v>2.4999999999999994E-2</v>
      </c>
      <c r="AL98" s="13">
        <v>0.39499999999999996</v>
      </c>
      <c r="AM98" s="13">
        <v>0</v>
      </c>
      <c r="AN98" s="13">
        <v>0</v>
      </c>
      <c r="AO98" s="41"/>
      <c r="AP98" s="130"/>
      <c r="AQ98" s="11" t="s">
        <v>66</v>
      </c>
      <c r="AR98" s="13">
        <v>2.4999999999999994E-2</v>
      </c>
      <c r="AS98" s="13">
        <v>0.3</v>
      </c>
      <c r="AT98" s="45">
        <v>0</v>
      </c>
      <c r="AU98" s="45">
        <v>0</v>
      </c>
      <c r="AV98" s="41"/>
      <c r="AX98" s="46"/>
      <c r="AY98" s="46"/>
      <c r="AZ98" s="46"/>
      <c r="BB98" s="13"/>
      <c r="BC98" s="13"/>
      <c r="BD98" s="13"/>
      <c r="BE98" s="45"/>
    </row>
    <row r="99" spans="1:57" ht="14.5" customHeight="1" x14ac:dyDescent="0.35">
      <c r="A99" s="6"/>
      <c r="B99" s="130"/>
      <c r="C99" s="11" t="s">
        <v>67</v>
      </c>
      <c r="D99" s="13">
        <v>0.30999999999999994</v>
      </c>
      <c r="E99" s="13">
        <v>0.30999999999999994</v>
      </c>
      <c r="F99" s="13">
        <v>0.30999999999999994</v>
      </c>
      <c r="G99" s="13">
        <v>0</v>
      </c>
      <c r="H99" s="41"/>
      <c r="I99" s="13">
        <v>0.27</v>
      </c>
      <c r="J99" s="13">
        <v>0.37</v>
      </c>
      <c r="K99" s="13">
        <v>0.27</v>
      </c>
      <c r="L99" s="13">
        <v>0</v>
      </c>
      <c r="M99" s="41"/>
      <c r="N99" s="13">
        <v>0.4</v>
      </c>
      <c r="O99" s="13">
        <v>0.4</v>
      </c>
      <c r="P99" s="13">
        <v>0.4</v>
      </c>
      <c r="Q99" s="13">
        <v>0</v>
      </c>
      <c r="R99" s="41"/>
      <c r="S99" s="13">
        <v>0.11</v>
      </c>
      <c r="T99" s="13">
        <v>0.16000000000000003</v>
      </c>
      <c r="U99" s="13">
        <v>0.11</v>
      </c>
      <c r="V99" s="13">
        <v>0</v>
      </c>
      <c r="W99" s="41"/>
      <c r="X99" s="13">
        <v>0.16000000000000003</v>
      </c>
      <c r="Y99" s="13">
        <v>0.16000000000000003</v>
      </c>
      <c r="Z99" s="41"/>
      <c r="AA99" s="13">
        <v>0.23000000000000004</v>
      </c>
      <c r="AB99" s="13">
        <v>0.34499999999999997</v>
      </c>
      <c r="AC99" s="13">
        <v>0.23000000000000004</v>
      </c>
      <c r="AD99" s="13">
        <v>0</v>
      </c>
      <c r="AE99" s="41"/>
      <c r="AF99" s="13">
        <v>9.999999999999995E-3</v>
      </c>
      <c r="AG99" s="13">
        <v>0.28499999999999992</v>
      </c>
      <c r="AH99" s="13">
        <v>9.999999999999995E-3</v>
      </c>
      <c r="AI99" s="13">
        <v>0</v>
      </c>
      <c r="AJ99" s="41"/>
      <c r="AK99" s="13">
        <v>2.4999999999999994E-2</v>
      </c>
      <c r="AL99" s="13">
        <v>0.39499999999999996</v>
      </c>
      <c r="AM99" s="13">
        <v>0</v>
      </c>
      <c r="AN99" s="13">
        <v>0</v>
      </c>
      <c r="AO99" s="41"/>
      <c r="AP99" s="130"/>
      <c r="AQ99" s="11" t="s">
        <v>67</v>
      </c>
      <c r="AR99" s="13">
        <v>2.4999999999999994E-2</v>
      </c>
      <c r="AS99" s="13">
        <v>0.3</v>
      </c>
      <c r="AT99" s="45">
        <v>0</v>
      </c>
      <c r="AU99" s="45">
        <v>0</v>
      </c>
      <c r="AV99" s="41"/>
      <c r="AX99" s="46"/>
      <c r="AY99" s="46"/>
      <c r="AZ99" s="46"/>
      <c r="BB99" s="13"/>
      <c r="BC99" s="13"/>
      <c r="BD99" s="13"/>
      <c r="BE99" s="45"/>
    </row>
    <row r="100" spans="1:57" ht="18.5" x14ac:dyDescent="0.35">
      <c r="A100" s="6"/>
      <c r="B100" s="131"/>
      <c r="C100" s="11" t="s">
        <v>68</v>
      </c>
      <c r="D100" s="13">
        <v>0.22500000000000001</v>
      </c>
      <c r="E100" s="13">
        <v>0.22500000000000001</v>
      </c>
      <c r="F100" s="13">
        <v>0.22500000000000001</v>
      </c>
      <c r="G100" s="45">
        <v>0</v>
      </c>
      <c r="H100" s="41"/>
      <c r="I100" s="13">
        <v>0.22500000000000001</v>
      </c>
      <c r="J100" s="13">
        <v>0.22500000000000001</v>
      </c>
      <c r="K100" s="13">
        <v>0.22500000000000001</v>
      </c>
      <c r="L100" s="45">
        <v>0</v>
      </c>
      <c r="M100" s="41"/>
      <c r="N100" s="13">
        <v>0.22500000000000001</v>
      </c>
      <c r="O100" s="13">
        <v>0.22500000000000001</v>
      </c>
      <c r="P100" s="13">
        <v>0.22500000000000001</v>
      </c>
      <c r="Q100" s="45">
        <v>0</v>
      </c>
      <c r="R100" s="41"/>
      <c r="S100" s="13">
        <v>0.22500000000000001</v>
      </c>
      <c r="T100" s="13">
        <v>0.22500000000000001</v>
      </c>
      <c r="U100" s="13">
        <v>0.22500000000000001</v>
      </c>
      <c r="V100" s="45">
        <v>0</v>
      </c>
      <c r="W100" s="41"/>
      <c r="X100" s="13">
        <v>0.22500000000000001</v>
      </c>
      <c r="Y100" s="13">
        <v>0.22500000000000001</v>
      </c>
      <c r="Z100" s="41"/>
      <c r="AA100" s="13">
        <v>0.15000000000000002</v>
      </c>
      <c r="AB100" s="13">
        <v>0.17500000000000002</v>
      </c>
      <c r="AC100" s="13">
        <v>0.15000000000000002</v>
      </c>
      <c r="AD100" s="45">
        <v>0</v>
      </c>
      <c r="AE100" s="41"/>
      <c r="AF100" s="13">
        <v>2.4999999999999994E-2</v>
      </c>
      <c r="AG100" s="13">
        <v>0.32499999999999996</v>
      </c>
      <c r="AH100" s="13">
        <v>2.4999999999999994E-2</v>
      </c>
      <c r="AI100" s="45">
        <v>0</v>
      </c>
      <c r="AJ100" s="41"/>
      <c r="AK100" s="13">
        <v>2.4999999999999994E-2</v>
      </c>
      <c r="AL100" s="13">
        <v>0.2</v>
      </c>
      <c r="AM100" s="45">
        <v>0</v>
      </c>
      <c r="AN100" s="45">
        <v>0</v>
      </c>
      <c r="AO100" s="41"/>
      <c r="AP100" s="131"/>
      <c r="AQ100" s="11" t="s">
        <v>68</v>
      </c>
      <c r="AR100" s="45">
        <v>0</v>
      </c>
      <c r="AS100" s="45">
        <v>0</v>
      </c>
      <c r="AT100" s="45">
        <v>0</v>
      </c>
      <c r="AU100" s="45">
        <v>0</v>
      </c>
      <c r="AV100" s="41"/>
      <c r="AX100" s="46">
        <v>-0.15000000000000002</v>
      </c>
      <c r="AY100" s="46">
        <v>0.12499999999999997</v>
      </c>
      <c r="AZ100" s="46">
        <v>-0.15000000000000002</v>
      </c>
      <c r="BB100" s="13">
        <v>7.4999999999999997E-2</v>
      </c>
      <c r="BC100" s="13">
        <v>0.35</v>
      </c>
      <c r="BD100" s="13">
        <v>7.4999999999999997E-2</v>
      </c>
      <c r="BE100" s="45">
        <v>0</v>
      </c>
    </row>
    <row r="101" spans="1:57" ht="18.5" x14ac:dyDescent="0.35">
      <c r="A101" s="6"/>
      <c r="B101" s="131"/>
      <c r="C101" s="11" t="s">
        <v>69</v>
      </c>
      <c r="D101" s="16">
        <v>0</v>
      </c>
      <c r="E101" s="13">
        <v>0.4</v>
      </c>
      <c r="F101" s="16">
        <v>0</v>
      </c>
      <c r="G101" s="45">
        <v>0</v>
      </c>
      <c r="H101" s="41"/>
      <c r="I101" s="16">
        <v>0</v>
      </c>
      <c r="J101" s="13">
        <v>0.4</v>
      </c>
      <c r="K101" s="16">
        <v>0</v>
      </c>
      <c r="L101" s="45">
        <v>0</v>
      </c>
      <c r="M101" s="41"/>
      <c r="N101" s="16">
        <v>0</v>
      </c>
      <c r="O101" s="13">
        <v>0.4</v>
      </c>
      <c r="P101" s="16">
        <v>0</v>
      </c>
      <c r="Q101" s="45">
        <v>0</v>
      </c>
      <c r="R101" s="41"/>
      <c r="S101" s="16">
        <v>0</v>
      </c>
      <c r="T101" s="13">
        <v>0.4</v>
      </c>
      <c r="U101" s="16">
        <v>0</v>
      </c>
      <c r="V101" s="45">
        <v>0</v>
      </c>
      <c r="W101" s="41"/>
      <c r="X101" s="16">
        <v>0</v>
      </c>
      <c r="Y101" s="16">
        <v>0</v>
      </c>
      <c r="Z101" s="41"/>
      <c r="AA101" s="16">
        <v>0</v>
      </c>
      <c r="AB101" s="13">
        <v>0.375</v>
      </c>
      <c r="AC101" s="16">
        <v>0</v>
      </c>
      <c r="AD101" s="45">
        <v>0</v>
      </c>
      <c r="AE101" s="41"/>
      <c r="AF101" s="16">
        <v>0</v>
      </c>
      <c r="AG101" s="13">
        <v>0.375</v>
      </c>
      <c r="AH101" s="16">
        <v>0</v>
      </c>
      <c r="AI101" s="45">
        <v>0</v>
      </c>
      <c r="AJ101" s="41"/>
      <c r="AK101" s="16">
        <v>0</v>
      </c>
      <c r="AL101" s="13">
        <v>0.375</v>
      </c>
      <c r="AM101" s="45">
        <v>0</v>
      </c>
      <c r="AN101" s="45">
        <v>0</v>
      </c>
      <c r="AO101" s="41"/>
      <c r="AP101" s="131"/>
      <c r="AQ101" s="11" t="s">
        <v>69</v>
      </c>
      <c r="AR101" s="45">
        <v>0</v>
      </c>
      <c r="AS101" s="45">
        <v>0</v>
      </c>
      <c r="AT101" s="45">
        <v>0</v>
      </c>
      <c r="AU101" s="45">
        <v>0</v>
      </c>
      <c r="AV101" s="41"/>
      <c r="AX101" s="46">
        <v>0</v>
      </c>
      <c r="AY101" s="46">
        <v>0</v>
      </c>
      <c r="AZ101" s="46">
        <v>0</v>
      </c>
      <c r="BB101" s="13">
        <v>7.4999999999999997E-2</v>
      </c>
      <c r="BC101" s="13">
        <v>0.35</v>
      </c>
      <c r="BD101" s="13">
        <v>7.4999999999999997E-2</v>
      </c>
      <c r="BE101" s="45">
        <v>0</v>
      </c>
    </row>
    <row r="102" spans="1:57" ht="18.5" x14ac:dyDescent="0.35">
      <c r="A102" s="6"/>
      <c r="B102" s="132"/>
      <c r="C102" s="11" t="s">
        <v>23</v>
      </c>
      <c r="D102" s="13">
        <v>0</v>
      </c>
      <c r="E102" s="13">
        <v>7.4999999999999997E-2</v>
      </c>
      <c r="F102" s="13">
        <v>0</v>
      </c>
      <c r="G102" s="45">
        <v>0</v>
      </c>
      <c r="H102" s="41"/>
      <c r="I102" s="13">
        <v>0</v>
      </c>
      <c r="J102" s="13">
        <v>7.4999999999999997E-2</v>
      </c>
      <c r="K102" s="13">
        <v>0</v>
      </c>
      <c r="L102" s="45">
        <v>0</v>
      </c>
      <c r="M102" s="41"/>
      <c r="N102" s="13">
        <v>0</v>
      </c>
      <c r="O102" s="13">
        <v>7.4999999999999997E-2</v>
      </c>
      <c r="P102" s="13">
        <v>0</v>
      </c>
      <c r="Q102" s="45">
        <v>0</v>
      </c>
      <c r="R102" s="41"/>
      <c r="S102" s="13">
        <v>0</v>
      </c>
      <c r="T102" s="13">
        <v>7.4999999999999997E-2</v>
      </c>
      <c r="U102" s="13">
        <v>0</v>
      </c>
      <c r="V102" s="45">
        <v>0</v>
      </c>
      <c r="W102" s="41"/>
      <c r="X102" s="13">
        <v>0</v>
      </c>
      <c r="Y102" s="13">
        <v>0</v>
      </c>
      <c r="Z102" s="41"/>
      <c r="AA102" s="13">
        <v>0</v>
      </c>
      <c r="AB102" s="13">
        <v>4.9999999999999996E-2</v>
      </c>
      <c r="AC102" s="13">
        <v>0</v>
      </c>
      <c r="AD102" s="45">
        <v>0</v>
      </c>
      <c r="AE102" s="41"/>
      <c r="AF102" s="13">
        <v>0</v>
      </c>
      <c r="AG102" s="13">
        <v>4.9999999999999996E-2</v>
      </c>
      <c r="AH102" s="13">
        <v>0</v>
      </c>
      <c r="AI102" s="45">
        <v>0</v>
      </c>
      <c r="AJ102" s="41"/>
      <c r="AK102" s="13">
        <v>0</v>
      </c>
      <c r="AL102" s="13">
        <v>4.9999999999999996E-2</v>
      </c>
      <c r="AM102" s="45">
        <v>0</v>
      </c>
      <c r="AN102" s="45">
        <v>0</v>
      </c>
      <c r="AO102" s="41"/>
      <c r="AP102" s="132"/>
      <c r="AQ102" s="11" t="s">
        <v>23</v>
      </c>
      <c r="AR102" s="45">
        <v>0</v>
      </c>
      <c r="AS102" s="45">
        <v>0</v>
      </c>
      <c r="AT102" s="45">
        <v>0</v>
      </c>
      <c r="AU102" s="45">
        <v>0</v>
      </c>
      <c r="AV102" s="41"/>
      <c r="AX102" s="46"/>
      <c r="AY102" s="46">
        <v>0</v>
      </c>
      <c r="AZ102" s="46"/>
      <c r="BB102" s="45">
        <v>0</v>
      </c>
      <c r="BC102" s="13">
        <v>7.4999999999999997E-2</v>
      </c>
      <c r="BD102" s="45">
        <v>0</v>
      </c>
      <c r="BE102" s="45">
        <v>0</v>
      </c>
    </row>
    <row r="103" spans="1:57" customFormat="1" ht="4.5" customHeight="1" x14ac:dyDescent="0.35">
      <c r="A103" s="6"/>
      <c r="B103" s="6"/>
      <c r="C103" s="6"/>
      <c r="D103" s="6"/>
      <c r="E103" s="6"/>
      <c r="F103" s="6"/>
      <c r="G103" s="6"/>
      <c r="H103" s="41"/>
      <c r="I103" s="6"/>
      <c r="J103" s="6"/>
      <c r="K103" s="6"/>
      <c r="L103" s="6"/>
      <c r="M103" s="41"/>
      <c r="N103" s="6"/>
      <c r="O103" s="6"/>
      <c r="P103" s="6"/>
      <c r="Q103" s="6"/>
      <c r="R103" s="41"/>
      <c r="S103" s="6"/>
      <c r="T103" s="6"/>
      <c r="U103" s="6"/>
      <c r="V103" s="6"/>
      <c r="W103" s="41"/>
      <c r="X103" s="6"/>
      <c r="Y103" s="6"/>
      <c r="Z103" s="41"/>
      <c r="AA103" s="6"/>
      <c r="AB103" s="6"/>
      <c r="AC103" s="6"/>
      <c r="AD103" s="6"/>
      <c r="AE103" s="41"/>
      <c r="AF103" s="6"/>
      <c r="AG103" s="6"/>
      <c r="AH103" s="6"/>
      <c r="AI103" s="6"/>
      <c r="AJ103" s="41"/>
      <c r="AK103" s="6"/>
      <c r="AL103" s="6"/>
      <c r="AM103" s="6"/>
      <c r="AN103" s="6"/>
      <c r="AO103" s="41"/>
      <c r="AP103" s="6"/>
      <c r="AQ103" s="6"/>
      <c r="AR103" s="6"/>
      <c r="AS103" s="6"/>
      <c r="AT103" s="6"/>
      <c r="AU103" s="6"/>
      <c r="AV103" s="41"/>
      <c r="BB103" s="6"/>
      <c r="BC103" s="6"/>
      <c r="BD103" s="6"/>
      <c r="BE103" s="6"/>
    </row>
    <row r="104" spans="1:57" ht="14.5" customHeight="1" x14ac:dyDescent="0.35">
      <c r="A104" s="6"/>
      <c r="B104" s="135" t="s">
        <v>80</v>
      </c>
      <c r="C104" s="11" t="s">
        <v>65</v>
      </c>
      <c r="D104" s="13">
        <v>0.3</v>
      </c>
      <c r="E104" s="13">
        <v>0.3</v>
      </c>
      <c r="F104" s="13">
        <v>0.3</v>
      </c>
      <c r="G104" s="45">
        <v>0</v>
      </c>
      <c r="H104" s="41"/>
      <c r="I104" s="13">
        <v>0</v>
      </c>
      <c r="J104" s="13">
        <v>0.37</v>
      </c>
      <c r="K104" s="13">
        <v>0</v>
      </c>
      <c r="L104" s="45">
        <v>0</v>
      </c>
      <c r="M104" s="41"/>
      <c r="N104" s="13">
        <v>0.45</v>
      </c>
      <c r="O104" s="13">
        <v>0.45</v>
      </c>
      <c r="P104" s="13">
        <v>0.45</v>
      </c>
      <c r="Q104" s="45">
        <v>0</v>
      </c>
      <c r="R104" s="41"/>
      <c r="S104" s="13">
        <v>0.21</v>
      </c>
      <c r="T104" s="13">
        <v>0.22</v>
      </c>
      <c r="U104" s="13">
        <v>0.21</v>
      </c>
      <c r="V104" s="45">
        <v>0</v>
      </c>
      <c r="W104" s="41"/>
      <c r="X104" s="13">
        <v>0.1</v>
      </c>
      <c r="Y104" s="13">
        <v>0.1</v>
      </c>
      <c r="Z104" s="41"/>
      <c r="AA104" s="13">
        <v>0</v>
      </c>
      <c r="AB104" s="13">
        <v>0.34499999999999997</v>
      </c>
      <c r="AC104" s="13">
        <v>0</v>
      </c>
      <c r="AD104" s="45">
        <v>0</v>
      </c>
      <c r="AE104" s="41"/>
      <c r="AF104" s="13">
        <v>0.05</v>
      </c>
      <c r="AG104" s="13">
        <v>7.5000000000000011E-2</v>
      </c>
      <c r="AH104" s="13">
        <v>0.05</v>
      </c>
      <c r="AI104" s="45">
        <v>0</v>
      </c>
      <c r="AJ104" s="41"/>
      <c r="AK104" s="13">
        <v>0.05</v>
      </c>
      <c r="AL104" s="13">
        <v>0.39499999999999996</v>
      </c>
      <c r="AM104" s="13">
        <v>0</v>
      </c>
      <c r="AN104" s="45">
        <v>0</v>
      </c>
      <c r="AO104" s="41"/>
      <c r="AP104" s="129" t="s">
        <v>81</v>
      </c>
      <c r="AQ104" s="11" t="s">
        <v>65</v>
      </c>
      <c r="AR104" s="13">
        <v>0.05</v>
      </c>
      <c r="AS104" s="13">
        <v>0.05</v>
      </c>
      <c r="AT104" s="45">
        <v>0</v>
      </c>
      <c r="AU104" s="45">
        <v>0</v>
      </c>
      <c r="AV104" s="41"/>
      <c r="AX104" s="46">
        <v>-0.19999999999999998</v>
      </c>
      <c r="AY104" s="46">
        <v>-0.19999999999999998</v>
      </c>
      <c r="AZ104" s="46">
        <v>-0.19999999999999998</v>
      </c>
      <c r="BB104" s="13">
        <v>0.1</v>
      </c>
      <c r="BC104" s="13">
        <v>0.1</v>
      </c>
      <c r="BD104" s="13">
        <v>0.1</v>
      </c>
      <c r="BE104" s="45">
        <v>0</v>
      </c>
    </row>
    <row r="105" spans="1:57" ht="14.5" customHeight="1" x14ac:dyDescent="0.35">
      <c r="A105" s="6"/>
      <c r="B105" s="136"/>
      <c r="C105" s="11" t="s">
        <v>66</v>
      </c>
      <c r="D105" s="13">
        <v>0.27999999999999997</v>
      </c>
      <c r="E105" s="13">
        <v>0.27999999999999997</v>
      </c>
      <c r="F105" s="13">
        <v>0.27999999999999997</v>
      </c>
      <c r="G105" s="13">
        <v>0</v>
      </c>
      <c r="H105" s="41"/>
      <c r="I105" s="13">
        <v>0</v>
      </c>
      <c r="J105" s="13">
        <v>0.32</v>
      </c>
      <c r="K105" s="13">
        <v>0</v>
      </c>
      <c r="L105" s="13">
        <v>0</v>
      </c>
      <c r="M105" s="41"/>
      <c r="N105" s="13">
        <v>0.45</v>
      </c>
      <c r="O105" s="13">
        <v>0.45</v>
      </c>
      <c r="P105" s="13">
        <v>0.45</v>
      </c>
      <c r="Q105" s="13">
        <v>0</v>
      </c>
      <c r="R105" s="41"/>
      <c r="S105" s="13">
        <v>0.19</v>
      </c>
      <c r="T105" s="13">
        <v>0.2</v>
      </c>
      <c r="U105" s="13">
        <v>0.19</v>
      </c>
      <c r="V105" s="13">
        <v>0</v>
      </c>
      <c r="W105" s="41"/>
      <c r="X105" s="13">
        <v>0.08</v>
      </c>
      <c r="Y105" s="13">
        <v>0.08</v>
      </c>
      <c r="Z105" s="41"/>
      <c r="AA105" s="13">
        <v>0</v>
      </c>
      <c r="AB105" s="13">
        <v>0.29499999999999998</v>
      </c>
      <c r="AC105" s="13">
        <v>0</v>
      </c>
      <c r="AD105" s="13">
        <v>0</v>
      </c>
      <c r="AE105" s="41"/>
      <c r="AF105" s="13">
        <v>0.03</v>
      </c>
      <c r="AG105" s="13">
        <v>5.5E-2</v>
      </c>
      <c r="AH105" s="13">
        <v>0.03</v>
      </c>
      <c r="AI105" s="13">
        <v>0</v>
      </c>
      <c r="AJ105" s="41"/>
      <c r="AK105" s="13">
        <v>0.05</v>
      </c>
      <c r="AL105" s="13">
        <v>0.39499999999999996</v>
      </c>
      <c r="AM105" s="13">
        <v>0</v>
      </c>
      <c r="AN105" s="13">
        <v>0</v>
      </c>
      <c r="AO105" s="41"/>
      <c r="AP105" s="130"/>
      <c r="AQ105" s="11" t="s">
        <v>66</v>
      </c>
      <c r="AR105" s="13">
        <v>0.05</v>
      </c>
      <c r="AS105" s="13">
        <v>0.05</v>
      </c>
      <c r="AT105" s="45">
        <v>0</v>
      </c>
      <c r="AU105" s="45">
        <v>0</v>
      </c>
      <c r="AV105" s="41"/>
      <c r="AX105" s="46"/>
      <c r="AY105" s="46"/>
      <c r="AZ105" s="46"/>
      <c r="BB105" s="13"/>
      <c r="BC105" s="13"/>
      <c r="BD105" s="13"/>
      <c r="BE105" s="45"/>
    </row>
    <row r="106" spans="1:57" ht="14.5" customHeight="1" x14ac:dyDescent="0.35">
      <c r="A106" s="6"/>
      <c r="B106" s="136"/>
      <c r="C106" s="11" t="s">
        <v>67</v>
      </c>
      <c r="D106" s="13">
        <v>0.25999999999999995</v>
      </c>
      <c r="E106" s="13">
        <v>0.25999999999999995</v>
      </c>
      <c r="F106" s="13">
        <v>0.25999999999999995</v>
      </c>
      <c r="G106" s="13">
        <v>0</v>
      </c>
      <c r="H106" s="41"/>
      <c r="I106" s="13">
        <v>0</v>
      </c>
      <c r="J106" s="13">
        <v>0.27</v>
      </c>
      <c r="K106" s="13">
        <v>0</v>
      </c>
      <c r="L106" s="13">
        <v>0</v>
      </c>
      <c r="M106" s="41"/>
      <c r="N106" s="13">
        <v>0.4</v>
      </c>
      <c r="O106" s="13">
        <v>0.4</v>
      </c>
      <c r="P106" s="13">
        <v>0.4</v>
      </c>
      <c r="Q106" s="13">
        <v>0</v>
      </c>
      <c r="R106" s="41"/>
      <c r="S106" s="13">
        <v>0.17</v>
      </c>
      <c r="T106" s="13">
        <v>0.18000000000000002</v>
      </c>
      <c r="U106" s="13">
        <v>0.17</v>
      </c>
      <c r="V106" s="13">
        <v>0</v>
      </c>
      <c r="W106" s="41"/>
      <c r="X106" s="13">
        <v>0.06</v>
      </c>
      <c r="Y106" s="13">
        <v>0.06</v>
      </c>
      <c r="Z106" s="41"/>
      <c r="AA106" s="13">
        <v>0</v>
      </c>
      <c r="AB106" s="13">
        <v>0.24500000000000002</v>
      </c>
      <c r="AC106" s="13">
        <v>0</v>
      </c>
      <c r="AD106" s="13">
        <v>0</v>
      </c>
      <c r="AE106" s="41"/>
      <c r="AF106" s="13">
        <v>9.999999999999995E-3</v>
      </c>
      <c r="AG106" s="13">
        <v>3.4999999999999996E-2</v>
      </c>
      <c r="AH106" s="13">
        <v>9.999999999999995E-3</v>
      </c>
      <c r="AI106" s="13">
        <v>0</v>
      </c>
      <c r="AJ106" s="41"/>
      <c r="AK106" s="13">
        <v>0.05</v>
      </c>
      <c r="AL106" s="13">
        <v>0.39499999999999996</v>
      </c>
      <c r="AM106" s="13">
        <v>0</v>
      </c>
      <c r="AN106" s="13">
        <v>0</v>
      </c>
      <c r="AO106" s="41"/>
      <c r="AP106" s="130"/>
      <c r="AQ106" s="11" t="s">
        <v>67</v>
      </c>
      <c r="AR106" s="13">
        <v>0.05</v>
      </c>
      <c r="AS106" s="13">
        <v>0.05</v>
      </c>
      <c r="AT106" s="45">
        <v>0</v>
      </c>
      <c r="AU106" s="45">
        <v>0</v>
      </c>
      <c r="AV106" s="41"/>
      <c r="AX106" s="46"/>
      <c r="AY106" s="46"/>
      <c r="AZ106" s="46"/>
      <c r="BB106" s="13"/>
      <c r="BC106" s="13"/>
      <c r="BD106" s="13"/>
      <c r="BE106" s="45"/>
    </row>
    <row r="107" spans="1:57" ht="18.5" x14ac:dyDescent="0.35">
      <c r="A107" s="6"/>
      <c r="B107" s="131"/>
      <c r="C107" s="11" t="s">
        <v>68</v>
      </c>
      <c r="D107" s="13">
        <v>0.22500000000000001</v>
      </c>
      <c r="E107" s="13">
        <v>0.22500000000000001</v>
      </c>
      <c r="F107" s="13">
        <v>0.22500000000000001</v>
      </c>
      <c r="G107" s="45">
        <v>0</v>
      </c>
      <c r="H107" s="41"/>
      <c r="I107" s="13">
        <v>0.15000000000000002</v>
      </c>
      <c r="J107" s="13">
        <v>0.22500000000000001</v>
      </c>
      <c r="K107" s="13">
        <v>0.15000000000000002</v>
      </c>
      <c r="L107" s="45">
        <v>0</v>
      </c>
      <c r="M107" s="41"/>
      <c r="N107" s="13">
        <v>0.22500000000000001</v>
      </c>
      <c r="O107" s="13">
        <v>0.22500000000000001</v>
      </c>
      <c r="P107" s="13">
        <v>0.22500000000000001</v>
      </c>
      <c r="Q107" s="45">
        <v>0</v>
      </c>
      <c r="R107" s="41"/>
      <c r="S107" s="13">
        <v>0.22500000000000001</v>
      </c>
      <c r="T107" s="13">
        <v>0.22500000000000001</v>
      </c>
      <c r="U107" s="13">
        <v>0.22500000000000001</v>
      </c>
      <c r="V107" s="45">
        <v>0</v>
      </c>
      <c r="W107" s="41"/>
      <c r="X107" s="13">
        <v>0.1</v>
      </c>
      <c r="Y107" s="13">
        <v>0.1</v>
      </c>
      <c r="Z107" s="41"/>
      <c r="AA107" s="13">
        <v>0.10000000000000002</v>
      </c>
      <c r="AB107" s="13">
        <v>0.22500000000000001</v>
      </c>
      <c r="AC107" s="13">
        <v>0.10000000000000002</v>
      </c>
      <c r="AD107" s="45">
        <v>0</v>
      </c>
      <c r="AE107" s="41"/>
      <c r="AF107" s="13">
        <v>0.05</v>
      </c>
      <c r="AG107" s="13">
        <v>7.5000000000000011E-2</v>
      </c>
      <c r="AH107" s="13">
        <v>0.05</v>
      </c>
      <c r="AI107" s="45">
        <v>0</v>
      </c>
      <c r="AJ107" s="41"/>
      <c r="AK107" s="13">
        <v>0.05</v>
      </c>
      <c r="AL107" s="13">
        <v>0.2</v>
      </c>
      <c r="AM107" s="13">
        <v>0</v>
      </c>
      <c r="AN107" s="45">
        <v>0</v>
      </c>
      <c r="AO107" s="41"/>
      <c r="AP107" s="131"/>
      <c r="AQ107" s="11" t="s">
        <v>68</v>
      </c>
      <c r="AR107" s="45">
        <v>0</v>
      </c>
      <c r="AS107" s="45">
        <v>0</v>
      </c>
      <c r="AT107" s="45">
        <v>0</v>
      </c>
      <c r="AU107" s="45">
        <v>0</v>
      </c>
      <c r="AV107" s="41"/>
      <c r="AX107" s="46">
        <v>-0.125</v>
      </c>
      <c r="AY107" s="46">
        <v>-0.125</v>
      </c>
      <c r="AZ107" s="46">
        <v>-0.125</v>
      </c>
      <c r="BB107" s="13">
        <v>0.1</v>
      </c>
      <c r="BC107" s="13">
        <v>0.1</v>
      </c>
      <c r="BD107" s="13">
        <v>0.1</v>
      </c>
      <c r="BE107" s="45">
        <v>0</v>
      </c>
    </row>
    <row r="108" spans="1:57" ht="25.5" customHeight="1" x14ac:dyDescent="0.35">
      <c r="A108" s="6"/>
      <c r="B108" s="131"/>
      <c r="C108" s="11" t="s">
        <v>69</v>
      </c>
      <c r="D108" s="13">
        <v>7.4999999999999997E-2</v>
      </c>
      <c r="E108" s="13">
        <v>0.27500000000000002</v>
      </c>
      <c r="F108" s="13">
        <v>7.4999999999999997E-2</v>
      </c>
      <c r="G108" s="45">
        <v>0</v>
      </c>
      <c r="H108" s="41"/>
      <c r="I108" s="13">
        <v>0.1</v>
      </c>
      <c r="J108" s="13">
        <v>0.27500000000000002</v>
      </c>
      <c r="K108" s="13">
        <v>0.1</v>
      </c>
      <c r="L108" s="45">
        <v>0</v>
      </c>
      <c r="M108" s="41"/>
      <c r="N108" s="13">
        <v>0.1</v>
      </c>
      <c r="O108" s="13">
        <v>0.27500000000000002</v>
      </c>
      <c r="P108" s="13">
        <v>0.1</v>
      </c>
      <c r="Q108" s="45">
        <v>0</v>
      </c>
      <c r="R108" s="41"/>
      <c r="S108" s="13">
        <v>0.1</v>
      </c>
      <c r="T108" s="13">
        <v>0.27500000000000002</v>
      </c>
      <c r="U108" s="13">
        <v>0.1</v>
      </c>
      <c r="V108" s="45">
        <v>0</v>
      </c>
      <c r="W108" s="41"/>
      <c r="X108" s="13">
        <v>0.1</v>
      </c>
      <c r="Y108" s="13">
        <v>0.1</v>
      </c>
      <c r="Z108" s="41"/>
      <c r="AA108" s="13">
        <v>0.05</v>
      </c>
      <c r="AB108" s="13">
        <v>0.25</v>
      </c>
      <c r="AC108" s="13">
        <v>0.05</v>
      </c>
      <c r="AD108" s="45">
        <v>0</v>
      </c>
      <c r="AE108" s="41"/>
      <c r="AF108" s="13">
        <v>2.4999999999999994E-2</v>
      </c>
      <c r="AG108" s="13">
        <v>0.25</v>
      </c>
      <c r="AH108" s="13">
        <v>2.4999999999999994E-2</v>
      </c>
      <c r="AI108" s="45">
        <v>0</v>
      </c>
      <c r="AJ108" s="41"/>
      <c r="AK108" s="13">
        <v>0.05</v>
      </c>
      <c r="AL108" s="13">
        <v>0.25</v>
      </c>
      <c r="AM108" s="13">
        <v>0</v>
      </c>
      <c r="AN108" s="45">
        <v>0</v>
      </c>
      <c r="AO108" s="41"/>
      <c r="AP108" s="131"/>
      <c r="AQ108" s="11" t="s">
        <v>69</v>
      </c>
      <c r="AR108" s="45">
        <v>0</v>
      </c>
      <c r="AS108" s="45">
        <v>0</v>
      </c>
      <c r="AT108" s="45">
        <v>0</v>
      </c>
      <c r="AU108" s="45">
        <v>0</v>
      </c>
      <c r="AV108" s="41"/>
      <c r="AX108" s="46">
        <v>0</v>
      </c>
      <c r="AY108" s="46">
        <v>0</v>
      </c>
      <c r="AZ108" s="46">
        <v>0</v>
      </c>
      <c r="BB108" s="13">
        <v>0.1</v>
      </c>
      <c r="BC108" s="13">
        <v>0.1</v>
      </c>
      <c r="BD108" s="13">
        <v>0.1</v>
      </c>
      <c r="BE108" s="45">
        <v>0</v>
      </c>
    </row>
    <row r="109" spans="1:57" ht="18.5" x14ac:dyDescent="0.35">
      <c r="A109" s="6"/>
      <c r="B109" s="132"/>
      <c r="C109" s="11" t="s">
        <v>23</v>
      </c>
      <c r="D109" s="13">
        <v>0</v>
      </c>
      <c r="E109" s="13">
        <v>7.4999999999999997E-2</v>
      </c>
      <c r="F109" s="13">
        <v>0</v>
      </c>
      <c r="G109" s="45">
        <v>0</v>
      </c>
      <c r="H109" s="41"/>
      <c r="I109" s="45">
        <v>0</v>
      </c>
      <c r="J109" s="13">
        <v>7.4999999999999997E-2</v>
      </c>
      <c r="K109" s="45">
        <v>0</v>
      </c>
      <c r="L109" s="45">
        <v>0</v>
      </c>
      <c r="M109" s="41"/>
      <c r="N109" s="45">
        <v>0</v>
      </c>
      <c r="O109" s="13">
        <v>7.4999999999999997E-2</v>
      </c>
      <c r="P109" s="45">
        <v>0</v>
      </c>
      <c r="Q109" s="45">
        <v>0</v>
      </c>
      <c r="R109" s="41"/>
      <c r="S109" s="13">
        <v>0</v>
      </c>
      <c r="T109" s="13">
        <v>7.4999999999999997E-2</v>
      </c>
      <c r="U109" s="13">
        <v>0</v>
      </c>
      <c r="V109" s="45">
        <v>0</v>
      </c>
      <c r="W109" s="41"/>
      <c r="X109" s="13">
        <v>0</v>
      </c>
      <c r="Y109" s="13">
        <v>0</v>
      </c>
      <c r="Z109" s="41"/>
      <c r="AA109" s="13">
        <v>0</v>
      </c>
      <c r="AB109" s="13">
        <v>4.9999999999999996E-2</v>
      </c>
      <c r="AC109" s="13">
        <v>0</v>
      </c>
      <c r="AD109" s="45">
        <v>0</v>
      </c>
      <c r="AE109" s="41"/>
      <c r="AF109" s="13">
        <v>0</v>
      </c>
      <c r="AG109" s="13">
        <v>4.9999999999999996E-2</v>
      </c>
      <c r="AH109" s="13">
        <v>0</v>
      </c>
      <c r="AI109" s="45">
        <v>0</v>
      </c>
      <c r="AJ109" s="41"/>
      <c r="AK109" s="13">
        <v>0</v>
      </c>
      <c r="AL109" s="13">
        <v>4.9999999999999996E-2</v>
      </c>
      <c r="AM109" s="13">
        <v>0</v>
      </c>
      <c r="AN109" s="45">
        <v>0</v>
      </c>
      <c r="AO109" s="41"/>
      <c r="AP109" s="132"/>
      <c r="AQ109" s="11" t="s">
        <v>23</v>
      </c>
      <c r="AR109" s="45">
        <v>0</v>
      </c>
      <c r="AS109" s="45">
        <v>0</v>
      </c>
      <c r="AT109" s="45">
        <v>0</v>
      </c>
      <c r="AU109" s="45">
        <v>0</v>
      </c>
      <c r="AV109" s="41"/>
      <c r="AX109" s="46"/>
      <c r="AY109" s="46">
        <v>0</v>
      </c>
      <c r="AZ109" s="46"/>
      <c r="BB109" s="45">
        <v>0</v>
      </c>
      <c r="BC109" s="13">
        <v>7.4999999999999997E-2</v>
      </c>
      <c r="BD109" s="45">
        <v>0</v>
      </c>
      <c r="BE109" s="45">
        <v>0</v>
      </c>
    </row>
    <row r="110" spans="1:57" customFormat="1" ht="4.5" customHeight="1" x14ac:dyDescent="0.35">
      <c r="A110" s="6"/>
      <c r="B110" s="6"/>
      <c r="C110" s="6"/>
      <c r="D110" s="6"/>
      <c r="E110" s="6"/>
      <c r="F110" s="6"/>
      <c r="G110" s="6"/>
      <c r="H110" s="41"/>
      <c r="I110" s="6"/>
      <c r="J110" s="6"/>
      <c r="K110" s="6"/>
      <c r="L110" s="6"/>
      <c r="M110" s="41"/>
      <c r="N110" s="6"/>
      <c r="O110" s="6"/>
      <c r="P110" s="6"/>
      <c r="Q110" s="6"/>
      <c r="R110" s="41"/>
      <c r="S110" s="6"/>
      <c r="T110" s="6"/>
      <c r="U110" s="6"/>
      <c r="V110" s="6"/>
      <c r="W110" s="41"/>
      <c r="X110" s="6"/>
      <c r="Y110" s="6"/>
      <c r="Z110" s="41"/>
      <c r="AA110" s="6"/>
      <c r="AB110" s="6"/>
      <c r="AC110" s="6"/>
      <c r="AD110" s="6"/>
      <c r="AE110" s="41"/>
      <c r="AF110" s="6"/>
      <c r="AG110" s="6"/>
      <c r="AH110" s="6"/>
      <c r="AI110" s="6"/>
      <c r="AJ110" s="41"/>
      <c r="AK110" s="6"/>
      <c r="AL110" s="6"/>
      <c r="AM110" s="6"/>
      <c r="AN110" s="6"/>
      <c r="AO110" s="41"/>
      <c r="AP110" s="6"/>
      <c r="AQ110" s="6"/>
      <c r="AR110" s="6"/>
      <c r="AS110" s="6"/>
      <c r="AT110" s="6"/>
      <c r="AU110" s="6"/>
      <c r="AV110" s="41"/>
      <c r="BB110" s="6"/>
      <c r="BC110" s="6"/>
      <c r="BD110" s="6"/>
      <c r="BE110" s="6"/>
    </row>
    <row r="111" spans="1:57" ht="14.5" customHeight="1" x14ac:dyDescent="0.35">
      <c r="A111" s="6"/>
      <c r="B111" s="129" t="s">
        <v>13</v>
      </c>
      <c r="C111" s="11" t="s">
        <v>65</v>
      </c>
      <c r="D111" s="13">
        <v>0.1</v>
      </c>
      <c r="E111" s="13">
        <v>0.3</v>
      </c>
      <c r="F111" s="13">
        <v>0.1</v>
      </c>
      <c r="G111" s="45">
        <v>0</v>
      </c>
      <c r="H111" s="41"/>
      <c r="I111" s="13">
        <v>7.4999999999999997E-2</v>
      </c>
      <c r="J111" s="13">
        <v>0.35</v>
      </c>
      <c r="K111" s="13">
        <v>7.4999999999999997E-2</v>
      </c>
      <c r="L111" s="45">
        <v>0</v>
      </c>
      <c r="M111" s="41"/>
      <c r="N111" s="13">
        <v>0.4</v>
      </c>
      <c r="O111" s="13">
        <v>0.4</v>
      </c>
      <c r="P111" s="13">
        <v>0.4</v>
      </c>
      <c r="Q111" s="45">
        <v>0</v>
      </c>
      <c r="R111" s="41"/>
      <c r="S111" s="13">
        <v>0.1</v>
      </c>
      <c r="T111" s="13">
        <v>0.3</v>
      </c>
      <c r="U111" s="13">
        <v>0.1</v>
      </c>
      <c r="V111" s="45">
        <v>0</v>
      </c>
      <c r="W111" s="41"/>
      <c r="X111" s="13">
        <v>0.1</v>
      </c>
      <c r="Y111" s="13">
        <v>0.1</v>
      </c>
      <c r="Z111" s="41"/>
      <c r="AA111" s="13">
        <v>2.4999999999999994E-2</v>
      </c>
      <c r="AB111" s="13">
        <v>0.32499999999999996</v>
      </c>
      <c r="AC111" s="13">
        <v>2.4999999999999994E-2</v>
      </c>
      <c r="AD111" s="45">
        <v>0</v>
      </c>
      <c r="AE111" s="41"/>
      <c r="AF111" s="13">
        <v>0.05</v>
      </c>
      <c r="AG111" s="13">
        <v>0.22500000000000001</v>
      </c>
      <c r="AH111" s="13">
        <v>0.05</v>
      </c>
      <c r="AI111" s="45">
        <v>0</v>
      </c>
      <c r="AJ111" s="41"/>
      <c r="AK111" s="13">
        <v>0.2</v>
      </c>
      <c r="AL111" s="13">
        <v>0.39499999999999996</v>
      </c>
      <c r="AM111" s="45">
        <v>0</v>
      </c>
      <c r="AN111" s="45">
        <v>0</v>
      </c>
      <c r="AO111" s="41"/>
      <c r="AP111" s="129" t="s">
        <v>13</v>
      </c>
      <c r="AQ111" s="11" t="s">
        <v>65</v>
      </c>
      <c r="AR111" s="13">
        <v>0.2</v>
      </c>
      <c r="AS111" s="13">
        <v>0.2</v>
      </c>
      <c r="AT111" s="45">
        <v>0</v>
      </c>
      <c r="AU111" s="45">
        <v>0</v>
      </c>
      <c r="AV111" s="41"/>
      <c r="AX111" s="46">
        <v>0</v>
      </c>
      <c r="AY111" s="46">
        <v>-4.9999999999999989E-2</v>
      </c>
      <c r="AZ111" s="46">
        <v>0</v>
      </c>
      <c r="BB111" s="13">
        <v>0.25</v>
      </c>
      <c r="BC111" s="13">
        <v>0.25</v>
      </c>
      <c r="BD111" s="13">
        <v>0.25</v>
      </c>
      <c r="BE111" s="45">
        <v>0</v>
      </c>
    </row>
    <row r="112" spans="1:57" ht="14.5" customHeight="1" x14ac:dyDescent="0.35">
      <c r="A112" s="6"/>
      <c r="B112" s="130"/>
      <c r="C112" s="11" t="s">
        <v>66</v>
      </c>
      <c r="D112" s="13">
        <v>0.08</v>
      </c>
      <c r="E112" s="13">
        <v>0.27999999999999997</v>
      </c>
      <c r="F112" s="13">
        <v>0.08</v>
      </c>
      <c r="G112" s="13">
        <v>0</v>
      </c>
      <c r="H112" s="41"/>
      <c r="I112" s="13">
        <v>7.4999999999999997E-2</v>
      </c>
      <c r="J112" s="13">
        <v>0.3</v>
      </c>
      <c r="K112" s="13">
        <v>7.4999999999999997E-2</v>
      </c>
      <c r="L112" s="13">
        <v>0</v>
      </c>
      <c r="M112" s="41"/>
      <c r="N112" s="13">
        <v>0.35</v>
      </c>
      <c r="O112" s="13">
        <v>0.35</v>
      </c>
      <c r="P112" s="13">
        <v>0.35</v>
      </c>
      <c r="Q112" s="13">
        <v>0</v>
      </c>
      <c r="R112" s="41"/>
      <c r="S112" s="13">
        <v>0.08</v>
      </c>
      <c r="T112" s="13">
        <v>0.27999999999999997</v>
      </c>
      <c r="U112" s="13">
        <v>0.08</v>
      </c>
      <c r="V112" s="13">
        <v>0</v>
      </c>
      <c r="W112" s="41"/>
      <c r="X112" s="13">
        <v>0.08</v>
      </c>
      <c r="Y112" s="13">
        <v>0.08</v>
      </c>
      <c r="Z112" s="41"/>
      <c r="AA112" s="13">
        <v>2.4999999999999994E-2</v>
      </c>
      <c r="AB112" s="13">
        <v>0.27499999999999997</v>
      </c>
      <c r="AC112" s="13">
        <v>2.4999999999999994E-2</v>
      </c>
      <c r="AD112" s="13">
        <v>0</v>
      </c>
      <c r="AE112" s="41"/>
      <c r="AF112" s="13">
        <v>0.03</v>
      </c>
      <c r="AG112" s="13">
        <v>0.20500000000000002</v>
      </c>
      <c r="AH112" s="13">
        <v>0.03</v>
      </c>
      <c r="AI112" s="13">
        <v>0</v>
      </c>
      <c r="AJ112" s="41"/>
      <c r="AK112" s="13">
        <v>0.2</v>
      </c>
      <c r="AL112" s="13">
        <v>0.39499999999999996</v>
      </c>
      <c r="AM112" s="13">
        <v>0</v>
      </c>
      <c r="AN112" s="13">
        <v>0</v>
      </c>
      <c r="AO112" s="41"/>
      <c r="AP112" s="130"/>
      <c r="AQ112" s="11" t="s">
        <v>66</v>
      </c>
      <c r="AR112" s="13">
        <v>0.2</v>
      </c>
      <c r="AS112" s="13">
        <v>0.2</v>
      </c>
      <c r="AT112" s="45">
        <v>0</v>
      </c>
      <c r="AU112" s="45">
        <v>0</v>
      </c>
      <c r="AV112" s="41"/>
      <c r="AX112" s="46"/>
      <c r="AY112" s="46"/>
      <c r="AZ112" s="46"/>
      <c r="BB112" s="13"/>
      <c r="BC112" s="13"/>
      <c r="BD112" s="13"/>
      <c r="BE112" s="45"/>
    </row>
    <row r="113" spans="1:57" ht="14.5" customHeight="1" x14ac:dyDescent="0.35">
      <c r="A113" s="6"/>
      <c r="B113" s="130"/>
      <c r="C113" s="11" t="s">
        <v>67</v>
      </c>
      <c r="D113" s="13">
        <v>0.06</v>
      </c>
      <c r="E113" s="13">
        <v>0.25999999999999995</v>
      </c>
      <c r="F113" s="13">
        <v>0.06</v>
      </c>
      <c r="G113" s="13">
        <v>0</v>
      </c>
      <c r="H113" s="41"/>
      <c r="I113" s="13">
        <v>7.4999999999999997E-2</v>
      </c>
      <c r="J113" s="13">
        <v>0.27</v>
      </c>
      <c r="K113" s="13">
        <v>7.4999999999999997E-2</v>
      </c>
      <c r="L113" s="13">
        <v>0</v>
      </c>
      <c r="M113" s="41"/>
      <c r="N113" s="13">
        <v>0.3</v>
      </c>
      <c r="O113" s="13">
        <v>0.3</v>
      </c>
      <c r="P113" s="13">
        <v>0.3</v>
      </c>
      <c r="Q113" s="13">
        <v>0</v>
      </c>
      <c r="R113" s="41"/>
      <c r="S113" s="13">
        <v>0.06</v>
      </c>
      <c r="T113" s="13">
        <v>0.25999999999999995</v>
      </c>
      <c r="U113" s="13">
        <v>0.06</v>
      </c>
      <c r="V113" s="13">
        <v>0</v>
      </c>
      <c r="W113" s="41"/>
      <c r="X113" s="13">
        <v>0.06</v>
      </c>
      <c r="Y113" s="13">
        <v>0.06</v>
      </c>
      <c r="Z113" s="41"/>
      <c r="AA113" s="13">
        <v>2.4999999999999994E-2</v>
      </c>
      <c r="AB113" s="13">
        <v>0.24500000000000002</v>
      </c>
      <c r="AC113" s="13">
        <v>2.4999999999999994E-2</v>
      </c>
      <c r="AD113" s="13">
        <v>0</v>
      </c>
      <c r="AE113" s="41"/>
      <c r="AF113" s="13">
        <v>9.999999999999995E-3</v>
      </c>
      <c r="AG113" s="13">
        <v>0.18500000000000003</v>
      </c>
      <c r="AH113" s="13">
        <v>9.999999999999995E-3</v>
      </c>
      <c r="AI113" s="13">
        <v>0</v>
      </c>
      <c r="AJ113" s="41"/>
      <c r="AK113" s="13">
        <v>0.2</v>
      </c>
      <c r="AL113" s="13">
        <v>0.39499999999999996</v>
      </c>
      <c r="AM113" s="13">
        <v>0</v>
      </c>
      <c r="AN113" s="13">
        <v>0</v>
      </c>
      <c r="AO113" s="41"/>
      <c r="AP113" s="130"/>
      <c r="AQ113" s="11" t="s">
        <v>67</v>
      </c>
      <c r="AR113" s="13">
        <v>0.2</v>
      </c>
      <c r="AS113" s="13">
        <v>0.2</v>
      </c>
      <c r="AT113" s="45">
        <v>0</v>
      </c>
      <c r="AU113" s="45">
        <v>0</v>
      </c>
      <c r="AV113" s="41"/>
      <c r="AX113" s="46"/>
      <c r="AY113" s="46"/>
      <c r="AZ113" s="46"/>
      <c r="BB113" s="13"/>
      <c r="BC113" s="13"/>
      <c r="BD113" s="13"/>
      <c r="BE113" s="45"/>
    </row>
    <row r="114" spans="1:57" ht="18.5" x14ac:dyDescent="0.35">
      <c r="A114" s="6"/>
      <c r="B114" s="131"/>
      <c r="C114" s="11" t="s">
        <v>68</v>
      </c>
      <c r="D114" s="13">
        <v>7.4999999999999997E-2</v>
      </c>
      <c r="E114" s="13">
        <v>0.22500000000000001</v>
      </c>
      <c r="F114" s="13">
        <v>7.4999999999999997E-2</v>
      </c>
      <c r="G114" s="45">
        <v>0</v>
      </c>
      <c r="H114" s="41"/>
      <c r="I114" s="13">
        <v>0.15000000000000002</v>
      </c>
      <c r="J114" s="13">
        <v>0.15000000000000002</v>
      </c>
      <c r="K114" s="13">
        <v>0.15000000000000002</v>
      </c>
      <c r="L114" s="45">
        <v>0</v>
      </c>
      <c r="M114" s="41"/>
      <c r="N114" s="13">
        <v>0.15000000000000002</v>
      </c>
      <c r="O114" s="13">
        <v>0.15000000000000002</v>
      </c>
      <c r="P114" s="13">
        <v>0.15000000000000002</v>
      </c>
      <c r="Q114" s="45">
        <v>0</v>
      </c>
      <c r="R114" s="41"/>
      <c r="S114" s="13">
        <v>7.4999999999999997E-2</v>
      </c>
      <c r="T114" s="13">
        <v>0.22500000000000001</v>
      </c>
      <c r="U114" s="13">
        <v>7.4999999999999997E-2</v>
      </c>
      <c r="V114" s="45">
        <v>0</v>
      </c>
      <c r="W114" s="41"/>
      <c r="X114" s="13">
        <v>0.1</v>
      </c>
      <c r="Y114" s="13">
        <v>0.1</v>
      </c>
      <c r="Z114" s="41"/>
      <c r="AA114" s="13">
        <v>0.10000000000000002</v>
      </c>
      <c r="AB114" s="13">
        <v>0.12500000000000003</v>
      </c>
      <c r="AC114" s="13">
        <v>0.10000000000000002</v>
      </c>
      <c r="AD114" s="45">
        <v>0</v>
      </c>
      <c r="AE114" s="41"/>
      <c r="AF114" s="13">
        <v>2.4999999999999994E-2</v>
      </c>
      <c r="AG114" s="13">
        <v>0.22500000000000001</v>
      </c>
      <c r="AH114" s="13">
        <v>2.4999999999999994E-2</v>
      </c>
      <c r="AI114" s="45">
        <v>0</v>
      </c>
      <c r="AJ114" s="41"/>
      <c r="AK114" s="13">
        <v>0.2</v>
      </c>
      <c r="AL114" s="13">
        <v>0.12500000000000003</v>
      </c>
      <c r="AM114" s="45">
        <v>0</v>
      </c>
      <c r="AN114" s="45">
        <v>0</v>
      </c>
      <c r="AO114" s="41"/>
      <c r="AP114" s="131"/>
      <c r="AQ114" s="11" t="s">
        <v>68</v>
      </c>
      <c r="AR114" s="45">
        <v>0</v>
      </c>
      <c r="AS114" s="45">
        <v>0</v>
      </c>
      <c r="AT114" s="45">
        <v>0</v>
      </c>
      <c r="AU114" s="45">
        <v>0</v>
      </c>
      <c r="AV114" s="41"/>
      <c r="AX114" s="46">
        <v>0</v>
      </c>
      <c r="AY114" s="46">
        <v>2.4999999999999994E-2</v>
      </c>
      <c r="AZ114" s="46">
        <v>0</v>
      </c>
      <c r="BB114" s="13">
        <v>0.25</v>
      </c>
      <c r="BC114" s="13">
        <v>0.25</v>
      </c>
      <c r="BD114" s="13">
        <v>0.25</v>
      </c>
      <c r="BE114" s="45">
        <v>0</v>
      </c>
    </row>
    <row r="115" spans="1:57" ht="18.5" x14ac:dyDescent="0.35">
      <c r="A115" s="6"/>
      <c r="B115" s="131"/>
      <c r="C115" s="11" t="s">
        <v>69</v>
      </c>
      <c r="D115" s="13">
        <v>7.4999999999999997E-2</v>
      </c>
      <c r="E115" s="13">
        <v>0.4</v>
      </c>
      <c r="F115" s="13">
        <v>7.4999999999999997E-2</v>
      </c>
      <c r="G115" s="45">
        <v>0</v>
      </c>
      <c r="H115" s="41"/>
      <c r="I115" s="13">
        <v>7.4999999999999997E-2</v>
      </c>
      <c r="J115" s="13">
        <v>0.4</v>
      </c>
      <c r="K115" s="13">
        <v>7.4999999999999997E-2</v>
      </c>
      <c r="L115" s="45">
        <v>0</v>
      </c>
      <c r="M115" s="41"/>
      <c r="N115" s="13">
        <v>0.1</v>
      </c>
      <c r="O115" s="13">
        <v>0.4</v>
      </c>
      <c r="P115" s="13">
        <v>0.1</v>
      </c>
      <c r="Q115" s="45">
        <v>0</v>
      </c>
      <c r="R115" s="41"/>
      <c r="S115" s="13">
        <v>7.4999999999999997E-2</v>
      </c>
      <c r="T115" s="13">
        <v>0.4</v>
      </c>
      <c r="U115" s="13">
        <v>7.4999999999999997E-2</v>
      </c>
      <c r="V115" s="45">
        <v>0</v>
      </c>
      <c r="W115" s="41"/>
      <c r="X115" s="13">
        <v>0.1</v>
      </c>
      <c r="Y115" s="13">
        <v>0.1</v>
      </c>
      <c r="Z115" s="41"/>
      <c r="AA115" s="13">
        <v>0.05</v>
      </c>
      <c r="AB115" s="13">
        <v>0.375</v>
      </c>
      <c r="AC115" s="13">
        <v>0.05</v>
      </c>
      <c r="AD115" s="45">
        <v>0</v>
      </c>
      <c r="AE115" s="41"/>
      <c r="AF115" s="13">
        <v>2.4999999999999994E-2</v>
      </c>
      <c r="AG115" s="13">
        <v>0.375</v>
      </c>
      <c r="AH115" s="13">
        <v>2.4999999999999994E-2</v>
      </c>
      <c r="AI115" s="45">
        <v>0</v>
      </c>
      <c r="AJ115" s="41"/>
      <c r="AK115" s="13">
        <v>0.05</v>
      </c>
      <c r="AL115" s="13">
        <v>0.375</v>
      </c>
      <c r="AM115" s="45">
        <v>0</v>
      </c>
      <c r="AN115" s="45">
        <v>0</v>
      </c>
      <c r="AO115" s="41"/>
      <c r="AP115" s="131"/>
      <c r="AQ115" s="11" t="s">
        <v>69</v>
      </c>
      <c r="AR115" s="45">
        <v>0</v>
      </c>
      <c r="AS115" s="45">
        <v>0</v>
      </c>
      <c r="AT115" s="45">
        <v>0</v>
      </c>
      <c r="AU115" s="45">
        <v>0</v>
      </c>
      <c r="AV115" s="41"/>
      <c r="AX115" s="46">
        <v>0</v>
      </c>
      <c r="AY115" s="46">
        <v>0</v>
      </c>
      <c r="AZ115" s="46">
        <v>0</v>
      </c>
      <c r="BB115" s="13">
        <v>0.25</v>
      </c>
      <c r="BC115" s="13">
        <v>0.25</v>
      </c>
      <c r="BD115" s="13">
        <v>0.25</v>
      </c>
      <c r="BE115" s="45">
        <v>0</v>
      </c>
    </row>
    <row r="116" spans="1:57" ht="18.5" x14ac:dyDescent="0.35">
      <c r="A116" s="6"/>
      <c r="B116" s="132"/>
      <c r="C116" s="11" t="s">
        <v>23</v>
      </c>
      <c r="D116" s="13">
        <v>0</v>
      </c>
      <c r="E116" s="13">
        <v>0</v>
      </c>
      <c r="F116" s="13">
        <v>0</v>
      </c>
      <c r="G116" s="45">
        <v>0</v>
      </c>
      <c r="H116" s="41"/>
      <c r="I116" s="45">
        <v>0</v>
      </c>
      <c r="J116" s="13">
        <v>7.4999999999999997E-2</v>
      </c>
      <c r="K116" s="45">
        <v>0</v>
      </c>
      <c r="L116" s="45">
        <v>0</v>
      </c>
      <c r="M116" s="41"/>
      <c r="N116" s="13">
        <v>0</v>
      </c>
      <c r="O116" s="13">
        <v>7.4999999999999997E-2</v>
      </c>
      <c r="P116" s="13">
        <v>0</v>
      </c>
      <c r="Q116" s="45">
        <v>0</v>
      </c>
      <c r="R116" s="41"/>
      <c r="S116" s="45">
        <v>0</v>
      </c>
      <c r="T116" s="13">
        <v>7.4999999999999997E-2</v>
      </c>
      <c r="U116" s="45">
        <v>0</v>
      </c>
      <c r="V116" s="45">
        <v>0</v>
      </c>
      <c r="W116" s="41"/>
      <c r="X116" s="45">
        <v>0</v>
      </c>
      <c r="Y116" s="45">
        <v>0</v>
      </c>
      <c r="Z116" s="41"/>
      <c r="AA116" s="45">
        <v>0</v>
      </c>
      <c r="AB116" s="13">
        <v>4.9999999999999996E-2</v>
      </c>
      <c r="AC116" s="45">
        <v>0</v>
      </c>
      <c r="AD116" s="45">
        <v>0</v>
      </c>
      <c r="AE116" s="41"/>
      <c r="AF116" s="45">
        <v>0</v>
      </c>
      <c r="AG116" s="13">
        <v>4.9999999999999996E-2</v>
      </c>
      <c r="AH116" s="45">
        <v>0</v>
      </c>
      <c r="AI116" s="45">
        <v>0</v>
      </c>
      <c r="AJ116" s="41"/>
      <c r="AK116" s="13">
        <v>0</v>
      </c>
      <c r="AL116" s="13">
        <v>4.9999999999999996E-2</v>
      </c>
      <c r="AM116" s="45">
        <v>0</v>
      </c>
      <c r="AN116" s="45">
        <v>0</v>
      </c>
      <c r="AO116" s="41"/>
      <c r="AP116" s="132"/>
      <c r="AQ116" s="11" t="s">
        <v>23</v>
      </c>
      <c r="AR116" s="45">
        <v>0</v>
      </c>
      <c r="AS116" s="45">
        <v>0</v>
      </c>
      <c r="AT116" s="45">
        <v>0</v>
      </c>
      <c r="AU116" s="45">
        <v>0</v>
      </c>
      <c r="AV116" s="41"/>
      <c r="AX116" s="46"/>
      <c r="AY116" s="46" t="e">
        <v>#VALUE!</v>
      </c>
      <c r="AZ116" s="46"/>
      <c r="BB116" s="45">
        <v>0</v>
      </c>
      <c r="BC116" s="13">
        <v>7.4999999999999997E-2</v>
      </c>
      <c r="BD116" s="45">
        <v>0</v>
      </c>
      <c r="BE116" s="45">
        <v>0</v>
      </c>
    </row>
    <row r="117" spans="1:57" customFormat="1" ht="4.5" customHeight="1" x14ac:dyDescent="0.35">
      <c r="A117" s="6"/>
      <c r="B117" s="6"/>
      <c r="C117" s="6"/>
      <c r="D117" s="6"/>
      <c r="E117" s="6"/>
      <c r="F117" s="6"/>
      <c r="G117" s="6"/>
      <c r="H117" s="41"/>
      <c r="I117" s="6"/>
      <c r="J117" s="6"/>
      <c r="K117" s="6"/>
      <c r="L117" s="6"/>
      <c r="M117" s="41"/>
      <c r="N117" s="6"/>
      <c r="O117" s="6"/>
      <c r="P117" s="6"/>
      <c r="Q117" s="6"/>
      <c r="R117" s="41"/>
      <c r="S117" s="6"/>
      <c r="T117" s="6"/>
      <c r="U117" s="6"/>
      <c r="V117" s="6"/>
      <c r="W117" s="41"/>
      <c r="X117" s="6"/>
      <c r="Y117" s="6"/>
      <c r="Z117" s="41"/>
      <c r="AA117" s="6"/>
      <c r="AB117" s="6"/>
      <c r="AC117" s="6"/>
      <c r="AD117" s="6"/>
      <c r="AE117" s="41"/>
      <c r="AF117" s="6"/>
      <c r="AG117" s="6"/>
      <c r="AH117" s="6"/>
      <c r="AI117" s="6"/>
      <c r="AJ117" s="41"/>
      <c r="AK117" s="6"/>
      <c r="AL117" s="6"/>
      <c r="AM117" s="6"/>
      <c r="AN117" s="6"/>
      <c r="AO117" s="41"/>
      <c r="AP117" s="6"/>
      <c r="AQ117" s="6"/>
      <c r="AR117" s="6"/>
      <c r="AS117" s="6"/>
      <c r="AT117" s="6"/>
      <c r="AU117" s="6"/>
      <c r="AV117" s="41"/>
      <c r="BB117" s="6"/>
      <c r="BC117" s="6"/>
      <c r="BD117" s="6"/>
      <c r="BE117" s="6"/>
    </row>
    <row r="118" spans="1:57" ht="14.5" customHeight="1" x14ac:dyDescent="0.35">
      <c r="A118" s="6"/>
      <c r="B118" s="129" t="s">
        <v>82</v>
      </c>
      <c r="C118" s="11" t="s">
        <v>65</v>
      </c>
      <c r="D118" s="13">
        <v>0</v>
      </c>
      <c r="E118" s="13">
        <v>0</v>
      </c>
      <c r="F118" s="13">
        <v>0</v>
      </c>
      <c r="G118" s="45">
        <v>0</v>
      </c>
      <c r="H118" s="41"/>
      <c r="I118" s="13">
        <v>0</v>
      </c>
      <c r="J118" s="13">
        <v>0</v>
      </c>
      <c r="K118" s="13">
        <v>0</v>
      </c>
      <c r="L118" s="45">
        <v>0</v>
      </c>
      <c r="M118" s="41"/>
      <c r="N118" s="13">
        <v>0</v>
      </c>
      <c r="O118" s="13">
        <v>0</v>
      </c>
      <c r="P118" s="13">
        <v>0</v>
      </c>
      <c r="Q118" s="45">
        <v>0</v>
      </c>
      <c r="R118" s="41"/>
      <c r="S118" s="13">
        <v>0</v>
      </c>
      <c r="T118" s="13">
        <v>0</v>
      </c>
      <c r="U118" s="13">
        <v>0</v>
      </c>
      <c r="V118" s="45">
        <v>0</v>
      </c>
      <c r="W118" s="41"/>
      <c r="X118" s="13">
        <v>0</v>
      </c>
      <c r="Y118" s="13">
        <v>0</v>
      </c>
      <c r="Z118" s="41"/>
      <c r="AA118" s="45">
        <v>0</v>
      </c>
      <c r="AB118" s="45">
        <v>0</v>
      </c>
      <c r="AC118" s="45">
        <v>0</v>
      </c>
      <c r="AD118" s="45">
        <v>0</v>
      </c>
      <c r="AE118" s="41"/>
      <c r="AF118" s="45">
        <v>0</v>
      </c>
      <c r="AG118" s="45">
        <v>0</v>
      </c>
      <c r="AH118" s="45">
        <v>0</v>
      </c>
      <c r="AI118" s="45">
        <v>0</v>
      </c>
      <c r="AJ118" s="41"/>
      <c r="AK118" s="45">
        <v>0</v>
      </c>
      <c r="AL118" s="45">
        <v>0</v>
      </c>
      <c r="AM118" s="45">
        <v>0</v>
      </c>
      <c r="AN118" s="45">
        <v>0</v>
      </c>
      <c r="AO118" s="41"/>
      <c r="AP118" s="129" t="s">
        <v>82</v>
      </c>
      <c r="AQ118" s="11" t="s">
        <v>65</v>
      </c>
      <c r="AR118" s="45">
        <v>0</v>
      </c>
      <c r="AS118" s="45">
        <v>0</v>
      </c>
      <c r="AT118" s="45">
        <v>0</v>
      </c>
      <c r="AU118" s="45">
        <v>0</v>
      </c>
      <c r="AV118" s="41"/>
      <c r="AX118" s="46">
        <v>0</v>
      </c>
      <c r="AY118" s="46">
        <v>0</v>
      </c>
      <c r="AZ118" s="46">
        <v>0</v>
      </c>
      <c r="BB118" s="13">
        <v>0</v>
      </c>
      <c r="BC118" s="13">
        <v>0</v>
      </c>
      <c r="BD118" s="13">
        <v>0</v>
      </c>
      <c r="BE118" s="45">
        <v>0</v>
      </c>
    </row>
    <row r="119" spans="1:57" ht="14.5" customHeight="1" x14ac:dyDescent="0.35">
      <c r="A119" s="6"/>
      <c r="B119" s="130"/>
      <c r="C119" s="11" t="s">
        <v>66</v>
      </c>
      <c r="D119" s="13">
        <v>0</v>
      </c>
      <c r="E119" s="13">
        <v>0</v>
      </c>
      <c r="F119" s="13">
        <v>0</v>
      </c>
      <c r="G119" s="13">
        <v>0</v>
      </c>
      <c r="H119" s="41"/>
      <c r="I119" s="13">
        <v>0</v>
      </c>
      <c r="J119" s="13">
        <v>0</v>
      </c>
      <c r="K119" s="13">
        <v>0</v>
      </c>
      <c r="L119" s="13">
        <v>0</v>
      </c>
      <c r="M119" s="41"/>
      <c r="N119" s="13">
        <v>0</v>
      </c>
      <c r="O119" s="13">
        <v>0</v>
      </c>
      <c r="P119" s="13">
        <v>0</v>
      </c>
      <c r="Q119" s="13">
        <v>0</v>
      </c>
      <c r="R119" s="41"/>
      <c r="S119" s="13">
        <v>0</v>
      </c>
      <c r="T119" s="13">
        <v>0</v>
      </c>
      <c r="U119" s="13">
        <v>0</v>
      </c>
      <c r="V119" s="13">
        <v>0</v>
      </c>
      <c r="W119" s="41"/>
      <c r="X119" s="13">
        <v>0</v>
      </c>
      <c r="Y119" s="13">
        <v>0</v>
      </c>
      <c r="Z119" s="41"/>
      <c r="AA119" s="45">
        <v>0</v>
      </c>
      <c r="AB119" s="45">
        <v>0</v>
      </c>
      <c r="AC119" s="45">
        <v>0</v>
      </c>
      <c r="AD119" s="13">
        <v>0</v>
      </c>
      <c r="AE119" s="41"/>
      <c r="AF119" s="45">
        <v>0</v>
      </c>
      <c r="AG119" s="45">
        <v>0</v>
      </c>
      <c r="AH119" s="45">
        <v>0</v>
      </c>
      <c r="AI119" s="13">
        <v>0</v>
      </c>
      <c r="AJ119" s="41"/>
      <c r="AK119" s="45">
        <v>0</v>
      </c>
      <c r="AL119" s="45">
        <v>0</v>
      </c>
      <c r="AM119" s="45">
        <v>0</v>
      </c>
      <c r="AN119" s="13">
        <v>0</v>
      </c>
      <c r="AO119" s="41"/>
      <c r="AP119" s="130"/>
      <c r="AQ119" s="11" t="s">
        <v>66</v>
      </c>
      <c r="AR119" s="13">
        <v>0</v>
      </c>
      <c r="AS119" s="13">
        <v>0</v>
      </c>
      <c r="AT119" s="45">
        <v>0</v>
      </c>
      <c r="AU119" s="45">
        <v>0</v>
      </c>
      <c r="AV119" s="41"/>
      <c r="AX119" s="46"/>
      <c r="AY119" s="46"/>
      <c r="AZ119" s="46"/>
      <c r="BB119" s="13"/>
      <c r="BC119" s="13"/>
      <c r="BD119" s="13"/>
      <c r="BE119" s="45"/>
    </row>
    <row r="120" spans="1:57" ht="14.5" customHeight="1" x14ac:dyDescent="0.35">
      <c r="A120" s="6"/>
      <c r="B120" s="130"/>
      <c r="C120" s="11" t="s">
        <v>67</v>
      </c>
      <c r="D120" s="13">
        <v>0</v>
      </c>
      <c r="E120" s="13">
        <v>0</v>
      </c>
      <c r="F120" s="13">
        <v>0</v>
      </c>
      <c r="G120" s="13">
        <v>0</v>
      </c>
      <c r="H120" s="41"/>
      <c r="I120" s="13">
        <v>0</v>
      </c>
      <c r="J120" s="13">
        <v>0</v>
      </c>
      <c r="K120" s="13">
        <v>0</v>
      </c>
      <c r="L120" s="13">
        <v>0</v>
      </c>
      <c r="M120" s="41"/>
      <c r="N120" s="13">
        <v>0</v>
      </c>
      <c r="O120" s="13">
        <v>0</v>
      </c>
      <c r="P120" s="13">
        <v>0</v>
      </c>
      <c r="Q120" s="13">
        <v>0</v>
      </c>
      <c r="R120" s="41"/>
      <c r="S120" s="13">
        <v>0</v>
      </c>
      <c r="T120" s="13">
        <v>0</v>
      </c>
      <c r="U120" s="13">
        <v>0</v>
      </c>
      <c r="V120" s="13">
        <v>0</v>
      </c>
      <c r="W120" s="41"/>
      <c r="X120" s="13">
        <v>0</v>
      </c>
      <c r="Y120" s="13">
        <v>0</v>
      </c>
      <c r="Z120" s="41"/>
      <c r="AA120" s="45">
        <v>0</v>
      </c>
      <c r="AB120" s="45">
        <v>0</v>
      </c>
      <c r="AC120" s="45">
        <v>0</v>
      </c>
      <c r="AD120" s="13">
        <v>0</v>
      </c>
      <c r="AE120" s="41"/>
      <c r="AF120" s="45">
        <v>0</v>
      </c>
      <c r="AG120" s="45">
        <v>0</v>
      </c>
      <c r="AH120" s="45">
        <v>0</v>
      </c>
      <c r="AI120" s="13">
        <v>0</v>
      </c>
      <c r="AJ120" s="41"/>
      <c r="AK120" s="45">
        <v>0</v>
      </c>
      <c r="AL120" s="45">
        <v>0</v>
      </c>
      <c r="AM120" s="45">
        <v>0</v>
      </c>
      <c r="AN120" s="13">
        <v>0</v>
      </c>
      <c r="AO120" s="41"/>
      <c r="AP120" s="130"/>
      <c r="AQ120" s="11" t="s">
        <v>67</v>
      </c>
      <c r="AR120" s="13">
        <v>0</v>
      </c>
      <c r="AS120" s="13">
        <v>0</v>
      </c>
      <c r="AT120" s="45">
        <v>0</v>
      </c>
      <c r="AU120" s="45">
        <v>0</v>
      </c>
      <c r="AV120" s="41"/>
      <c r="AX120" s="46"/>
      <c r="AY120" s="46"/>
      <c r="AZ120" s="46"/>
      <c r="BB120" s="13"/>
      <c r="BC120" s="13"/>
      <c r="BD120" s="13"/>
      <c r="BE120" s="45"/>
    </row>
    <row r="121" spans="1:57" ht="18.5" x14ac:dyDescent="0.35">
      <c r="A121" s="6"/>
      <c r="B121" s="131"/>
      <c r="C121" s="11" t="s">
        <v>68</v>
      </c>
      <c r="D121" s="13">
        <v>0</v>
      </c>
      <c r="E121" s="13">
        <v>0</v>
      </c>
      <c r="F121" s="13">
        <v>0</v>
      </c>
      <c r="G121" s="45">
        <v>0</v>
      </c>
      <c r="H121" s="41"/>
      <c r="I121" s="13">
        <v>0</v>
      </c>
      <c r="J121" s="13">
        <v>0</v>
      </c>
      <c r="K121" s="13">
        <v>0</v>
      </c>
      <c r="L121" s="45">
        <v>0</v>
      </c>
      <c r="M121" s="41"/>
      <c r="N121" s="13">
        <v>0</v>
      </c>
      <c r="O121" s="13">
        <v>0</v>
      </c>
      <c r="P121" s="13">
        <v>0</v>
      </c>
      <c r="Q121" s="45">
        <v>0</v>
      </c>
      <c r="R121" s="41"/>
      <c r="S121" s="13">
        <v>0</v>
      </c>
      <c r="T121" s="13">
        <v>0</v>
      </c>
      <c r="U121" s="13">
        <v>0</v>
      </c>
      <c r="V121" s="45">
        <v>0</v>
      </c>
      <c r="W121" s="41"/>
      <c r="X121" s="13">
        <v>0</v>
      </c>
      <c r="Y121" s="13">
        <v>0</v>
      </c>
      <c r="Z121" s="41"/>
      <c r="AA121" s="45">
        <v>0</v>
      </c>
      <c r="AB121" s="45">
        <v>0</v>
      </c>
      <c r="AC121" s="45">
        <v>0</v>
      </c>
      <c r="AD121" s="45">
        <v>0</v>
      </c>
      <c r="AE121" s="41"/>
      <c r="AF121" s="45">
        <v>0</v>
      </c>
      <c r="AG121" s="45">
        <v>0</v>
      </c>
      <c r="AH121" s="45">
        <v>0</v>
      </c>
      <c r="AI121" s="45">
        <v>0</v>
      </c>
      <c r="AJ121" s="41"/>
      <c r="AK121" s="45">
        <v>0</v>
      </c>
      <c r="AL121" s="45">
        <v>0</v>
      </c>
      <c r="AM121" s="45">
        <v>0</v>
      </c>
      <c r="AN121" s="45">
        <v>0</v>
      </c>
      <c r="AO121" s="41"/>
      <c r="AP121" s="131"/>
      <c r="AQ121" s="11" t="s">
        <v>68</v>
      </c>
      <c r="AR121" s="45">
        <v>0</v>
      </c>
      <c r="AS121" s="45">
        <v>0</v>
      </c>
      <c r="AT121" s="45">
        <v>0</v>
      </c>
      <c r="AU121" s="45">
        <v>0</v>
      </c>
      <c r="AV121" s="41"/>
      <c r="AX121" s="46">
        <v>0</v>
      </c>
      <c r="AY121" s="46">
        <v>0</v>
      </c>
      <c r="AZ121" s="46">
        <v>0</v>
      </c>
      <c r="BB121" s="13">
        <v>0</v>
      </c>
      <c r="BC121" s="13">
        <v>0</v>
      </c>
      <c r="BD121" s="13">
        <v>0</v>
      </c>
      <c r="BE121" s="45">
        <v>0</v>
      </c>
    </row>
    <row r="122" spans="1:57" ht="18.5" x14ac:dyDescent="0.35">
      <c r="A122" s="6"/>
      <c r="B122" s="131"/>
      <c r="C122" s="11" t="s">
        <v>69</v>
      </c>
      <c r="D122" s="13">
        <v>0</v>
      </c>
      <c r="E122" s="13">
        <v>0</v>
      </c>
      <c r="F122" s="13">
        <v>0</v>
      </c>
      <c r="G122" s="45">
        <v>0</v>
      </c>
      <c r="H122" s="41"/>
      <c r="I122" s="13">
        <v>0</v>
      </c>
      <c r="J122" s="13">
        <v>0</v>
      </c>
      <c r="K122" s="13">
        <v>0</v>
      </c>
      <c r="L122" s="45">
        <v>0</v>
      </c>
      <c r="M122" s="41"/>
      <c r="N122" s="13">
        <v>0</v>
      </c>
      <c r="O122" s="13">
        <v>0</v>
      </c>
      <c r="P122" s="13">
        <v>0</v>
      </c>
      <c r="Q122" s="45">
        <v>0</v>
      </c>
      <c r="R122" s="41"/>
      <c r="S122" s="13">
        <v>0</v>
      </c>
      <c r="T122" s="13">
        <v>0</v>
      </c>
      <c r="U122" s="13">
        <v>0</v>
      </c>
      <c r="V122" s="45">
        <v>0</v>
      </c>
      <c r="W122" s="41"/>
      <c r="X122" s="13">
        <v>0</v>
      </c>
      <c r="Y122" s="13">
        <v>0</v>
      </c>
      <c r="Z122" s="41"/>
      <c r="AA122" s="45">
        <v>0</v>
      </c>
      <c r="AB122" s="45">
        <v>0</v>
      </c>
      <c r="AC122" s="45">
        <v>0</v>
      </c>
      <c r="AD122" s="45">
        <v>0</v>
      </c>
      <c r="AE122" s="41"/>
      <c r="AF122" s="45">
        <v>0</v>
      </c>
      <c r="AG122" s="45">
        <v>0</v>
      </c>
      <c r="AH122" s="45">
        <v>0</v>
      </c>
      <c r="AI122" s="45">
        <v>0</v>
      </c>
      <c r="AJ122" s="41"/>
      <c r="AK122" s="45">
        <v>0</v>
      </c>
      <c r="AL122" s="45">
        <v>0</v>
      </c>
      <c r="AM122" s="45">
        <v>0</v>
      </c>
      <c r="AN122" s="45">
        <v>0</v>
      </c>
      <c r="AO122" s="41"/>
      <c r="AP122" s="131"/>
      <c r="AQ122" s="11" t="s">
        <v>69</v>
      </c>
      <c r="AR122" s="45">
        <v>0</v>
      </c>
      <c r="AS122" s="45">
        <v>0</v>
      </c>
      <c r="AT122" s="45">
        <v>0</v>
      </c>
      <c r="AU122" s="45">
        <v>0</v>
      </c>
      <c r="AV122" s="41"/>
      <c r="AX122" s="46">
        <v>0</v>
      </c>
      <c r="AY122" s="46">
        <v>0</v>
      </c>
      <c r="AZ122" s="46">
        <v>0</v>
      </c>
      <c r="BB122" s="13">
        <v>0</v>
      </c>
      <c r="BC122" s="13">
        <v>0</v>
      </c>
      <c r="BD122" s="13">
        <v>0</v>
      </c>
      <c r="BE122" s="45">
        <v>0</v>
      </c>
    </row>
    <row r="123" spans="1:57" ht="18.5" x14ac:dyDescent="0.35">
      <c r="A123" s="6"/>
      <c r="B123" s="132"/>
      <c r="C123" s="11" t="s">
        <v>23</v>
      </c>
      <c r="D123" s="45">
        <v>0</v>
      </c>
      <c r="E123" s="13">
        <v>0</v>
      </c>
      <c r="F123" s="45">
        <v>0</v>
      </c>
      <c r="G123" s="45">
        <v>0</v>
      </c>
      <c r="H123" s="41"/>
      <c r="I123" s="45">
        <v>0</v>
      </c>
      <c r="J123" s="13">
        <v>0</v>
      </c>
      <c r="K123" s="45">
        <v>0</v>
      </c>
      <c r="L123" s="45">
        <v>0</v>
      </c>
      <c r="M123" s="41"/>
      <c r="N123" s="45">
        <v>0</v>
      </c>
      <c r="O123" s="13">
        <v>0</v>
      </c>
      <c r="P123" s="45">
        <v>0</v>
      </c>
      <c r="Q123" s="45">
        <v>0</v>
      </c>
      <c r="R123" s="41"/>
      <c r="S123" s="45">
        <v>0</v>
      </c>
      <c r="T123" s="13">
        <v>0</v>
      </c>
      <c r="U123" s="45">
        <v>0</v>
      </c>
      <c r="V123" s="45">
        <v>0</v>
      </c>
      <c r="W123" s="41"/>
      <c r="X123" s="45">
        <v>0</v>
      </c>
      <c r="Y123" s="45">
        <v>0</v>
      </c>
      <c r="Z123" s="41"/>
      <c r="AA123" s="45">
        <v>0</v>
      </c>
      <c r="AB123" s="45">
        <v>0</v>
      </c>
      <c r="AC123" s="45">
        <v>0</v>
      </c>
      <c r="AD123" s="45">
        <v>0</v>
      </c>
      <c r="AE123" s="41"/>
      <c r="AF123" s="45">
        <v>0</v>
      </c>
      <c r="AG123" s="45">
        <v>0</v>
      </c>
      <c r="AH123" s="45">
        <v>0</v>
      </c>
      <c r="AI123" s="45">
        <v>0</v>
      </c>
      <c r="AJ123" s="41"/>
      <c r="AK123" s="45">
        <v>0</v>
      </c>
      <c r="AL123" s="45">
        <v>0</v>
      </c>
      <c r="AM123" s="45">
        <v>0</v>
      </c>
      <c r="AN123" s="45">
        <v>0</v>
      </c>
      <c r="AO123" s="41"/>
      <c r="AP123" s="132"/>
      <c r="AQ123" s="11" t="s">
        <v>23</v>
      </c>
      <c r="AR123" s="45">
        <v>0</v>
      </c>
      <c r="AS123" s="45">
        <v>0</v>
      </c>
      <c r="AT123" s="45">
        <v>0</v>
      </c>
      <c r="AU123" s="45">
        <v>0</v>
      </c>
      <c r="AV123" s="41"/>
      <c r="AX123" s="46"/>
      <c r="AY123" s="46">
        <v>0</v>
      </c>
      <c r="AZ123" s="46"/>
      <c r="BB123" s="45">
        <v>0</v>
      </c>
      <c r="BC123" s="13">
        <v>0</v>
      </c>
      <c r="BD123" s="45">
        <v>0</v>
      </c>
      <c r="BE123" s="45">
        <v>0</v>
      </c>
    </row>
    <row r="124" spans="1:57" customFormat="1" ht="4.5" customHeight="1" x14ac:dyDescent="0.35">
      <c r="A124" s="6"/>
      <c r="B124" s="6"/>
      <c r="C124" s="6"/>
      <c r="D124" s="6"/>
      <c r="E124" s="6"/>
      <c r="F124" s="6"/>
      <c r="G124" s="6"/>
      <c r="H124" s="41"/>
      <c r="I124" s="6"/>
      <c r="J124" s="6"/>
      <c r="K124" s="6"/>
      <c r="L124" s="6"/>
      <c r="M124" s="41"/>
      <c r="N124" s="6"/>
      <c r="O124" s="6"/>
      <c r="P124" s="6"/>
      <c r="Q124" s="6"/>
      <c r="R124" s="41"/>
      <c r="S124" s="6"/>
      <c r="T124" s="6"/>
      <c r="U124" s="6"/>
      <c r="V124" s="6"/>
      <c r="W124" s="41"/>
      <c r="X124" s="6"/>
      <c r="Y124" s="6"/>
      <c r="Z124" s="41"/>
      <c r="AA124" s="6"/>
      <c r="AB124" s="6"/>
      <c r="AC124" s="6"/>
      <c r="AD124" s="6"/>
      <c r="AE124" s="41"/>
      <c r="AF124" s="6"/>
      <c r="AG124" s="6"/>
      <c r="AH124" s="6"/>
      <c r="AI124" s="6"/>
      <c r="AJ124" s="41"/>
      <c r="AK124" s="6"/>
      <c r="AL124" s="6"/>
      <c r="AM124" s="6"/>
      <c r="AN124" s="6"/>
      <c r="AO124" s="41"/>
      <c r="AP124" s="6"/>
      <c r="AQ124" s="6"/>
      <c r="AR124" s="6"/>
      <c r="AS124" s="6"/>
      <c r="AT124" s="6"/>
      <c r="AU124" s="6"/>
      <c r="AV124" s="41"/>
      <c r="BB124" s="6"/>
      <c r="BC124" s="6"/>
      <c r="BD124" s="6"/>
      <c r="BE124" s="6"/>
    </row>
    <row r="125" spans="1:57" ht="14.5" customHeight="1" x14ac:dyDescent="0.35">
      <c r="A125" s="6"/>
      <c r="B125" s="129" t="s">
        <v>15</v>
      </c>
      <c r="C125" s="11" t="s">
        <v>65</v>
      </c>
      <c r="D125" s="13">
        <v>0.12</v>
      </c>
      <c r="E125" s="13">
        <v>0.12</v>
      </c>
      <c r="F125" s="13">
        <v>0.12</v>
      </c>
      <c r="G125" s="45">
        <v>0</v>
      </c>
      <c r="H125" s="41"/>
      <c r="I125" s="13">
        <v>7.4999999999999997E-2</v>
      </c>
      <c r="J125" s="13">
        <v>0.35</v>
      </c>
      <c r="K125" s="13">
        <v>7.4999999999999997E-2</v>
      </c>
      <c r="L125" s="45">
        <v>0</v>
      </c>
      <c r="M125" s="41"/>
      <c r="N125" s="13">
        <v>0.37</v>
      </c>
      <c r="O125" s="13">
        <v>0.37</v>
      </c>
      <c r="P125" s="13">
        <v>0.37</v>
      </c>
      <c r="Q125" s="45">
        <v>0</v>
      </c>
      <c r="R125" s="41"/>
      <c r="S125" s="13">
        <v>0.12</v>
      </c>
      <c r="T125" s="13">
        <v>0.12</v>
      </c>
      <c r="U125" s="13">
        <v>0.12</v>
      </c>
      <c r="V125" s="45">
        <v>0</v>
      </c>
      <c r="W125" s="41"/>
      <c r="X125" s="13">
        <v>0</v>
      </c>
      <c r="Y125" s="13">
        <v>0</v>
      </c>
      <c r="Z125" s="41"/>
      <c r="AA125" s="13">
        <v>0.16999999999999998</v>
      </c>
      <c r="AB125" s="13">
        <v>0.34499999999999997</v>
      </c>
      <c r="AC125" s="13">
        <v>0.16999999999999998</v>
      </c>
      <c r="AD125" s="45">
        <v>0</v>
      </c>
      <c r="AE125" s="41"/>
      <c r="AF125" s="13">
        <v>6.9999999999999993E-2</v>
      </c>
      <c r="AG125" s="13">
        <v>9.5000000000000001E-2</v>
      </c>
      <c r="AH125" s="13">
        <v>6.9999999999999993E-2</v>
      </c>
      <c r="AI125" s="45">
        <v>0</v>
      </c>
      <c r="AJ125" s="41"/>
      <c r="AK125" s="13">
        <v>2.4999999999999994E-2</v>
      </c>
      <c r="AL125" s="13">
        <v>0.32499999999999996</v>
      </c>
      <c r="AM125" s="45">
        <v>0</v>
      </c>
      <c r="AN125" s="45">
        <v>0</v>
      </c>
      <c r="AO125" s="41"/>
      <c r="AP125" s="129" t="s">
        <v>15</v>
      </c>
      <c r="AQ125" s="11" t="s">
        <v>65</v>
      </c>
      <c r="AR125" s="45">
        <v>0</v>
      </c>
      <c r="AS125" s="45">
        <v>0</v>
      </c>
      <c r="AT125" s="45">
        <v>0</v>
      </c>
      <c r="AU125" s="45">
        <v>0</v>
      </c>
      <c r="AV125" s="41"/>
      <c r="AX125" s="46">
        <v>0</v>
      </c>
      <c r="AY125" s="46">
        <v>0</v>
      </c>
      <c r="AZ125" s="46">
        <v>0</v>
      </c>
      <c r="BB125" s="13">
        <v>7.4999999999999997E-2</v>
      </c>
      <c r="BC125" s="13">
        <v>0.3</v>
      </c>
      <c r="BD125" s="13">
        <v>7.4999999999999997E-2</v>
      </c>
      <c r="BE125" s="45">
        <v>0</v>
      </c>
    </row>
    <row r="126" spans="1:57" ht="14.5" customHeight="1" x14ac:dyDescent="0.35">
      <c r="A126" s="6"/>
      <c r="B126" s="130"/>
      <c r="C126" s="11" t="s">
        <v>66</v>
      </c>
      <c r="D126" s="13">
        <v>9.9999999999999992E-2</v>
      </c>
      <c r="E126" s="13">
        <v>9.9999999999999992E-2</v>
      </c>
      <c r="F126" s="13">
        <v>9.9999999999999992E-2</v>
      </c>
      <c r="G126" s="13">
        <v>0</v>
      </c>
      <c r="H126" s="41"/>
      <c r="I126" s="13">
        <v>7.4999999999999997E-2</v>
      </c>
      <c r="J126" s="13">
        <v>0.3</v>
      </c>
      <c r="K126" s="13">
        <v>7.4999999999999997E-2</v>
      </c>
      <c r="L126" s="13">
        <v>0</v>
      </c>
      <c r="M126" s="41"/>
      <c r="N126" s="13">
        <v>0.35</v>
      </c>
      <c r="O126" s="13">
        <v>0.35</v>
      </c>
      <c r="P126" s="13">
        <v>0.35</v>
      </c>
      <c r="Q126" s="13">
        <v>0</v>
      </c>
      <c r="R126" s="41"/>
      <c r="S126" s="13">
        <v>9.9999999999999992E-2</v>
      </c>
      <c r="T126" s="13">
        <v>9.9999999999999992E-2</v>
      </c>
      <c r="U126" s="13">
        <v>9.9999999999999992E-2</v>
      </c>
      <c r="V126" s="13">
        <v>0</v>
      </c>
      <c r="W126" s="41"/>
      <c r="X126" s="13">
        <v>0</v>
      </c>
      <c r="Y126" s="13">
        <v>0</v>
      </c>
      <c r="Z126" s="41"/>
      <c r="AA126" s="13">
        <v>0.15000000000000002</v>
      </c>
      <c r="AB126" s="13">
        <v>0.32499999999999996</v>
      </c>
      <c r="AC126" s="13">
        <v>0.15000000000000002</v>
      </c>
      <c r="AD126" s="13">
        <v>0</v>
      </c>
      <c r="AE126" s="41"/>
      <c r="AF126" s="13">
        <v>4.9999999999999989E-2</v>
      </c>
      <c r="AG126" s="13">
        <v>7.4999999999999983E-2</v>
      </c>
      <c r="AH126" s="13">
        <v>4.9999999999999989E-2</v>
      </c>
      <c r="AI126" s="13">
        <v>0</v>
      </c>
      <c r="AJ126" s="41"/>
      <c r="AK126" s="13">
        <v>2.4999999999999994E-2</v>
      </c>
      <c r="AL126" s="13">
        <v>0.32499999999999996</v>
      </c>
      <c r="AM126" s="13">
        <v>0</v>
      </c>
      <c r="AN126" s="13">
        <v>0</v>
      </c>
      <c r="AO126" s="41"/>
      <c r="AP126" s="130"/>
      <c r="AQ126" s="11" t="s">
        <v>66</v>
      </c>
      <c r="AR126" s="13">
        <v>0</v>
      </c>
      <c r="AS126" s="13">
        <v>0</v>
      </c>
      <c r="AT126" s="45">
        <v>0</v>
      </c>
      <c r="AU126" s="45">
        <v>0</v>
      </c>
      <c r="AV126" s="41"/>
      <c r="AX126" s="46"/>
      <c r="AY126" s="46"/>
      <c r="AZ126" s="46"/>
      <c r="BB126" s="13"/>
      <c r="BC126" s="13"/>
      <c r="BD126" s="13"/>
      <c r="BE126" s="45"/>
    </row>
    <row r="127" spans="1:57" ht="14.5" customHeight="1" x14ac:dyDescent="0.35">
      <c r="A127" s="6"/>
      <c r="B127" s="130"/>
      <c r="C127" s="11" t="s">
        <v>67</v>
      </c>
      <c r="D127" s="13">
        <v>7.9999999999999988E-2</v>
      </c>
      <c r="E127" s="13">
        <v>7.9999999999999988E-2</v>
      </c>
      <c r="F127" s="13">
        <v>7.9999999999999988E-2</v>
      </c>
      <c r="G127" s="13">
        <v>0</v>
      </c>
      <c r="H127" s="41"/>
      <c r="I127" s="13">
        <v>7.4999999999999997E-2</v>
      </c>
      <c r="J127" s="13">
        <v>0.27</v>
      </c>
      <c r="K127" s="13">
        <v>7.4999999999999997E-2</v>
      </c>
      <c r="L127" s="13">
        <v>0</v>
      </c>
      <c r="M127" s="41"/>
      <c r="N127" s="13">
        <v>0.32</v>
      </c>
      <c r="O127" s="13">
        <v>0.32</v>
      </c>
      <c r="P127" s="13">
        <v>0.32</v>
      </c>
      <c r="Q127" s="13">
        <v>0</v>
      </c>
      <c r="R127" s="41"/>
      <c r="S127" s="13">
        <v>7.9999999999999988E-2</v>
      </c>
      <c r="T127" s="13">
        <v>7.9999999999999988E-2</v>
      </c>
      <c r="U127" s="13">
        <v>7.9999999999999988E-2</v>
      </c>
      <c r="V127" s="13">
        <v>0</v>
      </c>
      <c r="W127" s="41"/>
      <c r="X127" s="13">
        <v>0</v>
      </c>
      <c r="Y127" s="13">
        <v>0</v>
      </c>
      <c r="Z127" s="41"/>
      <c r="AA127" s="13">
        <v>0.13</v>
      </c>
      <c r="AB127" s="13">
        <v>0.29499999999999998</v>
      </c>
      <c r="AC127" s="13">
        <v>0.13</v>
      </c>
      <c r="AD127" s="13">
        <v>0</v>
      </c>
      <c r="AE127" s="41"/>
      <c r="AF127" s="13">
        <v>2.9999999999999985E-2</v>
      </c>
      <c r="AG127" s="13">
        <v>5.4999999999999986E-2</v>
      </c>
      <c r="AH127" s="13">
        <v>2.9999999999999985E-2</v>
      </c>
      <c r="AI127" s="13">
        <v>0</v>
      </c>
      <c r="AJ127" s="41"/>
      <c r="AK127" s="13">
        <v>2.4999999999999994E-2</v>
      </c>
      <c r="AL127" s="13">
        <v>0.32499999999999996</v>
      </c>
      <c r="AM127" s="13">
        <v>0</v>
      </c>
      <c r="AN127" s="13">
        <v>0</v>
      </c>
      <c r="AO127" s="41"/>
      <c r="AP127" s="130"/>
      <c r="AQ127" s="11" t="s">
        <v>67</v>
      </c>
      <c r="AR127" s="13">
        <v>0</v>
      </c>
      <c r="AS127" s="13">
        <v>0</v>
      </c>
      <c r="AT127" s="45">
        <v>0</v>
      </c>
      <c r="AU127" s="45">
        <v>0</v>
      </c>
      <c r="AV127" s="41"/>
      <c r="AX127" s="46"/>
      <c r="AY127" s="46"/>
      <c r="AZ127" s="46"/>
      <c r="BB127" s="13"/>
      <c r="BC127" s="13"/>
      <c r="BD127" s="13"/>
      <c r="BE127" s="45"/>
    </row>
    <row r="128" spans="1:57" ht="18.5" x14ac:dyDescent="0.35">
      <c r="A128" s="6"/>
      <c r="B128" s="131"/>
      <c r="C128" s="11" t="s">
        <v>68</v>
      </c>
      <c r="D128" s="13">
        <v>0.22500000000000001</v>
      </c>
      <c r="E128" s="13">
        <v>0.22500000000000001</v>
      </c>
      <c r="F128" s="13">
        <v>0.22500000000000001</v>
      </c>
      <c r="G128" s="45">
        <v>0</v>
      </c>
      <c r="H128" s="41"/>
      <c r="I128" s="13">
        <v>0.15000000000000002</v>
      </c>
      <c r="J128" s="13">
        <v>0.15000000000000002</v>
      </c>
      <c r="K128" s="13">
        <v>0.15000000000000002</v>
      </c>
      <c r="L128" s="45">
        <v>0</v>
      </c>
      <c r="M128" s="41"/>
      <c r="N128" s="13">
        <v>0.15000000000000002</v>
      </c>
      <c r="O128" s="13">
        <v>0.15000000000000002</v>
      </c>
      <c r="P128" s="13">
        <v>0.15000000000000002</v>
      </c>
      <c r="Q128" s="45">
        <v>0</v>
      </c>
      <c r="R128" s="41"/>
      <c r="S128" s="13">
        <v>0.22500000000000001</v>
      </c>
      <c r="T128" s="13">
        <v>0.22500000000000001</v>
      </c>
      <c r="U128" s="13">
        <v>0.22500000000000001</v>
      </c>
      <c r="V128" s="45">
        <v>0</v>
      </c>
      <c r="W128" s="41"/>
      <c r="X128" s="13">
        <v>0</v>
      </c>
      <c r="Y128" s="13">
        <v>0</v>
      </c>
      <c r="Z128" s="41"/>
      <c r="AA128" s="13">
        <v>0.3</v>
      </c>
      <c r="AB128" s="13">
        <v>0.375</v>
      </c>
      <c r="AC128" s="13">
        <v>0.3</v>
      </c>
      <c r="AD128" s="45">
        <v>0</v>
      </c>
      <c r="AE128" s="41"/>
      <c r="AF128" s="13">
        <v>0.2</v>
      </c>
      <c r="AG128" s="13">
        <v>0.22500000000000001</v>
      </c>
      <c r="AH128" s="13">
        <v>0.2</v>
      </c>
      <c r="AI128" s="45">
        <v>0</v>
      </c>
      <c r="AJ128" s="41"/>
      <c r="AK128" s="13">
        <v>2.4999999999999994E-2</v>
      </c>
      <c r="AL128" s="13">
        <v>0.12500000000000003</v>
      </c>
      <c r="AM128" s="45">
        <v>0</v>
      </c>
      <c r="AN128" s="45">
        <v>0</v>
      </c>
      <c r="AO128" s="41"/>
      <c r="AP128" s="131"/>
      <c r="AQ128" s="11" t="s">
        <v>68</v>
      </c>
      <c r="AR128" s="45">
        <v>0</v>
      </c>
      <c r="AS128" s="45">
        <v>0</v>
      </c>
      <c r="AT128" s="45">
        <v>0</v>
      </c>
      <c r="AU128" s="45">
        <v>0</v>
      </c>
      <c r="AV128" s="41"/>
      <c r="AX128" s="46">
        <v>2.4999999999999994E-2</v>
      </c>
      <c r="AY128" s="46">
        <v>2.4999999999999994E-2</v>
      </c>
      <c r="AZ128" s="46">
        <v>2.4999999999999994E-2</v>
      </c>
      <c r="BB128" s="13">
        <v>7.4999999999999997E-2</v>
      </c>
      <c r="BC128" s="13">
        <v>0.3</v>
      </c>
      <c r="BD128" s="13">
        <v>7.4999999999999997E-2</v>
      </c>
      <c r="BE128" s="45">
        <v>0</v>
      </c>
    </row>
    <row r="129" spans="1:57" ht="18.5" x14ac:dyDescent="0.35">
      <c r="A129" s="6"/>
      <c r="B129" s="131"/>
      <c r="C129" s="11" t="s">
        <v>69</v>
      </c>
      <c r="D129" s="13">
        <v>0.1</v>
      </c>
      <c r="E129" s="13">
        <v>0.3</v>
      </c>
      <c r="F129" s="13">
        <v>0.1</v>
      </c>
      <c r="G129" s="45">
        <v>0</v>
      </c>
      <c r="H129" s="41"/>
      <c r="I129" s="13">
        <v>7.4999999999999997E-2</v>
      </c>
      <c r="J129" s="13">
        <v>0.3</v>
      </c>
      <c r="K129" s="13">
        <v>7.4999999999999997E-2</v>
      </c>
      <c r="L129" s="45">
        <v>0</v>
      </c>
      <c r="M129" s="41"/>
      <c r="N129" s="13">
        <v>0.1</v>
      </c>
      <c r="O129" s="13">
        <v>0.3</v>
      </c>
      <c r="P129" s="13">
        <v>0.1</v>
      </c>
      <c r="Q129" s="45">
        <v>0</v>
      </c>
      <c r="R129" s="41"/>
      <c r="S129" s="13">
        <v>0.1</v>
      </c>
      <c r="T129" s="13">
        <v>0.3</v>
      </c>
      <c r="U129" s="13">
        <v>0.1</v>
      </c>
      <c r="V129" s="45">
        <v>0</v>
      </c>
      <c r="W129" s="41"/>
      <c r="X129" s="13">
        <v>0</v>
      </c>
      <c r="Y129" s="13">
        <v>0</v>
      </c>
      <c r="Z129" s="41"/>
      <c r="AA129" s="13">
        <v>0.05</v>
      </c>
      <c r="AB129" s="13">
        <v>0.27499999999999997</v>
      </c>
      <c r="AC129" s="13">
        <v>0.05</v>
      </c>
      <c r="AD129" s="45">
        <v>0</v>
      </c>
      <c r="AE129" s="41"/>
      <c r="AF129" s="13">
        <v>0.05</v>
      </c>
      <c r="AG129" s="13">
        <v>0.27499999999999997</v>
      </c>
      <c r="AH129" s="13">
        <v>0.05</v>
      </c>
      <c r="AI129" s="45">
        <v>0</v>
      </c>
      <c r="AJ129" s="41"/>
      <c r="AK129" s="13">
        <v>2.4999999999999994E-2</v>
      </c>
      <c r="AL129" s="13">
        <v>0.27499999999999997</v>
      </c>
      <c r="AM129" s="45">
        <v>0</v>
      </c>
      <c r="AN129" s="45">
        <v>0</v>
      </c>
      <c r="AO129" s="41"/>
      <c r="AP129" s="131"/>
      <c r="AQ129" s="11" t="s">
        <v>69</v>
      </c>
      <c r="AR129" s="45">
        <v>0</v>
      </c>
      <c r="AS129" s="45">
        <v>0</v>
      </c>
      <c r="AT129" s="45">
        <v>0</v>
      </c>
      <c r="AU129" s="45">
        <v>0</v>
      </c>
      <c r="AV129" s="41"/>
      <c r="AX129" s="46">
        <v>0</v>
      </c>
      <c r="AY129" s="46">
        <v>0</v>
      </c>
      <c r="AZ129" s="46">
        <v>0</v>
      </c>
      <c r="BB129" s="13">
        <v>7.4999999999999997E-2</v>
      </c>
      <c r="BC129" s="13">
        <v>0.3</v>
      </c>
      <c r="BD129" s="13">
        <v>7.4999999999999997E-2</v>
      </c>
      <c r="BE129" s="45">
        <v>0</v>
      </c>
    </row>
    <row r="130" spans="1:57" ht="18.5" x14ac:dyDescent="0.35">
      <c r="A130" s="6"/>
      <c r="B130" s="132"/>
      <c r="C130" s="11" t="s">
        <v>23</v>
      </c>
      <c r="D130" s="45">
        <v>0</v>
      </c>
      <c r="E130" s="13">
        <v>0.1</v>
      </c>
      <c r="F130" s="45">
        <v>0</v>
      </c>
      <c r="G130" s="45">
        <v>0</v>
      </c>
      <c r="H130" s="41"/>
      <c r="I130" s="45">
        <v>0</v>
      </c>
      <c r="J130" s="13">
        <v>0.1</v>
      </c>
      <c r="K130" s="45">
        <v>0</v>
      </c>
      <c r="L130" s="45">
        <v>0</v>
      </c>
      <c r="M130" s="41"/>
      <c r="N130" s="45">
        <v>0</v>
      </c>
      <c r="O130" s="13">
        <v>0.1</v>
      </c>
      <c r="P130" s="45">
        <v>0</v>
      </c>
      <c r="Q130" s="45">
        <v>0</v>
      </c>
      <c r="R130" s="41"/>
      <c r="S130" s="45">
        <v>0</v>
      </c>
      <c r="T130" s="13">
        <v>0.1</v>
      </c>
      <c r="U130" s="45">
        <v>0</v>
      </c>
      <c r="V130" s="45">
        <v>0</v>
      </c>
      <c r="W130" s="41"/>
      <c r="X130" s="45">
        <v>0</v>
      </c>
      <c r="Y130" s="45">
        <v>0</v>
      </c>
      <c r="Z130" s="41"/>
      <c r="AA130" s="45">
        <v>0</v>
      </c>
      <c r="AB130" s="13">
        <v>7.5000000000000011E-2</v>
      </c>
      <c r="AC130" s="45">
        <v>0</v>
      </c>
      <c r="AD130" s="45">
        <v>0</v>
      </c>
      <c r="AE130" s="41"/>
      <c r="AF130" s="45">
        <v>0</v>
      </c>
      <c r="AG130" s="13">
        <v>7.5000000000000011E-2</v>
      </c>
      <c r="AH130" s="45">
        <v>0</v>
      </c>
      <c r="AI130" s="45">
        <v>0</v>
      </c>
      <c r="AJ130" s="41"/>
      <c r="AK130" s="45">
        <v>0</v>
      </c>
      <c r="AL130" s="13">
        <v>7.5000000000000011E-2</v>
      </c>
      <c r="AM130" s="45">
        <v>0</v>
      </c>
      <c r="AN130" s="45">
        <v>0</v>
      </c>
      <c r="AO130" s="41"/>
      <c r="AP130" s="132"/>
      <c r="AQ130" s="11" t="s">
        <v>23</v>
      </c>
      <c r="AR130" s="45">
        <v>0</v>
      </c>
      <c r="AS130" s="45">
        <v>0</v>
      </c>
      <c r="AT130" s="45">
        <v>0</v>
      </c>
      <c r="AU130" s="45">
        <v>0</v>
      </c>
      <c r="AV130" s="41"/>
      <c r="AX130" s="46"/>
      <c r="AY130" s="46">
        <v>0</v>
      </c>
      <c r="AZ130" s="46"/>
      <c r="BB130" s="45">
        <v>0</v>
      </c>
      <c r="BC130" s="13">
        <v>0.1</v>
      </c>
      <c r="BD130" s="45">
        <v>0</v>
      </c>
      <c r="BE130" s="45">
        <v>0</v>
      </c>
    </row>
    <row r="131" spans="1:57" customFormat="1" ht="4.5" customHeight="1" x14ac:dyDescent="0.35">
      <c r="A131" s="6"/>
      <c r="B131" s="6"/>
      <c r="C131" s="6"/>
      <c r="D131" s="6"/>
      <c r="E131" s="6"/>
      <c r="F131" s="6"/>
      <c r="G131" s="6"/>
      <c r="H131" s="41"/>
      <c r="I131" s="6"/>
      <c r="J131" s="6"/>
      <c r="K131" s="6"/>
      <c r="L131" s="6"/>
      <c r="M131" s="41"/>
      <c r="N131" s="6"/>
      <c r="O131" s="6"/>
      <c r="P131" s="6"/>
      <c r="Q131" s="6"/>
      <c r="R131" s="41"/>
      <c r="S131" s="6"/>
      <c r="T131" s="6"/>
      <c r="U131" s="6"/>
      <c r="V131" s="6"/>
      <c r="W131" s="41"/>
      <c r="X131" s="6"/>
      <c r="Y131" s="6"/>
      <c r="Z131" s="41"/>
      <c r="AA131" s="6"/>
      <c r="AB131" s="6"/>
      <c r="AC131" s="6"/>
      <c r="AD131" s="6"/>
      <c r="AE131" s="41"/>
      <c r="AF131" s="6"/>
      <c r="AG131" s="6"/>
      <c r="AH131" s="6"/>
      <c r="AI131" s="6"/>
      <c r="AJ131" s="41"/>
      <c r="AK131" s="6"/>
      <c r="AL131" s="6"/>
      <c r="AM131" s="6"/>
      <c r="AN131" s="6"/>
      <c r="AO131" s="41"/>
      <c r="AP131" s="6"/>
      <c r="AQ131" s="6"/>
      <c r="AR131" s="6"/>
      <c r="AS131" s="6"/>
      <c r="AT131" s="6"/>
      <c r="AU131" s="6"/>
      <c r="AV131" s="41"/>
      <c r="BB131" s="6"/>
      <c r="BC131" s="6"/>
      <c r="BD131" s="6"/>
      <c r="BE131" s="6"/>
    </row>
    <row r="132" spans="1:57" ht="14.5" customHeight="1" x14ac:dyDescent="0.35">
      <c r="A132" s="6"/>
      <c r="B132" s="129" t="s">
        <v>83</v>
      </c>
      <c r="C132" s="11" t="s">
        <v>65</v>
      </c>
      <c r="D132" s="13">
        <v>0</v>
      </c>
      <c r="E132" s="13">
        <v>0</v>
      </c>
      <c r="F132" s="13">
        <v>0</v>
      </c>
      <c r="G132" s="45">
        <v>0</v>
      </c>
      <c r="H132" s="41"/>
      <c r="I132" s="13">
        <v>7.4999999999999997E-2</v>
      </c>
      <c r="J132" s="13">
        <v>0.35</v>
      </c>
      <c r="K132" s="13">
        <v>7.4999999999999997E-2</v>
      </c>
      <c r="L132" s="45">
        <v>0</v>
      </c>
      <c r="M132" s="41"/>
      <c r="N132" s="13">
        <v>0</v>
      </c>
      <c r="O132" s="13">
        <v>0</v>
      </c>
      <c r="P132" s="13">
        <v>0</v>
      </c>
      <c r="Q132" s="45">
        <v>0</v>
      </c>
      <c r="R132" s="41"/>
      <c r="S132" s="13">
        <v>0</v>
      </c>
      <c r="T132" s="13">
        <v>0</v>
      </c>
      <c r="U132" s="13">
        <v>0</v>
      </c>
      <c r="V132" s="45">
        <v>0</v>
      </c>
      <c r="W132" s="41"/>
      <c r="X132" s="13">
        <v>0</v>
      </c>
      <c r="Y132" s="13">
        <v>0</v>
      </c>
      <c r="Z132" s="41"/>
      <c r="AA132" s="45">
        <v>0</v>
      </c>
      <c r="AB132" s="45">
        <v>0</v>
      </c>
      <c r="AC132" s="45">
        <v>0</v>
      </c>
      <c r="AD132" s="45">
        <v>0</v>
      </c>
      <c r="AE132" s="41"/>
      <c r="AF132" s="45">
        <v>0</v>
      </c>
      <c r="AG132" s="45">
        <v>0</v>
      </c>
      <c r="AH132" s="45">
        <v>0</v>
      </c>
      <c r="AI132" s="45">
        <v>0</v>
      </c>
      <c r="AJ132" s="41"/>
      <c r="AK132" s="13">
        <v>2.4999999999999994E-2</v>
      </c>
      <c r="AL132" s="13">
        <v>0.2</v>
      </c>
      <c r="AM132" s="45">
        <v>0</v>
      </c>
      <c r="AN132" s="45">
        <v>0</v>
      </c>
      <c r="AO132" s="41"/>
      <c r="AP132" s="129" t="s">
        <v>16</v>
      </c>
      <c r="AQ132" s="11" t="s">
        <v>65</v>
      </c>
      <c r="AR132" s="45">
        <v>0</v>
      </c>
      <c r="AS132" s="45">
        <v>0</v>
      </c>
      <c r="AT132" s="45">
        <v>0</v>
      </c>
      <c r="AU132" s="45">
        <v>0</v>
      </c>
      <c r="AV132" s="41"/>
      <c r="AX132" s="46">
        <v>0</v>
      </c>
      <c r="AY132" s="46">
        <v>0</v>
      </c>
      <c r="AZ132" s="46">
        <v>0</v>
      </c>
      <c r="BB132" s="13">
        <v>7.4999999999999997E-2</v>
      </c>
      <c r="BC132" s="13">
        <v>0.3</v>
      </c>
      <c r="BD132" s="13">
        <v>7.4999999999999997E-2</v>
      </c>
      <c r="BE132" s="45">
        <v>0</v>
      </c>
    </row>
    <row r="133" spans="1:57" ht="14.5" customHeight="1" x14ac:dyDescent="0.35">
      <c r="A133" s="6"/>
      <c r="B133" s="130"/>
      <c r="C133" s="11" t="s">
        <v>66</v>
      </c>
      <c r="D133" s="13">
        <v>0</v>
      </c>
      <c r="E133" s="13">
        <v>0</v>
      </c>
      <c r="F133" s="13">
        <v>0</v>
      </c>
      <c r="G133" s="13">
        <v>0</v>
      </c>
      <c r="H133" s="41"/>
      <c r="I133" s="13">
        <v>7.4999999999999997E-2</v>
      </c>
      <c r="J133" s="13">
        <v>0.3</v>
      </c>
      <c r="K133" s="13">
        <v>7.4999999999999997E-2</v>
      </c>
      <c r="L133" s="13">
        <v>0</v>
      </c>
      <c r="M133" s="41"/>
      <c r="N133" s="13">
        <v>0</v>
      </c>
      <c r="O133" s="13">
        <v>0</v>
      </c>
      <c r="P133" s="13">
        <v>0</v>
      </c>
      <c r="Q133" s="13">
        <v>0</v>
      </c>
      <c r="R133" s="41"/>
      <c r="S133" s="13">
        <v>0</v>
      </c>
      <c r="T133" s="13">
        <v>0</v>
      </c>
      <c r="U133" s="13">
        <v>0</v>
      </c>
      <c r="V133" s="13">
        <v>0</v>
      </c>
      <c r="W133" s="41"/>
      <c r="X133" s="13">
        <v>0</v>
      </c>
      <c r="Y133" s="13">
        <v>0</v>
      </c>
      <c r="Z133" s="41"/>
      <c r="AA133" s="45">
        <v>0</v>
      </c>
      <c r="AB133" s="45">
        <v>0</v>
      </c>
      <c r="AC133" s="45">
        <v>0</v>
      </c>
      <c r="AD133" s="13">
        <v>0</v>
      </c>
      <c r="AE133" s="41"/>
      <c r="AF133" s="45">
        <v>0</v>
      </c>
      <c r="AG133" s="45">
        <v>0</v>
      </c>
      <c r="AH133" s="45">
        <v>0</v>
      </c>
      <c r="AI133" s="13">
        <v>0</v>
      </c>
      <c r="AJ133" s="41"/>
      <c r="AK133" s="13">
        <v>2.4999999999999994E-2</v>
      </c>
      <c r="AL133" s="13">
        <v>0.2</v>
      </c>
      <c r="AM133" s="13">
        <v>0</v>
      </c>
      <c r="AN133" s="13">
        <v>0</v>
      </c>
      <c r="AO133" s="41"/>
      <c r="AP133" s="130"/>
      <c r="AQ133" s="11" t="s">
        <v>66</v>
      </c>
      <c r="AR133" s="13">
        <v>0</v>
      </c>
      <c r="AS133" s="13">
        <v>0</v>
      </c>
      <c r="AT133" s="45">
        <v>0</v>
      </c>
      <c r="AU133" s="45">
        <v>0</v>
      </c>
      <c r="AV133" s="41"/>
      <c r="AX133" s="46"/>
      <c r="AY133" s="46"/>
      <c r="AZ133" s="46"/>
      <c r="BB133" s="13"/>
      <c r="BC133" s="13"/>
      <c r="BD133" s="13"/>
      <c r="BE133" s="45"/>
    </row>
    <row r="134" spans="1:57" ht="14.5" customHeight="1" x14ac:dyDescent="0.35">
      <c r="A134" s="6"/>
      <c r="B134" s="130"/>
      <c r="C134" s="11" t="s">
        <v>67</v>
      </c>
      <c r="D134" s="13">
        <v>0</v>
      </c>
      <c r="E134" s="13">
        <v>0</v>
      </c>
      <c r="F134" s="13">
        <v>0</v>
      </c>
      <c r="G134" s="13">
        <v>0</v>
      </c>
      <c r="H134" s="41"/>
      <c r="I134" s="13">
        <v>7.4999999999999997E-2</v>
      </c>
      <c r="J134" s="13">
        <v>0.27</v>
      </c>
      <c r="K134" s="13">
        <v>7.4999999999999997E-2</v>
      </c>
      <c r="L134" s="13">
        <v>0</v>
      </c>
      <c r="M134" s="41"/>
      <c r="N134" s="13">
        <v>0</v>
      </c>
      <c r="O134" s="13">
        <v>0</v>
      </c>
      <c r="P134" s="13">
        <v>0</v>
      </c>
      <c r="Q134" s="13">
        <v>0</v>
      </c>
      <c r="R134" s="41"/>
      <c r="S134" s="13">
        <v>0</v>
      </c>
      <c r="T134" s="13">
        <v>0</v>
      </c>
      <c r="U134" s="13">
        <v>0</v>
      </c>
      <c r="V134" s="13">
        <v>0</v>
      </c>
      <c r="W134" s="41"/>
      <c r="X134" s="13">
        <v>0</v>
      </c>
      <c r="Y134" s="13">
        <v>0</v>
      </c>
      <c r="Z134" s="41"/>
      <c r="AA134" s="45">
        <v>0</v>
      </c>
      <c r="AB134" s="45">
        <v>0</v>
      </c>
      <c r="AC134" s="45">
        <v>0</v>
      </c>
      <c r="AD134" s="13">
        <v>0</v>
      </c>
      <c r="AE134" s="41"/>
      <c r="AF134" s="45">
        <v>0</v>
      </c>
      <c r="AG134" s="45">
        <v>0</v>
      </c>
      <c r="AH134" s="45">
        <v>0</v>
      </c>
      <c r="AI134" s="13">
        <v>0</v>
      </c>
      <c r="AJ134" s="41"/>
      <c r="AK134" s="13">
        <v>2.4999999999999994E-2</v>
      </c>
      <c r="AL134" s="13">
        <v>0.2</v>
      </c>
      <c r="AM134" s="13">
        <v>0</v>
      </c>
      <c r="AN134" s="13">
        <v>0</v>
      </c>
      <c r="AO134" s="41"/>
      <c r="AP134" s="130"/>
      <c r="AQ134" s="11" t="s">
        <v>67</v>
      </c>
      <c r="AR134" s="13">
        <v>0</v>
      </c>
      <c r="AS134" s="13">
        <v>0</v>
      </c>
      <c r="AT134" s="45">
        <v>0</v>
      </c>
      <c r="AU134" s="45">
        <v>0</v>
      </c>
      <c r="AV134" s="41"/>
      <c r="AX134" s="46"/>
      <c r="AY134" s="46"/>
      <c r="AZ134" s="46"/>
      <c r="BB134" s="13"/>
      <c r="BC134" s="13"/>
      <c r="BD134" s="13"/>
      <c r="BE134" s="45"/>
    </row>
    <row r="135" spans="1:57" ht="18.5" x14ac:dyDescent="0.35">
      <c r="A135" s="6"/>
      <c r="B135" s="131"/>
      <c r="C135" s="11" t="s">
        <v>68</v>
      </c>
      <c r="D135" s="13">
        <v>0</v>
      </c>
      <c r="E135" s="13">
        <v>0</v>
      </c>
      <c r="F135" s="13">
        <v>0</v>
      </c>
      <c r="G135" s="45">
        <v>0</v>
      </c>
      <c r="H135" s="41"/>
      <c r="I135" s="13">
        <v>0.15000000000000002</v>
      </c>
      <c r="J135" s="13">
        <v>0.15000000000000002</v>
      </c>
      <c r="K135" s="13">
        <v>0.15000000000000002</v>
      </c>
      <c r="L135" s="45">
        <v>0</v>
      </c>
      <c r="M135" s="41"/>
      <c r="N135" s="13">
        <v>0.15000000000000002</v>
      </c>
      <c r="O135" s="13">
        <v>0.15000000000000002</v>
      </c>
      <c r="P135" s="13">
        <v>0.15000000000000002</v>
      </c>
      <c r="Q135" s="45">
        <v>0</v>
      </c>
      <c r="R135" s="41"/>
      <c r="S135" s="13">
        <v>0</v>
      </c>
      <c r="T135" s="13">
        <v>0</v>
      </c>
      <c r="U135" s="13">
        <v>0</v>
      </c>
      <c r="V135" s="45">
        <v>0</v>
      </c>
      <c r="W135" s="41"/>
      <c r="X135" s="13">
        <v>0</v>
      </c>
      <c r="Y135" s="13">
        <v>0</v>
      </c>
      <c r="Z135" s="41"/>
      <c r="AA135" s="13">
        <v>0.3</v>
      </c>
      <c r="AB135" s="13">
        <v>0.375</v>
      </c>
      <c r="AC135" s="13">
        <v>0.3</v>
      </c>
      <c r="AD135" s="45">
        <v>0</v>
      </c>
      <c r="AE135" s="41"/>
      <c r="AF135" s="45">
        <v>0</v>
      </c>
      <c r="AG135" s="45">
        <v>0</v>
      </c>
      <c r="AH135" s="45">
        <v>0</v>
      </c>
      <c r="AI135" s="45">
        <v>0</v>
      </c>
      <c r="AJ135" s="41"/>
      <c r="AK135" s="13">
        <v>2.4999999999999994E-2</v>
      </c>
      <c r="AL135" s="13">
        <v>0.12500000000000003</v>
      </c>
      <c r="AM135" s="45">
        <v>0</v>
      </c>
      <c r="AN135" s="45">
        <v>0</v>
      </c>
      <c r="AO135" s="41"/>
      <c r="AP135" s="131"/>
      <c r="AQ135" s="11" t="s">
        <v>68</v>
      </c>
      <c r="AR135" s="45">
        <v>0</v>
      </c>
      <c r="AS135" s="45">
        <v>0</v>
      </c>
      <c r="AT135" s="45">
        <v>0</v>
      </c>
      <c r="AU135" s="45">
        <v>0</v>
      </c>
      <c r="AV135" s="41"/>
      <c r="AX135" s="46">
        <v>0</v>
      </c>
      <c r="AY135" s="46">
        <v>0</v>
      </c>
      <c r="AZ135" s="46">
        <v>0</v>
      </c>
      <c r="BB135" s="13">
        <v>7.4999999999999997E-2</v>
      </c>
      <c r="BC135" s="13">
        <v>0.3</v>
      </c>
      <c r="BD135" s="13">
        <v>7.4999999999999997E-2</v>
      </c>
      <c r="BE135" s="45">
        <v>0</v>
      </c>
    </row>
    <row r="136" spans="1:57" ht="18.5" x14ac:dyDescent="0.35">
      <c r="A136" s="6"/>
      <c r="B136" s="131"/>
      <c r="C136" s="11" t="s">
        <v>69</v>
      </c>
      <c r="D136" s="13">
        <v>0</v>
      </c>
      <c r="E136" s="13">
        <v>0</v>
      </c>
      <c r="F136" s="13">
        <v>0</v>
      </c>
      <c r="G136" s="45">
        <v>0</v>
      </c>
      <c r="H136" s="41"/>
      <c r="I136" s="13">
        <v>7.4999999999999997E-2</v>
      </c>
      <c r="J136" s="13">
        <v>0</v>
      </c>
      <c r="K136" s="13">
        <v>7.4999999999999997E-2</v>
      </c>
      <c r="L136" s="45">
        <v>0</v>
      </c>
      <c r="M136" s="41"/>
      <c r="N136" s="13">
        <v>0.1</v>
      </c>
      <c r="O136" s="13">
        <v>0.22500000000000001</v>
      </c>
      <c r="P136" s="13">
        <v>0.1</v>
      </c>
      <c r="Q136" s="45">
        <v>0</v>
      </c>
      <c r="R136" s="41"/>
      <c r="S136" s="13">
        <v>0</v>
      </c>
      <c r="T136" s="13">
        <v>0</v>
      </c>
      <c r="U136" s="13">
        <v>0</v>
      </c>
      <c r="V136" s="45">
        <v>0</v>
      </c>
      <c r="W136" s="41"/>
      <c r="X136" s="13">
        <v>0</v>
      </c>
      <c r="Y136" s="13">
        <v>0</v>
      </c>
      <c r="Z136" s="41"/>
      <c r="AA136" s="13">
        <v>0.05</v>
      </c>
      <c r="AB136" s="45">
        <v>0</v>
      </c>
      <c r="AC136" s="13">
        <v>0.05</v>
      </c>
      <c r="AD136" s="45">
        <v>0</v>
      </c>
      <c r="AE136" s="41"/>
      <c r="AF136" s="45">
        <v>0</v>
      </c>
      <c r="AG136" s="45">
        <v>0</v>
      </c>
      <c r="AH136" s="45">
        <v>0</v>
      </c>
      <c r="AI136" s="45">
        <v>0</v>
      </c>
      <c r="AJ136" s="41"/>
      <c r="AK136" s="13">
        <v>2.4999999999999994E-2</v>
      </c>
      <c r="AL136" s="13">
        <v>0.2</v>
      </c>
      <c r="AM136" s="45">
        <v>0</v>
      </c>
      <c r="AN136" s="45">
        <v>0</v>
      </c>
      <c r="AO136" s="41"/>
      <c r="AP136" s="131"/>
      <c r="AQ136" s="11" t="s">
        <v>69</v>
      </c>
      <c r="AR136" s="45">
        <v>0</v>
      </c>
      <c r="AS136" s="45">
        <v>0</v>
      </c>
      <c r="AT136" s="45">
        <v>0</v>
      </c>
      <c r="AU136" s="45">
        <v>0</v>
      </c>
      <c r="AV136" s="41"/>
      <c r="AX136" s="46">
        <v>0</v>
      </c>
      <c r="AY136" s="46">
        <v>0</v>
      </c>
      <c r="AZ136" s="46">
        <v>0</v>
      </c>
      <c r="BB136" s="13">
        <v>7.4999999999999997E-2</v>
      </c>
      <c r="BC136" s="13">
        <v>0.3</v>
      </c>
      <c r="BD136" s="13">
        <v>7.4999999999999997E-2</v>
      </c>
      <c r="BE136" s="45">
        <v>0</v>
      </c>
    </row>
    <row r="137" spans="1:57" ht="18.5" x14ac:dyDescent="0.35">
      <c r="A137" s="6"/>
      <c r="B137" s="132"/>
      <c r="C137" s="11" t="s">
        <v>23</v>
      </c>
      <c r="D137" s="45">
        <v>0</v>
      </c>
      <c r="E137" s="13">
        <v>0</v>
      </c>
      <c r="F137" s="45">
        <v>0</v>
      </c>
      <c r="G137" s="45">
        <v>0</v>
      </c>
      <c r="H137" s="41"/>
      <c r="I137" s="45">
        <v>0</v>
      </c>
      <c r="J137" s="13">
        <v>0</v>
      </c>
      <c r="K137" s="45">
        <v>0</v>
      </c>
      <c r="L137" s="45">
        <v>0</v>
      </c>
      <c r="M137" s="41"/>
      <c r="N137" s="45">
        <v>0</v>
      </c>
      <c r="O137" s="13">
        <v>0</v>
      </c>
      <c r="P137" s="45">
        <v>0</v>
      </c>
      <c r="Q137" s="45">
        <v>0</v>
      </c>
      <c r="R137" s="41"/>
      <c r="S137" s="45">
        <v>0</v>
      </c>
      <c r="T137" s="13">
        <v>0</v>
      </c>
      <c r="U137" s="45">
        <v>0</v>
      </c>
      <c r="V137" s="45">
        <v>0</v>
      </c>
      <c r="W137" s="41"/>
      <c r="X137" s="45">
        <v>0</v>
      </c>
      <c r="Y137" s="45">
        <v>0</v>
      </c>
      <c r="Z137" s="41"/>
      <c r="AA137" s="45">
        <v>0</v>
      </c>
      <c r="AB137" s="45">
        <v>0</v>
      </c>
      <c r="AC137" s="45">
        <v>0</v>
      </c>
      <c r="AD137" s="45">
        <v>0</v>
      </c>
      <c r="AE137" s="41"/>
      <c r="AF137" s="45">
        <v>0</v>
      </c>
      <c r="AG137" s="45">
        <v>0</v>
      </c>
      <c r="AH137" s="45">
        <v>0</v>
      </c>
      <c r="AI137" s="45">
        <v>0</v>
      </c>
      <c r="AJ137" s="41"/>
      <c r="AK137" s="45">
        <v>0</v>
      </c>
      <c r="AL137" s="13">
        <v>0</v>
      </c>
      <c r="AM137" s="45">
        <v>0</v>
      </c>
      <c r="AN137" s="45">
        <v>0</v>
      </c>
      <c r="AO137" s="41"/>
      <c r="AP137" s="132"/>
      <c r="AQ137" s="11" t="s">
        <v>23</v>
      </c>
      <c r="AR137" s="45">
        <v>0</v>
      </c>
      <c r="AS137" s="45">
        <v>0</v>
      </c>
      <c r="AT137" s="45">
        <v>0</v>
      </c>
      <c r="AU137" s="45">
        <v>0</v>
      </c>
      <c r="AV137" s="41"/>
      <c r="AX137" s="46"/>
      <c r="AY137" s="46">
        <v>0</v>
      </c>
      <c r="AZ137" s="46"/>
      <c r="BB137" s="45">
        <v>0</v>
      </c>
      <c r="BC137" s="13">
        <v>0</v>
      </c>
      <c r="BD137" s="45">
        <v>0</v>
      </c>
      <c r="BE137" s="45">
        <v>0</v>
      </c>
    </row>
    <row r="138" spans="1:57" customFormat="1" ht="4.5" customHeight="1" x14ac:dyDescent="0.35">
      <c r="A138" s="6"/>
      <c r="B138" s="6"/>
      <c r="C138" s="6"/>
      <c r="D138" s="6"/>
      <c r="E138" s="6"/>
      <c r="F138" s="6"/>
      <c r="G138" s="6"/>
      <c r="H138" s="41"/>
      <c r="I138" s="6"/>
      <c r="J138" s="6"/>
      <c r="K138" s="6"/>
      <c r="L138" s="6"/>
      <c r="M138" s="41"/>
      <c r="N138" s="6"/>
      <c r="O138" s="6"/>
      <c r="P138" s="6"/>
      <c r="Q138" s="6"/>
      <c r="R138" s="41"/>
      <c r="S138" s="6"/>
      <c r="T138" s="6"/>
      <c r="U138" s="6"/>
      <c r="V138" s="6"/>
      <c r="W138" s="41"/>
      <c r="X138" s="6"/>
      <c r="Y138" s="6"/>
      <c r="Z138" s="41"/>
      <c r="AA138" s="6"/>
      <c r="AB138" s="6"/>
      <c r="AC138" s="6"/>
      <c r="AD138" s="6"/>
      <c r="AE138" s="41"/>
      <c r="AF138" s="6"/>
      <c r="AG138" s="6"/>
      <c r="AH138" s="6"/>
      <c r="AI138" s="6"/>
      <c r="AJ138" s="41"/>
      <c r="AK138" s="6"/>
      <c r="AL138" s="6"/>
      <c r="AM138" s="6"/>
      <c r="AN138" s="6"/>
      <c r="AO138" s="41"/>
      <c r="AP138" s="6"/>
      <c r="AQ138" s="6"/>
      <c r="AR138" s="6"/>
      <c r="AS138" s="6"/>
      <c r="AT138" s="6"/>
      <c r="AU138" s="6"/>
      <c r="AV138" s="41"/>
      <c r="BB138" s="6"/>
      <c r="BC138" s="6"/>
      <c r="BD138" s="6"/>
      <c r="BE138" s="6"/>
    </row>
    <row r="139" spans="1:57" ht="14.5" customHeight="1" x14ac:dyDescent="0.35">
      <c r="A139" s="6"/>
      <c r="B139" s="129" t="s">
        <v>14</v>
      </c>
      <c r="C139" s="11" t="s">
        <v>65</v>
      </c>
      <c r="D139" s="13">
        <v>0</v>
      </c>
      <c r="E139" s="13">
        <v>0</v>
      </c>
      <c r="F139" s="13">
        <v>0</v>
      </c>
      <c r="G139" s="45">
        <v>0</v>
      </c>
      <c r="H139" s="41"/>
      <c r="I139" s="13">
        <v>7.4999999999999997E-2</v>
      </c>
      <c r="J139" s="13">
        <v>0.35</v>
      </c>
      <c r="K139" s="13">
        <v>7.4999999999999997E-2</v>
      </c>
      <c r="L139" s="45">
        <v>0</v>
      </c>
      <c r="M139" s="41"/>
      <c r="N139" s="13">
        <v>0.37</v>
      </c>
      <c r="O139" s="13">
        <v>0.37</v>
      </c>
      <c r="P139" s="13">
        <v>0.37</v>
      </c>
      <c r="Q139" s="45">
        <v>0</v>
      </c>
      <c r="R139" s="41"/>
      <c r="S139" s="13">
        <v>0</v>
      </c>
      <c r="T139" s="13">
        <v>0</v>
      </c>
      <c r="U139" s="13">
        <v>0</v>
      </c>
      <c r="V139" s="45">
        <v>0</v>
      </c>
      <c r="W139" s="41"/>
      <c r="X139" s="13">
        <v>0</v>
      </c>
      <c r="Y139" s="13">
        <v>0</v>
      </c>
      <c r="Z139" s="41"/>
      <c r="AA139" s="45">
        <v>0</v>
      </c>
      <c r="AB139" s="13">
        <v>0.34499999999999997</v>
      </c>
      <c r="AC139" s="45">
        <v>0</v>
      </c>
      <c r="AD139" s="45">
        <v>0</v>
      </c>
      <c r="AE139" s="41"/>
      <c r="AF139" s="45">
        <v>0</v>
      </c>
      <c r="AG139" s="13">
        <v>0.27499999999999997</v>
      </c>
      <c r="AH139" s="45">
        <v>0</v>
      </c>
      <c r="AI139" s="45">
        <v>0</v>
      </c>
      <c r="AJ139" s="41"/>
      <c r="AK139" s="13">
        <v>2.4999999999999994E-2</v>
      </c>
      <c r="AL139" s="13">
        <v>0.32499999999999996</v>
      </c>
      <c r="AM139" s="45">
        <v>0</v>
      </c>
      <c r="AN139" s="45">
        <v>0</v>
      </c>
      <c r="AO139" s="41"/>
      <c r="AP139" s="129" t="s">
        <v>14</v>
      </c>
      <c r="AQ139" s="11" t="s">
        <v>65</v>
      </c>
      <c r="AR139" s="45">
        <v>0</v>
      </c>
      <c r="AS139" s="45">
        <v>0</v>
      </c>
      <c r="AT139" s="45">
        <v>0</v>
      </c>
      <c r="AU139" s="45">
        <v>0</v>
      </c>
      <c r="AV139" s="41"/>
      <c r="AX139" s="46">
        <v>0</v>
      </c>
      <c r="AY139" s="46">
        <v>0.3</v>
      </c>
      <c r="AZ139" s="46">
        <v>0</v>
      </c>
      <c r="BB139" s="13">
        <v>7.4999999999999997E-2</v>
      </c>
      <c r="BC139" s="13">
        <v>0.3</v>
      </c>
      <c r="BD139" s="13">
        <v>7.4999999999999997E-2</v>
      </c>
      <c r="BE139" s="45">
        <v>0</v>
      </c>
    </row>
    <row r="140" spans="1:57" ht="14.5" customHeight="1" x14ac:dyDescent="0.35">
      <c r="A140" s="6"/>
      <c r="B140" s="130"/>
      <c r="C140" s="11" t="s">
        <v>66</v>
      </c>
      <c r="D140" s="13">
        <v>0</v>
      </c>
      <c r="E140" s="13">
        <v>0</v>
      </c>
      <c r="F140" s="13">
        <v>0</v>
      </c>
      <c r="G140" s="13">
        <v>0</v>
      </c>
      <c r="H140" s="41"/>
      <c r="I140" s="13">
        <v>7.4999999999999997E-2</v>
      </c>
      <c r="J140" s="13">
        <v>0.3</v>
      </c>
      <c r="K140" s="13">
        <v>7.4999999999999997E-2</v>
      </c>
      <c r="L140" s="13">
        <v>0</v>
      </c>
      <c r="M140" s="41"/>
      <c r="N140" s="13">
        <v>0.35</v>
      </c>
      <c r="O140" s="13">
        <v>0.35</v>
      </c>
      <c r="P140" s="13">
        <v>0.35</v>
      </c>
      <c r="Q140" s="13">
        <v>0</v>
      </c>
      <c r="R140" s="41"/>
      <c r="S140" s="13">
        <v>0</v>
      </c>
      <c r="T140" s="13">
        <v>0</v>
      </c>
      <c r="U140" s="13">
        <v>0</v>
      </c>
      <c r="V140" s="13">
        <v>0</v>
      </c>
      <c r="W140" s="41"/>
      <c r="X140" s="13">
        <v>0</v>
      </c>
      <c r="Y140" s="13">
        <v>0</v>
      </c>
      <c r="Z140" s="41"/>
      <c r="AA140" s="45">
        <v>0</v>
      </c>
      <c r="AB140" s="13">
        <v>0.32499999999999996</v>
      </c>
      <c r="AC140" s="45">
        <v>0</v>
      </c>
      <c r="AD140" s="13">
        <v>0</v>
      </c>
      <c r="AE140" s="41"/>
      <c r="AF140" s="45">
        <v>0</v>
      </c>
      <c r="AG140" s="13">
        <v>0.27499999999999997</v>
      </c>
      <c r="AH140" s="45">
        <v>0</v>
      </c>
      <c r="AI140" s="13">
        <v>0</v>
      </c>
      <c r="AJ140" s="41"/>
      <c r="AK140" s="13">
        <v>2.4999999999999994E-2</v>
      </c>
      <c r="AL140" s="13">
        <v>0.32499999999999996</v>
      </c>
      <c r="AM140" s="13">
        <v>0</v>
      </c>
      <c r="AN140" s="13">
        <v>0</v>
      </c>
      <c r="AO140" s="41"/>
      <c r="AP140" s="130"/>
      <c r="AQ140" s="11" t="s">
        <v>66</v>
      </c>
      <c r="AR140" s="13">
        <v>0</v>
      </c>
      <c r="AS140" s="13">
        <v>0</v>
      </c>
      <c r="AT140" s="45">
        <v>0</v>
      </c>
      <c r="AU140" s="45">
        <v>0</v>
      </c>
      <c r="AV140" s="41"/>
      <c r="AX140" s="46"/>
      <c r="AY140" s="46"/>
      <c r="AZ140" s="46"/>
      <c r="BB140" s="13"/>
      <c r="BC140" s="13"/>
      <c r="BD140" s="13"/>
      <c r="BE140" s="45"/>
    </row>
    <row r="141" spans="1:57" ht="14.5" customHeight="1" x14ac:dyDescent="0.35">
      <c r="A141" s="6"/>
      <c r="B141" s="130"/>
      <c r="C141" s="11" t="s">
        <v>67</v>
      </c>
      <c r="D141" s="13">
        <v>0</v>
      </c>
      <c r="E141" s="13">
        <v>0</v>
      </c>
      <c r="F141" s="13">
        <v>0</v>
      </c>
      <c r="G141" s="13">
        <v>0</v>
      </c>
      <c r="H141" s="41"/>
      <c r="I141" s="13">
        <v>7.4999999999999997E-2</v>
      </c>
      <c r="J141" s="13">
        <v>0.27</v>
      </c>
      <c r="K141" s="13">
        <v>7.4999999999999997E-2</v>
      </c>
      <c r="L141" s="13">
        <v>0</v>
      </c>
      <c r="M141" s="41"/>
      <c r="N141" s="13">
        <v>0.32</v>
      </c>
      <c r="O141" s="13">
        <v>0.32</v>
      </c>
      <c r="P141" s="13">
        <v>0.32</v>
      </c>
      <c r="Q141" s="13">
        <v>0</v>
      </c>
      <c r="R141" s="41"/>
      <c r="S141" s="13">
        <v>0</v>
      </c>
      <c r="T141" s="13">
        <v>0</v>
      </c>
      <c r="U141" s="13">
        <v>0</v>
      </c>
      <c r="V141" s="13">
        <v>0</v>
      </c>
      <c r="W141" s="41"/>
      <c r="X141" s="13">
        <v>0</v>
      </c>
      <c r="Y141" s="13">
        <v>0</v>
      </c>
      <c r="Z141" s="41"/>
      <c r="AA141" s="45">
        <v>0</v>
      </c>
      <c r="AB141" s="13">
        <v>0.29499999999999998</v>
      </c>
      <c r="AC141" s="45">
        <v>0</v>
      </c>
      <c r="AD141" s="13">
        <v>0</v>
      </c>
      <c r="AE141" s="41"/>
      <c r="AF141" s="45">
        <v>0</v>
      </c>
      <c r="AG141" s="13">
        <v>0.27499999999999997</v>
      </c>
      <c r="AH141" s="45">
        <v>0</v>
      </c>
      <c r="AI141" s="13">
        <v>0</v>
      </c>
      <c r="AJ141" s="41"/>
      <c r="AK141" s="13">
        <v>2.4999999999999994E-2</v>
      </c>
      <c r="AL141" s="13">
        <v>0.32499999999999996</v>
      </c>
      <c r="AM141" s="13">
        <v>0</v>
      </c>
      <c r="AN141" s="13">
        <v>0</v>
      </c>
      <c r="AO141" s="41"/>
      <c r="AP141" s="130"/>
      <c r="AQ141" s="11" t="s">
        <v>67</v>
      </c>
      <c r="AR141" s="13">
        <v>0</v>
      </c>
      <c r="AS141" s="13">
        <v>0</v>
      </c>
      <c r="AT141" s="45">
        <v>0</v>
      </c>
      <c r="AU141" s="45">
        <v>0</v>
      </c>
      <c r="AV141" s="41"/>
      <c r="AX141" s="46"/>
      <c r="AY141" s="46"/>
      <c r="AZ141" s="46"/>
      <c r="BB141" s="13"/>
      <c r="BC141" s="13"/>
      <c r="BD141" s="13"/>
      <c r="BE141" s="45"/>
    </row>
    <row r="142" spans="1:57" ht="18.5" x14ac:dyDescent="0.35">
      <c r="A142" s="6"/>
      <c r="B142" s="131"/>
      <c r="C142" s="11" t="s">
        <v>68</v>
      </c>
      <c r="D142" s="13">
        <v>0</v>
      </c>
      <c r="E142" s="13">
        <v>0</v>
      </c>
      <c r="F142" s="13">
        <v>0</v>
      </c>
      <c r="G142" s="45">
        <v>0</v>
      </c>
      <c r="H142" s="41"/>
      <c r="I142" s="13">
        <v>0.15000000000000002</v>
      </c>
      <c r="J142" s="13">
        <v>0.15000000000000002</v>
      </c>
      <c r="K142" s="13">
        <v>0.15000000000000002</v>
      </c>
      <c r="L142" s="45">
        <v>0</v>
      </c>
      <c r="M142" s="41"/>
      <c r="N142" s="13">
        <v>0.15000000000000002</v>
      </c>
      <c r="O142" s="13">
        <v>0.15000000000000002</v>
      </c>
      <c r="P142" s="13">
        <v>0.15000000000000002</v>
      </c>
      <c r="Q142" s="45">
        <v>0</v>
      </c>
      <c r="R142" s="41"/>
      <c r="S142" s="13">
        <v>0</v>
      </c>
      <c r="T142" s="13">
        <v>0</v>
      </c>
      <c r="U142" s="13">
        <v>0</v>
      </c>
      <c r="V142" s="45">
        <v>0</v>
      </c>
      <c r="W142" s="41"/>
      <c r="X142" s="13">
        <v>0</v>
      </c>
      <c r="Y142" s="13">
        <v>0</v>
      </c>
      <c r="Z142" s="41"/>
      <c r="AA142" s="13">
        <v>0.2</v>
      </c>
      <c r="AB142" s="13">
        <v>0.22500000000000001</v>
      </c>
      <c r="AC142" s="13">
        <v>0.2</v>
      </c>
      <c r="AD142" s="45">
        <v>0</v>
      </c>
      <c r="AE142" s="41"/>
      <c r="AF142" s="45">
        <v>0</v>
      </c>
      <c r="AG142" s="13">
        <v>0.27499999999999997</v>
      </c>
      <c r="AH142" s="45">
        <v>0</v>
      </c>
      <c r="AI142" s="45">
        <v>0</v>
      </c>
      <c r="AJ142" s="41"/>
      <c r="AK142" s="13">
        <v>2.4999999999999994E-2</v>
      </c>
      <c r="AL142" s="13">
        <v>0.12500000000000003</v>
      </c>
      <c r="AM142" s="45">
        <v>0</v>
      </c>
      <c r="AN142" s="45">
        <v>0</v>
      </c>
      <c r="AO142" s="41"/>
      <c r="AP142" s="131"/>
      <c r="AQ142" s="11" t="s">
        <v>68</v>
      </c>
      <c r="AR142" s="45">
        <v>0</v>
      </c>
      <c r="AS142" s="45">
        <v>0</v>
      </c>
      <c r="AT142" s="45">
        <v>0</v>
      </c>
      <c r="AU142" s="45">
        <v>0</v>
      </c>
      <c r="AV142" s="41"/>
      <c r="AX142" s="46">
        <v>0</v>
      </c>
      <c r="AY142" s="46">
        <v>0.3</v>
      </c>
      <c r="AZ142" s="46">
        <v>0</v>
      </c>
      <c r="BB142" s="13">
        <v>7.4999999999999997E-2</v>
      </c>
      <c r="BC142" s="13">
        <v>0.3</v>
      </c>
      <c r="BD142" s="13">
        <v>7.4999999999999997E-2</v>
      </c>
      <c r="BE142" s="45">
        <v>0</v>
      </c>
    </row>
    <row r="143" spans="1:57" ht="18.5" x14ac:dyDescent="0.35">
      <c r="A143" s="6"/>
      <c r="B143" s="131"/>
      <c r="C143" s="11" t="s">
        <v>69</v>
      </c>
      <c r="D143" s="13">
        <v>0</v>
      </c>
      <c r="E143" s="13">
        <v>0.3</v>
      </c>
      <c r="F143" s="13">
        <v>0</v>
      </c>
      <c r="G143" s="45">
        <v>0</v>
      </c>
      <c r="H143" s="41"/>
      <c r="I143" s="13">
        <v>7.4999999999999997E-2</v>
      </c>
      <c r="J143" s="13">
        <v>0.3</v>
      </c>
      <c r="K143" s="13">
        <v>7.4999999999999997E-2</v>
      </c>
      <c r="L143" s="45">
        <v>0</v>
      </c>
      <c r="M143" s="41"/>
      <c r="N143" s="13">
        <v>0.1</v>
      </c>
      <c r="O143" s="13">
        <v>0.3</v>
      </c>
      <c r="P143" s="13">
        <v>0.1</v>
      </c>
      <c r="Q143" s="45">
        <v>0</v>
      </c>
      <c r="R143" s="41"/>
      <c r="S143" s="13">
        <v>0</v>
      </c>
      <c r="T143" s="13">
        <v>0.3</v>
      </c>
      <c r="U143" s="13">
        <v>0</v>
      </c>
      <c r="V143" s="45">
        <v>0</v>
      </c>
      <c r="W143" s="41"/>
      <c r="X143" s="13">
        <v>0</v>
      </c>
      <c r="Y143" s="13">
        <v>0</v>
      </c>
      <c r="Z143" s="41"/>
      <c r="AA143" s="13">
        <v>0.05</v>
      </c>
      <c r="AB143" s="13">
        <v>0.27499999999999997</v>
      </c>
      <c r="AC143" s="13">
        <v>0.05</v>
      </c>
      <c r="AD143" s="45">
        <v>0</v>
      </c>
      <c r="AE143" s="41"/>
      <c r="AF143" s="45">
        <v>0</v>
      </c>
      <c r="AG143" s="13">
        <v>0.27499999999999997</v>
      </c>
      <c r="AH143" s="45">
        <v>0</v>
      </c>
      <c r="AI143" s="45">
        <v>0</v>
      </c>
      <c r="AJ143" s="41"/>
      <c r="AK143" s="13">
        <v>2.4999999999999994E-2</v>
      </c>
      <c r="AL143" s="13">
        <v>0.27499999999999997</v>
      </c>
      <c r="AM143" s="45">
        <v>0</v>
      </c>
      <c r="AN143" s="45">
        <v>0</v>
      </c>
      <c r="AO143" s="41"/>
      <c r="AP143" s="131"/>
      <c r="AQ143" s="11" t="s">
        <v>69</v>
      </c>
      <c r="AR143" s="45">
        <v>0</v>
      </c>
      <c r="AS143" s="45">
        <v>0</v>
      </c>
      <c r="AT143" s="45">
        <v>0</v>
      </c>
      <c r="AU143" s="45">
        <v>0</v>
      </c>
      <c r="AV143" s="41"/>
      <c r="AX143" s="46">
        <v>0</v>
      </c>
      <c r="AY143" s="46">
        <v>0</v>
      </c>
      <c r="AZ143" s="46">
        <v>0</v>
      </c>
      <c r="BB143" s="13">
        <v>7.4999999999999997E-2</v>
      </c>
      <c r="BC143" s="13">
        <v>0.3</v>
      </c>
      <c r="BD143" s="13">
        <v>7.4999999999999997E-2</v>
      </c>
      <c r="BE143" s="45">
        <v>0</v>
      </c>
    </row>
    <row r="144" spans="1:57" ht="18.5" x14ac:dyDescent="0.35">
      <c r="A144" s="6"/>
      <c r="B144" s="132"/>
      <c r="C144" s="11" t="s">
        <v>23</v>
      </c>
      <c r="D144" s="45">
        <v>0</v>
      </c>
      <c r="E144" s="13">
        <v>0.1</v>
      </c>
      <c r="F144" s="45">
        <v>0</v>
      </c>
      <c r="G144" s="45">
        <v>0</v>
      </c>
      <c r="H144" s="41"/>
      <c r="I144" s="45">
        <v>0</v>
      </c>
      <c r="J144" s="13">
        <v>0.1</v>
      </c>
      <c r="K144" s="45">
        <v>0</v>
      </c>
      <c r="L144" s="45">
        <v>0</v>
      </c>
      <c r="M144" s="41"/>
      <c r="N144" s="13">
        <v>0</v>
      </c>
      <c r="O144" s="13">
        <v>0.1</v>
      </c>
      <c r="P144" s="13">
        <v>0</v>
      </c>
      <c r="Q144" s="45">
        <v>0</v>
      </c>
      <c r="R144" s="41"/>
      <c r="S144" s="45">
        <v>0</v>
      </c>
      <c r="T144" s="13">
        <v>0.1</v>
      </c>
      <c r="U144" s="45">
        <v>0</v>
      </c>
      <c r="V144" s="45">
        <v>0</v>
      </c>
      <c r="W144" s="41"/>
      <c r="X144" s="45">
        <v>0</v>
      </c>
      <c r="Y144" s="45">
        <v>0</v>
      </c>
      <c r="Z144" s="41"/>
      <c r="AA144" s="45">
        <v>0</v>
      </c>
      <c r="AB144" s="13">
        <v>7.5000000000000011E-2</v>
      </c>
      <c r="AC144" s="45">
        <v>0</v>
      </c>
      <c r="AD144" s="45">
        <v>0</v>
      </c>
      <c r="AE144" s="41"/>
      <c r="AF144" s="45">
        <v>0</v>
      </c>
      <c r="AG144" s="13">
        <v>7.5000000000000011E-2</v>
      </c>
      <c r="AH144" s="45">
        <v>0</v>
      </c>
      <c r="AI144" s="45">
        <v>0</v>
      </c>
      <c r="AJ144" s="41"/>
      <c r="AK144" s="45">
        <v>0</v>
      </c>
      <c r="AL144" s="13">
        <v>7.5000000000000011E-2</v>
      </c>
      <c r="AM144" s="45">
        <v>0</v>
      </c>
      <c r="AN144" s="45">
        <v>0</v>
      </c>
      <c r="AO144" s="41"/>
      <c r="AP144" s="132"/>
      <c r="AQ144" s="11" t="s">
        <v>23</v>
      </c>
      <c r="AR144" s="45">
        <v>0</v>
      </c>
      <c r="AS144" s="45">
        <v>0</v>
      </c>
      <c r="AT144" s="45">
        <v>0</v>
      </c>
      <c r="AU144" s="45">
        <v>0</v>
      </c>
      <c r="AV144" s="41"/>
      <c r="AX144" s="46"/>
      <c r="AY144" s="46">
        <v>0</v>
      </c>
      <c r="AZ144" s="46"/>
      <c r="BB144" s="45">
        <v>0</v>
      </c>
      <c r="BC144" s="13">
        <v>0.1</v>
      </c>
      <c r="BD144" s="45">
        <v>0</v>
      </c>
      <c r="BE144" s="45">
        <v>0</v>
      </c>
    </row>
    <row r="145" spans="1:57" customFormat="1" ht="4.5" customHeight="1" x14ac:dyDescent="0.35">
      <c r="A145" s="6"/>
      <c r="B145" s="6"/>
      <c r="C145" s="6"/>
      <c r="D145" s="6"/>
      <c r="E145" s="6"/>
      <c r="F145" s="6"/>
      <c r="G145" s="6"/>
      <c r="H145" s="41"/>
      <c r="I145" s="6"/>
      <c r="J145" s="6"/>
      <c r="K145" s="6"/>
      <c r="L145" s="6"/>
      <c r="M145" s="41"/>
      <c r="N145" s="6"/>
      <c r="O145" s="6"/>
      <c r="P145" s="6"/>
      <c r="Q145" s="6"/>
      <c r="R145" s="41"/>
      <c r="S145" s="6"/>
      <c r="T145" s="6"/>
      <c r="U145" s="6"/>
      <c r="V145" s="6"/>
      <c r="W145" s="41"/>
      <c r="X145" s="6"/>
      <c r="Y145" s="6"/>
      <c r="Z145" s="41"/>
      <c r="AA145" s="6">
        <v>-0.05</v>
      </c>
      <c r="AB145" s="6">
        <v>-2.5000000000000001E-2</v>
      </c>
      <c r="AC145" s="6">
        <v>-0.05</v>
      </c>
      <c r="AD145" s="6"/>
      <c r="AE145" s="41"/>
      <c r="AF145" s="6"/>
      <c r="AG145" s="6"/>
      <c r="AH145" s="6"/>
      <c r="AI145" s="6"/>
      <c r="AJ145" s="41"/>
      <c r="AK145" s="6"/>
      <c r="AL145" s="6"/>
      <c r="AM145" s="6"/>
      <c r="AN145" s="6"/>
      <c r="AO145" s="41"/>
      <c r="AP145" s="6"/>
      <c r="AQ145" s="6"/>
      <c r="AR145" s="6"/>
      <c r="AS145" s="6"/>
      <c r="AT145" s="6"/>
      <c r="AU145" s="6"/>
      <c r="AV145" s="41"/>
      <c r="BB145" s="6"/>
      <c r="BC145" s="6"/>
      <c r="BD145" s="6"/>
      <c r="BE145" s="6"/>
    </row>
    <row r="146" spans="1:57" ht="14.5" customHeight="1" x14ac:dyDescent="0.35">
      <c r="A146" s="6"/>
      <c r="B146" s="129" t="s">
        <v>22</v>
      </c>
      <c r="C146" s="11" t="s">
        <v>65</v>
      </c>
      <c r="D146" s="13">
        <v>0</v>
      </c>
      <c r="E146" s="13">
        <v>0</v>
      </c>
      <c r="F146" s="13">
        <v>0</v>
      </c>
      <c r="G146" s="45">
        <v>0</v>
      </c>
      <c r="H146" s="41"/>
      <c r="I146" s="13">
        <v>0.05</v>
      </c>
      <c r="J146" s="13">
        <v>0.1</v>
      </c>
      <c r="K146" s="13">
        <v>0.05</v>
      </c>
      <c r="L146" s="45">
        <v>0</v>
      </c>
      <c r="M146" s="41"/>
      <c r="N146" s="13">
        <v>0</v>
      </c>
      <c r="O146" s="13">
        <v>0</v>
      </c>
      <c r="P146" s="13">
        <v>0</v>
      </c>
      <c r="Q146" s="45">
        <v>0</v>
      </c>
      <c r="R146" s="41"/>
      <c r="S146" s="13">
        <v>0</v>
      </c>
      <c r="T146" s="13">
        <v>0</v>
      </c>
      <c r="U146" s="13">
        <v>0</v>
      </c>
      <c r="V146" s="45">
        <v>0</v>
      </c>
      <c r="W146" s="41"/>
      <c r="X146" s="13">
        <v>0</v>
      </c>
      <c r="Y146" s="13">
        <v>0</v>
      </c>
      <c r="Z146" s="41"/>
      <c r="AA146" s="13">
        <v>0</v>
      </c>
      <c r="AB146" s="13">
        <v>7.5000000000000011E-2</v>
      </c>
      <c r="AC146" s="13">
        <v>0</v>
      </c>
      <c r="AD146" s="45">
        <v>0</v>
      </c>
      <c r="AE146" s="41"/>
      <c r="AF146" s="45">
        <v>0</v>
      </c>
      <c r="AG146" s="45">
        <v>0</v>
      </c>
      <c r="AH146" s="45">
        <v>0</v>
      </c>
      <c r="AI146" s="45">
        <v>0</v>
      </c>
      <c r="AJ146" s="41"/>
      <c r="AK146" s="45">
        <v>0</v>
      </c>
      <c r="AL146" s="45">
        <v>0</v>
      </c>
      <c r="AM146" s="45">
        <v>0</v>
      </c>
      <c r="AN146" s="45">
        <v>0</v>
      </c>
      <c r="AO146" s="41"/>
      <c r="AP146" s="129" t="s">
        <v>22</v>
      </c>
      <c r="AQ146" s="11" t="s">
        <v>65</v>
      </c>
      <c r="AR146" s="45">
        <v>0</v>
      </c>
      <c r="AS146" s="45">
        <v>0</v>
      </c>
      <c r="AT146" s="45">
        <v>0</v>
      </c>
      <c r="AU146" s="45">
        <v>0</v>
      </c>
      <c r="AV146" s="41"/>
      <c r="AX146" s="46">
        <v>0</v>
      </c>
      <c r="AY146" s="46">
        <v>0</v>
      </c>
      <c r="AZ146" s="46">
        <v>0</v>
      </c>
      <c r="BB146" s="13">
        <v>0</v>
      </c>
      <c r="BC146" s="13">
        <v>0</v>
      </c>
      <c r="BD146" s="13">
        <v>0</v>
      </c>
      <c r="BE146" s="45">
        <v>0</v>
      </c>
    </row>
    <row r="147" spans="1:57" ht="14.5" customHeight="1" x14ac:dyDescent="0.35">
      <c r="A147" s="6"/>
      <c r="B147" s="130"/>
      <c r="C147" s="11" t="s">
        <v>66</v>
      </c>
      <c r="D147" s="13">
        <v>0</v>
      </c>
      <c r="E147" s="13">
        <v>0</v>
      </c>
      <c r="F147" s="13">
        <v>0</v>
      </c>
      <c r="G147" s="13">
        <v>0</v>
      </c>
      <c r="H147" s="41"/>
      <c r="I147" s="13">
        <v>0.05</v>
      </c>
      <c r="J147" s="13">
        <v>0.1</v>
      </c>
      <c r="K147" s="13">
        <v>0.05</v>
      </c>
      <c r="L147" s="13">
        <v>0</v>
      </c>
      <c r="M147" s="41"/>
      <c r="N147" s="13">
        <v>0</v>
      </c>
      <c r="O147" s="13">
        <v>0</v>
      </c>
      <c r="P147" s="13">
        <v>0</v>
      </c>
      <c r="Q147" s="13">
        <v>0</v>
      </c>
      <c r="R147" s="41"/>
      <c r="S147" s="13">
        <v>0</v>
      </c>
      <c r="T147" s="13">
        <v>0</v>
      </c>
      <c r="U147" s="13">
        <v>0</v>
      </c>
      <c r="V147" s="13">
        <v>0</v>
      </c>
      <c r="W147" s="41"/>
      <c r="X147" s="13">
        <v>0</v>
      </c>
      <c r="Y147" s="13">
        <v>0</v>
      </c>
      <c r="Z147" s="41"/>
      <c r="AA147" s="13">
        <v>0</v>
      </c>
      <c r="AB147" s="13">
        <v>7.5000000000000011E-2</v>
      </c>
      <c r="AC147" s="13">
        <v>0</v>
      </c>
      <c r="AD147" s="13">
        <v>0</v>
      </c>
      <c r="AE147" s="41"/>
      <c r="AF147" s="45">
        <v>0</v>
      </c>
      <c r="AG147" s="45">
        <v>0</v>
      </c>
      <c r="AH147" s="45">
        <v>0</v>
      </c>
      <c r="AI147" s="13">
        <v>0</v>
      </c>
      <c r="AJ147" s="41"/>
      <c r="AK147" s="45">
        <v>0</v>
      </c>
      <c r="AL147" s="45">
        <v>0</v>
      </c>
      <c r="AM147" s="45">
        <v>0</v>
      </c>
      <c r="AN147" s="13">
        <v>0</v>
      </c>
      <c r="AO147" s="41"/>
      <c r="AP147" s="130"/>
      <c r="AQ147" s="11" t="s">
        <v>66</v>
      </c>
      <c r="AR147" s="13">
        <v>0</v>
      </c>
      <c r="AS147" s="13">
        <v>0</v>
      </c>
      <c r="AT147" s="45">
        <v>0</v>
      </c>
      <c r="AU147" s="45">
        <v>0</v>
      </c>
      <c r="AV147" s="41"/>
      <c r="AX147" s="46"/>
      <c r="AY147" s="46"/>
      <c r="AZ147" s="46"/>
      <c r="BB147" s="13"/>
      <c r="BC147" s="13"/>
      <c r="BD147" s="13"/>
      <c r="BE147" s="45"/>
    </row>
    <row r="148" spans="1:57" ht="14.5" customHeight="1" x14ac:dyDescent="0.35">
      <c r="A148" s="6"/>
      <c r="B148" s="130"/>
      <c r="C148" s="11" t="s">
        <v>67</v>
      </c>
      <c r="D148" s="13">
        <v>0</v>
      </c>
      <c r="E148" s="13">
        <v>0</v>
      </c>
      <c r="F148" s="13">
        <v>0</v>
      </c>
      <c r="G148" s="13">
        <v>0</v>
      </c>
      <c r="H148" s="41"/>
      <c r="I148" s="13">
        <v>0.05</v>
      </c>
      <c r="J148" s="13">
        <v>0.1</v>
      </c>
      <c r="K148" s="13">
        <v>0.05</v>
      </c>
      <c r="L148" s="13">
        <v>0</v>
      </c>
      <c r="M148" s="41"/>
      <c r="N148" s="13">
        <v>0</v>
      </c>
      <c r="O148" s="13">
        <v>0</v>
      </c>
      <c r="P148" s="13">
        <v>0</v>
      </c>
      <c r="Q148" s="13">
        <v>0</v>
      </c>
      <c r="R148" s="41"/>
      <c r="S148" s="13">
        <v>0</v>
      </c>
      <c r="T148" s="13">
        <v>0</v>
      </c>
      <c r="U148" s="13">
        <v>0</v>
      </c>
      <c r="V148" s="13">
        <v>0</v>
      </c>
      <c r="W148" s="41"/>
      <c r="X148" s="13">
        <v>0</v>
      </c>
      <c r="Y148" s="13">
        <v>0</v>
      </c>
      <c r="Z148" s="41"/>
      <c r="AA148" s="13">
        <v>0</v>
      </c>
      <c r="AB148" s="13">
        <v>7.5000000000000011E-2</v>
      </c>
      <c r="AC148" s="13">
        <v>0</v>
      </c>
      <c r="AD148" s="13">
        <v>0</v>
      </c>
      <c r="AE148" s="41"/>
      <c r="AF148" s="45">
        <v>0</v>
      </c>
      <c r="AG148" s="45">
        <v>0</v>
      </c>
      <c r="AH148" s="45">
        <v>0</v>
      </c>
      <c r="AI148" s="13">
        <v>0</v>
      </c>
      <c r="AJ148" s="41"/>
      <c r="AK148" s="45">
        <v>0</v>
      </c>
      <c r="AL148" s="45">
        <v>0</v>
      </c>
      <c r="AM148" s="45">
        <v>0</v>
      </c>
      <c r="AN148" s="13">
        <v>0</v>
      </c>
      <c r="AO148" s="41"/>
      <c r="AP148" s="130"/>
      <c r="AQ148" s="11" t="s">
        <v>67</v>
      </c>
      <c r="AR148" s="13">
        <v>0</v>
      </c>
      <c r="AS148" s="13">
        <v>0</v>
      </c>
      <c r="AT148" s="45">
        <v>0</v>
      </c>
      <c r="AU148" s="45">
        <v>0</v>
      </c>
      <c r="AV148" s="41"/>
      <c r="AX148" s="46"/>
      <c r="AY148" s="46"/>
      <c r="AZ148" s="46"/>
      <c r="BB148" s="13"/>
      <c r="BC148" s="13"/>
      <c r="BD148" s="13"/>
      <c r="BE148" s="45"/>
    </row>
    <row r="149" spans="1:57" ht="18.5" x14ac:dyDescent="0.35">
      <c r="A149" s="6"/>
      <c r="B149" s="131"/>
      <c r="C149" s="11" t="s">
        <v>68</v>
      </c>
      <c r="D149" s="13">
        <v>0</v>
      </c>
      <c r="E149" s="13">
        <v>0</v>
      </c>
      <c r="F149" s="13">
        <v>0</v>
      </c>
      <c r="G149" s="45">
        <v>0</v>
      </c>
      <c r="H149" s="41"/>
      <c r="I149" s="13">
        <v>0.05</v>
      </c>
      <c r="J149" s="13">
        <v>0.1</v>
      </c>
      <c r="K149" s="13">
        <v>0.05</v>
      </c>
      <c r="L149" s="45">
        <v>0</v>
      </c>
      <c r="M149" s="41"/>
      <c r="N149" s="13">
        <v>0</v>
      </c>
      <c r="O149" s="13">
        <v>0</v>
      </c>
      <c r="P149" s="13">
        <v>0</v>
      </c>
      <c r="Q149" s="45">
        <v>0</v>
      </c>
      <c r="R149" s="41"/>
      <c r="S149" s="13">
        <v>0</v>
      </c>
      <c r="T149" s="13">
        <v>0</v>
      </c>
      <c r="U149" s="13">
        <v>0</v>
      </c>
      <c r="V149" s="45">
        <v>0</v>
      </c>
      <c r="W149" s="41"/>
      <c r="X149" s="13">
        <v>0</v>
      </c>
      <c r="Y149" s="13">
        <v>0</v>
      </c>
      <c r="Z149" s="41"/>
      <c r="AA149" s="13">
        <v>0</v>
      </c>
      <c r="AB149" s="13">
        <v>7.5000000000000011E-2</v>
      </c>
      <c r="AC149" s="13">
        <v>0</v>
      </c>
      <c r="AD149" s="45">
        <v>0</v>
      </c>
      <c r="AE149" s="41"/>
      <c r="AF149" s="45">
        <v>0</v>
      </c>
      <c r="AG149" s="45">
        <v>0</v>
      </c>
      <c r="AH149" s="45">
        <v>0</v>
      </c>
      <c r="AI149" s="45">
        <v>0</v>
      </c>
      <c r="AJ149" s="41"/>
      <c r="AK149" s="45">
        <v>0</v>
      </c>
      <c r="AL149" s="45">
        <v>0</v>
      </c>
      <c r="AM149" s="45">
        <v>0</v>
      </c>
      <c r="AN149" s="45">
        <v>0</v>
      </c>
      <c r="AO149" s="41"/>
      <c r="AP149" s="131"/>
      <c r="AQ149" s="11" t="s">
        <v>68</v>
      </c>
      <c r="AR149" s="45">
        <v>0</v>
      </c>
      <c r="AS149" s="45">
        <v>0</v>
      </c>
      <c r="AT149" s="45">
        <v>0</v>
      </c>
      <c r="AU149" s="45">
        <v>0</v>
      </c>
      <c r="AV149" s="41"/>
      <c r="AX149" s="46">
        <v>0</v>
      </c>
      <c r="AY149" s="46">
        <v>0</v>
      </c>
      <c r="AZ149" s="46">
        <v>0</v>
      </c>
      <c r="BB149" s="13">
        <v>0</v>
      </c>
      <c r="BC149" s="13">
        <v>0</v>
      </c>
      <c r="BD149" s="13">
        <v>0</v>
      </c>
      <c r="BE149" s="45">
        <v>0</v>
      </c>
    </row>
    <row r="150" spans="1:57" ht="18.5" x14ac:dyDescent="0.35">
      <c r="A150" s="6"/>
      <c r="B150" s="131"/>
      <c r="C150" s="11" t="s">
        <v>69</v>
      </c>
      <c r="D150" s="13">
        <v>0</v>
      </c>
      <c r="E150" s="13">
        <v>0</v>
      </c>
      <c r="F150" s="13">
        <v>0</v>
      </c>
      <c r="G150" s="45">
        <v>0</v>
      </c>
      <c r="H150" s="41"/>
      <c r="I150" s="13">
        <v>0.05</v>
      </c>
      <c r="J150" s="13">
        <v>0</v>
      </c>
      <c r="K150" s="13">
        <v>0.05</v>
      </c>
      <c r="L150" s="45">
        <v>0</v>
      </c>
      <c r="M150" s="41"/>
      <c r="N150" s="13">
        <v>0</v>
      </c>
      <c r="O150" s="13">
        <v>0</v>
      </c>
      <c r="P150" s="13">
        <v>0</v>
      </c>
      <c r="Q150" s="45">
        <v>0</v>
      </c>
      <c r="R150" s="41"/>
      <c r="S150" s="13">
        <v>0</v>
      </c>
      <c r="T150" s="13">
        <v>0</v>
      </c>
      <c r="U150" s="13">
        <v>0</v>
      </c>
      <c r="V150" s="45">
        <v>0</v>
      </c>
      <c r="W150" s="41"/>
      <c r="X150" s="13">
        <v>0</v>
      </c>
      <c r="Y150" s="13">
        <v>0</v>
      </c>
      <c r="Z150" s="41"/>
      <c r="AA150" s="13">
        <v>0</v>
      </c>
      <c r="AB150" s="45">
        <v>0</v>
      </c>
      <c r="AC150" s="13">
        <v>0</v>
      </c>
      <c r="AD150" s="45">
        <v>0</v>
      </c>
      <c r="AE150" s="41"/>
      <c r="AF150" s="45">
        <v>0</v>
      </c>
      <c r="AG150" s="45">
        <v>0</v>
      </c>
      <c r="AH150" s="45">
        <v>0</v>
      </c>
      <c r="AI150" s="45">
        <v>0</v>
      </c>
      <c r="AJ150" s="41"/>
      <c r="AK150" s="45">
        <v>0</v>
      </c>
      <c r="AL150" s="45">
        <v>0</v>
      </c>
      <c r="AM150" s="45">
        <v>0</v>
      </c>
      <c r="AN150" s="45">
        <v>0</v>
      </c>
      <c r="AO150" s="41"/>
      <c r="AP150" s="131"/>
      <c r="AQ150" s="11" t="s">
        <v>69</v>
      </c>
      <c r="AR150" s="45">
        <v>0</v>
      </c>
      <c r="AS150" s="45">
        <v>0</v>
      </c>
      <c r="AT150" s="45">
        <v>0</v>
      </c>
      <c r="AU150" s="45">
        <v>0</v>
      </c>
      <c r="AV150" s="41"/>
      <c r="AX150" s="46">
        <v>0</v>
      </c>
      <c r="AY150" s="46">
        <v>0</v>
      </c>
      <c r="AZ150" s="46">
        <v>0</v>
      </c>
      <c r="BB150" s="13">
        <v>0</v>
      </c>
      <c r="BC150" s="13">
        <v>0</v>
      </c>
      <c r="BD150" s="13">
        <v>0</v>
      </c>
      <c r="BE150" s="45">
        <v>0</v>
      </c>
    </row>
    <row r="151" spans="1:57" ht="18.5" x14ac:dyDescent="0.35">
      <c r="A151" s="6"/>
      <c r="B151" s="132"/>
      <c r="C151" s="11" t="s">
        <v>23</v>
      </c>
      <c r="D151" s="45">
        <v>0</v>
      </c>
      <c r="E151" s="13">
        <v>0</v>
      </c>
      <c r="F151" s="45">
        <v>0</v>
      </c>
      <c r="G151" s="45">
        <v>0</v>
      </c>
      <c r="H151" s="41"/>
      <c r="I151" s="45">
        <v>0</v>
      </c>
      <c r="J151" s="13">
        <v>0</v>
      </c>
      <c r="K151" s="45">
        <v>0</v>
      </c>
      <c r="L151" s="45">
        <v>0</v>
      </c>
      <c r="M151" s="41"/>
      <c r="N151" s="45">
        <v>0</v>
      </c>
      <c r="O151" s="13">
        <v>0</v>
      </c>
      <c r="P151" s="45">
        <v>0</v>
      </c>
      <c r="Q151" s="45">
        <v>0</v>
      </c>
      <c r="R151" s="41"/>
      <c r="S151" s="45">
        <v>0</v>
      </c>
      <c r="T151" s="13">
        <v>0</v>
      </c>
      <c r="U151" s="45">
        <v>0</v>
      </c>
      <c r="V151" s="45">
        <v>0</v>
      </c>
      <c r="W151" s="41"/>
      <c r="X151" s="45">
        <v>0</v>
      </c>
      <c r="Y151" s="45">
        <v>0</v>
      </c>
      <c r="Z151" s="41"/>
      <c r="AA151" s="45">
        <v>0</v>
      </c>
      <c r="AB151" s="45">
        <v>0</v>
      </c>
      <c r="AC151" s="45">
        <v>0</v>
      </c>
      <c r="AD151" s="45">
        <v>0</v>
      </c>
      <c r="AE151" s="41"/>
      <c r="AF151" s="45">
        <v>0</v>
      </c>
      <c r="AG151" s="45">
        <v>0</v>
      </c>
      <c r="AH151" s="45">
        <v>0</v>
      </c>
      <c r="AI151" s="45">
        <v>0</v>
      </c>
      <c r="AJ151" s="41"/>
      <c r="AK151" s="45">
        <v>0</v>
      </c>
      <c r="AL151" s="45">
        <v>0</v>
      </c>
      <c r="AM151" s="45">
        <v>0</v>
      </c>
      <c r="AN151" s="45">
        <v>0</v>
      </c>
      <c r="AO151" s="41"/>
      <c r="AP151" s="132"/>
      <c r="AQ151" s="11" t="s">
        <v>23</v>
      </c>
      <c r="AR151" s="45">
        <v>0</v>
      </c>
      <c r="AS151" s="45">
        <v>0</v>
      </c>
      <c r="AT151" s="45">
        <v>0</v>
      </c>
      <c r="AU151" s="45">
        <v>0</v>
      </c>
      <c r="AV151" s="41"/>
      <c r="AX151" s="46"/>
      <c r="AY151" s="46">
        <v>0</v>
      </c>
      <c r="AZ151" s="46"/>
      <c r="BB151" s="45">
        <v>0</v>
      </c>
      <c r="BC151" s="13">
        <v>0</v>
      </c>
      <c r="BD151" s="45">
        <v>0</v>
      </c>
      <c r="BE151" s="45">
        <v>0</v>
      </c>
    </row>
    <row r="152" spans="1:57" customFormat="1" ht="4.5" customHeight="1" x14ac:dyDescent="0.35">
      <c r="A152" s="6"/>
      <c r="B152" s="6"/>
      <c r="C152" s="6"/>
      <c r="D152" s="6"/>
      <c r="E152" s="6"/>
      <c r="F152" s="6"/>
      <c r="G152" s="6"/>
      <c r="H152" s="41"/>
      <c r="I152" s="6"/>
      <c r="J152" s="6"/>
      <c r="K152" s="6"/>
      <c r="L152" s="6"/>
      <c r="M152" s="41"/>
      <c r="N152" s="6"/>
      <c r="O152" s="6"/>
      <c r="P152" s="6"/>
      <c r="Q152" s="6"/>
      <c r="R152" s="41"/>
      <c r="S152" s="6"/>
      <c r="T152" s="6"/>
      <c r="U152" s="6"/>
      <c r="V152" s="6"/>
      <c r="W152" s="41"/>
      <c r="X152" s="6"/>
      <c r="Y152" s="6"/>
      <c r="Z152" s="41"/>
      <c r="AA152" s="6"/>
      <c r="AB152" s="6"/>
      <c r="AC152" s="6"/>
      <c r="AD152" s="6"/>
      <c r="AE152" s="41"/>
      <c r="AF152" s="6"/>
      <c r="AG152" s="6"/>
      <c r="AH152" s="6"/>
      <c r="AI152" s="6"/>
      <c r="AJ152" s="41"/>
      <c r="AK152" s="6"/>
      <c r="AL152" s="6"/>
      <c r="AM152" s="6"/>
      <c r="AN152" s="6"/>
      <c r="AO152" s="41"/>
      <c r="AP152" s="6"/>
      <c r="AQ152" s="6"/>
      <c r="AR152" s="6"/>
      <c r="AS152" s="6"/>
      <c r="AT152" s="6"/>
      <c r="AU152" s="6"/>
      <c r="AV152" s="41"/>
      <c r="BB152" s="6"/>
      <c r="BC152" s="6"/>
      <c r="BD152" s="6"/>
      <c r="BE152" s="6"/>
    </row>
    <row r="153" spans="1:57" ht="14.5" customHeight="1" x14ac:dyDescent="0.35">
      <c r="A153" s="6"/>
      <c r="B153" s="129" t="s">
        <v>21</v>
      </c>
      <c r="C153" s="11" t="s">
        <v>65</v>
      </c>
      <c r="D153" s="13">
        <v>0</v>
      </c>
      <c r="E153" s="13">
        <v>0.1</v>
      </c>
      <c r="F153" s="13">
        <v>0</v>
      </c>
      <c r="G153" s="45">
        <v>0</v>
      </c>
      <c r="H153" s="41"/>
      <c r="I153" s="13">
        <v>0.05</v>
      </c>
      <c r="J153" s="13">
        <v>0.1</v>
      </c>
      <c r="K153" s="13">
        <v>0.05</v>
      </c>
      <c r="L153" s="45">
        <v>0</v>
      </c>
      <c r="M153" s="41"/>
      <c r="N153" s="13">
        <v>0.1</v>
      </c>
      <c r="O153" s="13">
        <v>0.1</v>
      </c>
      <c r="P153" s="13">
        <v>0.1</v>
      </c>
      <c r="Q153" s="45">
        <v>0</v>
      </c>
      <c r="R153" s="41"/>
      <c r="S153" s="13">
        <v>0</v>
      </c>
      <c r="T153" s="13">
        <v>0</v>
      </c>
      <c r="U153" s="13">
        <v>0</v>
      </c>
      <c r="V153" s="45">
        <v>0</v>
      </c>
      <c r="W153" s="41"/>
      <c r="X153" s="13">
        <v>0</v>
      </c>
      <c r="Y153" s="13">
        <v>0</v>
      </c>
      <c r="Z153" s="41"/>
      <c r="AA153" s="13">
        <v>0</v>
      </c>
      <c r="AB153" s="13">
        <v>7.5000000000000011E-2</v>
      </c>
      <c r="AC153" s="13">
        <v>0</v>
      </c>
      <c r="AD153" s="45">
        <v>0</v>
      </c>
      <c r="AE153" s="41"/>
      <c r="AF153" s="45">
        <v>0</v>
      </c>
      <c r="AG153" s="45">
        <v>0</v>
      </c>
      <c r="AH153" s="45">
        <v>0</v>
      </c>
      <c r="AI153" s="45">
        <v>0</v>
      </c>
      <c r="AJ153" s="41"/>
      <c r="AK153" s="45">
        <v>0</v>
      </c>
      <c r="AL153" s="45">
        <v>0</v>
      </c>
      <c r="AM153" s="45">
        <v>0</v>
      </c>
      <c r="AN153" s="45">
        <v>0</v>
      </c>
      <c r="AO153" s="41"/>
      <c r="AP153" s="129" t="s">
        <v>21</v>
      </c>
      <c r="AQ153" s="11" t="s">
        <v>65</v>
      </c>
      <c r="AR153" s="45">
        <v>0</v>
      </c>
      <c r="AS153" s="45">
        <v>0</v>
      </c>
      <c r="AT153" s="45">
        <v>0</v>
      </c>
      <c r="AU153" s="45">
        <v>0</v>
      </c>
      <c r="AV153" s="41"/>
      <c r="AX153" s="46">
        <v>0</v>
      </c>
      <c r="AY153" s="46">
        <v>-0.1</v>
      </c>
      <c r="AZ153" s="46">
        <v>0</v>
      </c>
      <c r="BB153" s="13">
        <v>0</v>
      </c>
      <c r="BC153" s="13">
        <v>0</v>
      </c>
      <c r="BD153" s="13">
        <v>0</v>
      </c>
      <c r="BE153" s="45">
        <v>0</v>
      </c>
    </row>
    <row r="154" spans="1:57" ht="14.5" customHeight="1" x14ac:dyDescent="0.35">
      <c r="A154" s="6"/>
      <c r="B154" s="130"/>
      <c r="C154" s="11" t="s">
        <v>66</v>
      </c>
      <c r="D154" s="13">
        <v>0</v>
      </c>
      <c r="E154" s="13">
        <v>0.1</v>
      </c>
      <c r="F154" s="13">
        <v>0</v>
      </c>
      <c r="G154" s="13">
        <v>0</v>
      </c>
      <c r="H154" s="41"/>
      <c r="I154" s="13">
        <v>0.05</v>
      </c>
      <c r="J154" s="13">
        <v>0.1</v>
      </c>
      <c r="K154" s="13">
        <v>0.05</v>
      </c>
      <c r="L154" s="13">
        <v>0</v>
      </c>
      <c r="M154" s="41"/>
      <c r="N154" s="13">
        <v>0.1</v>
      </c>
      <c r="O154" s="13">
        <v>0.1</v>
      </c>
      <c r="P154" s="13">
        <v>0.1</v>
      </c>
      <c r="Q154" s="13">
        <v>0</v>
      </c>
      <c r="R154" s="41"/>
      <c r="S154" s="13">
        <v>0</v>
      </c>
      <c r="T154" s="13">
        <v>0</v>
      </c>
      <c r="U154" s="13">
        <v>0</v>
      </c>
      <c r="V154" s="13">
        <v>0</v>
      </c>
      <c r="W154" s="41"/>
      <c r="X154" s="13">
        <v>0</v>
      </c>
      <c r="Y154" s="13">
        <v>0</v>
      </c>
      <c r="Z154" s="41"/>
      <c r="AA154" s="13">
        <v>0</v>
      </c>
      <c r="AB154" s="13">
        <v>7.5000000000000011E-2</v>
      </c>
      <c r="AC154" s="13">
        <v>0</v>
      </c>
      <c r="AD154" s="13">
        <v>0</v>
      </c>
      <c r="AE154" s="41"/>
      <c r="AF154" s="45">
        <v>0</v>
      </c>
      <c r="AG154" s="45">
        <v>0</v>
      </c>
      <c r="AH154" s="45">
        <v>0</v>
      </c>
      <c r="AI154" s="13">
        <v>0</v>
      </c>
      <c r="AJ154" s="41"/>
      <c r="AK154" s="45">
        <v>0</v>
      </c>
      <c r="AL154" s="45">
        <v>0</v>
      </c>
      <c r="AM154" s="45">
        <v>0</v>
      </c>
      <c r="AN154" s="13">
        <v>0</v>
      </c>
      <c r="AO154" s="41"/>
      <c r="AP154" s="130"/>
      <c r="AQ154" s="11" t="s">
        <v>66</v>
      </c>
      <c r="AR154" s="13">
        <v>0</v>
      </c>
      <c r="AS154" s="13">
        <v>0</v>
      </c>
      <c r="AT154" s="45">
        <v>0</v>
      </c>
      <c r="AU154" s="45">
        <v>0</v>
      </c>
      <c r="AV154" s="41"/>
      <c r="AX154" s="46"/>
      <c r="AY154" s="46"/>
      <c r="AZ154" s="46"/>
      <c r="BB154" s="13"/>
      <c r="BC154" s="13"/>
      <c r="BD154" s="13"/>
      <c r="BE154" s="45"/>
    </row>
    <row r="155" spans="1:57" ht="14.5" customHeight="1" x14ac:dyDescent="0.35">
      <c r="A155" s="6"/>
      <c r="B155" s="130"/>
      <c r="C155" s="11" t="s">
        <v>67</v>
      </c>
      <c r="D155" s="13">
        <v>0</v>
      </c>
      <c r="E155" s="13">
        <v>0.1</v>
      </c>
      <c r="F155" s="13">
        <v>0</v>
      </c>
      <c r="G155" s="13">
        <v>0</v>
      </c>
      <c r="H155" s="41"/>
      <c r="I155" s="13">
        <v>0.05</v>
      </c>
      <c r="J155" s="13">
        <v>0.1</v>
      </c>
      <c r="K155" s="13">
        <v>0.05</v>
      </c>
      <c r="L155" s="13">
        <v>0</v>
      </c>
      <c r="M155" s="41"/>
      <c r="N155" s="13">
        <v>0.1</v>
      </c>
      <c r="O155" s="13">
        <v>0.1</v>
      </c>
      <c r="P155" s="13">
        <v>0.1</v>
      </c>
      <c r="Q155" s="13">
        <v>0</v>
      </c>
      <c r="R155" s="41"/>
      <c r="S155" s="13">
        <v>0</v>
      </c>
      <c r="T155" s="13">
        <v>0</v>
      </c>
      <c r="U155" s="13">
        <v>0</v>
      </c>
      <c r="V155" s="13">
        <v>0</v>
      </c>
      <c r="W155" s="41"/>
      <c r="X155" s="13">
        <v>0</v>
      </c>
      <c r="Y155" s="13">
        <v>0</v>
      </c>
      <c r="Z155" s="41"/>
      <c r="AA155" s="13">
        <v>0</v>
      </c>
      <c r="AB155" s="13">
        <v>7.5000000000000011E-2</v>
      </c>
      <c r="AC155" s="13">
        <v>0</v>
      </c>
      <c r="AD155" s="13">
        <v>0</v>
      </c>
      <c r="AE155" s="41"/>
      <c r="AF155" s="45">
        <v>0</v>
      </c>
      <c r="AG155" s="45">
        <v>0</v>
      </c>
      <c r="AH155" s="45">
        <v>0</v>
      </c>
      <c r="AI155" s="13">
        <v>0</v>
      </c>
      <c r="AJ155" s="41"/>
      <c r="AK155" s="45">
        <v>0</v>
      </c>
      <c r="AL155" s="45">
        <v>0</v>
      </c>
      <c r="AM155" s="45">
        <v>0</v>
      </c>
      <c r="AN155" s="13">
        <v>0</v>
      </c>
      <c r="AO155" s="41"/>
      <c r="AP155" s="130"/>
      <c r="AQ155" s="11" t="s">
        <v>67</v>
      </c>
      <c r="AR155" s="13">
        <v>0</v>
      </c>
      <c r="AS155" s="13">
        <v>0</v>
      </c>
      <c r="AT155" s="45">
        <v>0</v>
      </c>
      <c r="AU155" s="45">
        <v>0</v>
      </c>
      <c r="AV155" s="41"/>
      <c r="AX155" s="46"/>
      <c r="AY155" s="46"/>
      <c r="AZ155" s="46"/>
      <c r="BB155" s="13"/>
      <c r="BC155" s="13"/>
      <c r="BD155" s="13"/>
      <c r="BE155" s="45"/>
    </row>
    <row r="156" spans="1:57" ht="18.5" x14ac:dyDescent="0.35">
      <c r="A156" s="6"/>
      <c r="B156" s="131"/>
      <c r="C156" s="11" t="s">
        <v>68</v>
      </c>
      <c r="D156" s="13">
        <v>0</v>
      </c>
      <c r="E156" s="13">
        <v>0.1</v>
      </c>
      <c r="F156" s="13">
        <v>0</v>
      </c>
      <c r="G156" s="45">
        <v>0</v>
      </c>
      <c r="H156" s="41"/>
      <c r="I156" s="13">
        <v>0.05</v>
      </c>
      <c r="J156" s="13">
        <v>0.1</v>
      </c>
      <c r="K156" s="13">
        <v>0.05</v>
      </c>
      <c r="L156" s="45">
        <v>0</v>
      </c>
      <c r="M156" s="41"/>
      <c r="N156" s="13">
        <v>0.1</v>
      </c>
      <c r="O156" s="13">
        <v>0.1</v>
      </c>
      <c r="P156" s="13">
        <v>0.1</v>
      </c>
      <c r="Q156" s="45">
        <v>0</v>
      </c>
      <c r="R156" s="41"/>
      <c r="S156" s="13">
        <v>0</v>
      </c>
      <c r="T156" s="13">
        <v>0</v>
      </c>
      <c r="U156" s="13">
        <v>0</v>
      </c>
      <c r="V156" s="45">
        <v>0</v>
      </c>
      <c r="W156" s="41"/>
      <c r="X156" s="13">
        <v>0</v>
      </c>
      <c r="Y156" s="13">
        <v>0</v>
      </c>
      <c r="Z156" s="41"/>
      <c r="AA156" s="13">
        <v>0</v>
      </c>
      <c r="AB156" s="13">
        <v>7.5000000000000011E-2</v>
      </c>
      <c r="AC156" s="13">
        <v>0</v>
      </c>
      <c r="AD156" s="45">
        <v>0</v>
      </c>
      <c r="AE156" s="41"/>
      <c r="AF156" s="45">
        <v>0</v>
      </c>
      <c r="AG156" s="45">
        <v>0</v>
      </c>
      <c r="AH156" s="45">
        <v>0</v>
      </c>
      <c r="AI156" s="45">
        <v>0</v>
      </c>
      <c r="AJ156" s="41"/>
      <c r="AK156" s="45">
        <v>0</v>
      </c>
      <c r="AL156" s="45">
        <v>0</v>
      </c>
      <c r="AM156" s="45">
        <v>0</v>
      </c>
      <c r="AN156" s="45">
        <v>0</v>
      </c>
      <c r="AO156" s="41"/>
      <c r="AP156" s="131"/>
      <c r="AQ156" s="11" t="s">
        <v>68</v>
      </c>
      <c r="AR156" s="45">
        <v>0</v>
      </c>
      <c r="AS156" s="45">
        <v>0</v>
      </c>
      <c r="AT156" s="45">
        <v>0</v>
      </c>
      <c r="AU156" s="45">
        <v>0</v>
      </c>
      <c r="AV156" s="41"/>
      <c r="AX156" s="46">
        <v>0</v>
      </c>
      <c r="AY156" s="46">
        <v>-0.1</v>
      </c>
      <c r="AZ156" s="46">
        <v>0</v>
      </c>
      <c r="BB156" s="13">
        <v>0</v>
      </c>
      <c r="BC156" s="13">
        <v>0</v>
      </c>
      <c r="BD156" s="13">
        <v>0</v>
      </c>
      <c r="BE156" s="45">
        <v>0</v>
      </c>
    </row>
    <row r="157" spans="1:57" ht="18.5" x14ac:dyDescent="0.35">
      <c r="A157" s="6"/>
      <c r="B157" s="131"/>
      <c r="C157" s="11" t="s">
        <v>69</v>
      </c>
      <c r="D157" s="13">
        <v>0</v>
      </c>
      <c r="E157" s="13">
        <v>0</v>
      </c>
      <c r="F157" s="13">
        <v>0</v>
      </c>
      <c r="G157" s="45">
        <v>0</v>
      </c>
      <c r="H157" s="41"/>
      <c r="I157" s="13">
        <v>0.05</v>
      </c>
      <c r="J157" s="13">
        <v>0</v>
      </c>
      <c r="K157" s="13">
        <v>0.05</v>
      </c>
      <c r="L157" s="45">
        <v>0</v>
      </c>
      <c r="M157" s="41"/>
      <c r="N157" s="13">
        <v>0.1</v>
      </c>
      <c r="O157" s="13">
        <v>0.1</v>
      </c>
      <c r="P157" s="13">
        <v>0.1</v>
      </c>
      <c r="Q157" s="45">
        <v>0</v>
      </c>
      <c r="R157" s="41"/>
      <c r="S157" s="13">
        <v>0</v>
      </c>
      <c r="T157" s="13">
        <v>0</v>
      </c>
      <c r="U157" s="13">
        <v>0</v>
      </c>
      <c r="V157" s="45">
        <v>0</v>
      </c>
      <c r="W157" s="41"/>
      <c r="X157" s="13">
        <v>0</v>
      </c>
      <c r="Y157" s="13">
        <v>0</v>
      </c>
      <c r="Z157" s="41"/>
      <c r="AA157" s="13">
        <v>0</v>
      </c>
      <c r="AB157" s="45">
        <v>0</v>
      </c>
      <c r="AC157" s="13">
        <v>0</v>
      </c>
      <c r="AD157" s="45">
        <v>0</v>
      </c>
      <c r="AE157" s="41"/>
      <c r="AF157" s="45">
        <v>0</v>
      </c>
      <c r="AG157" s="45">
        <v>0</v>
      </c>
      <c r="AH157" s="45">
        <v>0</v>
      </c>
      <c r="AI157" s="45">
        <v>0</v>
      </c>
      <c r="AJ157" s="41"/>
      <c r="AK157" s="45">
        <v>0</v>
      </c>
      <c r="AL157" s="45">
        <v>0</v>
      </c>
      <c r="AM157" s="45">
        <v>0</v>
      </c>
      <c r="AN157" s="45">
        <v>0</v>
      </c>
      <c r="AO157" s="41"/>
      <c r="AP157" s="131"/>
      <c r="AQ157" s="11" t="s">
        <v>69</v>
      </c>
      <c r="AR157" s="45">
        <v>0</v>
      </c>
      <c r="AS157" s="45">
        <v>0</v>
      </c>
      <c r="AT157" s="45">
        <v>0</v>
      </c>
      <c r="AU157" s="45">
        <v>0</v>
      </c>
      <c r="AV157" s="41"/>
      <c r="AX157" s="46">
        <v>0</v>
      </c>
      <c r="AY157" s="46">
        <v>0</v>
      </c>
      <c r="AZ157" s="46">
        <v>0</v>
      </c>
      <c r="BB157" s="13">
        <v>0</v>
      </c>
      <c r="BC157" s="13">
        <v>0</v>
      </c>
      <c r="BD157" s="13">
        <v>0</v>
      </c>
      <c r="BE157" s="45">
        <v>0</v>
      </c>
    </row>
    <row r="158" spans="1:57" ht="18.5" x14ac:dyDescent="0.35">
      <c r="A158" s="6"/>
      <c r="B158" s="132"/>
      <c r="C158" s="11" t="s">
        <v>23</v>
      </c>
      <c r="D158" s="45">
        <v>0</v>
      </c>
      <c r="E158" s="13">
        <v>0</v>
      </c>
      <c r="F158" s="45">
        <v>0</v>
      </c>
      <c r="G158" s="45">
        <v>0</v>
      </c>
      <c r="H158" s="41"/>
      <c r="I158" s="45">
        <v>0</v>
      </c>
      <c r="J158" s="13">
        <v>7.4999999999999997E-2</v>
      </c>
      <c r="K158" s="45">
        <v>0</v>
      </c>
      <c r="L158" s="45">
        <v>0</v>
      </c>
      <c r="M158" s="41"/>
      <c r="N158" s="45">
        <v>0</v>
      </c>
      <c r="O158" s="13">
        <v>7.4999999999999997E-2</v>
      </c>
      <c r="P158" s="45">
        <v>0</v>
      </c>
      <c r="Q158" s="45">
        <v>0</v>
      </c>
      <c r="R158" s="41"/>
      <c r="S158" s="45">
        <v>0</v>
      </c>
      <c r="T158" s="13">
        <v>7.4999999999999997E-2</v>
      </c>
      <c r="U158" s="45">
        <v>0</v>
      </c>
      <c r="V158" s="45">
        <v>0</v>
      </c>
      <c r="W158" s="41"/>
      <c r="X158" s="45">
        <v>0</v>
      </c>
      <c r="Y158" s="45">
        <v>0</v>
      </c>
      <c r="Z158" s="41"/>
      <c r="AA158" s="45">
        <v>0</v>
      </c>
      <c r="AB158" s="13">
        <v>4.9999999999999996E-2</v>
      </c>
      <c r="AC158" s="45">
        <v>0</v>
      </c>
      <c r="AD158" s="45">
        <v>0</v>
      </c>
      <c r="AE158" s="41"/>
      <c r="AF158" s="45">
        <v>0</v>
      </c>
      <c r="AG158" s="45">
        <v>0</v>
      </c>
      <c r="AH158" s="45">
        <v>0</v>
      </c>
      <c r="AI158" s="45">
        <v>0</v>
      </c>
      <c r="AJ158" s="41"/>
      <c r="AK158" s="45">
        <v>0</v>
      </c>
      <c r="AL158" s="45">
        <v>0</v>
      </c>
      <c r="AM158" s="45">
        <v>0</v>
      </c>
      <c r="AN158" s="45">
        <v>0</v>
      </c>
      <c r="AO158" s="41"/>
      <c r="AP158" s="132"/>
      <c r="AQ158" s="11" t="s">
        <v>23</v>
      </c>
      <c r="AR158" s="45">
        <v>0</v>
      </c>
      <c r="AS158" s="45">
        <v>0</v>
      </c>
      <c r="AT158" s="45">
        <v>0</v>
      </c>
      <c r="AU158" s="45">
        <v>0</v>
      </c>
      <c r="AV158" s="41"/>
      <c r="AX158" s="46"/>
      <c r="AY158" s="46">
        <v>7.4999999999999997E-2</v>
      </c>
      <c r="AZ158" s="46"/>
      <c r="BB158" s="45">
        <v>0</v>
      </c>
      <c r="BC158" s="13">
        <v>7.4999999999999997E-2</v>
      </c>
      <c r="BD158" s="45">
        <v>0</v>
      </c>
      <c r="BE158" s="45">
        <v>0</v>
      </c>
    </row>
    <row r="159" spans="1:57" customFormat="1" ht="4.5" customHeight="1" x14ac:dyDescent="0.35">
      <c r="A159" s="6"/>
      <c r="B159" s="6"/>
      <c r="C159" s="6"/>
      <c r="D159" s="6"/>
      <c r="E159" s="6"/>
      <c r="F159" s="6"/>
      <c r="G159" s="6"/>
      <c r="H159" s="41"/>
      <c r="I159" s="6"/>
      <c r="J159" s="6"/>
      <c r="K159" s="6"/>
      <c r="L159" s="6"/>
      <c r="M159" s="41"/>
      <c r="N159" s="6"/>
      <c r="O159" s="6"/>
      <c r="P159" s="6"/>
      <c r="Q159" s="6"/>
      <c r="R159" s="41"/>
      <c r="S159" s="6"/>
      <c r="T159" s="6"/>
      <c r="U159" s="6"/>
      <c r="V159" s="6"/>
      <c r="W159" s="41"/>
      <c r="X159" s="6"/>
      <c r="Y159" s="6"/>
      <c r="Z159" s="41"/>
      <c r="AA159" s="6"/>
      <c r="AB159" s="6"/>
      <c r="AC159" s="6"/>
      <c r="AD159" s="6"/>
      <c r="AE159" s="41"/>
      <c r="AF159" s="6"/>
      <c r="AG159" s="6"/>
      <c r="AH159" s="6"/>
      <c r="AI159" s="6"/>
      <c r="AJ159" s="41"/>
      <c r="AK159" s="6"/>
      <c r="AL159" s="6"/>
      <c r="AM159" s="6"/>
      <c r="AN159" s="6"/>
      <c r="AO159" s="41"/>
      <c r="AP159" s="6"/>
      <c r="AQ159" s="6"/>
      <c r="AR159" s="6"/>
      <c r="AS159" s="6"/>
      <c r="AT159" s="6"/>
      <c r="AU159" s="6"/>
      <c r="AV159" s="41"/>
      <c r="BB159" s="6"/>
      <c r="BC159" s="6"/>
      <c r="BD159" s="6"/>
      <c r="BE159" s="6"/>
    </row>
    <row r="160" spans="1:57" ht="14.5" customHeight="1" x14ac:dyDescent="0.35">
      <c r="A160" s="6"/>
      <c r="B160" s="129" t="s">
        <v>19</v>
      </c>
      <c r="C160" s="11" t="s">
        <v>65</v>
      </c>
      <c r="D160" s="13">
        <v>0.3</v>
      </c>
      <c r="E160" s="13">
        <v>0.3</v>
      </c>
      <c r="F160" s="13">
        <v>0.3</v>
      </c>
      <c r="G160" s="45">
        <v>0</v>
      </c>
      <c r="H160" s="41"/>
      <c r="I160" s="13">
        <v>0.1</v>
      </c>
      <c r="J160" s="13">
        <v>0.37</v>
      </c>
      <c r="K160" s="13">
        <v>0.1</v>
      </c>
      <c r="L160" s="45">
        <v>0</v>
      </c>
      <c r="M160" s="41"/>
      <c r="N160" s="13">
        <v>0.37</v>
      </c>
      <c r="O160" s="13">
        <v>0.37</v>
      </c>
      <c r="P160" s="13">
        <v>0.37</v>
      </c>
      <c r="Q160" s="45">
        <v>0</v>
      </c>
      <c r="R160" s="41"/>
      <c r="S160" s="13">
        <v>0.1</v>
      </c>
      <c r="T160" s="13">
        <v>0.2</v>
      </c>
      <c r="U160" s="13">
        <v>0.1</v>
      </c>
      <c r="V160" s="45">
        <v>0</v>
      </c>
      <c r="W160" s="41"/>
      <c r="X160" s="13">
        <v>7.4999999999999997E-2</v>
      </c>
      <c r="Y160" s="13">
        <v>7.4999999999999997E-2</v>
      </c>
      <c r="Z160" s="41"/>
      <c r="AA160" s="13">
        <v>0.16999999999999998</v>
      </c>
      <c r="AB160" s="13">
        <v>0.34499999999999997</v>
      </c>
      <c r="AC160" s="13">
        <v>0.16999999999999998</v>
      </c>
      <c r="AD160" s="45">
        <v>0</v>
      </c>
      <c r="AE160" s="41"/>
      <c r="AF160" s="13">
        <v>0.05</v>
      </c>
      <c r="AG160" s="13">
        <v>7.5000000000000011E-2</v>
      </c>
      <c r="AH160" s="13">
        <v>0.05</v>
      </c>
      <c r="AI160" s="45">
        <v>0</v>
      </c>
      <c r="AJ160" s="41"/>
      <c r="AK160" s="45">
        <v>0</v>
      </c>
      <c r="AL160" s="13">
        <v>0.32499999999999996</v>
      </c>
      <c r="AM160" s="45">
        <v>0</v>
      </c>
      <c r="AN160" s="45">
        <v>0</v>
      </c>
      <c r="AO160" s="41"/>
      <c r="AP160" s="129" t="s">
        <v>19</v>
      </c>
      <c r="AQ160" s="11" t="s">
        <v>65</v>
      </c>
      <c r="AR160" s="45">
        <v>0</v>
      </c>
      <c r="AS160" s="45">
        <v>0</v>
      </c>
      <c r="AT160" s="45">
        <v>0</v>
      </c>
      <c r="AU160" s="45">
        <v>0</v>
      </c>
      <c r="AV160" s="41"/>
      <c r="AX160" s="46">
        <v>-0.19999999999999998</v>
      </c>
      <c r="AY160" s="46">
        <v>-0.19999999999999998</v>
      </c>
      <c r="AZ160" s="46">
        <v>-0.19999999999999998</v>
      </c>
      <c r="BB160" s="13">
        <v>0</v>
      </c>
      <c r="BC160" s="13">
        <v>0</v>
      </c>
      <c r="BD160" s="13">
        <v>0</v>
      </c>
      <c r="BE160" s="45">
        <v>0</v>
      </c>
    </row>
    <row r="161" spans="1:57" ht="14.5" customHeight="1" x14ac:dyDescent="0.35">
      <c r="A161" s="6"/>
      <c r="B161" s="130"/>
      <c r="C161" s="11" t="s">
        <v>66</v>
      </c>
      <c r="D161" s="13">
        <v>0.27999999999999997</v>
      </c>
      <c r="E161" s="13">
        <v>0.27999999999999997</v>
      </c>
      <c r="F161" s="13">
        <v>0.27999999999999997</v>
      </c>
      <c r="G161" s="13">
        <v>0</v>
      </c>
      <c r="H161" s="41"/>
      <c r="I161" s="13">
        <v>0.1</v>
      </c>
      <c r="J161" s="13">
        <v>0.32</v>
      </c>
      <c r="K161" s="13">
        <v>0.1</v>
      </c>
      <c r="L161" s="13">
        <v>0</v>
      </c>
      <c r="M161" s="41"/>
      <c r="N161" s="13">
        <v>0.35</v>
      </c>
      <c r="O161" s="13">
        <v>0.35</v>
      </c>
      <c r="P161" s="13">
        <v>0.35</v>
      </c>
      <c r="Q161" s="13">
        <v>0</v>
      </c>
      <c r="R161" s="41"/>
      <c r="S161" s="13">
        <v>0.08</v>
      </c>
      <c r="T161" s="13">
        <v>0.18000000000000002</v>
      </c>
      <c r="U161" s="13">
        <v>0.08</v>
      </c>
      <c r="V161" s="13">
        <v>0</v>
      </c>
      <c r="W161" s="41"/>
      <c r="X161" s="13">
        <v>7.4999999999999997E-2</v>
      </c>
      <c r="Y161" s="13">
        <v>7.4999999999999997E-2</v>
      </c>
      <c r="Z161" s="41"/>
      <c r="AA161" s="13">
        <v>0.15000000000000002</v>
      </c>
      <c r="AB161" s="13">
        <v>0.32499999999999996</v>
      </c>
      <c r="AC161" s="13">
        <v>0.15000000000000002</v>
      </c>
      <c r="AD161" s="13">
        <v>0</v>
      </c>
      <c r="AE161" s="41"/>
      <c r="AF161" s="13">
        <v>0.03</v>
      </c>
      <c r="AG161" s="13">
        <v>5.5E-2</v>
      </c>
      <c r="AH161" s="13">
        <v>0.03</v>
      </c>
      <c r="AI161" s="13">
        <v>0</v>
      </c>
      <c r="AJ161" s="41"/>
      <c r="AK161" s="13">
        <v>0</v>
      </c>
      <c r="AL161" s="13">
        <v>0.32499999999999996</v>
      </c>
      <c r="AM161" s="13">
        <v>0</v>
      </c>
      <c r="AN161" s="13">
        <v>0</v>
      </c>
      <c r="AO161" s="41"/>
      <c r="AP161" s="130"/>
      <c r="AQ161" s="11" t="s">
        <v>66</v>
      </c>
      <c r="AR161" s="13">
        <v>0</v>
      </c>
      <c r="AS161" s="13">
        <v>0</v>
      </c>
      <c r="AT161" s="45">
        <v>0</v>
      </c>
      <c r="AU161" s="45">
        <v>0</v>
      </c>
      <c r="AV161" s="41"/>
      <c r="AX161" s="46"/>
      <c r="AY161" s="46"/>
      <c r="AZ161" s="46"/>
      <c r="BB161" s="13"/>
      <c r="BC161" s="13"/>
      <c r="BD161" s="13"/>
      <c r="BE161" s="45"/>
    </row>
    <row r="162" spans="1:57" ht="14.5" customHeight="1" x14ac:dyDescent="0.35">
      <c r="A162" s="6"/>
      <c r="B162" s="130"/>
      <c r="C162" s="11" t="s">
        <v>67</v>
      </c>
      <c r="D162" s="13">
        <v>0.25999999999999995</v>
      </c>
      <c r="E162" s="13">
        <v>0.25999999999999995</v>
      </c>
      <c r="F162" s="13">
        <v>0.25999999999999995</v>
      </c>
      <c r="G162" s="13">
        <v>0</v>
      </c>
      <c r="H162" s="41"/>
      <c r="I162" s="13">
        <v>0.1</v>
      </c>
      <c r="J162" s="13">
        <v>0.27</v>
      </c>
      <c r="K162" s="13">
        <v>0.1</v>
      </c>
      <c r="L162" s="13">
        <v>0</v>
      </c>
      <c r="M162" s="41"/>
      <c r="N162" s="13">
        <v>0.32</v>
      </c>
      <c r="O162" s="13">
        <v>0.32</v>
      </c>
      <c r="P162" s="13">
        <v>0.32</v>
      </c>
      <c r="Q162" s="13">
        <v>0</v>
      </c>
      <c r="R162" s="41"/>
      <c r="S162" s="13">
        <v>0.06</v>
      </c>
      <c r="T162" s="13">
        <v>0.16000000000000003</v>
      </c>
      <c r="U162" s="13">
        <v>0.06</v>
      </c>
      <c r="V162" s="13">
        <v>0</v>
      </c>
      <c r="W162" s="41"/>
      <c r="X162" s="13">
        <v>7.4999999999999997E-2</v>
      </c>
      <c r="Y162" s="13">
        <v>7.4999999999999997E-2</v>
      </c>
      <c r="Z162" s="41"/>
      <c r="AA162" s="13">
        <v>0.13</v>
      </c>
      <c r="AB162" s="13">
        <v>0.29499999999999998</v>
      </c>
      <c r="AC162" s="13">
        <v>0.13</v>
      </c>
      <c r="AD162" s="13">
        <v>0</v>
      </c>
      <c r="AE162" s="41"/>
      <c r="AF162" s="13">
        <v>9.999999999999995E-3</v>
      </c>
      <c r="AG162" s="13">
        <v>3.4999999999999996E-2</v>
      </c>
      <c r="AH162" s="13">
        <v>9.999999999999995E-3</v>
      </c>
      <c r="AI162" s="13">
        <v>0</v>
      </c>
      <c r="AJ162" s="41"/>
      <c r="AK162" s="13">
        <v>0</v>
      </c>
      <c r="AL162" s="13">
        <v>0.32499999999999996</v>
      </c>
      <c r="AM162" s="13">
        <v>0</v>
      </c>
      <c r="AN162" s="13">
        <v>0</v>
      </c>
      <c r="AO162" s="41"/>
      <c r="AP162" s="130"/>
      <c r="AQ162" s="11" t="s">
        <v>67</v>
      </c>
      <c r="AR162" s="13">
        <v>0</v>
      </c>
      <c r="AS162" s="13">
        <v>0</v>
      </c>
      <c r="AT162" s="45">
        <v>0</v>
      </c>
      <c r="AU162" s="45">
        <v>0</v>
      </c>
      <c r="AV162" s="41"/>
      <c r="AX162" s="46"/>
      <c r="AY162" s="46"/>
      <c r="AZ162" s="46"/>
      <c r="BB162" s="13"/>
      <c r="BC162" s="13"/>
      <c r="BD162" s="13"/>
      <c r="BE162" s="45"/>
    </row>
    <row r="163" spans="1:57" ht="18.5" x14ac:dyDescent="0.35">
      <c r="A163" s="6"/>
      <c r="B163" s="131"/>
      <c r="C163" s="11" t="s">
        <v>68</v>
      </c>
      <c r="D163" s="13">
        <v>7.4999999999999997E-2</v>
      </c>
      <c r="E163" s="13">
        <v>7.4999999999999997E-2</v>
      </c>
      <c r="F163" s="13">
        <v>7.4999999999999997E-2</v>
      </c>
      <c r="G163" s="45">
        <v>0</v>
      </c>
      <c r="H163" s="41"/>
      <c r="I163" s="13">
        <v>0.1</v>
      </c>
      <c r="J163" s="13">
        <v>0</v>
      </c>
      <c r="K163" s="13">
        <v>0.1</v>
      </c>
      <c r="L163" s="45">
        <v>0</v>
      </c>
      <c r="M163" s="41"/>
      <c r="N163" s="13">
        <v>7.4999999999999997E-2</v>
      </c>
      <c r="O163" s="13">
        <v>7.4999999999999997E-2</v>
      </c>
      <c r="P163" s="13">
        <v>7.4999999999999997E-2</v>
      </c>
      <c r="Q163" s="45">
        <v>0</v>
      </c>
      <c r="R163" s="41"/>
      <c r="S163" s="13">
        <v>0.2</v>
      </c>
      <c r="T163" s="13">
        <v>0.2</v>
      </c>
      <c r="U163" s="13">
        <v>0.2</v>
      </c>
      <c r="V163" s="45">
        <v>0</v>
      </c>
      <c r="W163" s="41"/>
      <c r="X163" s="13">
        <v>0.1</v>
      </c>
      <c r="Y163" s="13">
        <v>0.1</v>
      </c>
      <c r="Z163" s="41"/>
      <c r="AA163" s="13">
        <v>0.3</v>
      </c>
      <c r="AB163" s="13">
        <v>0.32500000000000001</v>
      </c>
      <c r="AC163" s="13">
        <v>0.3</v>
      </c>
      <c r="AD163" s="45">
        <v>0</v>
      </c>
      <c r="AE163" s="41"/>
      <c r="AF163" s="13">
        <v>2.4999999999999994E-2</v>
      </c>
      <c r="AG163" s="13">
        <v>7.5000000000000011E-2</v>
      </c>
      <c r="AH163" s="13">
        <v>2.4999999999999994E-2</v>
      </c>
      <c r="AI163" s="45">
        <v>0</v>
      </c>
      <c r="AJ163" s="41"/>
      <c r="AK163" s="45">
        <v>0</v>
      </c>
      <c r="AL163" s="13">
        <v>4.9999999999999996E-2</v>
      </c>
      <c r="AM163" s="45">
        <v>0</v>
      </c>
      <c r="AN163" s="45">
        <v>0</v>
      </c>
      <c r="AO163" s="41"/>
      <c r="AP163" s="131"/>
      <c r="AQ163" s="11" t="s">
        <v>68</v>
      </c>
      <c r="AR163" s="45">
        <v>0</v>
      </c>
      <c r="AS163" s="45">
        <v>0</v>
      </c>
      <c r="AT163" s="45">
        <v>0</v>
      </c>
      <c r="AU163" s="45">
        <v>0</v>
      </c>
      <c r="AV163" s="41"/>
      <c r="AX163" s="46">
        <v>0</v>
      </c>
      <c r="AY163" s="46">
        <v>2.5000000000000008E-2</v>
      </c>
      <c r="AZ163" s="46">
        <v>0</v>
      </c>
      <c r="BB163" s="13">
        <v>0</v>
      </c>
      <c r="BC163" s="13">
        <v>0</v>
      </c>
      <c r="BD163" s="13">
        <v>0</v>
      </c>
      <c r="BE163" s="45">
        <v>0</v>
      </c>
    </row>
    <row r="164" spans="1:57" ht="18.5" x14ac:dyDescent="0.35">
      <c r="A164" s="6"/>
      <c r="B164" s="131"/>
      <c r="C164" s="11" t="s">
        <v>69</v>
      </c>
      <c r="D164" s="13">
        <v>0.1</v>
      </c>
      <c r="E164" s="13">
        <v>0.3</v>
      </c>
      <c r="F164" s="13">
        <v>0.1</v>
      </c>
      <c r="G164" s="45">
        <v>0</v>
      </c>
      <c r="H164" s="41"/>
      <c r="I164" s="13">
        <v>0.1</v>
      </c>
      <c r="J164" s="13">
        <v>0.3</v>
      </c>
      <c r="K164" s="13">
        <v>0.1</v>
      </c>
      <c r="L164" s="45">
        <v>0</v>
      </c>
      <c r="M164" s="41"/>
      <c r="N164" s="13">
        <v>0.1</v>
      </c>
      <c r="O164" s="13">
        <v>0.3</v>
      </c>
      <c r="P164" s="13">
        <v>0.1</v>
      </c>
      <c r="Q164" s="45">
        <v>0</v>
      </c>
      <c r="R164" s="41"/>
      <c r="S164" s="13">
        <v>0.1</v>
      </c>
      <c r="T164" s="13">
        <v>0.3</v>
      </c>
      <c r="U164" s="13">
        <v>0.1</v>
      </c>
      <c r="V164" s="45">
        <v>0</v>
      </c>
      <c r="W164" s="41"/>
      <c r="X164" s="13">
        <v>7.4999999999999997E-2</v>
      </c>
      <c r="Y164" s="13">
        <v>7.4999999999999997E-2</v>
      </c>
      <c r="Z164" s="41"/>
      <c r="AA164" s="13">
        <v>0.05</v>
      </c>
      <c r="AB164" s="13">
        <v>0.27499999999999997</v>
      </c>
      <c r="AC164" s="13">
        <v>0.05</v>
      </c>
      <c r="AD164" s="45">
        <v>0</v>
      </c>
      <c r="AE164" s="41"/>
      <c r="AF164" s="13">
        <v>0.05</v>
      </c>
      <c r="AG164" s="13">
        <v>0.27499999999999997</v>
      </c>
      <c r="AH164" s="13">
        <v>0.05</v>
      </c>
      <c r="AI164" s="45">
        <v>0</v>
      </c>
      <c r="AJ164" s="41"/>
      <c r="AK164" s="45">
        <v>0</v>
      </c>
      <c r="AL164" s="13">
        <v>0.27499999999999997</v>
      </c>
      <c r="AM164" s="45">
        <v>0</v>
      </c>
      <c r="AN164" s="45">
        <v>0</v>
      </c>
      <c r="AO164" s="41"/>
      <c r="AP164" s="131"/>
      <c r="AQ164" s="11" t="s">
        <v>69</v>
      </c>
      <c r="AR164" s="45">
        <v>0</v>
      </c>
      <c r="AS164" s="45">
        <v>0</v>
      </c>
      <c r="AT164" s="45">
        <v>0</v>
      </c>
      <c r="AU164" s="45">
        <v>0</v>
      </c>
      <c r="AV164" s="41"/>
      <c r="AX164" s="46">
        <v>0</v>
      </c>
      <c r="AY164" s="46">
        <v>0</v>
      </c>
      <c r="AZ164" s="46">
        <v>0</v>
      </c>
      <c r="BB164" s="13">
        <v>0</v>
      </c>
      <c r="BC164" s="13">
        <v>0</v>
      </c>
      <c r="BD164" s="13">
        <v>0</v>
      </c>
      <c r="BE164" s="45">
        <v>0</v>
      </c>
    </row>
    <row r="165" spans="1:57" ht="18.5" x14ac:dyDescent="0.35">
      <c r="A165" s="6"/>
      <c r="B165" s="132"/>
      <c r="C165" s="11" t="s">
        <v>23</v>
      </c>
      <c r="D165" s="45">
        <v>0</v>
      </c>
      <c r="E165" s="13">
        <v>0.1</v>
      </c>
      <c r="F165" s="45">
        <v>0</v>
      </c>
      <c r="G165" s="45">
        <v>0</v>
      </c>
      <c r="H165" s="41"/>
      <c r="I165" s="45">
        <v>0</v>
      </c>
      <c r="J165" s="13">
        <v>0.1</v>
      </c>
      <c r="K165" s="45">
        <v>0</v>
      </c>
      <c r="L165" s="45">
        <v>0</v>
      </c>
      <c r="M165" s="41"/>
      <c r="N165" s="45">
        <v>0</v>
      </c>
      <c r="O165" s="13">
        <v>0.1</v>
      </c>
      <c r="P165" s="45">
        <v>0</v>
      </c>
      <c r="Q165" s="45">
        <v>0</v>
      </c>
      <c r="R165" s="41"/>
      <c r="S165" s="45">
        <v>0</v>
      </c>
      <c r="T165" s="13">
        <v>0.1</v>
      </c>
      <c r="U165" s="45">
        <v>0</v>
      </c>
      <c r="V165" s="45">
        <v>0</v>
      </c>
      <c r="W165" s="41"/>
      <c r="X165" s="45">
        <v>0</v>
      </c>
      <c r="Y165" s="45">
        <v>0</v>
      </c>
      <c r="Z165" s="41"/>
      <c r="AA165" s="45">
        <v>0</v>
      </c>
      <c r="AB165" s="13">
        <v>7.5000000000000011E-2</v>
      </c>
      <c r="AC165" s="45">
        <v>0</v>
      </c>
      <c r="AD165" s="45">
        <v>0</v>
      </c>
      <c r="AE165" s="41"/>
      <c r="AF165" s="45">
        <v>0</v>
      </c>
      <c r="AG165" s="13">
        <v>7.5000000000000011E-2</v>
      </c>
      <c r="AH165" s="45">
        <v>0</v>
      </c>
      <c r="AI165" s="45">
        <v>0</v>
      </c>
      <c r="AJ165" s="41"/>
      <c r="AK165" s="45">
        <v>0</v>
      </c>
      <c r="AL165" s="13">
        <v>7.5000000000000011E-2</v>
      </c>
      <c r="AM165" s="45">
        <v>0</v>
      </c>
      <c r="AN165" s="45">
        <v>0</v>
      </c>
      <c r="AO165" s="41"/>
      <c r="AP165" s="132"/>
      <c r="AQ165" s="11" t="s">
        <v>23</v>
      </c>
      <c r="AR165" s="45">
        <v>0</v>
      </c>
      <c r="AS165" s="45">
        <v>0</v>
      </c>
      <c r="AT165" s="45">
        <v>0</v>
      </c>
      <c r="AU165" s="45">
        <v>0</v>
      </c>
      <c r="AV165" s="41"/>
      <c r="AX165" s="46"/>
      <c r="AY165" s="46">
        <v>0</v>
      </c>
      <c r="AZ165" s="46"/>
      <c r="BB165" s="45">
        <v>0</v>
      </c>
      <c r="BC165" s="13">
        <v>0.1</v>
      </c>
      <c r="BD165" s="45">
        <v>0</v>
      </c>
      <c r="BE165" s="45">
        <v>0</v>
      </c>
    </row>
    <row r="166" spans="1:57" customFormat="1" ht="4.5" customHeight="1" x14ac:dyDescent="0.35">
      <c r="A166" s="6"/>
      <c r="B166" s="6"/>
      <c r="C166" s="6"/>
      <c r="D166" s="6"/>
      <c r="E166" s="6"/>
      <c r="F166" s="6"/>
      <c r="G166" s="6"/>
      <c r="H166" s="41"/>
      <c r="I166" s="6"/>
      <c r="J166" s="6"/>
      <c r="K166" s="6"/>
      <c r="L166" s="6"/>
      <c r="M166" s="41"/>
      <c r="N166" s="6"/>
      <c r="O166" s="6"/>
      <c r="P166" s="6"/>
      <c r="Q166" s="6"/>
      <c r="R166" s="41"/>
      <c r="S166" s="6"/>
      <c r="T166" s="6"/>
      <c r="U166" s="6"/>
      <c r="V166" s="6"/>
      <c r="W166" s="41"/>
      <c r="X166" s="6"/>
      <c r="Y166" s="6"/>
      <c r="Z166" s="41"/>
      <c r="AA166" s="6"/>
      <c r="AB166" s="6"/>
      <c r="AC166" s="6"/>
      <c r="AD166" s="6"/>
      <c r="AE166" s="41"/>
      <c r="AF166" s="6"/>
      <c r="AG166" s="6"/>
      <c r="AH166" s="6"/>
      <c r="AI166" s="6"/>
      <c r="AJ166" s="41"/>
      <c r="AK166" s="6"/>
      <c r="AL166" s="6"/>
      <c r="AM166" s="6"/>
      <c r="AN166" s="6"/>
      <c r="AO166" s="41"/>
      <c r="AP166" s="6"/>
      <c r="AQ166" s="6"/>
      <c r="AR166" s="6"/>
      <c r="AS166" s="6"/>
      <c r="AT166" s="6"/>
      <c r="AU166" s="6"/>
      <c r="AV166" s="41"/>
      <c r="BB166" s="6"/>
      <c r="BC166" s="6"/>
      <c r="BD166" s="6"/>
      <c r="BE166" s="6"/>
    </row>
    <row r="167" spans="1:57" ht="14.5" customHeight="1" x14ac:dyDescent="0.35">
      <c r="A167" s="6"/>
      <c r="B167" s="129" t="s">
        <v>84</v>
      </c>
      <c r="C167" s="11" t="s">
        <v>65</v>
      </c>
      <c r="D167" s="13">
        <v>0.3</v>
      </c>
      <c r="E167" s="13">
        <v>0.3</v>
      </c>
      <c r="F167" s="13">
        <v>0.3</v>
      </c>
      <c r="G167" s="45">
        <v>0</v>
      </c>
      <c r="H167" s="41"/>
      <c r="I167" s="13">
        <v>0.1</v>
      </c>
      <c r="J167" s="13">
        <v>0.37</v>
      </c>
      <c r="K167" s="13">
        <v>0.1</v>
      </c>
      <c r="L167" s="45">
        <v>0</v>
      </c>
      <c r="M167" s="41"/>
      <c r="N167" s="13">
        <v>0.37</v>
      </c>
      <c r="O167" s="13">
        <v>0.37</v>
      </c>
      <c r="P167" s="13">
        <v>0.37</v>
      </c>
      <c r="Q167" s="45">
        <v>0</v>
      </c>
      <c r="R167" s="41"/>
      <c r="S167" s="13">
        <v>0.1</v>
      </c>
      <c r="T167" s="13">
        <v>0.2</v>
      </c>
      <c r="U167" s="13">
        <v>0.1</v>
      </c>
      <c r="V167" s="45">
        <v>0</v>
      </c>
      <c r="W167" s="41"/>
      <c r="X167" s="13">
        <v>7.4999999999999997E-2</v>
      </c>
      <c r="Y167" s="13">
        <v>7.4999999999999997E-2</v>
      </c>
      <c r="Z167" s="41"/>
      <c r="AA167" s="13">
        <v>0.16999999999999998</v>
      </c>
      <c r="AB167" s="13">
        <v>0.34499999999999997</v>
      </c>
      <c r="AC167" s="13">
        <v>0.16999999999999998</v>
      </c>
      <c r="AD167" s="45">
        <v>0</v>
      </c>
      <c r="AE167" s="41"/>
      <c r="AF167" s="13">
        <v>0.05</v>
      </c>
      <c r="AG167" s="13">
        <v>7.5000000000000011E-2</v>
      </c>
      <c r="AH167" s="13">
        <v>0.05</v>
      </c>
      <c r="AI167" s="45">
        <v>0</v>
      </c>
      <c r="AJ167" s="41"/>
      <c r="AK167" s="13">
        <v>0.05</v>
      </c>
      <c r="AL167" s="13">
        <v>0.32499999999999996</v>
      </c>
      <c r="AM167" s="45">
        <v>0</v>
      </c>
      <c r="AN167" s="45">
        <v>0</v>
      </c>
      <c r="AO167" s="41"/>
      <c r="AP167" s="129" t="s">
        <v>18</v>
      </c>
      <c r="AQ167" s="11" t="s">
        <v>65</v>
      </c>
      <c r="AR167" s="45">
        <v>0.05</v>
      </c>
      <c r="AS167" s="45">
        <v>0.05</v>
      </c>
      <c r="AT167" s="45">
        <v>0</v>
      </c>
      <c r="AU167" s="45">
        <v>0</v>
      </c>
      <c r="AV167" s="41"/>
      <c r="AX167" s="46">
        <v>-0.19999999999999998</v>
      </c>
      <c r="AY167" s="46">
        <v>-0.19999999999999998</v>
      </c>
      <c r="AZ167" s="46">
        <v>-0.19999999999999998</v>
      </c>
      <c r="BB167" s="13">
        <v>0.1</v>
      </c>
      <c r="BC167" s="13">
        <v>0.1</v>
      </c>
      <c r="BD167" s="13">
        <v>0.1</v>
      </c>
      <c r="BE167" s="45">
        <v>0</v>
      </c>
    </row>
    <row r="168" spans="1:57" ht="14.5" customHeight="1" x14ac:dyDescent="0.35">
      <c r="A168" s="6"/>
      <c r="B168" s="130"/>
      <c r="C168" s="11" t="s">
        <v>66</v>
      </c>
      <c r="D168" s="13">
        <v>0.27999999999999997</v>
      </c>
      <c r="E168" s="13">
        <v>0.27999999999999997</v>
      </c>
      <c r="F168" s="13">
        <v>0.27999999999999997</v>
      </c>
      <c r="G168" s="13">
        <v>0</v>
      </c>
      <c r="H168" s="41"/>
      <c r="I168" s="13">
        <v>0.1</v>
      </c>
      <c r="J168" s="13">
        <v>0.32</v>
      </c>
      <c r="K168" s="13">
        <v>0.1</v>
      </c>
      <c r="L168" s="13">
        <v>0</v>
      </c>
      <c r="M168" s="41"/>
      <c r="N168" s="13">
        <v>0.35</v>
      </c>
      <c r="O168" s="13">
        <v>0.35</v>
      </c>
      <c r="P168" s="13">
        <v>0.35</v>
      </c>
      <c r="Q168" s="13">
        <v>0</v>
      </c>
      <c r="R168" s="41"/>
      <c r="S168" s="13">
        <v>0.08</v>
      </c>
      <c r="T168" s="13">
        <v>0.18000000000000002</v>
      </c>
      <c r="U168" s="13">
        <v>0.08</v>
      </c>
      <c r="V168" s="13">
        <v>0</v>
      </c>
      <c r="W168" s="41"/>
      <c r="X168" s="13">
        <v>7.4999999999999997E-2</v>
      </c>
      <c r="Y168" s="13">
        <v>7.4999999999999997E-2</v>
      </c>
      <c r="Z168" s="41"/>
      <c r="AA168" s="13">
        <v>0.15000000000000002</v>
      </c>
      <c r="AB168" s="13">
        <v>0.32499999999999996</v>
      </c>
      <c r="AC168" s="13">
        <v>0.15000000000000002</v>
      </c>
      <c r="AD168" s="13">
        <v>0</v>
      </c>
      <c r="AE168" s="41"/>
      <c r="AF168" s="13">
        <v>0.03</v>
      </c>
      <c r="AG168" s="13">
        <v>5.5E-2</v>
      </c>
      <c r="AH168" s="13">
        <v>0.03</v>
      </c>
      <c r="AI168" s="13">
        <v>0</v>
      </c>
      <c r="AJ168" s="41"/>
      <c r="AK168" s="13">
        <v>0.05</v>
      </c>
      <c r="AL168" s="13">
        <v>0.32499999999999996</v>
      </c>
      <c r="AM168" s="13">
        <v>0</v>
      </c>
      <c r="AN168" s="13">
        <v>0</v>
      </c>
      <c r="AO168" s="41"/>
      <c r="AP168" s="130"/>
      <c r="AQ168" s="11" t="s">
        <v>66</v>
      </c>
      <c r="AR168" s="13">
        <v>0.05</v>
      </c>
      <c r="AS168" s="13">
        <v>0.05</v>
      </c>
      <c r="AT168" s="45">
        <v>0</v>
      </c>
      <c r="AU168" s="45">
        <v>0</v>
      </c>
      <c r="AV168" s="41"/>
      <c r="AX168" s="46"/>
      <c r="AY168" s="46"/>
      <c r="AZ168" s="46"/>
      <c r="BB168" s="13"/>
      <c r="BC168" s="13"/>
      <c r="BD168" s="13"/>
      <c r="BE168" s="45"/>
    </row>
    <row r="169" spans="1:57" ht="14.5" customHeight="1" x14ac:dyDescent="0.35">
      <c r="A169" s="6"/>
      <c r="B169" s="130"/>
      <c r="C169" s="11" t="s">
        <v>67</v>
      </c>
      <c r="D169" s="13">
        <v>0.25999999999999995</v>
      </c>
      <c r="E169" s="13">
        <v>0.25999999999999995</v>
      </c>
      <c r="F169" s="13">
        <v>0.25999999999999995</v>
      </c>
      <c r="G169" s="13">
        <v>0</v>
      </c>
      <c r="H169" s="41"/>
      <c r="I169" s="13">
        <v>0.1</v>
      </c>
      <c r="J169" s="13">
        <v>0.27</v>
      </c>
      <c r="K169" s="13">
        <v>0.1</v>
      </c>
      <c r="L169" s="13">
        <v>0</v>
      </c>
      <c r="M169" s="41"/>
      <c r="N169" s="13">
        <v>0.32</v>
      </c>
      <c r="O169" s="13">
        <v>0.32</v>
      </c>
      <c r="P169" s="13">
        <v>0.32</v>
      </c>
      <c r="Q169" s="13">
        <v>0</v>
      </c>
      <c r="R169" s="41"/>
      <c r="S169" s="13">
        <v>0.06</v>
      </c>
      <c r="T169" s="13">
        <v>0.16000000000000003</v>
      </c>
      <c r="U169" s="13">
        <v>0.06</v>
      </c>
      <c r="V169" s="13">
        <v>0</v>
      </c>
      <c r="W169" s="41"/>
      <c r="X169" s="13">
        <v>7.4999999999999997E-2</v>
      </c>
      <c r="Y169" s="13">
        <v>7.4999999999999997E-2</v>
      </c>
      <c r="Z169" s="41"/>
      <c r="AA169" s="13">
        <v>0.13</v>
      </c>
      <c r="AB169" s="13">
        <v>0.29499999999999998</v>
      </c>
      <c r="AC169" s="13">
        <v>0.13</v>
      </c>
      <c r="AD169" s="13">
        <v>0</v>
      </c>
      <c r="AE169" s="41"/>
      <c r="AF169" s="13">
        <v>9.999999999999995E-3</v>
      </c>
      <c r="AG169" s="13">
        <v>3.4999999999999996E-2</v>
      </c>
      <c r="AH169" s="13">
        <v>9.999999999999995E-3</v>
      </c>
      <c r="AI169" s="13">
        <v>0</v>
      </c>
      <c r="AJ169" s="41"/>
      <c r="AK169" s="13">
        <v>0.05</v>
      </c>
      <c r="AL169" s="13">
        <v>0.32499999999999996</v>
      </c>
      <c r="AM169" s="13">
        <v>0</v>
      </c>
      <c r="AN169" s="13">
        <v>0</v>
      </c>
      <c r="AO169" s="41"/>
      <c r="AP169" s="130"/>
      <c r="AQ169" s="11" t="s">
        <v>67</v>
      </c>
      <c r="AR169" s="13">
        <v>0.05</v>
      </c>
      <c r="AS169" s="13">
        <v>0.05</v>
      </c>
      <c r="AT169" s="45">
        <v>0</v>
      </c>
      <c r="AU169" s="45">
        <v>0</v>
      </c>
      <c r="AV169" s="41"/>
      <c r="AX169" s="46"/>
      <c r="AY169" s="46"/>
      <c r="AZ169" s="46"/>
      <c r="BB169" s="13"/>
      <c r="BC169" s="13"/>
      <c r="BD169" s="13"/>
      <c r="BE169" s="45"/>
    </row>
    <row r="170" spans="1:57" ht="18.5" x14ac:dyDescent="0.35">
      <c r="A170" s="6"/>
      <c r="B170" s="131"/>
      <c r="C170" s="11" t="s">
        <v>68</v>
      </c>
      <c r="D170" s="13">
        <v>7.4999999999999997E-2</v>
      </c>
      <c r="E170" s="13">
        <v>7.4999999999999997E-2</v>
      </c>
      <c r="F170" s="13">
        <v>7.4999999999999997E-2</v>
      </c>
      <c r="G170" s="45">
        <v>0</v>
      </c>
      <c r="H170" s="41"/>
      <c r="I170" s="13">
        <v>0.1</v>
      </c>
      <c r="J170" s="13">
        <v>0</v>
      </c>
      <c r="K170" s="13">
        <v>0.1</v>
      </c>
      <c r="L170" s="45">
        <v>0</v>
      </c>
      <c r="M170" s="41"/>
      <c r="N170" s="13">
        <v>7.4999999999999997E-2</v>
      </c>
      <c r="O170" s="13">
        <v>7.4999999999999997E-2</v>
      </c>
      <c r="P170" s="13">
        <v>7.4999999999999997E-2</v>
      </c>
      <c r="Q170" s="45">
        <v>0</v>
      </c>
      <c r="R170" s="41"/>
      <c r="S170" s="13">
        <v>0.2</v>
      </c>
      <c r="T170" s="13">
        <v>0.2</v>
      </c>
      <c r="U170" s="13">
        <v>0.2</v>
      </c>
      <c r="V170" s="45">
        <v>0</v>
      </c>
      <c r="W170" s="41"/>
      <c r="X170" s="13">
        <v>0.1</v>
      </c>
      <c r="Y170" s="13">
        <v>0.1</v>
      </c>
      <c r="Z170" s="41"/>
      <c r="AA170" s="13">
        <v>0.05</v>
      </c>
      <c r="AB170" s="45">
        <v>0</v>
      </c>
      <c r="AC170" s="13">
        <v>0.05</v>
      </c>
      <c r="AD170" s="45">
        <v>0</v>
      </c>
      <c r="AE170" s="41"/>
      <c r="AF170" s="13">
        <v>2.4999999999999994E-2</v>
      </c>
      <c r="AG170" s="13">
        <v>7.5000000000000011E-2</v>
      </c>
      <c r="AH170" s="13">
        <v>2.4999999999999994E-2</v>
      </c>
      <c r="AI170" s="45">
        <v>0</v>
      </c>
      <c r="AJ170" s="41"/>
      <c r="AK170" s="13">
        <v>0.05</v>
      </c>
      <c r="AL170" s="13">
        <v>4.9999999999999996E-2</v>
      </c>
      <c r="AM170" s="45">
        <v>0</v>
      </c>
      <c r="AN170" s="45">
        <v>0</v>
      </c>
      <c r="AO170" s="41"/>
      <c r="AP170" s="131"/>
      <c r="AQ170" s="11" t="s">
        <v>68</v>
      </c>
      <c r="AR170" s="45">
        <v>0</v>
      </c>
      <c r="AS170" s="45">
        <v>0</v>
      </c>
      <c r="AT170" s="45">
        <v>0</v>
      </c>
      <c r="AU170" s="45">
        <v>0</v>
      </c>
      <c r="AV170" s="41"/>
      <c r="AX170" s="46">
        <v>0</v>
      </c>
      <c r="AY170" s="46">
        <v>2.5000000000000008E-2</v>
      </c>
      <c r="AZ170" s="46">
        <v>0</v>
      </c>
      <c r="BB170" s="13">
        <v>0.1</v>
      </c>
      <c r="BC170" s="13">
        <v>0.1</v>
      </c>
      <c r="BD170" s="13">
        <v>0.1</v>
      </c>
      <c r="BE170" s="45">
        <v>0</v>
      </c>
    </row>
    <row r="171" spans="1:57" ht="18.5" x14ac:dyDescent="0.35">
      <c r="A171" s="6"/>
      <c r="B171" s="131"/>
      <c r="C171" s="11" t="s">
        <v>69</v>
      </c>
      <c r="D171" s="13">
        <v>7.4999999999999997E-2</v>
      </c>
      <c r="E171" s="13">
        <v>0.3</v>
      </c>
      <c r="F171" s="13">
        <v>7.4999999999999997E-2</v>
      </c>
      <c r="G171" s="45">
        <v>0</v>
      </c>
      <c r="H171" s="41"/>
      <c r="I171" s="13">
        <v>0.1</v>
      </c>
      <c r="J171" s="13">
        <v>0.3</v>
      </c>
      <c r="K171" s="13">
        <v>0.1</v>
      </c>
      <c r="L171" s="45">
        <v>0</v>
      </c>
      <c r="M171" s="41"/>
      <c r="N171" s="13">
        <v>0.1</v>
      </c>
      <c r="O171" s="13">
        <v>0.3</v>
      </c>
      <c r="P171" s="13">
        <v>0.1</v>
      </c>
      <c r="Q171" s="45">
        <v>0</v>
      </c>
      <c r="R171" s="41"/>
      <c r="S171" s="13">
        <v>0.1</v>
      </c>
      <c r="T171" s="13">
        <v>0.3</v>
      </c>
      <c r="U171" s="13">
        <v>0.1</v>
      </c>
      <c r="V171" s="45">
        <v>0</v>
      </c>
      <c r="W171" s="41"/>
      <c r="X171" s="13">
        <v>7.4999999999999997E-2</v>
      </c>
      <c r="Y171" s="13">
        <v>7.4999999999999997E-2</v>
      </c>
      <c r="Z171" s="41"/>
      <c r="AA171" s="13">
        <v>0.05</v>
      </c>
      <c r="AB171" s="13">
        <v>0.27499999999999997</v>
      </c>
      <c r="AC171" s="13">
        <v>0.05</v>
      </c>
      <c r="AD171" s="45">
        <v>0</v>
      </c>
      <c r="AE171" s="41"/>
      <c r="AF171" s="13">
        <v>2.4999999999999994E-2</v>
      </c>
      <c r="AG171" s="13">
        <v>0.27499999999999997</v>
      </c>
      <c r="AH171" s="13">
        <v>2.4999999999999994E-2</v>
      </c>
      <c r="AI171" s="45">
        <v>0</v>
      </c>
      <c r="AJ171" s="41"/>
      <c r="AK171" s="13">
        <v>0.05</v>
      </c>
      <c r="AL171" s="13">
        <v>0.27499999999999997</v>
      </c>
      <c r="AM171" s="45">
        <v>0</v>
      </c>
      <c r="AN171" s="45">
        <v>0</v>
      </c>
      <c r="AO171" s="41"/>
      <c r="AP171" s="131"/>
      <c r="AQ171" s="11" t="s">
        <v>69</v>
      </c>
      <c r="AR171" s="45">
        <v>0</v>
      </c>
      <c r="AS171" s="45">
        <v>0</v>
      </c>
      <c r="AT171" s="45">
        <v>0</v>
      </c>
      <c r="AU171" s="45">
        <v>0</v>
      </c>
      <c r="AV171" s="41"/>
      <c r="AX171" s="46">
        <v>0</v>
      </c>
      <c r="AY171" s="46">
        <v>0</v>
      </c>
      <c r="AZ171" s="46">
        <v>0</v>
      </c>
      <c r="BB171" s="13">
        <v>0.1</v>
      </c>
      <c r="BC171" s="13">
        <v>0.1</v>
      </c>
      <c r="BD171" s="13">
        <v>0.1</v>
      </c>
      <c r="BE171" s="45">
        <v>0</v>
      </c>
    </row>
    <row r="172" spans="1:57" ht="18.5" x14ac:dyDescent="0.35">
      <c r="A172" s="6"/>
      <c r="B172" s="132"/>
      <c r="C172" s="11" t="s">
        <v>23</v>
      </c>
      <c r="D172" s="45">
        <v>0</v>
      </c>
      <c r="E172" s="13">
        <v>7.4999999999999997E-2</v>
      </c>
      <c r="F172" s="45">
        <v>0</v>
      </c>
      <c r="G172" s="45">
        <v>0</v>
      </c>
      <c r="H172" s="41"/>
      <c r="I172" s="45">
        <v>0</v>
      </c>
      <c r="J172" s="13">
        <v>7.4999999999999997E-2</v>
      </c>
      <c r="K172" s="45">
        <v>0</v>
      </c>
      <c r="L172" s="45">
        <v>0</v>
      </c>
      <c r="M172" s="41"/>
      <c r="N172" s="45">
        <v>0</v>
      </c>
      <c r="O172" s="13">
        <v>7.4999999999999997E-2</v>
      </c>
      <c r="P172" s="45">
        <v>0</v>
      </c>
      <c r="Q172" s="45">
        <v>0</v>
      </c>
      <c r="R172" s="41"/>
      <c r="S172" s="45">
        <v>0</v>
      </c>
      <c r="T172" s="13">
        <v>7.4999999999999997E-2</v>
      </c>
      <c r="U172" s="45">
        <v>0</v>
      </c>
      <c r="V172" s="45">
        <v>0</v>
      </c>
      <c r="W172" s="41"/>
      <c r="X172" s="45">
        <v>0</v>
      </c>
      <c r="Y172" s="45">
        <v>0</v>
      </c>
      <c r="Z172" s="41"/>
      <c r="AA172" s="45">
        <v>0</v>
      </c>
      <c r="AB172" s="13">
        <v>4.9999999999999996E-2</v>
      </c>
      <c r="AC172" s="45">
        <v>0</v>
      </c>
      <c r="AD172" s="45">
        <v>0</v>
      </c>
      <c r="AE172" s="41"/>
      <c r="AF172" s="45">
        <v>0</v>
      </c>
      <c r="AG172" s="13">
        <v>4.9999999999999996E-2</v>
      </c>
      <c r="AH172" s="45">
        <v>0</v>
      </c>
      <c r="AI172" s="45">
        <v>0</v>
      </c>
      <c r="AJ172" s="41"/>
      <c r="AK172" s="45">
        <v>0</v>
      </c>
      <c r="AL172" s="13">
        <v>4.9999999999999996E-2</v>
      </c>
      <c r="AM172" s="45">
        <v>0</v>
      </c>
      <c r="AN172" s="45">
        <v>0</v>
      </c>
      <c r="AO172" s="41"/>
      <c r="AP172" s="132"/>
      <c r="AQ172" s="11" t="s">
        <v>23</v>
      </c>
      <c r="AR172" s="45">
        <v>0</v>
      </c>
      <c r="AS172" s="45">
        <v>0</v>
      </c>
      <c r="AT172" s="45">
        <v>0</v>
      </c>
      <c r="AU172" s="45">
        <v>0</v>
      </c>
      <c r="AV172" s="41"/>
      <c r="AX172" s="46"/>
      <c r="AY172" s="46">
        <v>0</v>
      </c>
      <c r="AZ172" s="46"/>
      <c r="BB172" s="45">
        <v>0</v>
      </c>
      <c r="BC172" s="13">
        <v>7.4999999999999997E-2</v>
      </c>
      <c r="BD172" s="45">
        <v>0</v>
      </c>
      <c r="BE172" s="45">
        <v>0</v>
      </c>
    </row>
    <row r="173" spans="1:57" customFormat="1" ht="4.5" customHeight="1" x14ac:dyDescent="0.35">
      <c r="A173" s="6"/>
      <c r="B173" s="6"/>
      <c r="C173" s="6"/>
      <c r="D173" s="6"/>
      <c r="E173" s="6"/>
      <c r="F173" s="6"/>
      <c r="G173" s="6"/>
      <c r="H173" s="41"/>
      <c r="I173" s="6"/>
      <c r="J173" s="6"/>
      <c r="K173" s="6"/>
      <c r="L173" s="6"/>
      <c r="M173" s="41"/>
      <c r="N173" s="6"/>
      <c r="O173" s="6"/>
      <c r="P173" s="6"/>
      <c r="Q173" s="6"/>
      <c r="R173" s="41"/>
      <c r="S173" s="6"/>
      <c r="T173" s="6"/>
      <c r="U173" s="6"/>
      <c r="V173" s="6"/>
      <c r="W173" s="41"/>
      <c r="X173" s="6"/>
      <c r="Y173" s="6"/>
      <c r="Z173" s="41"/>
      <c r="AA173" s="6"/>
      <c r="AB173" s="6"/>
      <c r="AC173" s="6"/>
      <c r="AD173" s="6"/>
      <c r="AE173" s="41"/>
      <c r="AF173" s="6"/>
      <c r="AG173" s="6"/>
      <c r="AH173" s="6"/>
      <c r="AI173" s="6"/>
      <c r="AJ173" s="41"/>
      <c r="AK173" s="6"/>
      <c r="AL173" s="6"/>
      <c r="AM173" s="6"/>
      <c r="AN173" s="6"/>
      <c r="AO173" s="41"/>
      <c r="AP173" s="6"/>
      <c r="AQ173" s="6"/>
      <c r="AR173" s="6"/>
      <c r="AS173" s="6"/>
      <c r="AT173" s="6"/>
      <c r="AU173" s="6"/>
      <c r="AV173" s="41"/>
      <c r="BB173" s="6"/>
      <c r="BC173" s="6"/>
      <c r="BD173" s="6"/>
      <c r="BE173" s="6"/>
    </row>
    <row r="174" spans="1:57" ht="14.5" customHeight="1" x14ac:dyDescent="0.35">
      <c r="A174" s="6"/>
      <c r="B174" s="129" t="s">
        <v>20</v>
      </c>
      <c r="C174" s="11" t="s">
        <v>65</v>
      </c>
      <c r="D174" s="13">
        <v>0.3</v>
      </c>
      <c r="E174" s="13">
        <v>0.3</v>
      </c>
      <c r="F174" s="13">
        <v>0.3</v>
      </c>
      <c r="G174" s="45">
        <v>0</v>
      </c>
      <c r="H174" s="41"/>
      <c r="I174" s="13">
        <v>0.3</v>
      </c>
      <c r="J174" s="13">
        <v>0.3</v>
      </c>
      <c r="K174" s="13">
        <v>0.3</v>
      </c>
      <c r="L174" s="45">
        <v>0</v>
      </c>
      <c r="M174" s="41"/>
      <c r="N174" s="13">
        <v>0.3</v>
      </c>
      <c r="O174" s="13">
        <v>0.3</v>
      </c>
      <c r="P174" s="13">
        <v>0.3</v>
      </c>
      <c r="Q174" s="45">
        <v>0</v>
      </c>
      <c r="R174" s="41"/>
      <c r="S174" s="13">
        <v>0.3</v>
      </c>
      <c r="T174" s="13">
        <v>0.3</v>
      </c>
      <c r="U174" s="13">
        <v>0</v>
      </c>
      <c r="V174" s="45">
        <v>0</v>
      </c>
      <c r="W174" s="41"/>
      <c r="X174" s="13">
        <v>0</v>
      </c>
      <c r="Y174" s="13">
        <v>0</v>
      </c>
      <c r="Z174" s="41"/>
      <c r="AA174" s="13">
        <v>0.25</v>
      </c>
      <c r="AB174" s="13">
        <v>0.375</v>
      </c>
      <c r="AC174" s="13">
        <v>0.25</v>
      </c>
      <c r="AD174" s="45">
        <v>0</v>
      </c>
      <c r="AE174" s="41"/>
      <c r="AF174" s="13">
        <v>0.25</v>
      </c>
      <c r="AG174" s="13">
        <v>0.27499999999999997</v>
      </c>
      <c r="AH174" s="13">
        <v>0</v>
      </c>
      <c r="AI174" s="45">
        <v>0</v>
      </c>
      <c r="AJ174" s="41"/>
      <c r="AK174" s="13">
        <v>0.25</v>
      </c>
      <c r="AL174" s="13">
        <v>0.27499999999999997</v>
      </c>
      <c r="AM174" s="45">
        <v>0</v>
      </c>
      <c r="AN174" s="45">
        <v>0</v>
      </c>
      <c r="AO174" s="41"/>
      <c r="AP174" s="129" t="s">
        <v>20</v>
      </c>
      <c r="AQ174" s="11" t="s">
        <v>65</v>
      </c>
      <c r="AR174" s="45">
        <v>0</v>
      </c>
      <c r="AS174" s="45">
        <v>0</v>
      </c>
      <c r="AT174" s="45">
        <v>0</v>
      </c>
      <c r="AU174" s="45">
        <v>0</v>
      </c>
      <c r="AV174" s="41"/>
      <c r="AX174" s="46">
        <v>0</v>
      </c>
      <c r="AY174" s="46">
        <v>0</v>
      </c>
      <c r="AZ174" s="46" t="e">
        <v>#VALUE!</v>
      </c>
      <c r="BB174" s="13">
        <v>0.3</v>
      </c>
      <c r="BC174" s="13">
        <v>0.4</v>
      </c>
      <c r="BD174" s="13">
        <v>0</v>
      </c>
      <c r="BE174" s="45">
        <v>0</v>
      </c>
    </row>
    <row r="175" spans="1:57" ht="14.5" customHeight="1" x14ac:dyDescent="0.35">
      <c r="A175" s="6"/>
      <c r="B175" s="130"/>
      <c r="C175" s="11" t="s">
        <v>66</v>
      </c>
      <c r="D175" s="13">
        <v>0.3</v>
      </c>
      <c r="E175" s="13">
        <v>0.3</v>
      </c>
      <c r="F175" s="13">
        <v>0.3</v>
      </c>
      <c r="G175" s="13">
        <v>0</v>
      </c>
      <c r="H175" s="41"/>
      <c r="I175" s="13">
        <v>0.3</v>
      </c>
      <c r="J175" s="13">
        <v>0.3</v>
      </c>
      <c r="K175" s="13">
        <v>0.3</v>
      </c>
      <c r="L175" s="13">
        <v>0</v>
      </c>
      <c r="M175" s="41"/>
      <c r="N175" s="13">
        <v>0.3</v>
      </c>
      <c r="O175" s="13">
        <v>0.3</v>
      </c>
      <c r="P175" s="13">
        <v>0.3</v>
      </c>
      <c r="Q175" s="13">
        <v>0</v>
      </c>
      <c r="R175" s="41"/>
      <c r="S175" s="13">
        <v>0.3</v>
      </c>
      <c r="T175" s="13">
        <v>0.3</v>
      </c>
      <c r="U175" s="13">
        <v>0</v>
      </c>
      <c r="V175" s="13">
        <v>0</v>
      </c>
      <c r="W175" s="41"/>
      <c r="X175" s="13">
        <v>0</v>
      </c>
      <c r="Y175" s="13">
        <v>0</v>
      </c>
      <c r="Z175" s="41"/>
      <c r="AA175" s="13">
        <v>0.25</v>
      </c>
      <c r="AB175" s="13">
        <v>0.375</v>
      </c>
      <c r="AC175" s="13">
        <v>0.25</v>
      </c>
      <c r="AD175" s="13">
        <v>0</v>
      </c>
      <c r="AE175" s="41"/>
      <c r="AF175" s="13">
        <v>0.25</v>
      </c>
      <c r="AG175" s="13">
        <v>0.27499999999999997</v>
      </c>
      <c r="AH175" s="13">
        <v>0</v>
      </c>
      <c r="AI175" s="13">
        <v>0</v>
      </c>
      <c r="AJ175" s="41"/>
      <c r="AK175" s="13">
        <v>0.25</v>
      </c>
      <c r="AL175" s="13">
        <v>0.27499999999999997</v>
      </c>
      <c r="AM175" s="13">
        <v>0</v>
      </c>
      <c r="AN175" s="13">
        <v>0</v>
      </c>
      <c r="AO175" s="41"/>
      <c r="AP175" s="130"/>
      <c r="AQ175" s="11" t="s">
        <v>66</v>
      </c>
      <c r="AR175" s="13">
        <v>0</v>
      </c>
      <c r="AS175" s="13">
        <v>0</v>
      </c>
      <c r="AT175" s="45">
        <v>0</v>
      </c>
      <c r="AU175" s="45">
        <v>0</v>
      </c>
      <c r="AV175" s="41"/>
      <c r="AX175" s="46"/>
      <c r="AY175" s="46"/>
      <c r="AZ175" s="46"/>
      <c r="BB175" s="13"/>
      <c r="BC175" s="13"/>
      <c r="BD175" s="13"/>
      <c r="BE175" s="45"/>
    </row>
    <row r="176" spans="1:57" ht="14.5" customHeight="1" x14ac:dyDescent="0.35">
      <c r="A176" s="6"/>
      <c r="B176" s="130"/>
      <c r="C176" s="11" t="s">
        <v>67</v>
      </c>
      <c r="D176" s="13">
        <v>0.3</v>
      </c>
      <c r="E176" s="13">
        <v>0.3</v>
      </c>
      <c r="F176" s="13">
        <v>0.3</v>
      </c>
      <c r="G176" s="13">
        <v>0</v>
      </c>
      <c r="H176" s="41"/>
      <c r="I176" s="13">
        <v>0.3</v>
      </c>
      <c r="J176" s="13">
        <v>0.3</v>
      </c>
      <c r="K176" s="13">
        <v>0.3</v>
      </c>
      <c r="L176" s="13">
        <v>0</v>
      </c>
      <c r="M176" s="41"/>
      <c r="N176" s="13">
        <v>0.3</v>
      </c>
      <c r="O176" s="13">
        <v>0.3</v>
      </c>
      <c r="P176" s="13">
        <v>0.3</v>
      </c>
      <c r="Q176" s="13">
        <v>0</v>
      </c>
      <c r="R176" s="41"/>
      <c r="S176" s="13">
        <v>0.3</v>
      </c>
      <c r="T176" s="13">
        <v>0.3</v>
      </c>
      <c r="U176" s="13">
        <v>0</v>
      </c>
      <c r="V176" s="13">
        <v>0</v>
      </c>
      <c r="W176" s="41"/>
      <c r="X176" s="13">
        <v>0</v>
      </c>
      <c r="Y176" s="13">
        <v>0</v>
      </c>
      <c r="Z176" s="41"/>
      <c r="AA176" s="13">
        <v>0.25</v>
      </c>
      <c r="AB176" s="13">
        <v>0.375</v>
      </c>
      <c r="AC176" s="13">
        <v>0.25</v>
      </c>
      <c r="AD176" s="13">
        <v>0</v>
      </c>
      <c r="AE176" s="41"/>
      <c r="AF176" s="13">
        <v>0.25</v>
      </c>
      <c r="AG176" s="13">
        <v>0.27499999999999997</v>
      </c>
      <c r="AH176" s="13">
        <v>0</v>
      </c>
      <c r="AI176" s="13">
        <v>0</v>
      </c>
      <c r="AJ176" s="41"/>
      <c r="AK176" s="13">
        <v>0.25</v>
      </c>
      <c r="AL176" s="13">
        <v>0.27499999999999997</v>
      </c>
      <c r="AM176" s="13">
        <v>0</v>
      </c>
      <c r="AN176" s="13">
        <v>0</v>
      </c>
      <c r="AO176" s="41"/>
      <c r="AP176" s="130"/>
      <c r="AQ176" s="11" t="s">
        <v>67</v>
      </c>
      <c r="AR176" s="13">
        <v>0</v>
      </c>
      <c r="AS176" s="13">
        <v>0</v>
      </c>
      <c r="AT176" s="45">
        <v>0</v>
      </c>
      <c r="AU176" s="45">
        <v>0</v>
      </c>
      <c r="AV176" s="41"/>
      <c r="AX176" s="46"/>
      <c r="AY176" s="46"/>
      <c r="AZ176" s="46"/>
      <c r="BB176" s="13"/>
      <c r="BC176" s="13"/>
      <c r="BD176" s="13"/>
      <c r="BE176" s="45"/>
    </row>
    <row r="177" spans="1:57" ht="18.5" x14ac:dyDescent="0.35">
      <c r="A177" s="6"/>
      <c r="B177" s="131"/>
      <c r="C177" s="11" t="s">
        <v>68</v>
      </c>
      <c r="D177" s="13">
        <v>0.2</v>
      </c>
      <c r="E177" s="13">
        <v>0.2</v>
      </c>
      <c r="F177" s="13">
        <v>0.2</v>
      </c>
      <c r="G177" s="45">
        <v>0</v>
      </c>
      <c r="H177" s="41"/>
      <c r="I177" s="13">
        <v>0.2</v>
      </c>
      <c r="J177" s="13">
        <v>0.2</v>
      </c>
      <c r="K177" s="13">
        <v>0.2</v>
      </c>
      <c r="L177" s="45">
        <v>0</v>
      </c>
      <c r="M177" s="41"/>
      <c r="N177" s="13">
        <v>0.2</v>
      </c>
      <c r="O177" s="13">
        <v>0.2</v>
      </c>
      <c r="P177" s="13">
        <v>0.2</v>
      </c>
      <c r="Q177" s="45">
        <v>0</v>
      </c>
      <c r="R177" s="41"/>
      <c r="S177" s="13">
        <v>0.2</v>
      </c>
      <c r="T177" s="13">
        <v>0.2</v>
      </c>
      <c r="U177" s="13">
        <v>0</v>
      </c>
      <c r="V177" s="45">
        <v>0</v>
      </c>
      <c r="W177" s="41"/>
      <c r="X177" s="13">
        <v>0</v>
      </c>
      <c r="Y177" s="13">
        <v>0</v>
      </c>
      <c r="Z177" s="41"/>
      <c r="AA177" s="13">
        <v>0.15000000000000002</v>
      </c>
      <c r="AB177" s="13">
        <v>0.17500000000000002</v>
      </c>
      <c r="AC177" s="13">
        <v>0.15000000000000002</v>
      </c>
      <c r="AD177" s="45">
        <v>0</v>
      </c>
      <c r="AE177" s="41"/>
      <c r="AF177" s="13">
        <v>0.15000000000000002</v>
      </c>
      <c r="AG177" s="13">
        <v>0.17500000000000002</v>
      </c>
      <c r="AH177" s="13">
        <v>0</v>
      </c>
      <c r="AI177" s="45">
        <v>0</v>
      </c>
      <c r="AJ177" s="41"/>
      <c r="AK177" s="13">
        <v>0.15000000000000002</v>
      </c>
      <c r="AL177" s="13">
        <v>0.17500000000000002</v>
      </c>
      <c r="AM177" s="45">
        <v>0</v>
      </c>
      <c r="AN177" s="45">
        <v>0</v>
      </c>
      <c r="AO177" s="41"/>
      <c r="AP177" s="131"/>
      <c r="AQ177" s="11" t="s">
        <v>68</v>
      </c>
      <c r="AR177" s="45">
        <v>0</v>
      </c>
      <c r="AS177" s="45">
        <v>0</v>
      </c>
      <c r="AT177" s="45">
        <v>0</v>
      </c>
      <c r="AU177" s="45">
        <v>0</v>
      </c>
      <c r="AV177" s="41"/>
      <c r="AX177" s="46">
        <v>0</v>
      </c>
      <c r="AY177" s="46">
        <v>0</v>
      </c>
      <c r="AZ177" s="46" t="e">
        <v>#VALUE!</v>
      </c>
      <c r="BB177" s="13">
        <v>0.2</v>
      </c>
      <c r="BC177" s="13">
        <v>0.2</v>
      </c>
      <c r="BD177" s="13">
        <v>0</v>
      </c>
      <c r="BE177" s="45">
        <v>0</v>
      </c>
    </row>
    <row r="178" spans="1:57" x14ac:dyDescent="0.35">
      <c r="A178" s="6"/>
      <c r="B178" s="131"/>
      <c r="C178" s="11" t="s">
        <v>69</v>
      </c>
      <c r="D178" s="13">
        <v>0.3</v>
      </c>
      <c r="E178" s="13">
        <v>0.3</v>
      </c>
      <c r="F178" s="13">
        <v>0.3</v>
      </c>
      <c r="G178" s="45">
        <v>0</v>
      </c>
      <c r="H178" s="6"/>
      <c r="I178" s="13">
        <v>0.3</v>
      </c>
      <c r="J178" s="13">
        <v>0.3</v>
      </c>
      <c r="K178" s="13">
        <v>0.3</v>
      </c>
      <c r="L178" s="45">
        <v>0</v>
      </c>
      <c r="M178" s="6"/>
      <c r="N178" s="13">
        <v>0.3</v>
      </c>
      <c r="O178" s="13">
        <v>0.3</v>
      </c>
      <c r="P178" s="13">
        <v>0.3</v>
      </c>
      <c r="Q178" s="45">
        <v>0</v>
      </c>
      <c r="R178" s="6"/>
      <c r="S178" s="13">
        <v>0.3</v>
      </c>
      <c r="T178" s="13">
        <v>0.3</v>
      </c>
      <c r="U178" s="13">
        <v>0</v>
      </c>
      <c r="V178" s="45">
        <v>0</v>
      </c>
      <c r="W178" s="6"/>
      <c r="X178" s="13">
        <v>0</v>
      </c>
      <c r="Y178" s="13">
        <v>0</v>
      </c>
      <c r="Z178" s="6"/>
      <c r="AA178" s="13">
        <v>0.25</v>
      </c>
      <c r="AB178" s="13">
        <v>0.375</v>
      </c>
      <c r="AC178" s="13">
        <v>0.25</v>
      </c>
      <c r="AD178" s="45">
        <v>0</v>
      </c>
      <c r="AE178" s="6"/>
      <c r="AF178" s="13">
        <v>0.25</v>
      </c>
      <c r="AG178" s="13">
        <v>0.27499999999999997</v>
      </c>
      <c r="AH178" s="13">
        <v>0</v>
      </c>
      <c r="AI178" s="45">
        <v>0</v>
      </c>
      <c r="AJ178" s="6"/>
      <c r="AK178" s="13">
        <v>0.25</v>
      </c>
      <c r="AL178" s="13">
        <v>0.27499999999999997</v>
      </c>
      <c r="AM178" s="45">
        <v>0</v>
      </c>
      <c r="AN178" s="45">
        <v>0</v>
      </c>
      <c r="AO178" s="6"/>
      <c r="AP178" s="131"/>
      <c r="AQ178" s="11" t="s">
        <v>69</v>
      </c>
      <c r="AR178" s="45">
        <v>0</v>
      </c>
      <c r="AS178" s="45">
        <v>0</v>
      </c>
      <c r="AT178" s="45">
        <v>0</v>
      </c>
      <c r="AU178" s="45">
        <v>0</v>
      </c>
      <c r="AV178" s="6"/>
      <c r="AX178" s="46">
        <v>0</v>
      </c>
      <c r="AY178" s="46">
        <v>0</v>
      </c>
      <c r="AZ178" s="46" t="e">
        <v>#VALUE!</v>
      </c>
      <c r="BB178" s="13">
        <v>0.3</v>
      </c>
      <c r="BC178" s="13">
        <v>0.4</v>
      </c>
      <c r="BD178" s="13">
        <v>0</v>
      </c>
      <c r="BE178" s="45">
        <v>0</v>
      </c>
    </row>
    <row r="179" spans="1:57" x14ac:dyDescent="0.35">
      <c r="A179" s="6"/>
      <c r="B179" s="132"/>
      <c r="C179" s="11" t="s">
        <v>23</v>
      </c>
      <c r="D179" s="45">
        <v>0</v>
      </c>
      <c r="E179" s="13">
        <v>0</v>
      </c>
      <c r="F179" s="45">
        <v>0</v>
      </c>
      <c r="G179" s="45">
        <v>0</v>
      </c>
      <c r="H179" s="6"/>
      <c r="I179" s="45">
        <v>0.3</v>
      </c>
      <c r="J179" s="13">
        <v>0.3</v>
      </c>
      <c r="K179" s="45">
        <v>0</v>
      </c>
      <c r="L179" s="45">
        <v>0</v>
      </c>
      <c r="M179" s="6"/>
      <c r="N179" s="45">
        <v>0.3</v>
      </c>
      <c r="O179" s="13">
        <v>0.3</v>
      </c>
      <c r="P179" s="45">
        <v>0</v>
      </c>
      <c r="Q179" s="45">
        <v>0</v>
      </c>
      <c r="R179" s="6"/>
      <c r="S179" s="45">
        <v>0.3</v>
      </c>
      <c r="T179" s="13">
        <v>0.4</v>
      </c>
      <c r="U179" s="45">
        <v>0</v>
      </c>
      <c r="V179" s="45">
        <v>0</v>
      </c>
      <c r="W179" s="6"/>
      <c r="X179" s="45">
        <v>0</v>
      </c>
      <c r="Y179" s="45">
        <v>0</v>
      </c>
      <c r="Z179" s="6"/>
      <c r="AA179" s="45">
        <v>0.25</v>
      </c>
      <c r="AB179" s="13">
        <v>0.375</v>
      </c>
      <c r="AC179" s="45">
        <v>0.25</v>
      </c>
      <c r="AD179" s="45">
        <v>0</v>
      </c>
      <c r="AE179" s="6"/>
      <c r="AF179" s="45">
        <v>0.25</v>
      </c>
      <c r="AG179" s="13">
        <v>0.375</v>
      </c>
      <c r="AH179" s="45">
        <v>0</v>
      </c>
      <c r="AI179" s="45">
        <v>0</v>
      </c>
      <c r="AJ179" s="6"/>
      <c r="AK179" s="45">
        <v>0.25</v>
      </c>
      <c r="AL179" s="13">
        <v>0.27499999999999997</v>
      </c>
      <c r="AM179" s="45">
        <v>0</v>
      </c>
      <c r="AN179" s="45">
        <v>0</v>
      </c>
      <c r="AO179" s="6"/>
      <c r="AP179" s="132"/>
      <c r="AQ179" s="11" t="s">
        <v>23</v>
      </c>
      <c r="AR179" s="45">
        <v>0</v>
      </c>
      <c r="AS179" s="45">
        <v>0</v>
      </c>
      <c r="AT179" s="45">
        <v>0</v>
      </c>
      <c r="AU179" s="45">
        <v>0</v>
      </c>
      <c r="AV179" s="6"/>
      <c r="AX179" s="46"/>
      <c r="AY179" s="46" t="e">
        <v>#VALUE!</v>
      </c>
      <c r="AZ179" s="46"/>
      <c r="BB179" s="45">
        <v>0.3</v>
      </c>
      <c r="BC179" s="13">
        <v>0.4</v>
      </c>
      <c r="BD179" s="45">
        <v>0</v>
      </c>
      <c r="BE179" s="45">
        <v>0</v>
      </c>
    </row>
    <row r="180" spans="1:57" ht="15" thickBot="1" x14ac:dyDescent="0.4"/>
    <row r="181" spans="1:57" s="26" customFormat="1" ht="18.5" x14ac:dyDescent="0.35">
      <c r="C181" s="27" t="s">
        <v>85</v>
      </c>
      <c r="D181" s="28"/>
      <c r="E181" s="29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30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BB181" s="2"/>
      <c r="BC181" s="2"/>
      <c r="BD181" s="2"/>
      <c r="BE181" s="2"/>
    </row>
    <row r="182" spans="1:57" s="26" customFormat="1" ht="18.5" x14ac:dyDescent="0.35">
      <c r="C182" s="31" t="s">
        <v>86</v>
      </c>
      <c r="D182" s="32"/>
      <c r="E182" s="33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4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BB182" s="2"/>
      <c r="BC182" s="2"/>
      <c r="BD182" s="2"/>
      <c r="BE182" s="2"/>
    </row>
    <row r="183" spans="1:57" s="26" customFormat="1" ht="18.5" x14ac:dyDescent="0.35">
      <c r="C183" s="31" t="s">
        <v>87</v>
      </c>
      <c r="D183" s="32"/>
      <c r="E183" s="33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4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BB183" s="2"/>
      <c r="BC183" s="2"/>
      <c r="BD183" s="2"/>
      <c r="BE183" s="2"/>
    </row>
    <row r="184" spans="1:57" s="26" customFormat="1" ht="18.5" x14ac:dyDescent="0.35">
      <c r="C184" s="31"/>
      <c r="D184" s="35" t="s">
        <v>91</v>
      </c>
      <c r="E184" s="33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4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BB184" s="2"/>
      <c r="BC184" s="2"/>
      <c r="BD184" s="2"/>
      <c r="BE184" s="2"/>
    </row>
    <row r="185" spans="1:57" s="26" customFormat="1" ht="18.5" x14ac:dyDescent="0.35">
      <c r="C185" s="31" t="s">
        <v>88</v>
      </c>
      <c r="D185" s="35"/>
      <c r="E185" s="33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4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BB185" s="2"/>
      <c r="BC185" s="2"/>
      <c r="BD185" s="2"/>
      <c r="BE185" s="2"/>
    </row>
    <row r="186" spans="1:57" ht="19" thickBot="1" x14ac:dyDescent="0.4">
      <c r="C186" s="47" t="s">
        <v>89</v>
      </c>
      <c r="D186" s="37"/>
      <c r="E186" s="38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48"/>
    </row>
    <row r="189" spans="1:57" ht="21" x14ac:dyDescent="0.35">
      <c r="C189" s="137" t="s">
        <v>90</v>
      </c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</row>
  </sheetData>
  <mergeCells count="68">
    <mergeCell ref="A3:AN3"/>
    <mergeCell ref="AO3:AV3"/>
    <mergeCell ref="B4:B5"/>
    <mergeCell ref="C4:C5"/>
    <mergeCell ref="D4:G4"/>
    <mergeCell ref="I4:L4"/>
    <mergeCell ref="N4:Q4"/>
    <mergeCell ref="S4:V4"/>
    <mergeCell ref="X4:Y4"/>
    <mergeCell ref="AA4:AD4"/>
    <mergeCell ref="B20:B25"/>
    <mergeCell ref="AP20:AP25"/>
    <mergeCell ref="AF4:AI4"/>
    <mergeCell ref="AK4:AN4"/>
    <mergeCell ref="AP4:AP5"/>
    <mergeCell ref="BB4:BE4"/>
    <mergeCell ref="B6:B11"/>
    <mergeCell ref="AP6:AP11"/>
    <mergeCell ref="B13:B18"/>
    <mergeCell ref="AP13:AP18"/>
    <mergeCell ref="AQ4:AQ5"/>
    <mergeCell ref="AR4:AU4"/>
    <mergeCell ref="AX4:AZ4"/>
    <mergeCell ref="B27:B32"/>
    <mergeCell ref="AP27:AP32"/>
    <mergeCell ref="B34:B39"/>
    <mergeCell ref="AP34:AP39"/>
    <mergeCell ref="B41:B46"/>
    <mergeCell ref="AP41:AP46"/>
    <mergeCell ref="B48:B53"/>
    <mergeCell ref="AP48:AP53"/>
    <mergeCell ref="B55:B60"/>
    <mergeCell ref="AP55:AP60"/>
    <mergeCell ref="B62:B67"/>
    <mergeCell ref="AP62:AP67"/>
    <mergeCell ref="B69:B74"/>
    <mergeCell ref="AP69:AP74"/>
    <mergeCell ref="B76:B81"/>
    <mergeCell ref="AP76:AP81"/>
    <mergeCell ref="B83:B88"/>
    <mergeCell ref="AP83:AP88"/>
    <mergeCell ref="B90:B95"/>
    <mergeCell ref="AP90:AP95"/>
    <mergeCell ref="B97:B102"/>
    <mergeCell ref="AP97:AP102"/>
    <mergeCell ref="B104:B109"/>
    <mergeCell ref="AP104:AP109"/>
    <mergeCell ref="B111:B116"/>
    <mergeCell ref="AP111:AP116"/>
    <mergeCell ref="B118:B123"/>
    <mergeCell ref="AP118:AP123"/>
    <mergeCell ref="B125:B130"/>
    <mergeCell ref="AP125:AP130"/>
    <mergeCell ref="B132:B137"/>
    <mergeCell ref="AP132:AP137"/>
    <mergeCell ref="B139:B144"/>
    <mergeCell ref="AP139:AP144"/>
    <mergeCell ref="B146:B151"/>
    <mergeCell ref="AP146:AP151"/>
    <mergeCell ref="B174:B179"/>
    <mergeCell ref="AP174:AP179"/>
    <mergeCell ref="C189:Y189"/>
    <mergeCell ref="B153:B158"/>
    <mergeCell ref="AP153:AP158"/>
    <mergeCell ref="B160:B165"/>
    <mergeCell ref="AP160:AP165"/>
    <mergeCell ref="B167:B172"/>
    <mergeCell ref="AP167:AP172"/>
  </mergeCells>
  <conditionalFormatting sqref="D6:AT179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Header>&amp;L&amp;"arial"&amp;11&amp;K000000&amp;BClassification:&amp;B &amp;KFF0000&amp;BInternal</oddHeader>
    <oddFooter>&amp;L&amp;"arial"&amp;9&amp;K000000&amp;BClassification:&amp;B &amp;KFF0000&amp;BPublic</oddFooter>
    <evenHeader>&amp;L&amp;"arial"&amp;11&amp;K000000&amp;BClassification:&amp;B &amp;KFF0000&amp;BInternal</evenHeader>
    <evenFooter>&amp;L&amp;"arial"&amp;9&amp;K000000&amp;BClassification:&amp;B &amp;KFF0000&amp;BPublic</evenFooter>
    <firstHeader>&amp;L&amp;"arial"&amp;11&amp;K000000&amp;BClassification:&amp;B &amp;KFF0000&amp;BInternal</firstHeader>
    <firstFooter>&amp;L&amp;"arial"&amp;9&amp;K000000&amp;BClassification:&amp;B &amp;KFF0000&amp;BPublic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5A99-6B20-4A1A-8A2A-ABFE88705DED}">
  <dimension ref="A1"/>
  <sheetViews>
    <sheetView workbookViewId="0">
      <selection activeCell="K13" sqref="K13"/>
    </sheetView>
  </sheetViews>
  <sheetFormatPr defaultRowHeight="14.5" x14ac:dyDescent="0.35"/>
  <sheetData/>
  <pageMargins left="0.7" right="0.7" top="0.75" bottom="0.75" header="0.3" footer="0.3"/>
  <pageSetup paperSize="9" orientation="portrait" verticalDpi="0" r:id="rId1"/>
  <headerFooter>
    <oddHeader>&amp;L&amp;"arial"&amp;11&amp;K000000&amp;BClassification:&amp;B &amp;KFF0000&amp;BPublic</oddHeader>
    <evenHeader>&amp;L&amp;"arial"&amp;11&amp;K000000&amp;BClassification:&amp;B &amp;KFF0000&amp;BPublic</evenHeader>
    <firstHeader>&amp;L&amp;"arial"&amp;11&amp;K000000&amp;BClassification:&amp;B &amp;KFF0000&amp;BPublic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Public</attrValue>
  <customPropName>Classification</customPropName>
  <timestamp> 10/31/2025 1:55:24 PM</timestamp>
  <userName>MDSCGIHO\anoopprakash</userName>
  <computerName>LT004632.CHOLAMANDALAMINS.COM</computerName>
  <guid>{9d2faaa8-5f9a-41dc-81cb-c2b55860356e}</guid>
  <hdr>
    <r>
      <fontName>arial</fontName>
      <fontColor>000000</fontColor>
      <fontSize>11</fontSize>
      <b/>
      <text xml:space="preserve">Classification:</text>
    </r>
    <r>
      <fontName>arial</fontName>
      <fontColor>000000</fontColor>
      <fontSize>11</fontSize>
      <text xml:space="preserve"> </text>
    </r>
    <r>
      <fontName>arial</fontName>
      <fontColor>FF0000</fontColor>
      <fontSize>11</fontSize>
      <b/>
      <text xml:space="preserve">Public</text>
    </r>
  </hdr>
</GTBClassification>
</file>

<file path=customXml/itemProps1.xml><?xml version="1.0" encoding="utf-8"?>
<ds:datastoreItem xmlns:ds="http://schemas.openxmlformats.org/officeDocument/2006/customXml" ds:itemID="{40DCED55-7AB5-420E-A4AB-F4CD2BAD03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TW NOV-25</vt:lpstr>
      <vt:lpstr>Private car Nov-25 </vt:lpstr>
      <vt:lpstr>Private car AUG-25 </vt:lpstr>
      <vt:lpstr>PC DIFF</vt:lpstr>
      <vt:lpstr> CV Nov-25</vt:lpstr>
      <vt:lpstr>CONDITIONS</vt:lpstr>
      <vt:lpstr>Sheet2</vt:lpstr>
      <vt:lpstr>Sheet3</vt:lpstr>
      <vt:lpstr> CV AUG-25</vt:lpstr>
      <vt:lpstr>CV DIFF</vt:lpstr>
      <vt:lpstr>PROP TW AUG-25</vt:lpstr>
      <vt:lpstr>Sheet1</vt:lpstr>
      <vt:lpstr>' CV Nov-25'!Print_Titles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</dc:creator>
  <cp:keywords>ClassificationData:&lt;Classification:Public&gt;</cp:keywords>
  <cp:lastModifiedBy>SS 1</cp:lastModifiedBy>
  <dcterms:created xsi:type="dcterms:W3CDTF">2025-05-30T14:01:40Z</dcterms:created>
  <dcterms:modified xsi:type="dcterms:W3CDTF">2026-01-02T12:19:29Z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ClassifiedBy">
    <vt:lpwstr>MDSCGIHO\anoopprakash</vt:lpwstr>
  </property>
  <property fmtid="{D5CDD505-2E9C-101B-9397-08002B2CF9AE}" pid="4" name="ClassificationHost">
    <vt:lpwstr>LT004632.CHOLAMANDALAMINS.COM</vt:lpwstr>
  </property>
  <property fmtid="{D5CDD505-2E9C-101B-9397-08002B2CF9AE}" pid="5" name="ClassificationDate">
    <vt:lpwstr> 10/31/2025 1:55:24 PM</vt:lpwstr>
  </property>
  <property fmtid="{D5CDD505-2E9C-101B-9397-08002B2CF9AE}" pid="6" name="ClassificationGUID">
    <vt:lpwstr>{9d2faaa8-5f9a-41dc-81cb-c2b55860356e}</vt:lpwstr>
  </property>
</Properties>
</file>