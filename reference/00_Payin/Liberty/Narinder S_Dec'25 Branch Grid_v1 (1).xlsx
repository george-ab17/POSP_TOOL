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bertymutualind-my.sharepoint.com/personal/jay_patel_libertyinsurance_in/Documents/"/>
    </mc:Choice>
  </mc:AlternateContent>
  <xr:revisionPtr revIDLastSave="27" documentId="8_{A02B3C22-0548-41F5-8ABA-E4298965D7FA}" xr6:coauthVersionLast="47" xr6:coauthVersionMax="47" xr10:uidLastSave="{D1CB42AC-8667-49C0-94B4-F994A905AFAE}"/>
  <bookViews>
    <workbookView xWindow="-120" yWindow="-120" windowWidth="20730" windowHeight="11040" xr2:uid="{8C740B6F-0CEC-48BC-9EA2-9260B3D7B2D1}"/>
  </bookViews>
  <sheets>
    <sheet name="PC TW_Comp and SAOD" sheetId="5" r:id="rId1"/>
    <sheet name="CV &lt;7.5T Comp &amp; SATP" sheetId="9" r:id="rId2"/>
    <sheet name="CV &gt;7.5T Comp &amp; SATP" sheetId="10" r:id="rId3"/>
    <sheet name="PC SATP" sheetId="2" r:id="rId4"/>
    <sheet name="TW SATP" sheetId="4" r:id="rId5"/>
    <sheet name="Misc D (Ex Tractor)" sheetId="11" r:id="rId6"/>
  </sheets>
  <definedNames>
    <definedName name="_xlnm._FilterDatabase" localSheetId="1" hidden="1">'CV &lt;7.5T Comp &amp; SATP'!$A$3:$S$111</definedName>
    <definedName name="_xlnm._FilterDatabase" localSheetId="2" hidden="1">'CV &gt;7.5T Comp &amp; SATP'!$A$4:$V$48</definedName>
    <definedName name="_xlnm._FilterDatabase" localSheetId="3" hidden="1">'PC SATP'!$A$3:$L$27</definedName>
    <definedName name="_xlnm._FilterDatabase" localSheetId="0" hidden="1">'PC TW_Comp and SAOD'!$A$3:$L$99</definedName>
    <definedName name="_xlnm._FilterDatabase" localSheetId="4" hidden="1">'TW SATP'!$A$3:$I$27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5" i="5" l="1"/>
  <c r="K86" i="5" s="1"/>
  <c r="K87" i="5" s="1"/>
  <c r="L73" i="5"/>
  <c r="L74" i="5" s="1"/>
  <c r="L75" i="5" s="1"/>
  <c r="K53" i="5"/>
  <c r="K54" i="5" s="1"/>
  <c r="K55" i="5" s="1"/>
  <c r="L41" i="5"/>
  <c r="L42" i="5" s="1"/>
  <c r="L43" i="5" s="1"/>
  <c r="K21" i="5"/>
  <c r="K22" i="5" s="1"/>
  <c r="K23" i="5" s="1"/>
  <c r="L9" i="5"/>
  <c r="L10" i="5" s="1"/>
  <c r="L11" i="5" s="1"/>
  <c r="L97" i="5"/>
  <c r="L98" i="5" s="1"/>
  <c r="L99" i="5" s="1"/>
  <c r="K97" i="5"/>
  <c r="K98" i="5" s="1"/>
  <c r="K99" i="5" s="1"/>
  <c r="J97" i="5"/>
  <c r="J98" i="5" s="1"/>
  <c r="J99" i="5" s="1"/>
  <c r="I97" i="5"/>
  <c r="I98" i="5" s="1"/>
  <c r="I99" i="5" s="1"/>
  <c r="L93" i="5"/>
  <c r="L94" i="5" s="1"/>
  <c r="L95" i="5" s="1"/>
  <c r="K93" i="5"/>
  <c r="K94" i="5" s="1"/>
  <c r="K95" i="5" s="1"/>
  <c r="J93" i="5"/>
  <c r="J94" i="5" s="1"/>
  <c r="J95" i="5" s="1"/>
  <c r="I93" i="5"/>
  <c r="I94" i="5" s="1"/>
  <c r="I95" i="5" s="1"/>
  <c r="L89" i="5"/>
  <c r="L90" i="5" s="1"/>
  <c r="L91" i="5" s="1"/>
  <c r="K89" i="5"/>
  <c r="K90" i="5" s="1"/>
  <c r="K91" i="5" s="1"/>
  <c r="J89" i="5"/>
  <c r="J90" i="5" s="1"/>
  <c r="J91" i="5" s="1"/>
  <c r="I89" i="5"/>
  <c r="I90" i="5" s="1"/>
  <c r="I91" i="5" s="1"/>
  <c r="L85" i="5"/>
  <c r="L86" i="5" s="1"/>
  <c r="L87" i="5" s="1"/>
  <c r="J85" i="5"/>
  <c r="J86" i="5" s="1"/>
  <c r="J87" i="5" s="1"/>
  <c r="I85" i="5"/>
  <c r="I86" i="5" s="1"/>
  <c r="I87" i="5" s="1"/>
  <c r="L81" i="5"/>
  <c r="L82" i="5" s="1"/>
  <c r="L83" i="5" s="1"/>
  <c r="K81" i="5"/>
  <c r="K82" i="5" s="1"/>
  <c r="K83" i="5" s="1"/>
  <c r="J81" i="5"/>
  <c r="J82" i="5" s="1"/>
  <c r="J83" i="5" s="1"/>
  <c r="I81" i="5"/>
  <c r="I82" i="5" s="1"/>
  <c r="I83" i="5" s="1"/>
  <c r="L77" i="5"/>
  <c r="L78" i="5" s="1"/>
  <c r="L79" i="5" s="1"/>
  <c r="K77" i="5"/>
  <c r="K78" i="5" s="1"/>
  <c r="K79" i="5" s="1"/>
  <c r="J77" i="5"/>
  <c r="J78" i="5" s="1"/>
  <c r="J79" i="5" s="1"/>
  <c r="I77" i="5"/>
  <c r="I78" i="5" s="1"/>
  <c r="I79" i="5" s="1"/>
  <c r="K73" i="5"/>
  <c r="K74" i="5" s="1"/>
  <c r="K75" i="5" s="1"/>
  <c r="J73" i="5"/>
  <c r="J74" i="5" s="1"/>
  <c r="J75" i="5" s="1"/>
  <c r="I73" i="5"/>
  <c r="I74" i="5" s="1"/>
  <c r="I75" i="5" s="1"/>
  <c r="L69" i="5"/>
  <c r="L70" i="5" s="1"/>
  <c r="L71" i="5" s="1"/>
  <c r="K69" i="5"/>
  <c r="K70" i="5" s="1"/>
  <c r="K71" i="5" s="1"/>
  <c r="J69" i="5"/>
  <c r="J70" i="5" s="1"/>
  <c r="J71" i="5" s="1"/>
  <c r="I69" i="5"/>
  <c r="I70" i="5" s="1"/>
  <c r="I71" i="5" s="1"/>
  <c r="L65" i="5"/>
  <c r="L66" i="5" s="1"/>
  <c r="L67" i="5" s="1"/>
  <c r="K65" i="5"/>
  <c r="K66" i="5" s="1"/>
  <c r="K67" i="5" s="1"/>
  <c r="J65" i="5"/>
  <c r="J66" i="5" s="1"/>
  <c r="J67" i="5" s="1"/>
  <c r="I65" i="5"/>
  <c r="I66" i="5" s="1"/>
  <c r="I67" i="5" s="1"/>
  <c r="L61" i="5"/>
  <c r="L62" i="5" s="1"/>
  <c r="L63" i="5" s="1"/>
  <c r="K61" i="5"/>
  <c r="K62" i="5" s="1"/>
  <c r="K63" i="5" s="1"/>
  <c r="J61" i="5"/>
  <c r="J62" i="5" s="1"/>
  <c r="J63" i="5" s="1"/>
  <c r="I61" i="5"/>
  <c r="I62" i="5" s="1"/>
  <c r="I63" i="5" s="1"/>
  <c r="L57" i="5"/>
  <c r="L58" i="5" s="1"/>
  <c r="L59" i="5" s="1"/>
  <c r="K57" i="5"/>
  <c r="K58" i="5" s="1"/>
  <c r="K59" i="5" s="1"/>
  <c r="J57" i="5"/>
  <c r="J58" i="5" s="1"/>
  <c r="J59" i="5" s="1"/>
  <c r="I57" i="5"/>
  <c r="I58" i="5" s="1"/>
  <c r="I59" i="5" s="1"/>
  <c r="L53" i="5"/>
  <c r="L54" i="5" s="1"/>
  <c r="L55" i="5" s="1"/>
  <c r="J53" i="5"/>
  <c r="J54" i="5" s="1"/>
  <c r="J55" i="5" s="1"/>
  <c r="I53" i="5"/>
  <c r="I54" i="5" s="1"/>
  <c r="I55" i="5" s="1"/>
  <c r="L49" i="5"/>
  <c r="L50" i="5" s="1"/>
  <c r="L51" i="5" s="1"/>
  <c r="K49" i="5"/>
  <c r="K50" i="5" s="1"/>
  <c r="K51" i="5" s="1"/>
  <c r="J49" i="5"/>
  <c r="J50" i="5" s="1"/>
  <c r="J51" i="5" s="1"/>
  <c r="I49" i="5"/>
  <c r="I50" i="5" s="1"/>
  <c r="I51" i="5" s="1"/>
  <c r="L45" i="5"/>
  <c r="L46" i="5" s="1"/>
  <c r="L47" i="5" s="1"/>
  <c r="K45" i="5"/>
  <c r="K46" i="5" s="1"/>
  <c r="K47" i="5" s="1"/>
  <c r="J45" i="5"/>
  <c r="J46" i="5" s="1"/>
  <c r="J47" i="5" s="1"/>
  <c r="I45" i="5"/>
  <c r="I46" i="5" s="1"/>
  <c r="I47" i="5" s="1"/>
  <c r="K41" i="5"/>
  <c r="K42" i="5" s="1"/>
  <c r="K43" i="5" s="1"/>
  <c r="J41" i="5"/>
  <c r="J42" i="5" s="1"/>
  <c r="J43" i="5" s="1"/>
  <c r="I41" i="5"/>
  <c r="I42" i="5" s="1"/>
  <c r="I43" i="5" s="1"/>
  <c r="L37" i="5"/>
  <c r="L38" i="5" s="1"/>
  <c r="L39" i="5" s="1"/>
  <c r="K37" i="5"/>
  <c r="K38" i="5" s="1"/>
  <c r="K39" i="5" s="1"/>
  <c r="J37" i="5"/>
  <c r="J38" i="5" s="1"/>
  <c r="J39" i="5" s="1"/>
  <c r="I37" i="5"/>
  <c r="I38" i="5" s="1"/>
  <c r="I39" i="5" s="1"/>
  <c r="L33" i="5"/>
  <c r="L34" i="5" s="1"/>
  <c r="L35" i="5" s="1"/>
  <c r="K33" i="5"/>
  <c r="K34" i="5" s="1"/>
  <c r="K35" i="5" s="1"/>
  <c r="J33" i="5"/>
  <c r="J34" i="5" s="1"/>
  <c r="J35" i="5" s="1"/>
  <c r="I33" i="5"/>
  <c r="I34" i="5" s="1"/>
  <c r="I35" i="5" s="1"/>
  <c r="L29" i="5"/>
  <c r="L30" i="5" s="1"/>
  <c r="L31" i="5" s="1"/>
  <c r="K29" i="5"/>
  <c r="K30" i="5" s="1"/>
  <c r="K31" i="5" s="1"/>
  <c r="J29" i="5"/>
  <c r="J30" i="5" s="1"/>
  <c r="J31" i="5" s="1"/>
  <c r="I29" i="5"/>
  <c r="I30" i="5" s="1"/>
  <c r="I31" i="5" s="1"/>
  <c r="L25" i="5"/>
  <c r="L26" i="5" s="1"/>
  <c r="L27" i="5" s="1"/>
  <c r="K25" i="5"/>
  <c r="K26" i="5" s="1"/>
  <c r="K27" i="5" s="1"/>
  <c r="J25" i="5"/>
  <c r="J26" i="5" s="1"/>
  <c r="J27" i="5" s="1"/>
  <c r="I25" i="5"/>
  <c r="I26" i="5" s="1"/>
  <c r="I27" i="5" s="1"/>
  <c r="L21" i="5"/>
  <c r="L22" i="5" s="1"/>
  <c r="L23" i="5" s="1"/>
  <c r="J21" i="5"/>
  <c r="J22" i="5" s="1"/>
  <c r="J23" i="5" s="1"/>
  <c r="I21" i="5"/>
  <c r="I22" i="5" s="1"/>
  <c r="I23" i="5" s="1"/>
  <c r="L17" i="5"/>
  <c r="L18" i="5" s="1"/>
  <c r="L19" i="5" s="1"/>
  <c r="K17" i="5"/>
  <c r="K18" i="5" s="1"/>
  <c r="K19" i="5" s="1"/>
  <c r="J17" i="5"/>
  <c r="J18" i="5" s="1"/>
  <c r="J19" i="5" s="1"/>
  <c r="I17" i="5"/>
  <c r="I18" i="5" s="1"/>
  <c r="I19" i="5" s="1"/>
  <c r="L13" i="5"/>
  <c r="L14" i="5" s="1"/>
  <c r="L15" i="5" s="1"/>
  <c r="K13" i="5"/>
  <c r="K14" i="5" s="1"/>
  <c r="K15" i="5" s="1"/>
  <c r="J13" i="5"/>
  <c r="J14" i="5" s="1"/>
  <c r="J15" i="5" s="1"/>
  <c r="I13" i="5"/>
  <c r="I14" i="5" s="1"/>
  <c r="I15" i="5" s="1"/>
  <c r="K9" i="5"/>
  <c r="K10" i="5" s="1"/>
  <c r="K11" i="5" s="1"/>
  <c r="J9" i="5"/>
  <c r="J10" i="5" s="1"/>
  <c r="J11" i="5" s="1"/>
  <c r="I9" i="5"/>
  <c r="I10" i="5" s="1"/>
  <c r="I11" i="5" s="1"/>
  <c r="L5" i="5"/>
  <c r="L6" i="5" s="1"/>
  <c r="L7" i="5" s="1"/>
  <c r="K5" i="5"/>
  <c r="K6" i="5" s="1"/>
  <c r="K7" i="5" s="1"/>
  <c r="J5" i="5"/>
  <c r="J6" i="5" s="1"/>
  <c r="J7" i="5" s="1"/>
  <c r="I5" i="5"/>
  <c r="I6" i="5" s="1"/>
  <c r="I7" i="5" s="1"/>
  <c r="L47" i="10" l="1"/>
  <c r="K47" i="10"/>
  <c r="L15" i="10"/>
  <c r="K15" i="10"/>
  <c r="L11" i="10"/>
  <c r="K11" i="10"/>
  <c r="I11" i="10"/>
  <c r="H11" i="10"/>
  <c r="L7" i="10"/>
  <c r="K7" i="10"/>
  <c r="A4" i="11" l="1"/>
  <c r="A5" i="11" s="1"/>
</calcChain>
</file>

<file path=xl/sharedStrings.xml><?xml version="1.0" encoding="utf-8"?>
<sst xmlns="http://schemas.openxmlformats.org/spreadsheetml/2006/main" count="2027" uniqueCount="106">
  <si>
    <t>Geo segment</t>
  </si>
  <si>
    <t>Volume Slab</t>
  </si>
  <si>
    <t>PC SAOD NCB</t>
  </si>
  <si>
    <t>PC SAOD Non NCB</t>
  </si>
  <si>
    <t>PC Comprehensive Petrol</t>
  </si>
  <si>
    <t>PC Comprehensive Diesel</t>
  </si>
  <si>
    <t>&gt;3L</t>
  </si>
  <si>
    <t>1.5L-3L</t>
  </si>
  <si>
    <t>50k-1.5L</t>
  </si>
  <si>
    <t>upto 50k</t>
  </si>
  <si>
    <t>New</t>
  </si>
  <si>
    <t>Tractor</t>
  </si>
  <si>
    <t>Bike 1+1</t>
  </si>
  <si>
    <t>Bike SAOD</t>
  </si>
  <si>
    <t>Scooter 1+1</t>
  </si>
  <si>
    <t>Scooter SAOD</t>
  </si>
  <si>
    <t>One grid for PC and TW (Comp &amp; SAOD)</t>
  </si>
  <si>
    <t xml:space="preserve">SLABS MENTIONED HERE CANNOT BE EXCEEDED </t>
  </si>
  <si>
    <t>ADVISED TO OFFER LESSER GRID WHEREVER FEASIBLE</t>
  </si>
  <si>
    <t>Geo Segment</t>
  </si>
  <si>
    <t>SLABS MENTIONED HERE CANNOT BE EXCEEDED</t>
  </si>
  <si>
    <t>GCV 3W</t>
  </si>
  <si>
    <t>TW SATP Agency/RB</t>
  </si>
  <si>
    <t>Bikes</t>
  </si>
  <si>
    <t>Scooter</t>
  </si>
  <si>
    <t>&lt; 75 CC</t>
  </si>
  <si>
    <t>&gt;75-150 CC</t>
  </si>
  <si>
    <t>&gt; 150-350 CC</t>
  </si>
  <si>
    <t xml:space="preserve"> &gt; 350 CC</t>
  </si>
  <si>
    <t>Geo_Segment_2025</t>
  </si>
  <si>
    <t>CNG</t>
  </si>
  <si>
    <t>01. PC &lt; 1000 CC</t>
  </si>
  <si>
    <t>02. PC 1000-1500 CC</t>
  </si>
  <si>
    <t>03. PC &gt; 1500 CC</t>
  </si>
  <si>
    <t>SPOC</t>
  </si>
  <si>
    <t>ZH</t>
  </si>
  <si>
    <t>NA</t>
  </si>
  <si>
    <t>Upto 2.5T</t>
  </si>
  <si>
    <t>2.5 - 3.5T</t>
  </si>
  <si>
    <t>3.5 - 7.5T</t>
  </si>
  <si>
    <t>PCV 3W</t>
  </si>
  <si>
    <t>&gt; 1.5L</t>
  </si>
  <si>
    <t>&lt; 1.5L</t>
  </si>
  <si>
    <t>12 - 20T</t>
  </si>
  <si>
    <t>20 - 40T</t>
  </si>
  <si>
    <t>Petrol</t>
  </si>
  <si>
    <t>Diesel</t>
  </si>
  <si>
    <t>Zonal Heads</t>
  </si>
  <si>
    <t>CV SATP</t>
  </si>
  <si>
    <t>&gt;1 to 5 years</t>
  </si>
  <si>
    <t>&gt;5 Years</t>
  </si>
  <si>
    <t>x</t>
  </si>
  <si>
    <t>&gt;5 years</t>
  </si>
  <si>
    <t>CV Comprehensive</t>
  </si>
  <si>
    <t>ANDHRA PRADESH - 1 KV</t>
  </si>
  <si>
    <t>Sukender Kakularam</t>
  </si>
  <si>
    <t>Narinder Singh Negi</t>
  </si>
  <si>
    <t>ANDHRA PRADESH - 2 V</t>
  </si>
  <si>
    <t>ANDHRA PRADESH - 3 R</t>
  </si>
  <si>
    <t>GUJARAT - 1 A</t>
  </si>
  <si>
    <t>Alok Kumar</t>
  </si>
  <si>
    <t>GUJARAT - 2 B</t>
  </si>
  <si>
    <t>GUJARAT - 3 RA</t>
  </si>
  <si>
    <t>GUJARAT - 4 R</t>
  </si>
  <si>
    <t>GUJARAT - 4 S</t>
  </si>
  <si>
    <t>KARNATAKA - 1 B</t>
  </si>
  <si>
    <t>KARNATAKA - 2 BD</t>
  </si>
  <si>
    <t>KARNATAKA - 3 MM</t>
  </si>
  <si>
    <t>KARNATAKA - 4 R</t>
  </si>
  <si>
    <t>KERALA - 1 CE</t>
  </si>
  <si>
    <t>Lijo Joseph</t>
  </si>
  <si>
    <t>KERALA - 2 N</t>
  </si>
  <si>
    <t>KERALA - 3 T</t>
  </si>
  <si>
    <t>KERALA - 4 R</t>
  </si>
  <si>
    <t>MADHYA PRADESH - 1 BI</t>
  </si>
  <si>
    <t>MADHYA PRADESH - 2 GJ</t>
  </si>
  <si>
    <t>MADHYA PRADESH - 3 R</t>
  </si>
  <si>
    <t>TAMIL NADU - 1 C</t>
  </si>
  <si>
    <t>TAMIL NADU - 2 CO</t>
  </si>
  <si>
    <t>TAMIL NADU - 3 R</t>
  </si>
  <si>
    <t>TELANGANA - 1 H</t>
  </si>
  <si>
    <t>TELANGANA - 2 R</t>
  </si>
  <si>
    <t>GUJARAT - 2 BSR</t>
  </si>
  <si>
    <t>GUJARAT - 3 R</t>
  </si>
  <si>
    <t>KARNATAKA</t>
  </si>
  <si>
    <t>KERALA</t>
  </si>
  <si>
    <t>MADHYA PRADESH</t>
  </si>
  <si>
    <t>TAMIL NADU</t>
  </si>
  <si>
    <t>TELANGANA</t>
  </si>
  <si>
    <t>ANDHRA PRADESH - 3 KNO</t>
  </si>
  <si>
    <t>ANDHRA PRADESH - 4 R</t>
  </si>
  <si>
    <t>GUJARAT - 3 RBJB</t>
  </si>
  <si>
    <t>GUJARAT - 5 R</t>
  </si>
  <si>
    <t>TAMIL NADU - 4 TMT</t>
  </si>
  <si>
    <t>TELANGANA - 2 AKKMWN</t>
  </si>
  <si>
    <t>TELANGANA - 3 R</t>
  </si>
  <si>
    <t>Misc D (Ex Tractor)</t>
  </si>
  <si>
    <t>GWP Slab</t>
  </si>
  <si>
    <t>1 to 5 years</t>
  </si>
  <si>
    <t>6 to 10 years</t>
  </si>
  <si>
    <t>11+ years</t>
  </si>
  <si>
    <t>&gt;1 -3L</t>
  </si>
  <si>
    <t>Upto 1L</t>
  </si>
  <si>
    <t>* Rates will not be applicable to declined models and GEOs as per UW Guidelines</t>
  </si>
  <si>
    <t>UW Guidelines have now allowed sourcing of HCV3 upto 43.5T for the GEOs highlighted in green, same grid upto 43.5T as HCV 2 is applicable in CV</t>
  </si>
  <si>
    <t>PC SATP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</si>
</sst>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3"/>
      <name val="Calibri"/>
      <family val="2"/>
    </font>
    <font>
      <sz val="8"/>
      <color theme="1"/>
      <name val="Aptos Narrow"/>
      <family val="2"/>
      <scheme val="minor"/>
    </font>
    <font>
      <b/>
      <i/>
      <sz val="8"/>
      <color theme="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theme="0" tint="-4.9989318521683403E-2"/>
      <name val="Calibri"/>
      <family val="2"/>
    </font>
    <font>
      <sz val="8"/>
      <color theme="0"/>
      <name val="Calibri"/>
      <family val="2"/>
    </font>
    <font>
      <b/>
      <sz val="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9" fontId="3" fillId="0" borderId="0" xfId="2" applyFont="1" applyAlignment="1">
      <alignment horizontal="center" vertical="center"/>
    </xf>
    <xf numFmtId="0" fontId="4" fillId="10" borderId="26" xfId="0" applyFont="1" applyFill="1" applyBorder="1" applyAlignment="1">
      <alignment horizontal="center" vertical="center"/>
    </xf>
    <xf numFmtId="9" fontId="4" fillId="8" borderId="1" xfId="2" applyFont="1" applyFill="1" applyBorder="1" applyAlignment="1">
      <alignment horizontal="center" vertical="center"/>
    </xf>
    <xf numFmtId="9" fontId="4" fillId="8" borderId="10" xfId="2" applyFont="1" applyFill="1" applyBorder="1" applyAlignment="1">
      <alignment horizontal="center" vertical="center"/>
    </xf>
    <xf numFmtId="9" fontId="4" fillId="8" borderId="27" xfId="2" applyFont="1" applyFill="1" applyBorder="1" applyAlignment="1">
      <alignment horizontal="center" vertical="center"/>
    </xf>
    <xf numFmtId="9" fontId="4" fillId="8" borderId="28" xfId="2" applyFont="1" applyFill="1" applyBorder="1" applyAlignment="1">
      <alignment horizontal="center" vertical="center"/>
    </xf>
    <xf numFmtId="9" fontId="4" fillId="8" borderId="4" xfId="2" applyFont="1" applyFill="1" applyBorder="1" applyAlignment="1">
      <alignment horizontal="center" vertical="center"/>
    </xf>
    <xf numFmtId="9" fontId="4" fillId="8" borderId="15" xfId="2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  <xf numFmtId="9" fontId="4" fillId="8" borderId="8" xfId="2" applyFont="1" applyFill="1" applyBorder="1" applyAlignment="1">
      <alignment horizontal="center" vertical="center"/>
    </xf>
    <xf numFmtId="9" fontId="4" fillId="8" borderId="13" xfId="2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9" fontId="3" fillId="0" borderId="0" xfId="2" applyFont="1" applyAlignment="1">
      <alignment horizontal="center"/>
    </xf>
    <xf numFmtId="9" fontId="8" fillId="7" borderId="2" xfId="2" applyFont="1" applyFill="1" applyBorder="1" applyAlignment="1">
      <alignment horizontal="center" vertical="center" wrapText="1"/>
    </xf>
    <xf numFmtId="9" fontId="3" fillId="0" borderId="2" xfId="2" applyFont="1" applyBorder="1" applyAlignment="1">
      <alignment horizontal="center"/>
    </xf>
    <xf numFmtId="9" fontId="4" fillId="8" borderId="18" xfId="2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6" fillId="0" borderId="0" xfId="0" applyFont="1"/>
    <xf numFmtId="0" fontId="12" fillId="8" borderId="49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9" fontId="6" fillId="0" borderId="2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7" fillId="3" borderId="49" xfId="0" applyFont="1" applyFill="1" applyBorder="1" applyAlignment="1">
      <alignment horizontal="center"/>
    </xf>
    <xf numFmtId="0" fontId="4" fillId="6" borderId="49" xfId="0" applyFont="1" applyFill="1" applyBorder="1" applyAlignment="1">
      <alignment horizontal="center"/>
    </xf>
    <xf numFmtId="164" fontId="3" fillId="0" borderId="0" xfId="2" applyNumberFormat="1" applyFont="1" applyBorder="1" applyAlignment="1">
      <alignment horizontal="center" vertical="center"/>
    </xf>
    <xf numFmtId="164" fontId="3" fillId="0" borderId="14" xfId="2" applyNumberFormat="1" applyFont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9" fontId="3" fillId="11" borderId="0" xfId="2" applyFont="1" applyFill="1" applyAlignment="1">
      <alignment horizontal="center" vertical="center"/>
    </xf>
    <xf numFmtId="9" fontId="4" fillId="11" borderId="0" xfId="2" applyFont="1" applyFill="1" applyAlignment="1">
      <alignment horizontal="left"/>
    </xf>
    <xf numFmtId="0" fontId="4" fillId="11" borderId="0" xfId="0" applyFont="1" applyFill="1" applyAlignment="1">
      <alignment vertical="center"/>
    </xf>
    <xf numFmtId="164" fontId="3" fillId="0" borderId="18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2" fillId="4" borderId="50" xfId="1" applyNumberFormat="1" applyFont="1" applyFill="1" applyBorder="1" applyAlignment="1">
      <alignment horizontal="center" vertical="center" wrapText="1"/>
    </xf>
    <xf numFmtId="164" fontId="2" fillId="4" borderId="49" xfId="1" applyNumberFormat="1" applyFont="1" applyFill="1" applyBorder="1" applyAlignment="1">
      <alignment horizontal="center" vertical="center" wrapText="1"/>
    </xf>
    <xf numFmtId="164" fontId="2" fillId="4" borderId="51" xfId="1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/>
    </xf>
    <xf numFmtId="0" fontId="5" fillId="0" borderId="5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164" fontId="3" fillId="13" borderId="31" xfId="0" applyNumberFormat="1" applyFont="1" applyFill="1" applyBorder="1" applyAlignment="1">
      <alignment horizontal="center"/>
    </xf>
    <xf numFmtId="164" fontId="3" fillId="13" borderId="0" xfId="0" applyNumberFormat="1" applyFont="1" applyFill="1" applyAlignment="1">
      <alignment horizontal="center"/>
    </xf>
    <xf numFmtId="164" fontId="3" fillId="13" borderId="28" xfId="0" applyNumberFormat="1" applyFont="1" applyFill="1" applyBorder="1" applyAlignment="1">
      <alignment horizontal="center"/>
    </xf>
    <xf numFmtId="164" fontId="3" fillId="13" borderId="4" xfId="0" applyNumberFormat="1" applyFont="1" applyFill="1" applyBorder="1" applyAlignment="1">
      <alignment horizontal="center"/>
    </xf>
    <xf numFmtId="9" fontId="3" fillId="0" borderId="2" xfId="2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9" fontId="3" fillId="0" borderId="2" xfId="2" applyFont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3" fillId="0" borderId="22" xfId="2" applyFont="1" applyBorder="1" applyAlignment="1">
      <alignment horizontal="center" vertical="center"/>
    </xf>
    <xf numFmtId="9" fontId="3" fillId="0" borderId="24" xfId="2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9" fontId="3" fillId="0" borderId="19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9" fontId="3" fillId="0" borderId="7" xfId="2" applyFont="1" applyBorder="1" applyAlignment="1">
      <alignment horizontal="center" vertical="center"/>
    </xf>
    <xf numFmtId="9" fontId="3" fillId="0" borderId="20" xfId="2" applyFont="1" applyBorder="1" applyAlignment="1">
      <alignment horizontal="center" vertical="center"/>
    </xf>
    <xf numFmtId="9" fontId="3" fillId="0" borderId="30" xfId="2" applyFont="1" applyBorder="1" applyAlignment="1">
      <alignment horizontal="center" vertical="center"/>
    </xf>
    <xf numFmtId="9" fontId="3" fillId="0" borderId="32" xfId="2" applyFont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9" fontId="3" fillId="0" borderId="23" xfId="2" applyFont="1" applyBorder="1" applyAlignment="1">
      <alignment horizontal="center" vertical="center"/>
    </xf>
    <xf numFmtId="9" fontId="3" fillId="0" borderId="33" xfId="2" applyFont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9" fontId="11" fillId="12" borderId="18" xfId="2" applyFont="1" applyFill="1" applyBorder="1" applyAlignment="1">
      <alignment horizontal="center" vertical="center"/>
    </xf>
    <xf numFmtId="9" fontId="11" fillId="12" borderId="8" xfId="2" applyFont="1" applyFill="1" applyBorder="1" applyAlignment="1">
      <alignment horizontal="center" vertical="center"/>
    </xf>
    <xf numFmtId="9" fontId="11" fillId="12" borderId="13" xfId="2" applyFont="1" applyFill="1" applyBorder="1" applyAlignment="1">
      <alignment horizontal="center" vertical="center"/>
    </xf>
    <xf numFmtId="9" fontId="10" fillId="9" borderId="18" xfId="2" applyFont="1" applyFill="1" applyBorder="1" applyAlignment="1">
      <alignment horizontal="center" vertical="center"/>
    </xf>
    <xf numFmtId="9" fontId="10" fillId="9" borderId="8" xfId="2" applyFont="1" applyFill="1" applyBorder="1" applyAlignment="1">
      <alignment horizontal="center" vertical="center"/>
    </xf>
    <xf numFmtId="9" fontId="10" fillId="9" borderId="13" xfId="2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/>
    </xf>
    <xf numFmtId="0" fontId="3" fillId="11" borderId="28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9" fontId="3" fillId="0" borderId="45" xfId="2" applyFont="1" applyBorder="1" applyAlignment="1">
      <alignment horizontal="center" vertical="center"/>
    </xf>
    <xf numFmtId="9" fontId="3" fillId="0" borderId="44" xfId="2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9" fontId="3" fillId="0" borderId="46" xfId="2" applyFont="1" applyBorder="1" applyAlignment="1">
      <alignment horizontal="center" vertical="center"/>
    </xf>
    <xf numFmtId="9" fontId="10" fillId="12" borderId="18" xfId="2" applyFont="1" applyFill="1" applyBorder="1" applyAlignment="1">
      <alignment horizontal="center" vertical="center"/>
    </xf>
    <xf numFmtId="9" fontId="10" fillId="12" borderId="13" xfId="2" applyFont="1" applyFill="1" applyBorder="1" applyAlignment="1">
      <alignment horizontal="center" vertical="center"/>
    </xf>
    <xf numFmtId="9" fontId="4" fillId="11" borderId="48" xfId="2" applyFont="1" applyFill="1" applyBorder="1" applyAlignment="1">
      <alignment horizontal="center"/>
    </xf>
    <xf numFmtId="9" fontId="8" fillId="8" borderId="49" xfId="2" applyFont="1" applyFill="1" applyBorder="1" applyAlignment="1">
      <alignment horizontal="center" vertical="center"/>
    </xf>
    <xf numFmtId="9" fontId="8" fillId="8" borderId="53" xfId="2" applyFont="1" applyFill="1" applyBorder="1" applyAlignment="1">
      <alignment horizontal="center" vertical="center"/>
    </xf>
    <xf numFmtId="9" fontId="8" fillId="8" borderId="32" xfId="2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2" fillId="4" borderId="47" xfId="0" applyFont="1" applyFill="1" applyBorder="1" applyAlignment="1">
      <alignment horizontal="center"/>
    </xf>
    <xf numFmtId="0" fontId="12" fillId="4" borderId="48" xfId="0" applyFont="1" applyFill="1" applyBorder="1" applyAlignment="1">
      <alignment horizontal="center"/>
    </xf>
  </cellXfs>
  <cellStyles count="3">
    <cellStyle name="Normal" xfId="0" builtinId="0"/>
    <cellStyle name="Percent" xfId="2" builtinId="5"/>
    <cellStyle name="Percent 2" xfId="1" xr:uid="{3E86B90A-3E78-4D18-9936-CE0AB87B05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7511-8B9D-4915-8127-E1981C9D362E}">
  <dimension ref="A1:L9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9" sqref="G9"/>
    </sheetView>
  </sheetViews>
  <sheetFormatPr defaultColWidth="9.140625" defaultRowHeight="11.25" x14ac:dyDescent="0.2"/>
  <cols>
    <col min="1" max="1" width="52.42578125" style="2" bestFit="1" customWidth="1"/>
    <col min="2" max="3" width="52.42578125" style="2" hidden="1" customWidth="1"/>
    <col min="4" max="12" width="14.28515625" style="2" customWidth="1"/>
    <col min="13" max="16384" width="9.140625" style="1"/>
  </cols>
  <sheetData>
    <row r="1" spans="1:12" ht="12" thickBot="1" x14ac:dyDescent="0.25">
      <c r="A1" s="58" t="s">
        <v>103</v>
      </c>
    </row>
    <row r="2" spans="1:12" ht="15.75" customHeight="1" thickBot="1" x14ac:dyDescent="0.25">
      <c r="A2" s="82" t="s">
        <v>16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ht="23.25" thickBot="1" x14ac:dyDescent="0.25">
      <c r="A3" s="3" t="s">
        <v>0</v>
      </c>
      <c r="B3" s="32" t="s">
        <v>34</v>
      </c>
      <c r="C3" s="32" t="s">
        <v>47</v>
      </c>
      <c r="D3" s="68" t="s">
        <v>1</v>
      </c>
      <c r="E3" s="69" t="s">
        <v>4</v>
      </c>
      <c r="F3" s="5" t="s">
        <v>5</v>
      </c>
      <c r="G3" s="5" t="s">
        <v>2</v>
      </c>
      <c r="H3" s="70" t="s">
        <v>3</v>
      </c>
      <c r="I3" s="32" t="s">
        <v>12</v>
      </c>
      <c r="J3" s="4" t="s">
        <v>13</v>
      </c>
      <c r="K3" s="4" t="s">
        <v>14</v>
      </c>
      <c r="L3" s="5" t="s">
        <v>15</v>
      </c>
    </row>
    <row r="4" spans="1:12" x14ac:dyDescent="0.2">
      <c r="A4" s="79" t="s">
        <v>54</v>
      </c>
      <c r="B4" s="33" t="s">
        <v>55</v>
      </c>
      <c r="C4" s="33" t="s">
        <v>56</v>
      </c>
      <c r="D4" s="64" t="s">
        <v>6</v>
      </c>
      <c r="E4" s="59">
        <v>0.24</v>
      </c>
      <c r="F4" s="60">
        <v>0.215</v>
      </c>
      <c r="G4" s="60">
        <v>0.215</v>
      </c>
      <c r="H4" s="61">
        <v>0.19500000000000001</v>
      </c>
      <c r="I4" s="53">
        <v>0.43</v>
      </c>
      <c r="J4" s="53">
        <v>0.48</v>
      </c>
      <c r="K4" s="53">
        <v>0.53</v>
      </c>
      <c r="L4" s="54">
        <v>0.53</v>
      </c>
    </row>
    <row r="5" spans="1:12" x14ac:dyDescent="0.2">
      <c r="A5" s="80"/>
      <c r="B5" s="34" t="s">
        <v>55</v>
      </c>
      <c r="C5" s="34" t="s">
        <v>56</v>
      </c>
      <c r="D5" s="65" t="s">
        <v>7</v>
      </c>
      <c r="E5" s="62">
        <v>0.23</v>
      </c>
      <c r="F5" s="67">
        <v>0.2</v>
      </c>
      <c r="G5" s="67">
        <v>0.20499999999999999</v>
      </c>
      <c r="H5" s="63">
        <v>0.19500000000000001</v>
      </c>
      <c r="I5" s="53">
        <f t="shared" ref="I5:I7" si="0">IF(I4=0%,"0"%,I4-1%)</f>
        <v>0.42</v>
      </c>
      <c r="J5" s="53">
        <f t="shared" ref="J5:J7" si="1">IF(J4=0%,"0"%,J4-1%)</f>
        <v>0.47</v>
      </c>
      <c r="K5" s="53">
        <f t="shared" ref="K5:K7" si="2">IF(K4=0%,"0"%,K4-1%)</f>
        <v>0.52</v>
      </c>
      <c r="L5" s="54">
        <f t="shared" ref="L5:L7" si="3">IF(L4=0%,"0"%,L4-1%)</f>
        <v>0.52</v>
      </c>
    </row>
    <row r="6" spans="1:12" x14ac:dyDescent="0.2">
      <c r="A6" s="80"/>
      <c r="B6" s="34" t="s">
        <v>55</v>
      </c>
      <c r="C6" s="34" t="s">
        <v>56</v>
      </c>
      <c r="D6" s="65" t="s">
        <v>8</v>
      </c>
      <c r="E6" s="74">
        <v>0.21</v>
      </c>
      <c r="F6" s="67">
        <v>0.19</v>
      </c>
      <c r="G6" s="67">
        <v>0.19500000000000001</v>
      </c>
      <c r="H6" s="63">
        <v>0.19500000000000001</v>
      </c>
      <c r="I6" s="53">
        <f t="shared" si="0"/>
        <v>0.41</v>
      </c>
      <c r="J6" s="53">
        <f t="shared" si="1"/>
        <v>0.45999999999999996</v>
      </c>
      <c r="K6" s="53">
        <f t="shared" si="2"/>
        <v>0.51</v>
      </c>
      <c r="L6" s="54">
        <f t="shared" si="3"/>
        <v>0.51</v>
      </c>
    </row>
    <row r="7" spans="1:12" ht="12" thickBot="1" x14ac:dyDescent="0.25">
      <c r="A7" s="81"/>
      <c r="B7" s="35" t="s">
        <v>55</v>
      </c>
      <c r="C7" s="35" t="s">
        <v>56</v>
      </c>
      <c r="D7" s="66" t="s">
        <v>9</v>
      </c>
      <c r="E7" s="76">
        <v>0.19500000000000001</v>
      </c>
      <c r="F7" s="71">
        <v>0.18</v>
      </c>
      <c r="G7" s="71">
        <v>0.19500000000000001</v>
      </c>
      <c r="H7" s="72">
        <v>0.19500000000000001</v>
      </c>
      <c r="I7" s="53">
        <f t="shared" si="0"/>
        <v>0.39999999999999997</v>
      </c>
      <c r="J7" s="53">
        <f t="shared" si="1"/>
        <v>0.44999999999999996</v>
      </c>
      <c r="K7" s="53">
        <f t="shared" si="2"/>
        <v>0.5</v>
      </c>
      <c r="L7" s="54">
        <f t="shared" si="3"/>
        <v>0.5</v>
      </c>
    </row>
    <row r="8" spans="1:12" x14ac:dyDescent="0.2">
      <c r="A8" s="79" t="s">
        <v>57</v>
      </c>
      <c r="B8" s="33" t="s">
        <v>55</v>
      </c>
      <c r="C8" s="33" t="s">
        <v>56</v>
      </c>
      <c r="D8" s="64" t="s">
        <v>6</v>
      </c>
      <c r="E8" s="59">
        <v>0.24</v>
      </c>
      <c r="F8" s="60">
        <v>0.215</v>
      </c>
      <c r="G8" s="60">
        <v>0.215</v>
      </c>
      <c r="H8" s="61">
        <v>0.19500000000000001</v>
      </c>
      <c r="I8" s="53">
        <v>0.43</v>
      </c>
      <c r="J8" s="53">
        <v>0.48</v>
      </c>
      <c r="K8" s="53">
        <v>0.53</v>
      </c>
      <c r="L8" s="54">
        <v>0.53</v>
      </c>
    </row>
    <row r="9" spans="1:12" x14ac:dyDescent="0.2">
      <c r="A9" s="80"/>
      <c r="B9" s="34" t="s">
        <v>55</v>
      </c>
      <c r="C9" s="34" t="s">
        <v>56</v>
      </c>
      <c r="D9" s="65" t="s">
        <v>7</v>
      </c>
      <c r="E9" s="62">
        <v>0.23</v>
      </c>
      <c r="F9" s="67">
        <v>0.2</v>
      </c>
      <c r="G9" s="67">
        <v>0.20499999999999999</v>
      </c>
      <c r="H9" s="63">
        <v>0.19500000000000001</v>
      </c>
      <c r="I9" s="53">
        <f t="shared" ref="I9:I11" si="4">IF(I8=0%,"0"%,I8-1%)</f>
        <v>0.42</v>
      </c>
      <c r="J9" s="53">
        <f t="shared" ref="J9:J11" si="5">IF(J8=0%,"0"%,J8-1%)</f>
        <v>0.47</v>
      </c>
      <c r="K9" s="53">
        <f t="shared" ref="K9:K11" si="6">IF(K8=0%,"0"%,K8-1%)</f>
        <v>0.52</v>
      </c>
      <c r="L9" s="54">
        <f t="shared" ref="L9:L11" si="7">IF(L8=0%,"0"%,L8-1%)</f>
        <v>0.52</v>
      </c>
    </row>
    <row r="10" spans="1:12" x14ac:dyDescent="0.2">
      <c r="A10" s="80"/>
      <c r="B10" s="34" t="s">
        <v>55</v>
      </c>
      <c r="C10" s="34" t="s">
        <v>56</v>
      </c>
      <c r="D10" s="65" t="s">
        <v>8</v>
      </c>
      <c r="E10" s="74">
        <v>0.21</v>
      </c>
      <c r="F10" s="67">
        <v>0.19</v>
      </c>
      <c r="G10" s="67">
        <v>0.19500000000000001</v>
      </c>
      <c r="H10" s="63">
        <v>0.19500000000000001</v>
      </c>
      <c r="I10" s="53">
        <f t="shared" si="4"/>
        <v>0.41</v>
      </c>
      <c r="J10" s="53">
        <f t="shared" si="5"/>
        <v>0.45999999999999996</v>
      </c>
      <c r="K10" s="53">
        <f t="shared" si="6"/>
        <v>0.51</v>
      </c>
      <c r="L10" s="54">
        <f t="shared" si="7"/>
        <v>0.51</v>
      </c>
    </row>
    <row r="11" spans="1:12" ht="12" thickBot="1" x14ac:dyDescent="0.25">
      <c r="A11" s="81"/>
      <c r="B11" s="35" t="s">
        <v>55</v>
      </c>
      <c r="C11" s="35" t="s">
        <v>56</v>
      </c>
      <c r="D11" s="66" t="s">
        <v>9</v>
      </c>
      <c r="E11" s="76">
        <v>0.19500000000000001</v>
      </c>
      <c r="F11" s="71">
        <v>0.18</v>
      </c>
      <c r="G11" s="71">
        <v>0.19500000000000001</v>
      </c>
      <c r="H11" s="72">
        <v>0.19500000000000001</v>
      </c>
      <c r="I11" s="53">
        <f t="shared" si="4"/>
        <v>0.39999999999999997</v>
      </c>
      <c r="J11" s="53">
        <f t="shared" si="5"/>
        <v>0.44999999999999996</v>
      </c>
      <c r="K11" s="53">
        <f t="shared" si="6"/>
        <v>0.5</v>
      </c>
      <c r="L11" s="54">
        <f t="shared" si="7"/>
        <v>0.5</v>
      </c>
    </row>
    <row r="12" spans="1:12" x14ac:dyDescent="0.2">
      <c r="A12" s="79" t="s">
        <v>58</v>
      </c>
      <c r="B12" s="33" t="s">
        <v>55</v>
      </c>
      <c r="C12" s="33" t="s">
        <v>56</v>
      </c>
      <c r="D12" s="64" t="s">
        <v>6</v>
      </c>
      <c r="E12" s="59">
        <v>0.24</v>
      </c>
      <c r="F12" s="60">
        <v>0.24</v>
      </c>
      <c r="G12" s="60">
        <v>0.19500000000000001</v>
      </c>
      <c r="H12" s="61">
        <v>0.19500000000000001</v>
      </c>
      <c r="I12" s="53">
        <v>0.43</v>
      </c>
      <c r="J12" s="53">
        <v>0.48</v>
      </c>
      <c r="K12" s="53">
        <v>0.53</v>
      </c>
      <c r="L12" s="54">
        <v>0.53</v>
      </c>
    </row>
    <row r="13" spans="1:12" x14ac:dyDescent="0.2">
      <c r="A13" s="80"/>
      <c r="B13" s="34" t="s">
        <v>55</v>
      </c>
      <c r="C13" s="34" t="s">
        <v>56</v>
      </c>
      <c r="D13" s="65" t="s">
        <v>7</v>
      </c>
      <c r="E13" s="62">
        <v>0.23</v>
      </c>
      <c r="F13" s="67">
        <v>0.23</v>
      </c>
      <c r="G13" s="67">
        <v>0.19500000000000001</v>
      </c>
      <c r="H13" s="63">
        <v>0.19500000000000001</v>
      </c>
      <c r="I13" s="53">
        <f t="shared" ref="I13:I15" si="8">IF(I12=0%,"0"%,I12-1%)</f>
        <v>0.42</v>
      </c>
      <c r="J13" s="53">
        <f t="shared" ref="J13:J15" si="9">IF(J12=0%,"0"%,J12-1%)</f>
        <v>0.47</v>
      </c>
      <c r="K13" s="53">
        <f t="shared" ref="K13:K15" si="10">IF(K12=0%,"0"%,K12-1%)</f>
        <v>0.52</v>
      </c>
      <c r="L13" s="54">
        <f t="shared" ref="L13:L15" si="11">IF(L12=0%,"0"%,L12-1%)</f>
        <v>0.52</v>
      </c>
    </row>
    <row r="14" spans="1:12" x14ac:dyDescent="0.2">
      <c r="A14" s="80"/>
      <c r="B14" s="34" t="s">
        <v>55</v>
      </c>
      <c r="C14" s="34" t="s">
        <v>56</v>
      </c>
      <c r="D14" s="65" t="s">
        <v>8</v>
      </c>
      <c r="E14" s="74">
        <v>0.21</v>
      </c>
      <c r="F14" s="75">
        <v>0.21</v>
      </c>
      <c r="G14" s="67">
        <v>0.19500000000000001</v>
      </c>
      <c r="H14" s="63">
        <v>0.17</v>
      </c>
      <c r="I14" s="53">
        <f t="shared" si="8"/>
        <v>0.41</v>
      </c>
      <c r="J14" s="53">
        <f t="shared" si="9"/>
        <v>0.45999999999999996</v>
      </c>
      <c r="K14" s="53">
        <f t="shared" si="10"/>
        <v>0.51</v>
      </c>
      <c r="L14" s="54">
        <f t="shared" si="11"/>
        <v>0.51</v>
      </c>
    </row>
    <row r="15" spans="1:12" ht="12" thickBot="1" x14ac:dyDescent="0.25">
      <c r="A15" s="81"/>
      <c r="B15" s="35" t="s">
        <v>55</v>
      </c>
      <c r="C15" s="35" t="s">
        <v>56</v>
      </c>
      <c r="D15" s="66" t="s">
        <v>9</v>
      </c>
      <c r="E15" s="76">
        <v>0.19500000000000001</v>
      </c>
      <c r="F15" s="77">
        <v>0.19500000000000001</v>
      </c>
      <c r="G15" s="71">
        <v>0.19500000000000001</v>
      </c>
      <c r="H15" s="72">
        <v>0.17</v>
      </c>
      <c r="I15" s="53">
        <f t="shared" si="8"/>
        <v>0.39999999999999997</v>
      </c>
      <c r="J15" s="53">
        <f t="shared" si="9"/>
        <v>0.44999999999999996</v>
      </c>
      <c r="K15" s="53">
        <f t="shared" si="10"/>
        <v>0.5</v>
      </c>
      <c r="L15" s="54">
        <f t="shared" si="11"/>
        <v>0.5</v>
      </c>
    </row>
    <row r="16" spans="1:12" x14ac:dyDescent="0.2">
      <c r="A16" s="79" t="s">
        <v>59</v>
      </c>
      <c r="B16" s="33" t="s">
        <v>60</v>
      </c>
      <c r="C16" s="33" t="s">
        <v>56</v>
      </c>
      <c r="D16" s="64" t="s">
        <v>6</v>
      </c>
      <c r="E16" s="59">
        <v>0.24</v>
      </c>
      <c r="F16" s="60">
        <v>0.22</v>
      </c>
      <c r="G16" s="60">
        <v>0.215</v>
      </c>
      <c r="H16" s="61">
        <v>0.19500000000000001</v>
      </c>
      <c r="I16" s="53">
        <v>0.53</v>
      </c>
      <c r="J16" s="53">
        <v>0.53</v>
      </c>
      <c r="K16" s="53">
        <v>0.48</v>
      </c>
      <c r="L16" s="54">
        <v>0.48</v>
      </c>
    </row>
    <row r="17" spans="1:12" x14ac:dyDescent="0.2">
      <c r="A17" s="80"/>
      <c r="B17" s="34" t="s">
        <v>60</v>
      </c>
      <c r="C17" s="34" t="s">
        <v>56</v>
      </c>
      <c r="D17" s="65" t="s">
        <v>7</v>
      </c>
      <c r="E17" s="62">
        <v>0.23</v>
      </c>
      <c r="F17" s="67">
        <v>0.21</v>
      </c>
      <c r="G17" s="67">
        <v>0.20499999999999999</v>
      </c>
      <c r="H17" s="63">
        <v>0.19500000000000001</v>
      </c>
      <c r="I17" s="53">
        <f t="shared" ref="I17:I19" si="12">IF(I16=0%,"0"%,I16-1%)</f>
        <v>0.52</v>
      </c>
      <c r="J17" s="53">
        <f t="shared" ref="J17:J19" si="13">IF(J16=0%,"0"%,J16-1%)</f>
        <v>0.52</v>
      </c>
      <c r="K17" s="53">
        <f t="shared" ref="K17:K19" si="14">IF(K16=0%,"0"%,K16-1%)</f>
        <v>0.47</v>
      </c>
      <c r="L17" s="54">
        <f t="shared" ref="L17:L19" si="15">IF(L16=0%,"0"%,L16-1%)</f>
        <v>0.47</v>
      </c>
    </row>
    <row r="18" spans="1:12" x14ac:dyDescent="0.2">
      <c r="A18" s="80"/>
      <c r="B18" s="34" t="s">
        <v>60</v>
      </c>
      <c r="C18" s="34" t="s">
        <v>56</v>
      </c>
      <c r="D18" s="65" t="s">
        <v>8</v>
      </c>
      <c r="E18" s="74">
        <v>0.21</v>
      </c>
      <c r="F18" s="67">
        <v>0.20499999999999999</v>
      </c>
      <c r="G18" s="67">
        <v>0.19500000000000001</v>
      </c>
      <c r="H18" s="63">
        <v>0.19500000000000001</v>
      </c>
      <c r="I18" s="53">
        <f t="shared" si="12"/>
        <v>0.51</v>
      </c>
      <c r="J18" s="53">
        <f t="shared" si="13"/>
        <v>0.51</v>
      </c>
      <c r="K18" s="53">
        <f t="shared" si="14"/>
        <v>0.45999999999999996</v>
      </c>
      <c r="L18" s="54">
        <f t="shared" si="15"/>
        <v>0.45999999999999996</v>
      </c>
    </row>
    <row r="19" spans="1:12" ht="12" thickBot="1" x14ac:dyDescent="0.25">
      <c r="A19" s="81"/>
      <c r="B19" s="35" t="s">
        <v>60</v>
      </c>
      <c r="C19" s="35" t="s">
        <v>56</v>
      </c>
      <c r="D19" s="66" t="s">
        <v>9</v>
      </c>
      <c r="E19" s="76">
        <v>0.19500000000000001</v>
      </c>
      <c r="F19" s="71">
        <v>0.19500000000000001</v>
      </c>
      <c r="G19" s="71">
        <v>0.19500000000000001</v>
      </c>
      <c r="H19" s="72">
        <v>0.19500000000000001</v>
      </c>
      <c r="I19" s="53">
        <f t="shared" si="12"/>
        <v>0.5</v>
      </c>
      <c r="J19" s="53">
        <f t="shared" si="13"/>
        <v>0.5</v>
      </c>
      <c r="K19" s="53">
        <f t="shared" si="14"/>
        <v>0.44999999999999996</v>
      </c>
      <c r="L19" s="54">
        <f t="shared" si="15"/>
        <v>0.44999999999999996</v>
      </c>
    </row>
    <row r="20" spans="1:12" x14ac:dyDescent="0.2">
      <c r="A20" s="79" t="s">
        <v>61</v>
      </c>
      <c r="B20" s="33" t="s">
        <v>60</v>
      </c>
      <c r="C20" s="33" t="s">
        <v>56</v>
      </c>
      <c r="D20" s="64" t="s">
        <v>6</v>
      </c>
      <c r="E20" s="59">
        <v>0.24</v>
      </c>
      <c r="F20" s="60">
        <v>0.22</v>
      </c>
      <c r="G20" s="60">
        <v>0.215</v>
      </c>
      <c r="H20" s="61">
        <v>0.17499999999999999</v>
      </c>
      <c r="I20" s="53">
        <v>0</v>
      </c>
      <c r="J20" s="53">
        <v>0.53</v>
      </c>
      <c r="K20" s="53">
        <v>0.48</v>
      </c>
      <c r="L20" s="54">
        <v>0.48</v>
      </c>
    </row>
    <row r="21" spans="1:12" x14ac:dyDescent="0.2">
      <c r="A21" s="80"/>
      <c r="B21" s="34" t="s">
        <v>60</v>
      </c>
      <c r="C21" s="34" t="s">
        <v>56</v>
      </c>
      <c r="D21" s="65" t="s">
        <v>7</v>
      </c>
      <c r="E21" s="62">
        <v>0.23</v>
      </c>
      <c r="F21" s="67">
        <v>0.21</v>
      </c>
      <c r="G21" s="67">
        <v>0.20499999999999999</v>
      </c>
      <c r="H21" s="63">
        <v>0.17499999999999999</v>
      </c>
      <c r="I21" s="53">
        <f t="shared" ref="I21:I23" si="16">IF(I20=0%,"0"%,I20-1%)</f>
        <v>0</v>
      </c>
      <c r="J21" s="53">
        <f t="shared" ref="J21:J23" si="17">IF(J20=0%,"0"%,J20-1%)</f>
        <v>0.52</v>
      </c>
      <c r="K21" s="53">
        <f t="shared" ref="K21:K23" si="18">IF(K20=0%,"0"%,K20-1%)</f>
        <v>0.47</v>
      </c>
      <c r="L21" s="54">
        <f t="shared" ref="L21:L23" si="19">IF(L20=0%,"0"%,L20-1%)</f>
        <v>0.47</v>
      </c>
    </row>
    <row r="22" spans="1:12" x14ac:dyDescent="0.2">
      <c r="A22" s="80"/>
      <c r="B22" s="34" t="s">
        <v>60</v>
      </c>
      <c r="C22" s="34" t="s">
        <v>56</v>
      </c>
      <c r="D22" s="65" t="s">
        <v>8</v>
      </c>
      <c r="E22" s="74">
        <v>0.21</v>
      </c>
      <c r="F22" s="67">
        <v>0.20499999999999999</v>
      </c>
      <c r="G22" s="67">
        <v>0.19500000000000001</v>
      </c>
      <c r="H22" s="63">
        <v>0.17</v>
      </c>
      <c r="I22" s="53">
        <f t="shared" si="16"/>
        <v>0</v>
      </c>
      <c r="J22" s="53">
        <f t="shared" si="17"/>
        <v>0.51</v>
      </c>
      <c r="K22" s="53">
        <f t="shared" si="18"/>
        <v>0.45999999999999996</v>
      </c>
      <c r="L22" s="54">
        <f t="shared" si="19"/>
        <v>0.45999999999999996</v>
      </c>
    </row>
    <row r="23" spans="1:12" ht="12" thickBot="1" x14ac:dyDescent="0.25">
      <c r="A23" s="81"/>
      <c r="B23" s="35" t="s">
        <v>60</v>
      </c>
      <c r="C23" s="35" t="s">
        <v>56</v>
      </c>
      <c r="D23" s="66" t="s">
        <v>9</v>
      </c>
      <c r="E23" s="76">
        <v>0.19500000000000001</v>
      </c>
      <c r="F23" s="71">
        <v>0.19500000000000001</v>
      </c>
      <c r="G23" s="71">
        <v>0.19500000000000001</v>
      </c>
      <c r="H23" s="72">
        <v>0.17</v>
      </c>
      <c r="I23" s="53">
        <f t="shared" si="16"/>
        <v>0</v>
      </c>
      <c r="J23" s="53">
        <f t="shared" si="17"/>
        <v>0.5</v>
      </c>
      <c r="K23" s="53">
        <f t="shared" si="18"/>
        <v>0.44999999999999996</v>
      </c>
      <c r="L23" s="54">
        <f t="shared" si="19"/>
        <v>0.44999999999999996</v>
      </c>
    </row>
    <row r="24" spans="1:12" x14ac:dyDescent="0.2">
      <c r="A24" s="79" t="s">
        <v>62</v>
      </c>
      <c r="B24" s="33" t="s">
        <v>60</v>
      </c>
      <c r="C24" s="33" t="s">
        <v>56</v>
      </c>
      <c r="D24" s="64" t="s">
        <v>6</v>
      </c>
      <c r="E24" s="59">
        <v>0.24</v>
      </c>
      <c r="F24" s="60">
        <v>0.22</v>
      </c>
      <c r="G24" s="60">
        <v>0.215</v>
      </c>
      <c r="H24" s="61">
        <v>0.17499999999999999</v>
      </c>
      <c r="I24" s="53">
        <v>0.53</v>
      </c>
      <c r="J24" s="53">
        <v>0.53</v>
      </c>
      <c r="K24" s="53">
        <v>0.48</v>
      </c>
      <c r="L24" s="54">
        <v>0.48</v>
      </c>
    </row>
    <row r="25" spans="1:12" x14ac:dyDescent="0.2">
      <c r="A25" s="80"/>
      <c r="B25" s="34" t="s">
        <v>60</v>
      </c>
      <c r="C25" s="34" t="s">
        <v>56</v>
      </c>
      <c r="D25" s="65" t="s">
        <v>7</v>
      </c>
      <c r="E25" s="62">
        <v>0.23</v>
      </c>
      <c r="F25" s="67">
        <v>0.21</v>
      </c>
      <c r="G25" s="67">
        <v>0.20499999999999999</v>
      </c>
      <c r="H25" s="63">
        <v>0.17499999999999999</v>
      </c>
      <c r="I25" s="53">
        <f t="shared" ref="I25:I27" si="20">IF(I24=0%,"0"%,I24-1%)</f>
        <v>0.52</v>
      </c>
      <c r="J25" s="53">
        <f t="shared" ref="J25:J27" si="21">IF(J24=0%,"0"%,J24-1%)</f>
        <v>0.52</v>
      </c>
      <c r="K25" s="53">
        <f t="shared" ref="K25:K27" si="22">IF(K24=0%,"0"%,K24-1%)</f>
        <v>0.47</v>
      </c>
      <c r="L25" s="54">
        <f t="shared" ref="L25:L27" si="23">IF(L24=0%,"0"%,L24-1%)</f>
        <v>0.47</v>
      </c>
    </row>
    <row r="26" spans="1:12" x14ac:dyDescent="0.2">
      <c r="A26" s="80"/>
      <c r="B26" s="34" t="s">
        <v>60</v>
      </c>
      <c r="C26" s="34" t="s">
        <v>56</v>
      </c>
      <c r="D26" s="65" t="s">
        <v>8</v>
      </c>
      <c r="E26" s="74">
        <v>0.21</v>
      </c>
      <c r="F26" s="67">
        <v>0.20499999999999999</v>
      </c>
      <c r="G26" s="67">
        <v>0.19500000000000001</v>
      </c>
      <c r="H26" s="63">
        <v>0.17</v>
      </c>
      <c r="I26" s="53">
        <f t="shared" si="20"/>
        <v>0.51</v>
      </c>
      <c r="J26" s="53">
        <f t="shared" si="21"/>
        <v>0.51</v>
      </c>
      <c r="K26" s="53">
        <f t="shared" si="22"/>
        <v>0.45999999999999996</v>
      </c>
      <c r="L26" s="54">
        <f t="shared" si="23"/>
        <v>0.45999999999999996</v>
      </c>
    </row>
    <row r="27" spans="1:12" ht="12" thickBot="1" x14ac:dyDescent="0.25">
      <c r="A27" s="81"/>
      <c r="B27" s="35" t="s">
        <v>60</v>
      </c>
      <c r="C27" s="35" t="s">
        <v>56</v>
      </c>
      <c r="D27" s="66" t="s">
        <v>9</v>
      </c>
      <c r="E27" s="76">
        <v>0.19500000000000001</v>
      </c>
      <c r="F27" s="71">
        <v>0.19500000000000001</v>
      </c>
      <c r="G27" s="71">
        <v>0.19500000000000001</v>
      </c>
      <c r="H27" s="72">
        <v>0.17</v>
      </c>
      <c r="I27" s="53">
        <f t="shared" si="20"/>
        <v>0.5</v>
      </c>
      <c r="J27" s="53">
        <f t="shared" si="21"/>
        <v>0.5</v>
      </c>
      <c r="K27" s="53">
        <f t="shared" si="22"/>
        <v>0.44999999999999996</v>
      </c>
      <c r="L27" s="54">
        <f t="shared" si="23"/>
        <v>0.44999999999999996</v>
      </c>
    </row>
    <row r="28" spans="1:12" x14ac:dyDescent="0.2">
      <c r="A28" s="79" t="s">
        <v>63</v>
      </c>
      <c r="B28" s="33" t="s">
        <v>60</v>
      </c>
      <c r="C28" s="33" t="s">
        <v>56</v>
      </c>
      <c r="D28" s="64" t="s">
        <v>6</v>
      </c>
      <c r="E28" s="59">
        <v>0.22500000000000001</v>
      </c>
      <c r="F28" s="60">
        <v>0.22</v>
      </c>
      <c r="G28" s="60">
        <v>0.215</v>
      </c>
      <c r="H28" s="61">
        <v>0.15</v>
      </c>
      <c r="I28" s="53">
        <v>0</v>
      </c>
      <c r="J28" s="53">
        <v>0.53</v>
      </c>
      <c r="K28" s="53">
        <v>0</v>
      </c>
      <c r="L28" s="54">
        <v>0.48</v>
      </c>
    </row>
    <row r="29" spans="1:12" x14ac:dyDescent="0.2">
      <c r="A29" s="80"/>
      <c r="B29" s="34" t="s">
        <v>60</v>
      </c>
      <c r="C29" s="34" t="s">
        <v>56</v>
      </c>
      <c r="D29" s="65" t="s">
        <v>7</v>
      </c>
      <c r="E29" s="62">
        <v>0.215</v>
      </c>
      <c r="F29" s="67">
        <v>0.21</v>
      </c>
      <c r="G29" s="67">
        <v>0.20499999999999999</v>
      </c>
      <c r="H29" s="63">
        <v>0.15</v>
      </c>
      <c r="I29" s="53">
        <f t="shared" ref="I29:I31" si="24">IF(I28=0%,"0"%,I28-1%)</f>
        <v>0</v>
      </c>
      <c r="J29" s="53">
        <f t="shared" ref="J29:J31" si="25">IF(J28=0%,"0"%,J28-1%)</f>
        <v>0.52</v>
      </c>
      <c r="K29" s="53">
        <f t="shared" ref="K29:K31" si="26">IF(K28=0%,"0"%,K28-1%)</f>
        <v>0</v>
      </c>
      <c r="L29" s="54">
        <f t="shared" ref="L29:L31" si="27">IF(L28=0%,"0"%,L28-1%)</f>
        <v>0.47</v>
      </c>
    </row>
    <row r="30" spans="1:12" x14ac:dyDescent="0.2">
      <c r="A30" s="80"/>
      <c r="B30" s="34" t="s">
        <v>60</v>
      </c>
      <c r="C30" s="34" t="s">
        <v>56</v>
      </c>
      <c r="D30" s="65" t="s">
        <v>8</v>
      </c>
      <c r="E30" s="62">
        <v>0.20499999999999999</v>
      </c>
      <c r="F30" s="67">
        <v>0.20499999999999999</v>
      </c>
      <c r="G30" s="67">
        <v>0.19500000000000001</v>
      </c>
      <c r="H30" s="63">
        <v>0.14499999999999999</v>
      </c>
      <c r="I30" s="53">
        <f t="shared" si="24"/>
        <v>0</v>
      </c>
      <c r="J30" s="53">
        <f t="shared" si="25"/>
        <v>0.51</v>
      </c>
      <c r="K30" s="53">
        <f t="shared" si="26"/>
        <v>0</v>
      </c>
      <c r="L30" s="54">
        <f t="shared" si="27"/>
        <v>0.45999999999999996</v>
      </c>
    </row>
    <row r="31" spans="1:12" ht="12" thickBot="1" x14ac:dyDescent="0.25">
      <c r="A31" s="81"/>
      <c r="B31" s="35" t="s">
        <v>60</v>
      </c>
      <c r="C31" s="35" t="s">
        <v>56</v>
      </c>
      <c r="D31" s="66" t="s">
        <v>9</v>
      </c>
      <c r="E31" s="73">
        <v>0.19500000000000001</v>
      </c>
      <c r="F31" s="71">
        <v>0.19500000000000001</v>
      </c>
      <c r="G31" s="71">
        <v>0.19500000000000001</v>
      </c>
      <c r="H31" s="72">
        <v>0.14499999999999999</v>
      </c>
      <c r="I31" s="53">
        <f t="shared" si="24"/>
        <v>0</v>
      </c>
      <c r="J31" s="53">
        <f t="shared" si="25"/>
        <v>0.5</v>
      </c>
      <c r="K31" s="53">
        <f t="shared" si="26"/>
        <v>0</v>
      </c>
      <c r="L31" s="54">
        <f t="shared" si="27"/>
        <v>0.44999999999999996</v>
      </c>
    </row>
    <row r="32" spans="1:12" x14ac:dyDescent="0.2">
      <c r="A32" s="79" t="s">
        <v>64</v>
      </c>
      <c r="B32" s="33" t="s">
        <v>60</v>
      </c>
      <c r="C32" s="33" t="s">
        <v>56</v>
      </c>
      <c r="D32" s="64" t="s">
        <v>6</v>
      </c>
      <c r="E32" s="59">
        <v>0.24</v>
      </c>
      <c r="F32" s="60">
        <v>0.215</v>
      </c>
      <c r="G32" s="60">
        <v>0.215</v>
      </c>
      <c r="H32" s="61">
        <v>0.17499999999999999</v>
      </c>
      <c r="I32" s="53">
        <v>0.53</v>
      </c>
      <c r="J32" s="53">
        <v>0.53</v>
      </c>
      <c r="K32" s="53">
        <v>0.48</v>
      </c>
      <c r="L32" s="54">
        <v>0.48</v>
      </c>
    </row>
    <row r="33" spans="1:12" x14ac:dyDescent="0.2">
      <c r="A33" s="80"/>
      <c r="B33" s="34" t="s">
        <v>60</v>
      </c>
      <c r="C33" s="34" t="s">
        <v>56</v>
      </c>
      <c r="D33" s="65" t="s">
        <v>7</v>
      </c>
      <c r="E33" s="62">
        <v>0.23</v>
      </c>
      <c r="F33" s="67">
        <v>0.20499999999999999</v>
      </c>
      <c r="G33" s="67">
        <v>0.20499999999999999</v>
      </c>
      <c r="H33" s="63">
        <v>0.17499999999999999</v>
      </c>
      <c r="I33" s="53">
        <f t="shared" ref="I33:I35" si="28">IF(I32=0%,"0"%,I32-1%)</f>
        <v>0.52</v>
      </c>
      <c r="J33" s="53">
        <f t="shared" ref="J33:J35" si="29">IF(J32=0%,"0"%,J32-1%)</f>
        <v>0.52</v>
      </c>
      <c r="K33" s="53">
        <f t="shared" ref="K33:K35" si="30">IF(K32=0%,"0"%,K32-1%)</f>
        <v>0.47</v>
      </c>
      <c r="L33" s="54">
        <f t="shared" ref="L33:L35" si="31">IF(L32=0%,"0"%,L32-1%)</f>
        <v>0.47</v>
      </c>
    </row>
    <row r="34" spans="1:12" x14ac:dyDescent="0.2">
      <c r="A34" s="80"/>
      <c r="B34" s="34" t="s">
        <v>60</v>
      </c>
      <c r="C34" s="34" t="s">
        <v>56</v>
      </c>
      <c r="D34" s="65" t="s">
        <v>8</v>
      </c>
      <c r="E34" s="74">
        <v>0.21</v>
      </c>
      <c r="F34" s="67">
        <v>0.19500000000000001</v>
      </c>
      <c r="G34" s="67">
        <v>0.19500000000000001</v>
      </c>
      <c r="H34" s="63">
        <v>0.17</v>
      </c>
      <c r="I34" s="53">
        <f t="shared" si="28"/>
        <v>0.51</v>
      </c>
      <c r="J34" s="53">
        <f t="shared" si="29"/>
        <v>0.51</v>
      </c>
      <c r="K34" s="53">
        <f t="shared" si="30"/>
        <v>0.45999999999999996</v>
      </c>
      <c r="L34" s="54">
        <f t="shared" si="31"/>
        <v>0.45999999999999996</v>
      </c>
    </row>
    <row r="35" spans="1:12" ht="12" thickBot="1" x14ac:dyDescent="0.25">
      <c r="A35" s="81"/>
      <c r="B35" s="35" t="s">
        <v>60</v>
      </c>
      <c r="C35" s="35" t="s">
        <v>56</v>
      </c>
      <c r="D35" s="66" t="s">
        <v>9</v>
      </c>
      <c r="E35" s="76">
        <v>0.19500000000000001</v>
      </c>
      <c r="F35" s="71">
        <v>0.19500000000000001</v>
      </c>
      <c r="G35" s="71">
        <v>0.19500000000000001</v>
      </c>
      <c r="H35" s="72">
        <v>0.17</v>
      </c>
      <c r="I35" s="53">
        <f t="shared" si="28"/>
        <v>0.5</v>
      </c>
      <c r="J35" s="53">
        <f t="shared" si="29"/>
        <v>0.5</v>
      </c>
      <c r="K35" s="53">
        <f t="shared" si="30"/>
        <v>0.44999999999999996</v>
      </c>
      <c r="L35" s="54">
        <f t="shared" si="31"/>
        <v>0.44999999999999996</v>
      </c>
    </row>
    <row r="36" spans="1:12" x14ac:dyDescent="0.2">
      <c r="A36" s="79" t="s">
        <v>65</v>
      </c>
      <c r="B36" s="33" t="s">
        <v>55</v>
      </c>
      <c r="C36" s="33" t="s">
        <v>56</v>
      </c>
      <c r="D36" s="64" t="s">
        <v>6</v>
      </c>
      <c r="E36" s="59">
        <v>0.24</v>
      </c>
      <c r="F36" s="60">
        <v>0.24</v>
      </c>
      <c r="G36" s="60">
        <v>0.215</v>
      </c>
      <c r="H36" s="61">
        <v>0.19500000000000001</v>
      </c>
      <c r="I36" s="53">
        <v>0.53</v>
      </c>
      <c r="J36" s="53">
        <v>0.53</v>
      </c>
      <c r="K36" s="53">
        <v>0.48</v>
      </c>
      <c r="L36" s="54">
        <v>0.48</v>
      </c>
    </row>
    <row r="37" spans="1:12" x14ac:dyDescent="0.2">
      <c r="A37" s="80"/>
      <c r="B37" s="34" t="s">
        <v>55</v>
      </c>
      <c r="C37" s="34" t="s">
        <v>56</v>
      </c>
      <c r="D37" s="65" t="s">
        <v>7</v>
      </c>
      <c r="E37" s="62">
        <v>0.23</v>
      </c>
      <c r="F37" s="67">
        <v>0.23</v>
      </c>
      <c r="G37" s="67">
        <v>0.20499999999999999</v>
      </c>
      <c r="H37" s="63">
        <v>0.19500000000000001</v>
      </c>
      <c r="I37" s="53">
        <f t="shared" ref="I37:I39" si="32">IF(I36=0%,"0"%,I36-1%)</f>
        <v>0.52</v>
      </c>
      <c r="J37" s="53">
        <f t="shared" ref="J37:J39" si="33">IF(J36=0%,"0"%,J36-1%)</f>
        <v>0.52</v>
      </c>
      <c r="K37" s="53">
        <f t="shared" ref="K37:K39" si="34">IF(K36=0%,"0"%,K36-1%)</f>
        <v>0.47</v>
      </c>
      <c r="L37" s="54">
        <f t="shared" ref="L37:L39" si="35">IF(L36=0%,"0"%,L36-1%)</f>
        <v>0.47</v>
      </c>
    </row>
    <row r="38" spans="1:12" x14ac:dyDescent="0.2">
      <c r="A38" s="80"/>
      <c r="B38" s="34" t="s">
        <v>55</v>
      </c>
      <c r="C38" s="34" t="s">
        <v>56</v>
      </c>
      <c r="D38" s="65" t="s">
        <v>8</v>
      </c>
      <c r="E38" s="74">
        <v>0.21</v>
      </c>
      <c r="F38" s="75">
        <v>0.21</v>
      </c>
      <c r="G38" s="67">
        <v>0.19500000000000001</v>
      </c>
      <c r="H38" s="63">
        <v>0.17</v>
      </c>
      <c r="I38" s="53">
        <f t="shared" si="32"/>
        <v>0.51</v>
      </c>
      <c r="J38" s="53">
        <f t="shared" si="33"/>
        <v>0.51</v>
      </c>
      <c r="K38" s="53">
        <f t="shared" si="34"/>
        <v>0.45999999999999996</v>
      </c>
      <c r="L38" s="54">
        <f t="shared" si="35"/>
        <v>0.45999999999999996</v>
      </c>
    </row>
    <row r="39" spans="1:12" ht="12" thickBot="1" x14ac:dyDescent="0.25">
      <c r="A39" s="81"/>
      <c r="B39" s="35" t="s">
        <v>55</v>
      </c>
      <c r="C39" s="35" t="s">
        <v>56</v>
      </c>
      <c r="D39" s="66" t="s">
        <v>9</v>
      </c>
      <c r="E39" s="76">
        <v>0.19500000000000001</v>
      </c>
      <c r="F39" s="77">
        <v>0.19500000000000001</v>
      </c>
      <c r="G39" s="71">
        <v>0.19500000000000001</v>
      </c>
      <c r="H39" s="72">
        <v>0.17</v>
      </c>
      <c r="I39" s="53">
        <f t="shared" si="32"/>
        <v>0.5</v>
      </c>
      <c r="J39" s="53">
        <f t="shared" si="33"/>
        <v>0.5</v>
      </c>
      <c r="K39" s="53">
        <f t="shared" si="34"/>
        <v>0.44999999999999996</v>
      </c>
      <c r="L39" s="54">
        <f t="shared" si="35"/>
        <v>0.44999999999999996</v>
      </c>
    </row>
    <row r="40" spans="1:12" x14ac:dyDescent="0.2">
      <c r="A40" s="79" t="s">
        <v>66</v>
      </c>
      <c r="B40" s="33" t="s">
        <v>55</v>
      </c>
      <c r="C40" s="33" t="s">
        <v>56</v>
      </c>
      <c r="D40" s="64" t="s">
        <v>6</v>
      </c>
      <c r="E40" s="59">
        <v>0.24</v>
      </c>
      <c r="F40" s="60">
        <v>0.24</v>
      </c>
      <c r="G40" s="60">
        <v>0.215</v>
      </c>
      <c r="H40" s="61">
        <v>0.19500000000000001</v>
      </c>
      <c r="I40" s="53">
        <v>0</v>
      </c>
      <c r="J40" s="53">
        <v>0.53</v>
      </c>
      <c r="K40" s="53">
        <v>0.48</v>
      </c>
      <c r="L40" s="54">
        <v>0.48</v>
      </c>
    </row>
    <row r="41" spans="1:12" x14ac:dyDescent="0.2">
      <c r="A41" s="80"/>
      <c r="B41" s="34" t="s">
        <v>55</v>
      </c>
      <c r="C41" s="34" t="s">
        <v>56</v>
      </c>
      <c r="D41" s="65" t="s">
        <v>7</v>
      </c>
      <c r="E41" s="62">
        <v>0.23</v>
      </c>
      <c r="F41" s="67">
        <v>0.23</v>
      </c>
      <c r="G41" s="67">
        <v>0.20499999999999999</v>
      </c>
      <c r="H41" s="63">
        <v>0.19500000000000001</v>
      </c>
      <c r="I41" s="53">
        <f t="shared" ref="I41:I43" si="36">IF(I40=0%,"0"%,I40-1%)</f>
        <v>0</v>
      </c>
      <c r="J41" s="53">
        <f t="shared" ref="J41:J43" si="37">IF(J40=0%,"0"%,J40-1%)</f>
        <v>0.52</v>
      </c>
      <c r="K41" s="53">
        <f t="shared" ref="K41:K43" si="38">IF(K40=0%,"0"%,K40-1%)</f>
        <v>0.47</v>
      </c>
      <c r="L41" s="54">
        <f t="shared" ref="L41:L43" si="39">IF(L40=0%,"0"%,L40-1%)</f>
        <v>0.47</v>
      </c>
    </row>
    <row r="42" spans="1:12" x14ac:dyDescent="0.2">
      <c r="A42" s="80"/>
      <c r="B42" s="34" t="s">
        <v>55</v>
      </c>
      <c r="C42" s="34" t="s">
        <v>56</v>
      </c>
      <c r="D42" s="65" t="s">
        <v>8</v>
      </c>
      <c r="E42" s="74">
        <v>0.21</v>
      </c>
      <c r="F42" s="75">
        <v>0.21</v>
      </c>
      <c r="G42" s="67">
        <v>0.19500000000000001</v>
      </c>
      <c r="H42" s="63">
        <v>0.17</v>
      </c>
      <c r="I42" s="53">
        <f t="shared" si="36"/>
        <v>0</v>
      </c>
      <c r="J42" s="53">
        <f t="shared" si="37"/>
        <v>0.51</v>
      </c>
      <c r="K42" s="53">
        <f t="shared" si="38"/>
        <v>0.45999999999999996</v>
      </c>
      <c r="L42" s="54">
        <f t="shared" si="39"/>
        <v>0.45999999999999996</v>
      </c>
    </row>
    <row r="43" spans="1:12" ht="12" thickBot="1" x14ac:dyDescent="0.25">
      <c r="A43" s="81"/>
      <c r="B43" s="35" t="s">
        <v>55</v>
      </c>
      <c r="C43" s="35" t="s">
        <v>56</v>
      </c>
      <c r="D43" s="66" t="s">
        <v>9</v>
      </c>
      <c r="E43" s="76">
        <v>0.19500000000000001</v>
      </c>
      <c r="F43" s="77">
        <v>0.19500000000000001</v>
      </c>
      <c r="G43" s="71">
        <v>0.19500000000000001</v>
      </c>
      <c r="H43" s="72">
        <v>0.17</v>
      </c>
      <c r="I43" s="53">
        <f t="shared" si="36"/>
        <v>0</v>
      </c>
      <c r="J43" s="53">
        <f t="shared" si="37"/>
        <v>0.5</v>
      </c>
      <c r="K43" s="53">
        <f t="shared" si="38"/>
        <v>0.44999999999999996</v>
      </c>
      <c r="L43" s="54">
        <f t="shared" si="39"/>
        <v>0.44999999999999996</v>
      </c>
    </row>
    <row r="44" spans="1:12" x14ac:dyDescent="0.2">
      <c r="A44" s="79" t="s">
        <v>67</v>
      </c>
      <c r="B44" s="33" t="s">
        <v>55</v>
      </c>
      <c r="C44" s="33" t="s">
        <v>56</v>
      </c>
      <c r="D44" s="64" t="s">
        <v>6</v>
      </c>
      <c r="E44" s="59">
        <v>0.24</v>
      </c>
      <c r="F44" s="60">
        <v>0.24</v>
      </c>
      <c r="G44" s="60">
        <v>0.215</v>
      </c>
      <c r="H44" s="61">
        <v>0.19500000000000001</v>
      </c>
      <c r="I44" s="53">
        <v>0</v>
      </c>
      <c r="J44" s="53">
        <v>0.53</v>
      </c>
      <c r="K44" s="53">
        <v>0</v>
      </c>
      <c r="L44" s="54">
        <v>0.48</v>
      </c>
    </row>
    <row r="45" spans="1:12" x14ac:dyDescent="0.2">
      <c r="A45" s="80"/>
      <c r="B45" s="34" t="s">
        <v>55</v>
      </c>
      <c r="C45" s="34" t="s">
        <v>56</v>
      </c>
      <c r="D45" s="65" t="s">
        <v>7</v>
      </c>
      <c r="E45" s="62">
        <v>0.23</v>
      </c>
      <c r="F45" s="67">
        <v>0.23</v>
      </c>
      <c r="G45" s="67">
        <v>0.20499999999999999</v>
      </c>
      <c r="H45" s="63">
        <v>0.19500000000000001</v>
      </c>
      <c r="I45" s="53">
        <f t="shared" ref="I45:I47" si="40">IF(I44=0%,"0"%,I44-1%)</f>
        <v>0</v>
      </c>
      <c r="J45" s="53">
        <f t="shared" ref="J45:J47" si="41">IF(J44=0%,"0"%,J44-1%)</f>
        <v>0.52</v>
      </c>
      <c r="K45" s="53">
        <f t="shared" ref="K45:K47" si="42">IF(K44=0%,"0"%,K44-1%)</f>
        <v>0</v>
      </c>
      <c r="L45" s="54">
        <f t="shared" ref="L45:L47" si="43">IF(L44=0%,"0"%,L44-1%)</f>
        <v>0.47</v>
      </c>
    </row>
    <row r="46" spans="1:12" x14ac:dyDescent="0.2">
      <c r="A46" s="80"/>
      <c r="B46" s="34" t="s">
        <v>55</v>
      </c>
      <c r="C46" s="34" t="s">
        <v>56</v>
      </c>
      <c r="D46" s="65" t="s">
        <v>8</v>
      </c>
      <c r="E46" s="74">
        <v>0.21</v>
      </c>
      <c r="F46" s="75">
        <v>0.21</v>
      </c>
      <c r="G46" s="67">
        <v>0.19500000000000001</v>
      </c>
      <c r="H46" s="63">
        <v>0.17</v>
      </c>
      <c r="I46" s="53">
        <f t="shared" si="40"/>
        <v>0</v>
      </c>
      <c r="J46" s="53">
        <f t="shared" si="41"/>
        <v>0.51</v>
      </c>
      <c r="K46" s="53">
        <f t="shared" si="42"/>
        <v>0</v>
      </c>
      <c r="L46" s="54">
        <f t="shared" si="43"/>
        <v>0.45999999999999996</v>
      </c>
    </row>
    <row r="47" spans="1:12" ht="12" thickBot="1" x14ac:dyDescent="0.25">
      <c r="A47" s="81"/>
      <c r="B47" s="35" t="s">
        <v>55</v>
      </c>
      <c r="C47" s="35" t="s">
        <v>56</v>
      </c>
      <c r="D47" s="66" t="s">
        <v>9</v>
      </c>
      <c r="E47" s="76">
        <v>0.19500000000000001</v>
      </c>
      <c r="F47" s="77">
        <v>0.19500000000000001</v>
      </c>
      <c r="G47" s="71">
        <v>0.19500000000000001</v>
      </c>
      <c r="H47" s="72">
        <v>0.17</v>
      </c>
      <c r="I47" s="53">
        <f t="shared" si="40"/>
        <v>0</v>
      </c>
      <c r="J47" s="53">
        <f t="shared" si="41"/>
        <v>0.5</v>
      </c>
      <c r="K47" s="53">
        <f t="shared" si="42"/>
        <v>0</v>
      </c>
      <c r="L47" s="54">
        <f t="shared" si="43"/>
        <v>0.44999999999999996</v>
      </c>
    </row>
    <row r="48" spans="1:12" x14ac:dyDescent="0.2">
      <c r="A48" s="79" t="s">
        <v>68</v>
      </c>
      <c r="B48" s="33" t="s">
        <v>55</v>
      </c>
      <c r="C48" s="33" t="s">
        <v>56</v>
      </c>
      <c r="D48" s="64" t="s">
        <v>6</v>
      </c>
      <c r="E48" s="59">
        <v>0.23499999999999999</v>
      </c>
      <c r="F48" s="60">
        <v>0.22</v>
      </c>
      <c r="G48" s="60">
        <v>0.215</v>
      </c>
      <c r="H48" s="61">
        <v>0.15</v>
      </c>
      <c r="I48" s="53">
        <v>0</v>
      </c>
      <c r="J48" s="53">
        <v>0.53</v>
      </c>
      <c r="K48" s="53">
        <v>0</v>
      </c>
      <c r="L48" s="54">
        <v>0.48</v>
      </c>
    </row>
    <row r="49" spans="1:12" x14ac:dyDescent="0.2">
      <c r="A49" s="80"/>
      <c r="B49" s="34" t="s">
        <v>55</v>
      </c>
      <c r="C49" s="34" t="s">
        <v>56</v>
      </c>
      <c r="D49" s="65" t="s">
        <v>7</v>
      </c>
      <c r="E49" s="62">
        <v>0.22500000000000001</v>
      </c>
      <c r="F49" s="67">
        <v>0.21</v>
      </c>
      <c r="G49" s="67">
        <v>0.20499999999999999</v>
      </c>
      <c r="H49" s="63">
        <v>0.15</v>
      </c>
      <c r="I49" s="53">
        <f t="shared" ref="I49:I51" si="44">IF(I48=0%,"0"%,I48-1%)</f>
        <v>0</v>
      </c>
      <c r="J49" s="53">
        <f t="shared" ref="J49:J51" si="45">IF(J48=0%,"0"%,J48-1%)</f>
        <v>0.52</v>
      </c>
      <c r="K49" s="53">
        <f t="shared" ref="K49:K51" si="46">IF(K48=0%,"0"%,K48-1%)</f>
        <v>0</v>
      </c>
      <c r="L49" s="54">
        <f t="shared" ref="L49:L51" si="47">IF(L48=0%,"0"%,L48-1%)</f>
        <v>0.47</v>
      </c>
    </row>
    <row r="50" spans="1:12" x14ac:dyDescent="0.2">
      <c r="A50" s="80"/>
      <c r="B50" s="34" t="s">
        <v>55</v>
      </c>
      <c r="C50" s="34" t="s">
        <v>56</v>
      </c>
      <c r="D50" s="65" t="s">
        <v>8</v>
      </c>
      <c r="E50" s="62">
        <v>0.20499999999999999</v>
      </c>
      <c r="F50" s="67">
        <v>0.20499999999999999</v>
      </c>
      <c r="G50" s="67">
        <v>0.19500000000000001</v>
      </c>
      <c r="H50" s="63">
        <v>0.14499999999999999</v>
      </c>
      <c r="I50" s="53">
        <f t="shared" si="44"/>
        <v>0</v>
      </c>
      <c r="J50" s="53">
        <f t="shared" si="45"/>
        <v>0.51</v>
      </c>
      <c r="K50" s="53">
        <f t="shared" si="46"/>
        <v>0</v>
      </c>
      <c r="L50" s="54">
        <f t="shared" si="47"/>
        <v>0.45999999999999996</v>
      </c>
    </row>
    <row r="51" spans="1:12" ht="12" thickBot="1" x14ac:dyDescent="0.25">
      <c r="A51" s="81"/>
      <c r="B51" s="35" t="s">
        <v>55</v>
      </c>
      <c r="C51" s="35" t="s">
        <v>56</v>
      </c>
      <c r="D51" s="66" t="s">
        <v>9</v>
      </c>
      <c r="E51" s="73">
        <v>0.19500000000000001</v>
      </c>
      <c r="F51" s="71">
        <v>0.19500000000000001</v>
      </c>
      <c r="G51" s="71">
        <v>0.19500000000000001</v>
      </c>
      <c r="H51" s="72">
        <v>0.14499999999999999</v>
      </c>
      <c r="I51" s="53">
        <f t="shared" si="44"/>
        <v>0</v>
      </c>
      <c r="J51" s="53">
        <f t="shared" si="45"/>
        <v>0.5</v>
      </c>
      <c r="K51" s="53">
        <f t="shared" si="46"/>
        <v>0</v>
      </c>
      <c r="L51" s="54">
        <f t="shared" si="47"/>
        <v>0.44999999999999996</v>
      </c>
    </row>
    <row r="52" spans="1:12" x14ac:dyDescent="0.2">
      <c r="A52" s="79" t="s">
        <v>69</v>
      </c>
      <c r="B52" s="33" t="s">
        <v>70</v>
      </c>
      <c r="C52" s="33" t="s">
        <v>56</v>
      </c>
      <c r="D52" s="64" t="s">
        <v>6</v>
      </c>
      <c r="E52" s="59">
        <v>0.19500000000000001</v>
      </c>
      <c r="F52" s="60">
        <v>0.19500000000000001</v>
      </c>
      <c r="G52" s="60">
        <v>0.215</v>
      </c>
      <c r="H52" s="61">
        <v>0.15</v>
      </c>
      <c r="I52" s="53">
        <v>0</v>
      </c>
      <c r="J52" s="53">
        <v>0.53</v>
      </c>
      <c r="K52" s="53">
        <v>0</v>
      </c>
      <c r="L52" s="54">
        <v>0.48</v>
      </c>
    </row>
    <row r="53" spans="1:12" x14ac:dyDescent="0.2">
      <c r="A53" s="80"/>
      <c r="B53" s="34" t="s">
        <v>70</v>
      </c>
      <c r="C53" s="34" t="s">
        <v>56</v>
      </c>
      <c r="D53" s="65" t="s">
        <v>7</v>
      </c>
      <c r="E53" s="62">
        <v>0.19500000000000001</v>
      </c>
      <c r="F53" s="67">
        <v>0.19500000000000001</v>
      </c>
      <c r="G53" s="67">
        <v>0.20499999999999999</v>
      </c>
      <c r="H53" s="63">
        <v>0.15</v>
      </c>
      <c r="I53" s="53">
        <f t="shared" ref="I53:I55" si="48">IF(I52=0%,"0"%,I52-1%)</f>
        <v>0</v>
      </c>
      <c r="J53" s="53">
        <f t="shared" ref="J53:J55" si="49">IF(J52=0%,"0"%,J52-1%)</f>
        <v>0.52</v>
      </c>
      <c r="K53" s="53">
        <f t="shared" ref="K53:K55" si="50">IF(K52=0%,"0"%,K52-1%)</f>
        <v>0</v>
      </c>
      <c r="L53" s="54">
        <f t="shared" ref="L53:L55" si="51">IF(L52=0%,"0"%,L52-1%)</f>
        <v>0.47</v>
      </c>
    </row>
    <row r="54" spans="1:12" x14ac:dyDescent="0.2">
      <c r="A54" s="80"/>
      <c r="B54" s="34" t="s">
        <v>70</v>
      </c>
      <c r="C54" s="34" t="s">
        <v>56</v>
      </c>
      <c r="D54" s="65" t="s">
        <v>8</v>
      </c>
      <c r="E54" s="62">
        <v>0.19500000000000001</v>
      </c>
      <c r="F54" s="67">
        <v>0.19500000000000001</v>
      </c>
      <c r="G54" s="67">
        <v>0.19500000000000001</v>
      </c>
      <c r="H54" s="63">
        <v>0.14499999999999999</v>
      </c>
      <c r="I54" s="53">
        <f t="shared" si="48"/>
        <v>0</v>
      </c>
      <c r="J54" s="53">
        <f t="shared" si="49"/>
        <v>0.51</v>
      </c>
      <c r="K54" s="53">
        <f t="shared" si="50"/>
        <v>0</v>
      </c>
      <c r="L54" s="54">
        <f t="shared" si="51"/>
        <v>0.45999999999999996</v>
      </c>
    </row>
    <row r="55" spans="1:12" ht="12" thickBot="1" x14ac:dyDescent="0.25">
      <c r="A55" s="81"/>
      <c r="B55" s="35" t="s">
        <v>70</v>
      </c>
      <c r="C55" s="35" t="s">
        <v>56</v>
      </c>
      <c r="D55" s="66" t="s">
        <v>9</v>
      </c>
      <c r="E55" s="73">
        <v>0.19500000000000001</v>
      </c>
      <c r="F55" s="71">
        <v>0.19500000000000001</v>
      </c>
      <c r="G55" s="71">
        <v>0.19500000000000001</v>
      </c>
      <c r="H55" s="72">
        <v>0.14499999999999999</v>
      </c>
      <c r="I55" s="53">
        <f t="shared" si="48"/>
        <v>0</v>
      </c>
      <c r="J55" s="53">
        <f t="shared" si="49"/>
        <v>0.5</v>
      </c>
      <c r="K55" s="53">
        <f t="shared" si="50"/>
        <v>0</v>
      </c>
      <c r="L55" s="54">
        <f t="shared" si="51"/>
        <v>0.44999999999999996</v>
      </c>
    </row>
    <row r="56" spans="1:12" x14ac:dyDescent="0.2">
      <c r="A56" s="79" t="s">
        <v>71</v>
      </c>
      <c r="B56" s="33" t="s">
        <v>70</v>
      </c>
      <c r="C56" s="33" t="s">
        <v>56</v>
      </c>
      <c r="D56" s="64" t="s">
        <v>6</v>
      </c>
      <c r="E56" s="59">
        <v>0.19500000000000001</v>
      </c>
      <c r="F56" s="60">
        <v>0.19500000000000001</v>
      </c>
      <c r="G56" s="60">
        <v>0.215</v>
      </c>
      <c r="H56" s="61">
        <v>0.15</v>
      </c>
      <c r="I56" s="53">
        <v>0</v>
      </c>
      <c r="J56" s="53">
        <v>0.53</v>
      </c>
      <c r="K56" s="53">
        <v>0</v>
      </c>
      <c r="L56" s="54">
        <v>0.48</v>
      </c>
    </row>
    <row r="57" spans="1:12" x14ac:dyDescent="0.2">
      <c r="A57" s="80"/>
      <c r="B57" s="34" t="s">
        <v>70</v>
      </c>
      <c r="C57" s="34" t="s">
        <v>56</v>
      </c>
      <c r="D57" s="65" t="s">
        <v>7</v>
      </c>
      <c r="E57" s="62">
        <v>0.19500000000000001</v>
      </c>
      <c r="F57" s="67">
        <v>0.19500000000000001</v>
      </c>
      <c r="G57" s="67">
        <v>0.20499999999999999</v>
      </c>
      <c r="H57" s="63">
        <v>0.15</v>
      </c>
      <c r="I57" s="53">
        <f t="shared" ref="I57:I59" si="52">IF(I56=0%,"0"%,I56-1%)</f>
        <v>0</v>
      </c>
      <c r="J57" s="53">
        <f t="shared" ref="J57:J59" si="53">IF(J56=0%,"0"%,J56-1%)</f>
        <v>0.52</v>
      </c>
      <c r="K57" s="53">
        <f t="shared" ref="K57:K59" si="54">IF(K56=0%,"0"%,K56-1%)</f>
        <v>0</v>
      </c>
      <c r="L57" s="54">
        <f t="shared" ref="L57:L59" si="55">IF(L56=0%,"0"%,L56-1%)</f>
        <v>0.47</v>
      </c>
    </row>
    <row r="58" spans="1:12" x14ac:dyDescent="0.2">
      <c r="A58" s="80"/>
      <c r="B58" s="34" t="s">
        <v>70</v>
      </c>
      <c r="C58" s="34" t="s">
        <v>56</v>
      </c>
      <c r="D58" s="65" t="s">
        <v>8</v>
      </c>
      <c r="E58" s="62">
        <v>0.19500000000000001</v>
      </c>
      <c r="F58" s="67">
        <v>0.19500000000000001</v>
      </c>
      <c r="G58" s="67">
        <v>0.19500000000000001</v>
      </c>
      <c r="H58" s="63">
        <v>0.14499999999999999</v>
      </c>
      <c r="I58" s="53">
        <f t="shared" si="52"/>
        <v>0</v>
      </c>
      <c r="J58" s="53">
        <f t="shared" si="53"/>
        <v>0.51</v>
      </c>
      <c r="K58" s="53">
        <f t="shared" si="54"/>
        <v>0</v>
      </c>
      <c r="L58" s="54">
        <f t="shared" si="55"/>
        <v>0.45999999999999996</v>
      </c>
    </row>
    <row r="59" spans="1:12" ht="12" thickBot="1" x14ac:dyDescent="0.25">
      <c r="A59" s="81"/>
      <c r="B59" s="35" t="s">
        <v>70</v>
      </c>
      <c r="C59" s="35" t="s">
        <v>56</v>
      </c>
      <c r="D59" s="66" t="s">
        <v>9</v>
      </c>
      <c r="E59" s="73">
        <v>0.19500000000000001</v>
      </c>
      <c r="F59" s="71">
        <v>0.19500000000000001</v>
      </c>
      <c r="G59" s="71">
        <v>0.19500000000000001</v>
      </c>
      <c r="H59" s="72">
        <v>0.14499999999999999</v>
      </c>
      <c r="I59" s="53">
        <f t="shared" si="52"/>
        <v>0</v>
      </c>
      <c r="J59" s="53">
        <f t="shared" si="53"/>
        <v>0.5</v>
      </c>
      <c r="K59" s="53">
        <f t="shared" si="54"/>
        <v>0</v>
      </c>
      <c r="L59" s="54">
        <f t="shared" si="55"/>
        <v>0.44999999999999996</v>
      </c>
    </row>
    <row r="60" spans="1:12" x14ac:dyDescent="0.2">
      <c r="A60" s="79" t="s">
        <v>72</v>
      </c>
      <c r="B60" s="33" t="s">
        <v>70</v>
      </c>
      <c r="C60" s="33" t="s">
        <v>56</v>
      </c>
      <c r="D60" s="64" t="s">
        <v>6</v>
      </c>
      <c r="E60" s="59">
        <v>0.19500000000000001</v>
      </c>
      <c r="F60" s="60">
        <v>0.19500000000000001</v>
      </c>
      <c r="G60" s="60">
        <v>0.215</v>
      </c>
      <c r="H60" s="61">
        <v>0.15</v>
      </c>
      <c r="I60" s="53">
        <v>0</v>
      </c>
      <c r="J60" s="53">
        <v>0.53</v>
      </c>
      <c r="K60" s="53">
        <v>0</v>
      </c>
      <c r="L60" s="54">
        <v>0.48</v>
      </c>
    </row>
    <row r="61" spans="1:12" x14ac:dyDescent="0.2">
      <c r="A61" s="80"/>
      <c r="B61" s="34" t="s">
        <v>70</v>
      </c>
      <c r="C61" s="34" t="s">
        <v>56</v>
      </c>
      <c r="D61" s="65" t="s">
        <v>7</v>
      </c>
      <c r="E61" s="62">
        <v>0.19500000000000001</v>
      </c>
      <c r="F61" s="67">
        <v>0.19500000000000001</v>
      </c>
      <c r="G61" s="67">
        <v>0.20499999999999999</v>
      </c>
      <c r="H61" s="63">
        <v>0.15</v>
      </c>
      <c r="I61" s="53">
        <f t="shared" ref="I61:I63" si="56">IF(I60=0%,"0"%,I60-1%)</f>
        <v>0</v>
      </c>
      <c r="J61" s="53">
        <f t="shared" ref="J61:J63" si="57">IF(J60=0%,"0"%,J60-1%)</f>
        <v>0.52</v>
      </c>
      <c r="K61" s="53">
        <f t="shared" ref="K61:K63" si="58">IF(K60=0%,"0"%,K60-1%)</f>
        <v>0</v>
      </c>
      <c r="L61" s="54">
        <f t="shared" ref="L61:L63" si="59">IF(L60=0%,"0"%,L60-1%)</f>
        <v>0.47</v>
      </c>
    </row>
    <row r="62" spans="1:12" x14ac:dyDescent="0.2">
      <c r="A62" s="80"/>
      <c r="B62" s="34" t="s">
        <v>70</v>
      </c>
      <c r="C62" s="34" t="s">
        <v>56</v>
      </c>
      <c r="D62" s="65" t="s">
        <v>8</v>
      </c>
      <c r="E62" s="62">
        <v>0.19500000000000001</v>
      </c>
      <c r="F62" s="67">
        <v>0.19500000000000001</v>
      </c>
      <c r="G62" s="67">
        <v>0.19500000000000001</v>
      </c>
      <c r="H62" s="63">
        <v>0.14499999999999999</v>
      </c>
      <c r="I62" s="53">
        <f t="shared" si="56"/>
        <v>0</v>
      </c>
      <c r="J62" s="53">
        <f t="shared" si="57"/>
        <v>0.51</v>
      </c>
      <c r="K62" s="53">
        <f t="shared" si="58"/>
        <v>0</v>
      </c>
      <c r="L62" s="54">
        <f t="shared" si="59"/>
        <v>0.45999999999999996</v>
      </c>
    </row>
    <row r="63" spans="1:12" ht="12" thickBot="1" x14ac:dyDescent="0.25">
      <c r="A63" s="81"/>
      <c r="B63" s="35" t="s">
        <v>70</v>
      </c>
      <c r="C63" s="35" t="s">
        <v>56</v>
      </c>
      <c r="D63" s="66" t="s">
        <v>9</v>
      </c>
      <c r="E63" s="73">
        <v>0.19500000000000001</v>
      </c>
      <c r="F63" s="71">
        <v>0.19500000000000001</v>
      </c>
      <c r="G63" s="71">
        <v>0.19500000000000001</v>
      </c>
      <c r="H63" s="72">
        <v>0.14499999999999999</v>
      </c>
      <c r="I63" s="53">
        <f t="shared" si="56"/>
        <v>0</v>
      </c>
      <c r="J63" s="53">
        <f t="shared" si="57"/>
        <v>0.5</v>
      </c>
      <c r="K63" s="53">
        <f t="shared" si="58"/>
        <v>0</v>
      </c>
      <c r="L63" s="54">
        <f t="shared" si="59"/>
        <v>0.44999999999999996</v>
      </c>
    </row>
    <row r="64" spans="1:12" x14ac:dyDescent="0.2">
      <c r="A64" s="79" t="s">
        <v>73</v>
      </c>
      <c r="B64" s="33" t="s">
        <v>70</v>
      </c>
      <c r="C64" s="33" t="s">
        <v>56</v>
      </c>
      <c r="D64" s="64" t="s">
        <v>6</v>
      </c>
      <c r="E64" s="59">
        <v>0.19500000000000001</v>
      </c>
      <c r="F64" s="60">
        <v>0.19500000000000001</v>
      </c>
      <c r="G64" s="60">
        <v>0.19500000000000001</v>
      </c>
      <c r="H64" s="61">
        <v>0.15</v>
      </c>
      <c r="I64" s="53">
        <v>0</v>
      </c>
      <c r="J64" s="53">
        <v>0.53</v>
      </c>
      <c r="K64" s="53">
        <v>0</v>
      </c>
      <c r="L64" s="54">
        <v>0.48</v>
      </c>
    </row>
    <row r="65" spans="1:12" x14ac:dyDescent="0.2">
      <c r="A65" s="80"/>
      <c r="B65" s="34" t="s">
        <v>70</v>
      </c>
      <c r="C65" s="34" t="s">
        <v>56</v>
      </c>
      <c r="D65" s="65" t="s">
        <v>7</v>
      </c>
      <c r="E65" s="62">
        <v>0.19500000000000001</v>
      </c>
      <c r="F65" s="67">
        <v>0.19500000000000001</v>
      </c>
      <c r="G65" s="67">
        <v>0.19500000000000001</v>
      </c>
      <c r="H65" s="63">
        <v>0.15</v>
      </c>
      <c r="I65" s="53">
        <f t="shared" ref="I65:I67" si="60">IF(I64=0%,"0"%,I64-1%)</f>
        <v>0</v>
      </c>
      <c r="J65" s="53">
        <f t="shared" ref="J65:J67" si="61">IF(J64=0%,"0"%,J64-1%)</f>
        <v>0.52</v>
      </c>
      <c r="K65" s="53">
        <f t="shared" ref="K65:K67" si="62">IF(K64=0%,"0"%,K64-1%)</f>
        <v>0</v>
      </c>
      <c r="L65" s="54">
        <f t="shared" ref="L65:L67" si="63">IF(L64=0%,"0"%,L64-1%)</f>
        <v>0.47</v>
      </c>
    </row>
    <row r="66" spans="1:12" x14ac:dyDescent="0.2">
      <c r="A66" s="80"/>
      <c r="B66" s="34" t="s">
        <v>70</v>
      </c>
      <c r="C66" s="34" t="s">
        <v>56</v>
      </c>
      <c r="D66" s="65" t="s">
        <v>8</v>
      </c>
      <c r="E66" s="62">
        <v>0.19500000000000001</v>
      </c>
      <c r="F66" s="67">
        <v>0.19500000000000001</v>
      </c>
      <c r="G66" s="67">
        <v>0.19500000000000001</v>
      </c>
      <c r="H66" s="63">
        <v>0.14499999999999999</v>
      </c>
      <c r="I66" s="53">
        <f t="shared" si="60"/>
        <v>0</v>
      </c>
      <c r="J66" s="53">
        <f t="shared" si="61"/>
        <v>0.51</v>
      </c>
      <c r="K66" s="53">
        <f t="shared" si="62"/>
        <v>0</v>
      </c>
      <c r="L66" s="54">
        <f t="shared" si="63"/>
        <v>0.45999999999999996</v>
      </c>
    </row>
    <row r="67" spans="1:12" ht="12" thickBot="1" x14ac:dyDescent="0.25">
      <c r="A67" s="81"/>
      <c r="B67" s="35" t="s">
        <v>70</v>
      </c>
      <c r="C67" s="35" t="s">
        <v>56</v>
      </c>
      <c r="D67" s="66" t="s">
        <v>9</v>
      </c>
      <c r="E67" s="73">
        <v>0.19500000000000001</v>
      </c>
      <c r="F67" s="71">
        <v>0.19500000000000001</v>
      </c>
      <c r="G67" s="71">
        <v>0.19500000000000001</v>
      </c>
      <c r="H67" s="72">
        <v>0.14499999999999999</v>
      </c>
      <c r="I67" s="53">
        <f t="shared" si="60"/>
        <v>0</v>
      </c>
      <c r="J67" s="53">
        <f t="shared" si="61"/>
        <v>0.5</v>
      </c>
      <c r="K67" s="53">
        <f t="shared" si="62"/>
        <v>0</v>
      </c>
      <c r="L67" s="54">
        <f t="shared" si="63"/>
        <v>0.44999999999999996</v>
      </c>
    </row>
    <row r="68" spans="1:12" x14ac:dyDescent="0.2">
      <c r="A68" s="79" t="s">
        <v>74</v>
      </c>
      <c r="B68" s="33" t="s">
        <v>60</v>
      </c>
      <c r="C68" s="33" t="s">
        <v>56</v>
      </c>
      <c r="D68" s="64" t="s">
        <v>6</v>
      </c>
      <c r="E68" s="59">
        <v>0.24</v>
      </c>
      <c r="F68" s="60">
        <v>0.22</v>
      </c>
      <c r="G68" s="60">
        <v>0.215</v>
      </c>
      <c r="H68" s="61">
        <v>0.15</v>
      </c>
      <c r="I68" s="53">
        <v>0</v>
      </c>
      <c r="J68" s="53">
        <v>0.48</v>
      </c>
      <c r="K68" s="53">
        <v>0.48</v>
      </c>
      <c r="L68" s="54">
        <v>0.43</v>
      </c>
    </row>
    <row r="69" spans="1:12" x14ac:dyDescent="0.2">
      <c r="A69" s="80"/>
      <c r="B69" s="34" t="s">
        <v>60</v>
      </c>
      <c r="C69" s="34" t="s">
        <v>56</v>
      </c>
      <c r="D69" s="65" t="s">
        <v>7</v>
      </c>
      <c r="E69" s="62">
        <v>0.23</v>
      </c>
      <c r="F69" s="67">
        <v>0.21</v>
      </c>
      <c r="G69" s="67">
        <v>0.20499999999999999</v>
      </c>
      <c r="H69" s="63">
        <v>0.15</v>
      </c>
      <c r="I69" s="53">
        <f t="shared" ref="I69:I71" si="64">IF(I68=0%,"0"%,I68-1%)</f>
        <v>0</v>
      </c>
      <c r="J69" s="53">
        <f t="shared" ref="J69:J71" si="65">IF(J68=0%,"0"%,J68-1%)</f>
        <v>0.47</v>
      </c>
      <c r="K69" s="53">
        <f t="shared" ref="K69:K71" si="66">IF(K68=0%,"0"%,K68-1%)</f>
        <v>0.47</v>
      </c>
      <c r="L69" s="54">
        <f t="shared" ref="L69:L71" si="67">IF(L68=0%,"0"%,L68-1%)</f>
        <v>0.42</v>
      </c>
    </row>
    <row r="70" spans="1:12" x14ac:dyDescent="0.2">
      <c r="A70" s="80"/>
      <c r="B70" s="34" t="s">
        <v>60</v>
      </c>
      <c r="C70" s="34" t="s">
        <v>56</v>
      </c>
      <c r="D70" s="65" t="s">
        <v>8</v>
      </c>
      <c r="E70" s="74">
        <v>0.21</v>
      </c>
      <c r="F70" s="67">
        <v>0.20499999999999999</v>
      </c>
      <c r="G70" s="67">
        <v>0.19500000000000001</v>
      </c>
      <c r="H70" s="63">
        <v>0.14499999999999999</v>
      </c>
      <c r="I70" s="53">
        <f t="shared" si="64"/>
        <v>0</v>
      </c>
      <c r="J70" s="53">
        <f t="shared" si="65"/>
        <v>0.45999999999999996</v>
      </c>
      <c r="K70" s="53">
        <f t="shared" si="66"/>
        <v>0.45999999999999996</v>
      </c>
      <c r="L70" s="54">
        <f t="shared" si="67"/>
        <v>0.41</v>
      </c>
    </row>
    <row r="71" spans="1:12" ht="12" thickBot="1" x14ac:dyDescent="0.25">
      <c r="A71" s="81"/>
      <c r="B71" s="35" t="s">
        <v>60</v>
      </c>
      <c r="C71" s="35" t="s">
        <v>56</v>
      </c>
      <c r="D71" s="66" t="s">
        <v>9</v>
      </c>
      <c r="E71" s="76">
        <v>0.19500000000000001</v>
      </c>
      <c r="F71" s="71">
        <v>0.19500000000000001</v>
      </c>
      <c r="G71" s="71">
        <v>0.19500000000000001</v>
      </c>
      <c r="H71" s="72">
        <v>0.14499999999999999</v>
      </c>
      <c r="I71" s="53">
        <f t="shared" si="64"/>
        <v>0</v>
      </c>
      <c r="J71" s="53">
        <f t="shared" si="65"/>
        <v>0.44999999999999996</v>
      </c>
      <c r="K71" s="53">
        <f t="shared" si="66"/>
        <v>0.44999999999999996</v>
      </c>
      <c r="L71" s="54">
        <f t="shared" si="67"/>
        <v>0.39999999999999997</v>
      </c>
    </row>
    <row r="72" spans="1:12" x14ac:dyDescent="0.2">
      <c r="A72" s="79" t="s">
        <v>75</v>
      </c>
      <c r="B72" s="33" t="s">
        <v>60</v>
      </c>
      <c r="C72" s="33" t="s">
        <v>56</v>
      </c>
      <c r="D72" s="64" t="s">
        <v>6</v>
      </c>
      <c r="E72" s="59">
        <v>0.15</v>
      </c>
      <c r="F72" s="60">
        <v>0.19500000000000001</v>
      </c>
      <c r="G72" s="60">
        <v>0.215</v>
      </c>
      <c r="H72" s="61">
        <v>0.15</v>
      </c>
      <c r="I72" s="53">
        <v>0</v>
      </c>
      <c r="J72" s="53">
        <v>0</v>
      </c>
      <c r="K72" s="53">
        <v>0</v>
      </c>
      <c r="L72" s="54">
        <v>0</v>
      </c>
    </row>
    <row r="73" spans="1:12" x14ac:dyDescent="0.2">
      <c r="A73" s="80"/>
      <c r="B73" s="34" t="s">
        <v>60</v>
      </c>
      <c r="C73" s="34" t="s">
        <v>56</v>
      </c>
      <c r="D73" s="65" t="s">
        <v>7</v>
      </c>
      <c r="E73" s="62">
        <v>0.15</v>
      </c>
      <c r="F73" s="67">
        <v>0.19500000000000001</v>
      </c>
      <c r="G73" s="67">
        <v>0.20499999999999999</v>
      </c>
      <c r="H73" s="63">
        <v>0.15</v>
      </c>
      <c r="I73" s="53">
        <f t="shared" ref="I73:I75" si="68">IF(I72=0%,"0"%,I72-1%)</f>
        <v>0</v>
      </c>
      <c r="J73" s="53">
        <f t="shared" ref="J73:J75" si="69">IF(J72=0%,"0"%,J72-1%)</f>
        <v>0</v>
      </c>
      <c r="K73" s="53">
        <f t="shared" ref="K73:K75" si="70">IF(K72=0%,"0"%,K72-1%)</f>
        <v>0</v>
      </c>
      <c r="L73" s="54">
        <f t="shared" ref="L73:L75" si="71">IF(L72=0%,"0"%,L72-1%)</f>
        <v>0</v>
      </c>
    </row>
    <row r="74" spans="1:12" x14ac:dyDescent="0.2">
      <c r="A74" s="80"/>
      <c r="B74" s="34" t="s">
        <v>60</v>
      </c>
      <c r="C74" s="34" t="s">
        <v>56</v>
      </c>
      <c r="D74" s="65" t="s">
        <v>8</v>
      </c>
      <c r="E74" s="62">
        <v>0.14499999999999999</v>
      </c>
      <c r="F74" s="67">
        <v>0.19500000000000001</v>
      </c>
      <c r="G74" s="67">
        <v>0.19500000000000001</v>
      </c>
      <c r="H74" s="63">
        <v>0.14499999999999999</v>
      </c>
      <c r="I74" s="53">
        <f t="shared" si="68"/>
        <v>0</v>
      </c>
      <c r="J74" s="53">
        <f t="shared" si="69"/>
        <v>0</v>
      </c>
      <c r="K74" s="53">
        <f t="shared" si="70"/>
        <v>0</v>
      </c>
      <c r="L74" s="54">
        <f t="shared" si="71"/>
        <v>0</v>
      </c>
    </row>
    <row r="75" spans="1:12" ht="12" thickBot="1" x14ac:dyDescent="0.25">
      <c r="A75" s="81"/>
      <c r="B75" s="35" t="s">
        <v>60</v>
      </c>
      <c r="C75" s="35" t="s">
        <v>56</v>
      </c>
      <c r="D75" s="66" t="s">
        <v>9</v>
      </c>
      <c r="E75" s="73">
        <v>0.14499999999999999</v>
      </c>
      <c r="F75" s="71">
        <v>0.19500000000000001</v>
      </c>
      <c r="G75" s="71">
        <v>0.19500000000000001</v>
      </c>
      <c r="H75" s="72">
        <v>0.14499999999999999</v>
      </c>
      <c r="I75" s="53">
        <f t="shared" si="68"/>
        <v>0</v>
      </c>
      <c r="J75" s="53">
        <f t="shared" si="69"/>
        <v>0</v>
      </c>
      <c r="K75" s="53">
        <f t="shared" si="70"/>
        <v>0</v>
      </c>
      <c r="L75" s="54">
        <f t="shared" si="71"/>
        <v>0</v>
      </c>
    </row>
    <row r="76" spans="1:12" x14ac:dyDescent="0.2">
      <c r="A76" s="79" t="s">
        <v>76</v>
      </c>
      <c r="B76" s="33" t="s">
        <v>60</v>
      </c>
      <c r="C76" s="33" t="s">
        <v>56</v>
      </c>
      <c r="D76" s="64" t="s">
        <v>6</v>
      </c>
      <c r="E76" s="59">
        <v>0.15</v>
      </c>
      <c r="F76" s="60">
        <v>0.19500000000000001</v>
      </c>
      <c r="G76" s="60">
        <v>0.215</v>
      </c>
      <c r="H76" s="61">
        <v>0.15</v>
      </c>
      <c r="I76" s="53">
        <v>0</v>
      </c>
      <c r="J76" s="53">
        <v>0</v>
      </c>
      <c r="K76" s="53">
        <v>0</v>
      </c>
      <c r="L76" s="54">
        <v>0</v>
      </c>
    </row>
    <row r="77" spans="1:12" x14ac:dyDescent="0.2">
      <c r="A77" s="80"/>
      <c r="B77" s="34" t="s">
        <v>60</v>
      </c>
      <c r="C77" s="34" t="s">
        <v>56</v>
      </c>
      <c r="D77" s="65" t="s">
        <v>7</v>
      </c>
      <c r="E77" s="62">
        <v>0.15</v>
      </c>
      <c r="F77" s="67">
        <v>0.19500000000000001</v>
      </c>
      <c r="G77" s="67">
        <v>0.20499999999999999</v>
      </c>
      <c r="H77" s="63">
        <v>0.15</v>
      </c>
      <c r="I77" s="53">
        <f t="shared" ref="I77:I79" si="72">IF(I76=0%,"0"%,I76-1%)</f>
        <v>0</v>
      </c>
      <c r="J77" s="53">
        <f t="shared" ref="J77:J79" si="73">IF(J76=0%,"0"%,J76-1%)</f>
        <v>0</v>
      </c>
      <c r="K77" s="53">
        <f t="shared" ref="K77:K79" si="74">IF(K76=0%,"0"%,K76-1%)</f>
        <v>0</v>
      </c>
      <c r="L77" s="54">
        <f t="shared" ref="L77:L79" si="75">IF(L76=0%,"0"%,L76-1%)</f>
        <v>0</v>
      </c>
    </row>
    <row r="78" spans="1:12" x14ac:dyDescent="0.2">
      <c r="A78" s="80"/>
      <c r="B78" s="34" t="s">
        <v>60</v>
      </c>
      <c r="C78" s="34" t="s">
        <v>56</v>
      </c>
      <c r="D78" s="65" t="s">
        <v>8</v>
      </c>
      <c r="E78" s="62">
        <v>0.14499999999999999</v>
      </c>
      <c r="F78" s="67">
        <v>0.19500000000000001</v>
      </c>
      <c r="G78" s="67">
        <v>0.19500000000000001</v>
      </c>
      <c r="H78" s="63">
        <v>0.14499999999999999</v>
      </c>
      <c r="I78" s="53">
        <f t="shared" si="72"/>
        <v>0</v>
      </c>
      <c r="J78" s="53">
        <f t="shared" si="73"/>
        <v>0</v>
      </c>
      <c r="K78" s="53">
        <f t="shared" si="74"/>
        <v>0</v>
      </c>
      <c r="L78" s="54">
        <f t="shared" si="75"/>
        <v>0</v>
      </c>
    </row>
    <row r="79" spans="1:12" ht="12" thickBot="1" x14ac:dyDescent="0.25">
      <c r="A79" s="81"/>
      <c r="B79" s="35" t="s">
        <v>60</v>
      </c>
      <c r="C79" s="35" t="s">
        <v>56</v>
      </c>
      <c r="D79" s="66" t="s">
        <v>9</v>
      </c>
      <c r="E79" s="73">
        <v>0.14499999999999999</v>
      </c>
      <c r="F79" s="71">
        <v>0.19500000000000001</v>
      </c>
      <c r="G79" s="71">
        <v>0.19500000000000001</v>
      </c>
      <c r="H79" s="72">
        <v>0.14499999999999999</v>
      </c>
      <c r="I79" s="53">
        <f t="shared" si="72"/>
        <v>0</v>
      </c>
      <c r="J79" s="53">
        <f t="shared" si="73"/>
        <v>0</v>
      </c>
      <c r="K79" s="53">
        <f t="shared" si="74"/>
        <v>0</v>
      </c>
      <c r="L79" s="54">
        <f t="shared" si="75"/>
        <v>0</v>
      </c>
    </row>
    <row r="80" spans="1:12" x14ac:dyDescent="0.2">
      <c r="A80" s="79" t="s">
        <v>77</v>
      </c>
      <c r="B80" s="33" t="s">
        <v>55</v>
      </c>
      <c r="C80" s="33" t="s">
        <v>56</v>
      </c>
      <c r="D80" s="64" t="s">
        <v>6</v>
      </c>
      <c r="E80" s="59">
        <v>0.24</v>
      </c>
      <c r="F80" s="60">
        <v>0.19500000000000001</v>
      </c>
      <c r="G80" s="60">
        <v>0.215</v>
      </c>
      <c r="H80" s="61">
        <v>0.15</v>
      </c>
      <c r="I80" s="53">
        <v>0</v>
      </c>
      <c r="J80" s="53">
        <v>0.53</v>
      </c>
      <c r="K80" s="53">
        <v>0</v>
      </c>
      <c r="L80" s="54">
        <v>0.48</v>
      </c>
    </row>
    <row r="81" spans="1:12" x14ac:dyDescent="0.2">
      <c r="A81" s="80"/>
      <c r="B81" s="34" t="s">
        <v>55</v>
      </c>
      <c r="C81" s="34" t="s">
        <v>56</v>
      </c>
      <c r="D81" s="65" t="s">
        <v>7</v>
      </c>
      <c r="E81" s="62">
        <v>0.23</v>
      </c>
      <c r="F81" s="67">
        <v>0.19500000000000001</v>
      </c>
      <c r="G81" s="67">
        <v>0.20499999999999999</v>
      </c>
      <c r="H81" s="63">
        <v>0.15</v>
      </c>
      <c r="I81" s="53">
        <f t="shared" ref="I81:I83" si="76">IF(I80=0%,"0"%,I80-1%)</f>
        <v>0</v>
      </c>
      <c r="J81" s="53">
        <f t="shared" ref="J81:J83" si="77">IF(J80=0%,"0"%,J80-1%)</f>
        <v>0.52</v>
      </c>
      <c r="K81" s="53">
        <f t="shared" ref="K81:K83" si="78">IF(K80=0%,"0"%,K80-1%)</f>
        <v>0</v>
      </c>
      <c r="L81" s="54">
        <f t="shared" ref="L81:L83" si="79">IF(L80=0%,"0"%,L80-1%)</f>
        <v>0.47</v>
      </c>
    </row>
    <row r="82" spans="1:12" x14ac:dyDescent="0.2">
      <c r="A82" s="80"/>
      <c r="B82" s="34" t="s">
        <v>55</v>
      </c>
      <c r="C82" s="34" t="s">
        <v>56</v>
      </c>
      <c r="D82" s="65" t="s">
        <v>8</v>
      </c>
      <c r="E82" s="74">
        <v>0.21</v>
      </c>
      <c r="F82" s="67">
        <v>0.19500000000000001</v>
      </c>
      <c r="G82" s="67">
        <v>0.19500000000000001</v>
      </c>
      <c r="H82" s="63">
        <v>0.14499999999999999</v>
      </c>
      <c r="I82" s="53">
        <f t="shared" si="76"/>
        <v>0</v>
      </c>
      <c r="J82" s="53">
        <f t="shared" si="77"/>
        <v>0.51</v>
      </c>
      <c r="K82" s="53">
        <f t="shared" si="78"/>
        <v>0</v>
      </c>
      <c r="L82" s="54">
        <f t="shared" si="79"/>
        <v>0.45999999999999996</v>
      </c>
    </row>
    <row r="83" spans="1:12" ht="12" thickBot="1" x14ac:dyDescent="0.25">
      <c r="A83" s="81"/>
      <c r="B83" s="35" t="s">
        <v>55</v>
      </c>
      <c r="C83" s="35" t="s">
        <v>56</v>
      </c>
      <c r="D83" s="66" t="s">
        <v>9</v>
      </c>
      <c r="E83" s="76">
        <v>0.19500000000000001</v>
      </c>
      <c r="F83" s="71">
        <v>0.19500000000000001</v>
      </c>
      <c r="G83" s="71">
        <v>0.19500000000000001</v>
      </c>
      <c r="H83" s="72">
        <v>0.14499999999999999</v>
      </c>
      <c r="I83" s="53">
        <f t="shared" si="76"/>
        <v>0</v>
      </c>
      <c r="J83" s="53">
        <f t="shared" si="77"/>
        <v>0.5</v>
      </c>
      <c r="K83" s="53">
        <f t="shared" si="78"/>
        <v>0</v>
      </c>
      <c r="L83" s="54">
        <f t="shared" si="79"/>
        <v>0.44999999999999996</v>
      </c>
    </row>
    <row r="84" spans="1:12" x14ac:dyDescent="0.2">
      <c r="A84" s="79" t="s">
        <v>78</v>
      </c>
      <c r="B84" s="33" t="s">
        <v>70</v>
      </c>
      <c r="C84" s="33" t="s">
        <v>56</v>
      </c>
      <c r="D84" s="64" t="s">
        <v>6</v>
      </c>
      <c r="E84" s="59">
        <v>0.24</v>
      </c>
      <c r="F84" s="60">
        <v>0.15</v>
      </c>
      <c r="G84" s="60">
        <v>0.215</v>
      </c>
      <c r="H84" s="61">
        <v>0.15</v>
      </c>
      <c r="I84" s="53">
        <v>0</v>
      </c>
      <c r="J84" s="53">
        <v>0.53</v>
      </c>
      <c r="K84" s="53">
        <v>0</v>
      </c>
      <c r="L84" s="54">
        <v>0.48</v>
      </c>
    </row>
    <row r="85" spans="1:12" x14ac:dyDescent="0.2">
      <c r="A85" s="80"/>
      <c r="B85" s="34" t="s">
        <v>70</v>
      </c>
      <c r="C85" s="34" t="s">
        <v>56</v>
      </c>
      <c r="D85" s="65" t="s">
        <v>7</v>
      </c>
      <c r="E85" s="62">
        <v>0.23</v>
      </c>
      <c r="F85" s="67">
        <v>0.15</v>
      </c>
      <c r="G85" s="67">
        <v>0.20499999999999999</v>
      </c>
      <c r="H85" s="63">
        <v>0.15</v>
      </c>
      <c r="I85" s="53">
        <f t="shared" ref="I85:I87" si="80">IF(I84=0%,"0"%,I84-1%)</f>
        <v>0</v>
      </c>
      <c r="J85" s="53">
        <f t="shared" ref="J85:J87" si="81">IF(J84=0%,"0"%,J84-1%)</f>
        <v>0.52</v>
      </c>
      <c r="K85" s="53">
        <f t="shared" ref="K85:K87" si="82">IF(K84=0%,"0"%,K84-1%)</f>
        <v>0</v>
      </c>
      <c r="L85" s="54">
        <f t="shared" ref="L85:L87" si="83">IF(L84=0%,"0"%,L84-1%)</f>
        <v>0.47</v>
      </c>
    </row>
    <row r="86" spans="1:12" x14ac:dyDescent="0.2">
      <c r="A86" s="80"/>
      <c r="B86" s="34" t="s">
        <v>70</v>
      </c>
      <c r="C86" s="34" t="s">
        <v>56</v>
      </c>
      <c r="D86" s="65" t="s">
        <v>8</v>
      </c>
      <c r="E86" s="74">
        <v>0.21</v>
      </c>
      <c r="F86" s="67">
        <v>0.14499999999999999</v>
      </c>
      <c r="G86" s="67">
        <v>0.19500000000000001</v>
      </c>
      <c r="H86" s="63">
        <v>0.14499999999999999</v>
      </c>
      <c r="I86" s="53">
        <f t="shared" si="80"/>
        <v>0</v>
      </c>
      <c r="J86" s="53">
        <f t="shared" si="81"/>
        <v>0.51</v>
      </c>
      <c r="K86" s="53">
        <f t="shared" si="82"/>
        <v>0</v>
      </c>
      <c r="L86" s="54">
        <f t="shared" si="83"/>
        <v>0.45999999999999996</v>
      </c>
    </row>
    <row r="87" spans="1:12" ht="12" thickBot="1" x14ac:dyDescent="0.25">
      <c r="A87" s="81"/>
      <c r="B87" s="35" t="s">
        <v>70</v>
      </c>
      <c r="C87" s="35" t="s">
        <v>56</v>
      </c>
      <c r="D87" s="66" t="s">
        <v>9</v>
      </c>
      <c r="E87" s="76">
        <v>0.19500000000000001</v>
      </c>
      <c r="F87" s="71">
        <v>0.14499999999999999</v>
      </c>
      <c r="G87" s="71">
        <v>0.19500000000000001</v>
      </c>
      <c r="H87" s="72">
        <v>0.14499999999999999</v>
      </c>
      <c r="I87" s="53">
        <f t="shared" si="80"/>
        <v>0</v>
      </c>
      <c r="J87" s="53">
        <f t="shared" si="81"/>
        <v>0.5</v>
      </c>
      <c r="K87" s="53">
        <f t="shared" si="82"/>
        <v>0</v>
      </c>
      <c r="L87" s="54">
        <f t="shared" si="83"/>
        <v>0.44999999999999996</v>
      </c>
    </row>
    <row r="88" spans="1:12" x14ac:dyDescent="0.2">
      <c r="A88" s="79" t="s">
        <v>79</v>
      </c>
      <c r="B88" s="33" t="s">
        <v>70</v>
      </c>
      <c r="C88" s="33" t="s">
        <v>56</v>
      </c>
      <c r="D88" s="64" t="s">
        <v>6</v>
      </c>
      <c r="E88" s="59">
        <v>0.19500000000000001</v>
      </c>
      <c r="F88" s="60">
        <v>0.15</v>
      </c>
      <c r="G88" s="60">
        <v>0.215</v>
      </c>
      <c r="H88" s="61">
        <v>0.15</v>
      </c>
      <c r="I88" s="53">
        <v>0</v>
      </c>
      <c r="J88" s="53">
        <v>0.53</v>
      </c>
      <c r="K88" s="53">
        <v>0</v>
      </c>
      <c r="L88" s="54">
        <v>0.48</v>
      </c>
    </row>
    <row r="89" spans="1:12" x14ac:dyDescent="0.2">
      <c r="A89" s="80"/>
      <c r="B89" s="34" t="s">
        <v>70</v>
      </c>
      <c r="C89" s="34" t="s">
        <v>56</v>
      </c>
      <c r="D89" s="65" t="s">
        <v>7</v>
      </c>
      <c r="E89" s="62">
        <v>0.19500000000000001</v>
      </c>
      <c r="F89" s="67">
        <v>0.15</v>
      </c>
      <c r="G89" s="67">
        <v>0.20499999999999999</v>
      </c>
      <c r="H89" s="63">
        <v>0.15</v>
      </c>
      <c r="I89" s="53">
        <f t="shared" ref="I89:I91" si="84">IF(I88=0%,"0"%,I88-1%)</f>
        <v>0</v>
      </c>
      <c r="J89" s="53">
        <f t="shared" ref="J89:J91" si="85">IF(J88=0%,"0"%,J88-1%)</f>
        <v>0.52</v>
      </c>
      <c r="K89" s="53">
        <f t="shared" ref="K89:K91" si="86">IF(K88=0%,"0"%,K88-1%)</f>
        <v>0</v>
      </c>
      <c r="L89" s="54">
        <f t="shared" ref="L89:L91" si="87">IF(L88=0%,"0"%,L88-1%)</f>
        <v>0.47</v>
      </c>
    </row>
    <row r="90" spans="1:12" x14ac:dyDescent="0.2">
      <c r="A90" s="80"/>
      <c r="B90" s="34" t="s">
        <v>70</v>
      </c>
      <c r="C90" s="34" t="s">
        <v>56</v>
      </c>
      <c r="D90" s="65" t="s">
        <v>8</v>
      </c>
      <c r="E90" s="62">
        <v>0.19500000000000001</v>
      </c>
      <c r="F90" s="67">
        <v>0.14499999999999999</v>
      </c>
      <c r="G90" s="67">
        <v>0.19500000000000001</v>
      </c>
      <c r="H90" s="63">
        <v>0.14499999999999999</v>
      </c>
      <c r="I90" s="53">
        <f t="shared" si="84"/>
        <v>0</v>
      </c>
      <c r="J90" s="53">
        <f t="shared" si="85"/>
        <v>0.51</v>
      </c>
      <c r="K90" s="53">
        <f t="shared" si="86"/>
        <v>0</v>
      </c>
      <c r="L90" s="54">
        <f t="shared" si="87"/>
        <v>0.45999999999999996</v>
      </c>
    </row>
    <row r="91" spans="1:12" ht="12" thickBot="1" x14ac:dyDescent="0.25">
      <c r="A91" s="81"/>
      <c r="B91" s="35" t="s">
        <v>70</v>
      </c>
      <c r="C91" s="35" t="s">
        <v>56</v>
      </c>
      <c r="D91" s="66" t="s">
        <v>9</v>
      </c>
      <c r="E91" s="73">
        <v>0.19500000000000001</v>
      </c>
      <c r="F91" s="71">
        <v>0.14499999999999999</v>
      </c>
      <c r="G91" s="71">
        <v>0.19500000000000001</v>
      </c>
      <c r="H91" s="72">
        <v>0.14499999999999999</v>
      </c>
      <c r="I91" s="53">
        <f t="shared" si="84"/>
        <v>0</v>
      </c>
      <c r="J91" s="53">
        <f t="shared" si="85"/>
        <v>0.5</v>
      </c>
      <c r="K91" s="53">
        <f t="shared" si="86"/>
        <v>0</v>
      </c>
      <c r="L91" s="54">
        <f t="shared" si="87"/>
        <v>0.44999999999999996</v>
      </c>
    </row>
    <row r="92" spans="1:12" x14ac:dyDescent="0.2">
      <c r="A92" s="79" t="s">
        <v>80</v>
      </c>
      <c r="B92" s="33" t="s">
        <v>55</v>
      </c>
      <c r="C92" s="33" t="s">
        <v>56</v>
      </c>
      <c r="D92" s="64" t="s">
        <v>6</v>
      </c>
      <c r="E92" s="59">
        <v>0.24</v>
      </c>
      <c r="F92" s="60">
        <v>0.24</v>
      </c>
      <c r="G92" s="60">
        <v>0.215</v>
      </c>
      <c r="H92" s="61">
        <v>0.19500000000000001</v>
      </c>
      <c r="I92" s="53">
        <v>0.43</v>
      </c>
      <c r="J92" s="53">
        <v>0.48</v>
      </c>
      <c r="K92" s="53">
        <v>0.53</v>
      </c>
      <c r="L92" s="54">
        <v>0.53</v>
      </c>
    </row>
    <row r="93" spans="1:12" x14ac:dyDescent="0.2">
      <c r="A93" s="80"/>
      <c r="B93" s="34" t="s">
        <v>55</v>
      </c>
      <c r="C93" s="34" t="s">
        <v>56</v>
      </c>
      <c r="D93" s="65" t="s">
        <v>7</v>
      </c>
      <c r="E93" s="62">
        <v>0.23</v>
      </c>
      <c r="F93" s="67">
        <v>0.23</v>
      </c>
      <c r="G93" s="67">
        <v>0.20499999999999999</v>
      </c>
      <c r="H93" s="63">
        <v>0.19500000000000001</v>
      </c>
      <c r="I93" s="53">
        <f t="shared" ref="I93:I95" si="88">IF(I92=0%,"0"%,I92-1%)</f>
        <v>0.42</v>
      </c>
      <c r="J93" s="53">
        <f t="shared" ref="J93:J95" si="89">IF(J92=0%,"0"%,J92-1%)</f>
        <v>0.47</v>
      </c>
      <c r="K93" s="53">
        <f t="shared" ref="K93:K95" si="90">IF(K92=0%,"0"%,K92-1%)</f>
        <v>0.52</v>
      </c>
      <c r="L93" s="54">
        <f t="shared" ref="L93:L95" si="91">IF(L92=0%,"0"%,L92-1%)</f>
        <v>0.52</v>
      </c>
    </row>
    <row r="94" spans="1:12" x14ac:dyDescent="0.2">
      <c r="A94" s="80"/>
      <c r="B94" s="34" t="s">
        <v>55</v>
      </c>
      <c r="C94" s="34" t="s">
        <v>56</v>
      </c>
      <c r="D94" s="65" t="s">
        <v>8</v>
      </c>
      <c r="E94" s="74">
        <v>0.21</v>
      </c>
      <c r="F94" s="75">
        <v>0.21</v>
      </c>
      <c r="G94" s="67">
        <v>0.19500000000000001</v>
      </c>
      <c r="H94" s="63">
        <v>0.19</v>
      </c>
      <c r="I94" s="53">
        <f t="shared" si="88"/>
        <v>0.41</v>
      </c>
      <c r="J94" s="53">
        <f t="shared" si="89"/>
        <v>0.45999999999999996</v>
      </c>
      <c r="K94" s="53">
        <f t="shared" si="90"/>
        <v>0.51</v>
      </c>
      <c r="L94" s="54">
        <f t="shared" si="91"/>
        <v>0.51</v>
      </c>
    </row>
    <row r="95" spans="1:12" ht="12" thickBot="1" x14ac:dyDescent="0.25">
      <c r="A95" s="81"/>
      <c r="B95" s="35" t="s">
        <v>55</v>
      </c>
      <c r="C95" s="35" t="s">
        <v>56</v>
      </c>
      <c r="D95" s="66" t="s">
        <v>9</v>
      </c>
      <c r="E95" s="76">
        <v>0.19500000000000001</v>
      </c>
      <c r="F95" s="77">
        <v>0.19500000000000001</v>
      </c>
      <c r="G95" s="71">
        <v>0.19500000000000001</v>
      </c>
      <c r="H95" s="72">
        <v>0.19</v>
      </c>
      <c r="I95" s="53">
        <f t="shared" si="88"/>
        <v>0.39999999999999997</v>
      </c>
      <c r="J95" s="53">
        <f t="shared" si="89"/>
        <v>0.44999999999999996</v>
      </c>
      <c r="K95" s="53">
        <f t="shared" si="90"/>
        <v>0.5</v>
      </c>
      <c r="L95" s="54">
        <f t="shared" si="91"/>
        <v>0.5</v>
      </c>
    </row>
    <row r="96" spans="1:12" x14ac:dyDescent="0.2">
      <c r="A96" s="79" t="s">
        <v>81</v>
      </c>
      <c r="B96" s="33" t="s">
        <v>55</v>
      </c>
      <c r="C96" s="33" t="s">
        <v>56</v>
      </c>
      <c r="D96" s="64" t="s">
        <v>6</v>
      </c>
      <c r="E96" s="59">
        <v>0.24</v>
      </c>
      <c r="F96" s="60">
        <v>0.24</v>
      </c>
      <c r="G96" s="60">
        <v>0.19500000000000001</v>
      </c>
      <c r="H96" s="61">
        <v>0.19500000000000001</v>
      </c>
      <c r="I96" s="53">
        <v>0.43</v>
      </c>
      <c r="J96" s="53">
        <v>0.48</v>
      </c>
      <c r="K96" s="53">
        <v>0.53</v>
      </c>
      <c r="L96" s="54">
        <v>0.53</v>
      </c>
    </row>
    <row r="97" spans="1:12" x14ac:dyDescent="0.2">
      <c r="A97" s="80"/>
      <c r="B97" s="34" t="s">
        <v>55</v>
      </c>
      <c r="C97" s="34" t="s">
        <v>56</v>
      </c>
      <c r="D97" s="65" t="s">
        <v>7</v>
      </c>
      <c r="E97" s="62">
        <v>0.23</v>
      </c>
      <c r="F97" s="67">
        <v>0.23</v>
      </c>
      <c r="G97" s="67">
        <v>0.19500000000000001</v>
      </c>
      <c r="H97" s="63">
        <v>0.19500000000000001</v>
      </c>
      <c r="I97" s="53">
        <f t="shared" ref="I97:I99" si="92">IF(I96=0%,"0"%,I96-1%)</f>
        <v>0.42</v>
      </c>
      <c r="J97" s="53">
        <f t="shared" ref="J97:J99" si="93">IF(J96=0%,"0"%,J96-1%)</f>
        <v>0.47</v>
      </c>
      <c r="K97" s="53">
        <f t="shared" ref="K97:K99" si="94">IF(K96=0%,"0"%,K96-1%)</f>
        <v>0.52</v>
      </c>
      <c r="L97" s="54">
        <f t="shared" ref="L97:L99" si="95">IF(L96=0%,"0"%,L96-1%)</f>
        <v>0.52</v>
      </c>
    </row>
    <row r="98" spans="1:12" x14ac:dyDescent="0.2">
      <c r="A98" s="80"/>
      <c r="B98" s="34" t="s">
        <v>55</v>
      </c>
      <c r="C98" s="34" t="s">
        <v>56</v>
      </c>
      <c r="D98" s="65" t="s">
        <v>8</v>
      </c>
      <c r="E98" s="74">
        <v>0.21</v>
      </c>
      <c r="F98" s="75">
        <v>0.21</v>
      </c>
      <c r="G98" s="67">
        <v>0.19500000000000001</v>
      </c>
      <c r="H98" s="63">
        <v>0.19500000000000001</v>
      </c>
      <c r="I98" s="53">
        <f t="shared" si="92"/>
        <v>0.41</v>
      </c>
      <c r="J98" s="53">
        <f t="shared" si="93"/>
        <v>0.45999999999999996</v>
      </c>
      <c r="K98" s="53">
        <f t="shared" si="94"/>
        <v>0.51</v>
      </c>
      <c r="L98" s="54">
        <f t="shared" si="95"/>
        <v>0.51</v>
      </c>
    </row>
    <row r="99" spans="1:12" ht="12" thickBot="1" x14ac:dyDescent="0.25">
      <c r="A99" s="81"/>
      <c r="B99" s="35" t="s">
        <v>55</v>
      </c>
      <c r="C99" s="35" t="s">
        <v>56</v>
      </c>
      <c r="D99" s="66" t="s">
        <v>9</v>
      </c>
      <c r="E99" s="76">
        <v>0.19500000000000001</v>
      </c>
      <c r="F99" s="77">
        <v>0.19500000000000001</v>
      </c>
      <c r="G99" s="71">
        <v>0.19500000000000001</v>
      </c>
      <c r="H99" s="72">
        <v>0.19500000000000001</v>
      </c>
      <c r="I99" s="53">
        <f t="shared" si="92"/>
        <v>0.39999999999999997</v>
      </c>
      <c r="J99" s="53">
        <f t="shared" si="93"/>
        <v>0.44999999999999996</v>
      </c>
      <c r="K99" s="53">
        <f t="shared" si="94"/>
        <v>0.5</v>
      </c>
      <c r="L99" s="54">
        <f t="shared" si="95"/>
        <v>0.5</v>
      </c>
    </row>
  </sheetData>
  <autoFilter ref="A3:L99" xr:uid="{BEA87511-8B9D-4915-8127-E1981C9D362E}"/>
  <mergeCells count="25">
    <mergeCell ref="A2:L2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C757-6BA4-4816-BBCD-F16F93E6B420}">
  <dimension ref="A1:AK11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:D1048576"/>
    </sheetView>
  </sheetViews>
  <sheetFormatPr defaultColWidth="9.140625" defaultRowHeight="11.25" x14ac:dyDescent="0.25"/>
  <cols>
    <col min="1" max="1" width="21.5703125" style="7" bestFit="1" customWidth="1"/>
    <col min="2" max="2" width="10.28515625" style="7" customWidth="1"/>
    <col min="3" max="3" width="14.5703125" style="7" hidden="1" customWidth="1"/>
    <col min="4" max="4" width="14.140625" style="7" hidden="1" customWidth="1"/>
    <col min="5" max="19" width="10.28515625" style="17" customWidth="1"/>
    <col min="20" max="20" width="1.7109375" style="7" bestFit="1" customWidth="1"/>
    <col min="21" max="21" width="21.5703125" style="7" bestFit="1" customWidth="1"/>
    <col min="22" max="22" width="9.28515625" style="7" bestFit="1" customWidth="1"/>
    <col min="23" max="23" width="10.7109375" style="7" customWidth="1"/>
    <col min="24" max="16384" width="9.140625" style="7"/>
  </cols>
  <sheetData>
    <row r="1" spans="1:37" ht="12" thickBot="1" x14ac:dyDescent="0.3"/>
    <row r="2" spans="1:37" ht="12" thickBot="1" x14ac:dyDescent="0.3">
      <c r="A2" s="102" t="s">
        <v>53</v>
      </c>
      <c r="B2" s="102"/>
      <c r="E2" s="106" t="s">
        <v>10</v>
      </c>
      <c r="F2" s="107"/>
      <c r="G2" s="107"/>
      <c r="H2" s="107"/>
      <c r="I2" s="108"/>
      <c r="J2" s="106" t="s">
        <v>49</v>
      </c>
      <c r="K2" s="107"/>
      <c r="L2" s="107"/>
      <c r="M2" s="107"/>
      <c r="N2" s="108"/>
      <c r="O2" s="106" t="s">
        <v>52</v>
      </c>
      <c r="P2" s="107"/>
      <c r="Q2" s="107"/>
      <c r="R2" s="107"/>
      <c r="S2" s="108"/>
      <c r="U2" s="102" t="s">
        <v>48</v>
      </c>
      <c r="V2" s="102"/>
      <c r="W2" s="103" t="s">
        <v>10</v>
      </c>
      <c r="X2" s="104"/>
      <c r="Y2" s="104"/>
      <c r="Z2" s="104"/>
      <c r="AA2" s="105"/>
      <c r="AB2" s="103" t="s">
        <v>49</v>
      </c>
      <c r="AC2" s="104"/>
      <c r="AD2" s="104"/>
      <c r="AE2" s="104"/>
      <c r="AF2" s="105"/>
      <c r="AG2" s="103" t="s">
        <v>50</v>
      </c>
      <c r="AH2" s="104"/>
      <c r="AI2" s="104"/>
      <c r="AJ2" s="104"/>
      <c r="AK2" s="105"/>
    </row>
    <row r="3" spans="1:37" ht="12" thickBot="1" x14ac:dyDescent="0.3">
      <c r="A3" s="16" t="s">
        <v>19</v>
      </c>
      <c r="B3" s="18" t="s">
        <v>1</v>
      </c>
      <c r="C3" s="36" t="s">
        <v>34</v>
      </c>
      <c r="D3" s="36" t="s">
        <v>35</v>
      </c>
      <c r="E3" s="19" t="s">
        <v>37</v>
      </c>
      <c r="F3" s="20" t="s">
        <v>38</v>
      </c>
      <c r="G3" s="20" t="s">
        <v>39</v>
      </c>
      <c r="H3" s="20" t="s">
        <v>40</v>
      </c>
      <c r="I3" s="21" t="s">
        <v>21</v>
      </c>
      <c r="J3" s="19" t="s">
        <v>37</v>
      </c>
      <c r="K3" s="20" t="s">
        <v>38</v>
      </c>
      <c r="L3" s="20" t="s">
        <v>39</v>
      </c>
      <c r="M3" s="20" t="s">
        <v>40</v>
      </c>
      <c r="N3" s="21" t="s">
        <v>21</v>
      </c>
      <c r="O3" s="22" t="s">
        <v>37</v>
      </c>
      <c r="P3" s="23" t="s">
        <v>38</v>
      </c>
      <c r="Q3" s="23" t="s">
        <v>39</v>
      </c>
      <c r="R3" s="23" t="s">
        <v>40</v>
      </c>
      <c r="S3" s="24" t="s">
        <v>21</v>
      </c>
      <c r="T3" s="7" t="s">
        <v>51</v>
      </c>
      <c r="U3" s="16" t="s">
        <v>19</v>
      </c>
      <c r="V3" s="18" t="s">
        <v>1</v>
      </c>
      <c r="W3" s="19" t="s">
        <v>37</v>
      </c>
      <c r="X3" s="20" t="s">
        <v>38</v>
      </c>
      <c r="Y3" s="20" t="s">
        <v>39</v>
      </c>
      <c r="Z3" s="20" t="s">
        <v>40</v>
      </c>
      <c r="AA3" s="21" t="s">
        <v>21</v>
      </c>
      <c r="AB3" s="19" t="s">
        <v>37</v>
      </c>
      <c r="AC3" s="20" t="s">
        <v>38</v>
      </c>
      <c r="AD3" s="20" t="s">
        <v>39</v>
      </c>
      <c r="AE3" s="20" t="s">
        <v>40</v>
      </c>
      <c r="AF3" s="21" t="s">
        <v>21</v>
      </c>
      <c r="AG3" s="22" t="s">
        <v>37</v>
      </c>
      <c r="AH3" s="23" t="s">
        <v>38</v>
      </c>
      <c r="AI3" s="23" t="s">
        <v>39</v>
      </c>
      <c r="AJ3" s="23" t="s">
        <v>40</v>
      </c>
      <c r="AK3" s="24" t="s">
        <v>21</v>
      </c>
    </row>
    <row r="4" spans="1:37" x14ac:dyDescent="0.25">
      <c r="A4" s="88" t="s">
        <v>54</v>
      </c>
      <c r="B4" s="91" t="s">
        <v>41</v>
      </c>
      <c r="C4" s="25" t="s">
        <v>55</v>
      </c>
      <c r="D4" s="25" t="s">
        <v>56</v>
      </c>
      <c r="E4" s="93">
        <v>0.4</v>
      </c>
      <c r="F4" s="95">
        <v>0</v>
      </c>
      <c r="G4" s="95">
        <v>0</v>
      </c>
      <c r="H4" s="95">
        <v>0.27918433533141651</v>
      </c>
      <c r="I4" s="96">
        <v>0.25423165142366966</v>
      </c>
      <c r="J4" s="93">
        <v>0.5</v>
      </c>
      <c r="K4" s="95">
        <v>0</v>
      </c>
      <c r="L4" s="95">
        <v>0.1154787489601854</v>
      </c>
      <c r="M4" s="95">
        <v>0.42140837436542578</v>
      </c>
      <c r="N4" s="96">
        <v>0.41150215761067011</v>
      </c>
      <c r="O4" s="97">
        <v>0.5</v>
      </c>
      <c r="P4" s="95">
        <v>0</v>
      </c>
      <c r="Q4" s="95">
        <v>0.21398349083660106</v>
      </c>
      <c r="R4" s="95">
        <v>0.51097065891777926</v>
      </c>
      <c r="S4" s="96">
        <v>0.48079026209557224</v>
      </c>
      <c r="U4" s="88" t="s">
        <v>54</v>
      </c>
      <c r="V4" s="91" t="s">
        <v>41</v>
      </c>
      <c r="W4" s="93">
        <v>0.4</v>
      </c>
      <c r="X4" s="95" t="s">
        <v>36</v>
      </c>
      <c r="Y4" s="95" t="s">
        <v>36</v>
      </c>
      <c r="Z4" s="95">
        <v>0.28891244710855546</v>
      </c>
      <c r="AA4" s="96">
        <v>0.25423165142366966</v>
      </c>
      <c r="AB4" s="93">
        <v>0.5</v>
      </c>
      <c r="AC4" s="95" t="s">
        <v>36</v>
      </c>
      <c r="AD4" s="95" t="s">
        <v>36</v>
      </c>
      <c r="AE4" s="95">
        <v>0.44045374929491754</v>
      </c>
      <c r="AF4" s="96">
        <v>0.41150215761067011</v>
      </c>
      <c r="AG4" s="97">
        <v>0.5</v>
      </c>
      <c r="AH4" s="95" t="s">
        <v>36</v>
      </c>
      <c r="AI4" s="95" t="s">
        <v>36</v>
      </c>
      <c r="AJ4" s="95">
        <v>0.51904191641008168</v>
      </c>
      <c r="AK4" s="96">
        <v>0.48079026209557224</v>
      </c>
    </row>
    <row r="5" spans="1:37" x14ac:dyDescent="0.25">
      <c r="A5" s="89" t="s">
        <v>54</v>
      </c>
      <c r="B5" s="92"/>
      <c r="C5" s="26" t="s">
        <v>55</v>
      </c>
      <c r="D5" s="26" t="s">
        <v>56</v>
      </c>
      <c r="E5" s="94"/>
      <c r="F5" s="84"/>
      <c r="G5" s="84"/>
      <c r="H5" s="84"/>
      <c r="I5" s="86"/>
      <c r="J5" s="94"/>
      <c r="K5" s="84"/>
      <c r="L5" s="84"/>
      <c r="M5" s="84"/>
      <c r="N5" s="86"/>
      <c r="O5" s="98"/>
      <c r="P5" s="84"/>
      <c r="Q5" s="84"/>
      <c r="R5" s="84"/>
      <c r="S5" s="86"/>
      <c r="U5" s="89" t="s">
        <v>54</v>
      </c>
      <c r="V5" s="92"/>
      <c r="W5" s="94"/>
      <c r="X5" s="84"/>
      <c r="Y5" s="84"/>
      <c r="Z5" s="84"/>
      <c r="AA5" s="86"/>
      <c r="AB5" s="94"/>
      <c r="AC5" s="84"/>
      <c r="AD5" s="84"/>
      <c r="AE5" s="84"/>
      <c r="AF5" s="86"/>
      <c r="AG5" s="98"/>
      <c r="AH5" s="84"/>
      <c r="AI5" s="84"/>
      <c r="AJ5" s="84"/>
      <c r="AK5" s="86"/>
    </row>
    <row r="6" spans="1:37" x14ac:dyDescent="0.25">
      <c r="A6" s="89" t="s">
        <v>54</v>
      </c>
      <c r="B6" s="92" t="s">
        <v>42</v>
      </c>
      <c r="C6" s="26" t="s">
        <v>55</v>
      </c>
      <c r="D6" s="26" t="s">
        <v>56</v>
      </c>
      <c r="E6" s="94">
        <v>0.38</v>
      </c>
      <c r="F6" s="84">
        <v>0</v>
      </c>
      <c r="G6" s="84">
        <v>0</v>
      </c>
      <c r="H6" s="84">
        <v>0.25918433533141649</v>
      </c>
      <c r="I6" s="86">
        <v>0.23423165142366967</v>
      </c>
      <c r="J6" s="94">
        <v>0.48</v>
      </c>
      <c r="K6" s="84">
        <v>0</v>
      </c>
      <c r="L6" s="84">
        <v>9.5478748960185392E-2</v>
      </c>
      <c r="M6" s="84">
        <v>0.40140837436542576</v>
      </c>
      <c r="N6" s="86">
        <v>0.39150215761067009</v>
      </c>
      <c r="O6" s="98">
        <v>0.48</v>
      </c>
      <c r="P6" s="84">
        <v>0</v>
      </c>
      <c r="Q6" s="84">
        <v>0.19398349083660107</v>
      </c>
      <c r="R6" s="84">
        <v>0.49097065891777925</v>
      </c>
      <c r="S6" s="86">
        <v>0.46079026209557222</v>
      </c>
      <c r="U6" s="89" t="s">
        <v>54</v>
      </c>
      <c r="V6" s="92" t="s">
        <v>42</v>
      </c>
      <c r="W6" s="94">
        <v>0.38</v>
      </c>
      <c r="X6" s="84" t="s">
        <v>36</v>
      </c>
      <c r="Y6" s="84" t="s">
        <v>36</v>
      </c>
      <c r="Z6" s="84">
        <v>0.26891244710855544</v>
      </c>
      <c r="AA6" s="86">
        <v>0.23423165142366967</v>
      </c>
      <c r="AB6" s="94">
        <v>0.48</v>
      </c>
      <c r="AC6" s="84" t="s">
        <v>36</v>
      </c>
      <c r="AD6" s="84" t="s">
        <v>36</v>
      </c>
      <c r="AE6" s="84">
        <v>0.42045374929491752</v>
      </c>
      <c r="AF6" s="86">
        <v>0.39150215761067009</v>
      </c>
      <c r="AG6" s="98">
        <v>0.48</v>
      </c>
      <c r="AH6" s="84" t="s">
        <v>36</v>
      </c>
      <c r="AI6" s="84" t="s">
        <v>36</v>
      </c>
      <c r="AJ6" s="84">
        <v>0.49904191641008167</v>
      </c>
      <c r="AK6" s="86">
        <v>0.46079026209557222</v>
      </c>
    </row>
    <row r="7" spans="1:37" ht="12" thickBot="1" x14ac:dyDescent="0.3">
      <c r="A7" s="90" t="s">
        <v>54</v>
      </c>
      <c r="B7" s="99"/>
      <c r="C7" s="27" t="s">
        <v>55</v>
      </c>
      <c r="D7" s="27" t="s">
        <v>56</v>
      </c>
      <c r="E7" s="100"/>
      <c r="F7" s="85"/>
      <c r="G7" s="85"/>
      <c r="H7" s="85"/>
      <c r="I7" s="87"/>
      <c r="J7" s="100"/>
      <c r="K7" s="85"/>
      <c r="L7" s="85"/>
      <c r="M7" s="85"/>
      <c r="N7" s="87"/>
      <c r="O7" s="101"/>
      <c r="P7" s="85"/>
      <c r="Q7" s="85"/>
      <c r="R7" s="85"/>
      <c r="S7" s="87"/>
      <c r="U7" s="90" t="s">
        <v>54</v>
      </c>
      <c r="V7" s="99"/>
      <c r="W7" s="100"/>
      <c r="X7" s="85"/>
      <c r="Y7" s="85"/>
      <c r="Z7" s="85"/>
      <c r="AA7" s="87"/>
      <c r="AB7" s="100"/>
      <c r="AC7" s="85"/>
      <c r="AD7" s="85"/>
      <c r="AE7" s="85"/>
      <c r="AF7" s="87"/>
      <c r="AG7" s="101"/>
      <c r="AH7" s="85"/>
      <c r="AI7" s="85"/>
      <c r="AJ7" s="85"/>
      <c r="AK7" s="87"/>
    </row>
    <row r="8" spans="1:37" x14ac:dyDescent="0.25">
      <c r="A8" s="88" t="s">
        <v>57</v>
      </c>
      <c r="B8" s="91" t="s">
        <v>41</v>
      </c>
      <c r="C8" s="25" t="s">
        <v>55</v>
      </c>
      <c r="D8" s="25" t="s">
        <v>56</v>
      </c>
      <c r="E8" s="93">
        <v>0.4</v>
      </c>
      <c r="F8" s="95">
        <v>0</v>
      </c>
      <c r="G8" s="95">
        <v>0</v>
      </c>
      <c r="H8" s="95">
        <v>0.27918433533141651</v>
      </c>
      <c r="I8" s="96">
        <v>0.25091002994841938</v>
      </c>
      <c r="J8" s="93">
        <v>0.5</v>
      </c>
      <c r="K8" s="95">
        <v>0</v>
      </c>
      <c r="L8" s="95">
        <v>0.13713626619342489</v>
      </c>
      <c r="M8" s="95">
        <v>0.42140837436542578</v>
      </c>
      <c r="N8" s="96">
        <v>0.41082131626622553</v>
      </c>
      <c r="O8" s="97">
        <v>0.5</v>
      </c>
      <c r="P8" s="95">
        <v>0</v>
      </c>
      <c r="Q8" s="95">
        <v>0.23597211691629405</v>
      </c>
      <c r="R8" s="95">
        <v>0.51097065891777926</v>
      </c>
      <c r="S8" s="96">
        <v>0.48029992238596958</v>
      </c>
      <c r="U8" s="88" t="s">
        <v>57</v>
      </c>
      <c r="V8" s="91" t="s">
        <v>41</v>
      </c>
      <c r="W8" s="93">
        <v>0.4</v>
      </c>
      <c r="X8" s="95" t="s">
        <v>36</v>
      </c>
      <c r="Y8" s="95" t="s">
        <v>36</v>
      </c>
      <c r="Z8" s="95">
        <v>0.28891244710855546</v>
      </c>
      <c r="AA8" s="96">
        <v>0.25091002994841938</v>
      </c>
      <c r="AB8" s="93">
        <v>0.5</v>
      </c>
      <c r="AC8" s="95" t="s">
        <v>36</v>
      </c>
      <c r="AD8" s="95" t="s">
        <v>36</v>
      </c>
      <c r="AE8" s="95">
        <v>0.44045374929491754</v>
      </c>
      <c r="AF8" s="96">
        <v>0.41082131626622553</v>
      </c>
      <c r="AG8" s="97">
        <v>0.5</v>
      </c>
      <c r="AH8" s="95" t="s">
        <v>36</v>
      </c>
      <c r="AI8" s="95" t="s">
        <v>36</v>
      </c>
      <c r="AJ8" s="95">
        <v>0.51904191641008168</v>
      </c>
      <c r="AK8" s="96">
        <v>0.48029992238596958</v>
      </c>
    </row>
    <row r="9" spans="1:37" x14ac:dyDescent="0.25">
      <c r="A9" s="89" t="s">
        <v>57</v>
      </c>
      <c r="B9" s="92"/>
      <c r="C9" s="26" t="s">
        <v>55</v>
      </c>
      <c r="D9" s="26" t="s">
        <v>56</v>
      </c>
      <c r="E9" s="94"/>
      <c r="F9" s="84"/>
      <c r="G9" s="84"/>
      <c r="H9" s="84"/>
      <c r="I9" s="86"/>
      <c r="J9" s="94"/>
      <c r="K9" s="84"/>
      <c r="L9" s="84"/>
      <c r="M9" s="84"/>
      <c r="N9" s="86"/>
      <c r="O9" s="98"/>
      <c r="P9" s="84"/>
      <c r="Q9" s="84"/>
      <c r="R9" s="84"/>
      <c r="S9" s="86"/>
      <c r="U9" s="89" t="s">
        <v>57</v>
      </c>
      <c r="V9" s="92"/>
      <c r="W9" s="94"/>
      <c r="X9" s="84"/>
      <c r="Y9" s="84"/>
      <c r="Z9" s="84"/>
      <c r="AA9" s="86"/>
      <c r="AB9" s="94"/>
      <c r="AC9" s="84"/>
      <c r="AD9" s="84"/>
      <c r="AE9" s="84"/>
      <c r="AF9" s="86"/>
      <c r="AG9" s="98"/>
      <c r="AH9" s="84"/>
      <c r="AI9" s="84"/>
      <c r="AJ9" s="84"/>
      <c r="AK9" s="86"/>
    </row>
    <row r="10" spans="1:37" x14ac:dyDescent="0.25">
      <c r="A10" s="89" t="s">
        <v>57</v>
      </c>
      <c r="B10" s="92" t="s">
        <v>42</v>
      </c>
      <c r="C10" s="26" t="s">
        <v>55</v>
      </c>
      <c r="D10" s="26" t="s">
        <v>56</v>
      </c>
      <c r="E10" s="94">
        <v>0.38</v>
      </c>
      <c r="F10" s="84">
        <v>0</v>
      </c>
      <c r="G10" s="84">
        <v>0</v>
      </c>
      <c r="H10" s="84">
        <v>0.25918433533141649</v>
      </c>
      <c r="I10" s="86">
        <v>0.23091002994841939</v>
      </c>
      <c r="J10" s="94">
        <v>0.48</v>
      </c>
      <c r="K10" s="84">
        <v>0</v>
      </c>
      <c r="L10" s="84">
        <v>0.11713626619342489</v>
      </c>
      <c r="M10" s="84">
        <v>0.40140837436542576</v>
      </c>
      <c r="N10" s="86">
        <v>0.39082131626622552</v>
      </c>
      <c r="O10" s="98">
        <v>0.48</v>
      </c>
      <c r="P10" s="84">
        <v>0</v>
      </c>
      <c r="Q10" s="84">
        <v>0.21597211691629406</v>
      </c>
      <c r="R10" s="84">
        <v>0.49097065891777925</v>
      </c>
      <c r="S10" s="86">
        <v>0.46029992238596956</v>
      </c>
      <c r="U10" s="89" t="s">
        <v>57</v>
      </c>
      <c r="V10" s="92" t="s">
        <v>42</v>
      </c>
      <c r="W10" s="94">
        <v>0.38</v>
      </c>
      <c r="X10" s="84" t="s">
        <v>36</v>
      </c>
      <c r="Y10" s="84" t="s">
        <v>36</v>
      </c>
      <c r="Z10" s="84">
        <v>0.26891244710855544</v>
      </c>
      <c r="AA10" s="86">
        <v>0.23091002994841939</v>
      </c>
      <c r="AB10" s="94">
        <v>0.48</v>
      </c>
      <c r="AC10" s="84" t="s">
        <v>36</v>
      </c>
      <c r="AD10" s="84" t="s">
        <v>36</v>
      </c>
      <c r="AE10" s="84">
        <v>0.42045374929491752</v>
      </c>
      <c r="AF10" s="86">
        <v>0.39082131626622552</v>
      </c>
      <c r="AG10" s="98">
        <v>0.48</v>
      </c>
      <c r="AH10" s="84" t="s">
        <v>36</v>
      </c>
      <c r="AI10" s="84" t="s">
        <v>36</v>
      </c>
      <c r="AJ10" s="84">
        <v>0.49904191641008167</v>
      </c>
      <c r="AK10" s="86">
        <v>0.46029992238596956</v>
      </c>
    </row>
    <row r="11" spans="1:37" ht="12" thickBot="1" x14ac:dyDescent="0.3">
      <c r="A11" s="90" t="s">
        <v>57</v>
      </c>
      <c r="B11" s="99"/>
      <c r="C11" s="27" t="s">
        <v>55</v>
      </c>
      <c r="D11" s="27" t="s">
        <v>56</v>
      </c>
      <c r="E11" s="100"/>
      <c r="F11" s="85"/>
      <c r="G11" s="85"/>
      <c r="H11" s="85"/>
      <c r="I11" s="87"/>
      <c r="J11" s="100"/>
      <c r="K11" s="85"/>
      <c r="L11" s="85"/>
      <c r="M11" s="85"/>
      <c r="N11" s="87"/>
      <c r="O11" s="101"/>
      <c r="P11" s="85"/>
      <c r="Q11" s="85"/>
      <c r="R11" s="85"/>
      <c r="S11" s="87"/>
      <c r="U11" s="90" t="s">
        <v>57</v>
      </c>
      <c r="V11" s="99"/>
      <c r="W11" s="100"/>
      <c r="X11" s="85"/>
      <c r="Y11" s="85"/>
      <c r="Z11" s="85"/>
      <c r="AA11" s="87"/>
      <c r="AB11" s="100"/>
      <c r="AC11" s="85"/>
      <c r="AD11" s="85"/>
      <c r="AE11" s="85"/>
      <c r="AF11" s="87"/>
      <c r="AG11" s="101"/>
      <c r="AH11" s="85"/>
      <c r="AI11" s="85"/>
      <c r="AJ11" s="85"/>
      <c r="AK11" s="87"/>
    </row>
    <row r="12" spans="1:37" x14ac:dyDescent="0.25">
      <c r="A12" s="88" t="s">
        <v>89</v>
      </c>
      <c r="B12" s="91" t="s">
        <v>41</v>
      </c>
      <c r="C12" s="25" t="s">
        <v>55</v>
      </c>
      <c r="D12" s="25" t="s">
        <v>56</v>
      </c>
      <c r="E12" s="93">
        <v>0.4</v>
      </c>
      <c r="F12" s="95">
        <v>0</v>
      </c>
      <c r="G12" s="95">
        <v>0</v>
      </c>
      <c r="H12" s="95">
        <v>0.27918433533141651</v>
      </c>
      <c r="I12" s="96">
        <v>0.24368652011237857</v>
      </c>
      <c r="J12" s="93">
        <v>0.5</v>
      </c>
      <c r="K12" s="95">
        <v>0</v>
      </c>
      <c r="L12" s="95">
        <v>0</v>
      </c>
      <c r="M12" s="95">
        <v>0.42140837436542578</v>
      </c>
      <c r="N12" s="96">
        <v>0.39689573566526182</v>
      </c>
      <c r="O12" s="97">
        <v>0.5</v>
      </c>
      <c r="P12" s="95">
        <v>0</v>
      </c>
      <c r="Q12" s="95">
        <v>0.18873233580506343</v>
      </c>
      <c r="R12" s="95">
        <v>0.51097065891777926</v>
      </c>
      <c r="S12" s="96">
        <v>0.46591112867840939</v>
      </c>
      <c r="U12" s="88" t="s">
        <v>89</v>
      </c>
      <c r="V12" s="91" t="s">
        <v>41</v>
      </c>
      <c r="W12" s="93">
        <v>0.4</v>
      </c>
      <c r="X12" s="95" t="s">
        <v>36</v>
      </c>
      <c r="Y12" s="95" t="s">
        <v>36</v>
      </c>
      <c r="Z12" s="95">
        <v>0.28891244710855546</v>
      </c>
      <c r="AA12" s="96">
        <v>0.24368652011237857</v>
      </c>
      <c r="AB12" s="93">
        <v>0.5</v>
      </c>
      <c r="AC12" s="95" t="s">
        <v>36</v>
      </c>
      <c r="AD12" s="95" t="s">
        <v>36</v>
      </c>
      <c r="AE12" s="95">
        <v>0.44045374929491754</v>
      </c>
      <c r="AF12" s="96">
        <v>0.39689573566526182</v>
      </c>
      <c r="AG12" s="97">
        <v>0.5</v>
      </c>
      <c r="AH12" s="95" t="s">
        <v>36</v>
      </c>
      <c r="AI12" s="95" t="s">
        <v>36</v>
      </c>
      <c r="AJ12" s="95">
        <v>0.51904191641008168</v>
      </c>
      <c r="AK12" s="96">
        <v>0.46591112867840939</v>
      </c>
    </row>
    <row r="13" spans="1:37" x14ac:dyDescent="0.25">
      <c r="A13" s="89" t="s">
        <v>89</v>
      </c>
      <c r="B13" s="92"/>
      <c r="C13" s="26" t="s">
        <v>55</v>
      </c>
      <c r="D13" s="26" t="s">
        <v>56</v>
      </c>
      <c r="E13" s="94"/>
      <c r="F13" s="84"/>
      <c r="G13" s="84"/>
      <c r="H13" s="84"/>
      <c r="I13" s="86"/>
      <c r="J13" s="94"/>
      <c r="K13" s="84"/>
      <c r="L13" s="84"/>
      <c r="M13" s="84"/>
      <c r="N13" s="86"/>
      <c r="O13" s="98"/>
      <c r="P13" s="84"/>
      <c r="Q13" s="84"/>
      <c r="R13" s="84"/>
      <c r="S13" s="86"/>
      <c r="U13" s="89" t="s">
        <v>89</v>
      </c>
      <c r="V13" s="92"/>
      <c r="W13" s="94"/>
      <c r="X13" s="84"/>
      <c r="Y13" s="84"/>
      <c r="Z13" s="84"/>
      <c r="AA13" s="86"/>
      <c r="AB13" s="94"/>
      <c r="AC13" s="84"/>
      <c r="AD13" s="84"/>
      <c r="AE13" s="84"/>
      <c r="AF13" s="86"/>
      <c r="AG13" s="98"/>
      <c r="AH13" s="84"/>
      <c r="AI13" s="84"/>
      <c r="AJ13" s="84"/>
      <c r="AK13" s="86"/>
    </row>
    <row r="14" spans="1:37" x14ac:dyDescent="0.25">
      <c r="A14" s="89" t="s">
        <v>89</v>
      </c>
      <c r="B14" s="92" t="s">
        <v>42</v>
      </c>
      <c r="C14" s="26" t="s">
        <v>55</v>
      </c>
      <c r="D14" s="26" t="s">
        <v>56</v>
      </c>
      <c r="E14" s="94">
        <v>0.38</v>
      </c>
      <c r="F14" s="84">
        <v>0</v>
      </c>
      <c r="G14" s="84">
        <v>0</v>
      </c>
      <c r="H14" s="84">
        <v>0.25918433533141649</v>
      </c>
      <c r="I14" s="86">
        <v>0.22368652011237858</v>
      </c>
      <c r="J14" s="94">
        <v>0.48</v>
      </c>
      <c r="K14" s="84">
        <v>0</v>
      </c>
      <c r="L14" s="84">
        <v>0</v>
      </c>
      <c r="M14" s="84">
        <v>0.40140837436542576</v>
      </c>
      <c r="N14" s="86">
        <v>0.3768957356652618</v>
      </c>
      <c r="O14" s="98">
        <v>0.48</v>
      </c>
      <c r="P14" s="84">
        <v>0</v>
      </c>
      <c r="Q14" s="84">
        <v>0.16873233580506344</v>
      </c>
      <c r="R14" s="84">
        <v>0.49097065891777925</v>
      </c>
      <c r="S14" s="86">
        <v>0.44591112867840937</v>
      </c>
      <c r="U14" s="89" t="s">
        <v>89</v>
      </c>
      <c r="V14" s="92" t="s">
        <v>42</v>
      </c>
      <c r="W14" s="94">
        <v>0.38</v>
      </c>
      <c r="X14" s="84" t="s">
        <v>36</v>
      </c>
      <c r="Y14" s="84" t="s">
        <v>36</v>
      </c>
      <c r="Z14" s="84">
        <v>0.26891244710855544</v>
      </c>
      <c r="AA14" s="86">
        <v>0.22368652011237858</v>
      </c>
      <c r="AB14" s="94">
        <v>0.48</v>
      </c>
      <c r="AC14" s="84" t="s">
        <v>36</v>
      </c>
      <c r="AD14" s="84" t="s">
        <v>36</v>
      </c>
      <c r="AE14" s="84">
        <v>0.42045374929491752</v>
      </c>
      <c r="AF14" s="86">
        <v>0.3768957356652618</v>
      </c>
      <c r="AG14" s="98">
        <v>0.48</v>
      </c>
      <c r="AH14" s="84" t="s">
        <v>36</v>
      </c>
      <c r="AI14" s="84" t="s">
        <v>36</v>
      </c>
      <c r="AJ14" s="84">
        <v>0.49904191641008167</v>
      </c>
      <c r="AK14" s="86">
        <v>0.44591112867840937</v>
      </c>
    </row>
    <row r="15" spans="1:37" ht="12" thickBot="1" x14ac:dyDescent="0.3">
      <c r="A15" s="90" t="s">
        <v>89</v>
      </c>
      <c r="B15" s="99"/>
      <c r="C15" s="27" t="s">
        <v>55</v>
      </c>
      <c r="D15" s="27" t="s">
        <v>56</v>
      </c>
      <c r="E15" s="100"/>
      <c r="F15" s="85"/>
      <c r="G15" s="85"/>
      <c r="H15" s="85"/>
      <c r="I15" s="87"/>
      <c r="J15" s="100"/>
      <c r="K15" s="85"/>
      <c r="L15" s="85"/>
      <c r="M15" s="85"/>
      <c r="N15" s="87"/>
      <c r="O15" s="101"/>
      <c r="P15" s="85"/>
      <c r="Q15" s="85"/>
      <c r="R15" s="85"/>
      <c r="S15" s="87"/>
      <c r="U15" s="90" t="s">
        <v>89</v>
      </c>
      <c r="V15" s="99"/>
      <c r="W15" s="100"/>
      <c r="X15" s="85"/>
      <c r="Y15" s="85"/>
      <c r="Z15" s="85"/>
      <c r="AA15" s="87"/>
      <c r="AB15" s="100"/>
      <c r="AC15" s="85"/>
      <c r="AD15" s="85"/>
      <c r="AE15" s="85"/>
      <c r="AF15" s="87"/>
      <c r="AG15" s="101"/>
      <c r="AH15" s="85"/>
      <c r="AI15" s="85"/>
      <c r="AJ15" s="85"/>
      <c r="AK15" s="87"/>
    </row>
    <row r="16" spans="1:37" x14ac:dyDescent="0.25">
      <c r="A16" s="88" t="s">
        <v>90</v>
      </c>
      <c r="B16" s="91" t="s">
        <v>41</v>
      </c>
      <c r="C16" s="25" t="s">
        <v>55</v>
      </c>
      <c r="D16" s="25" t="s">
        <v>56</v>
      </c>
      <c r="E16" s="93">
        <v>0</v>
      </c>
      <c r="F16" s="95">
        <v>0</v>
      </c>
      <c r="G16" s="95">
        <v>0</v>
      </c>
      <c r="H16" s="95">
        <v>0.27918433533141651</v>
      </c>
      <c r="I16" s="96">
        <v>0</v>
      </c>
      <c r="J16" s="93">
        <v>0.25</v>
      </c>
      <c r="K16" s="95">
        <v>0</v>
      </c>
      <c r="L16" s="95">
        <v>0</v>
      </c>
      <c r="M16" s="95">
        <v>0.42140837436542578</v>
      </c>
      <c r="N16" s="96">
        <v>0</v>
      </c>
      <c r="O16" s="97">
        <v>0.3</v>
      </c>
      <c r="P16" s="95">
        <v>0</v>
      </c>
      <c r="Q16" s="95">
        <v>0</v>
      </c>
      <c r="R16" s="95">
        <v>0.51097065891777926</v>
      </c>
      <c r="S16" s="96">
        <v>0.13116229748282981</v>
      </c>
      <c r="U16" s="88" t="s">
        <v>90</v>
      </c>
      <c r="V16" s="91" t="s">
        <v>41</v>
      </c>
      <c r="W16" s="93">
        <v>0</v>
      </c>
      <c r="X16" s="95" t="s">
        <v>36</v>
      </c>
      <c r="Y16" s="95" t="s">
        <v>36</v>
      </c>
      <c r="Z16" s="95">
        <v>0.28891244710855546</v>
      </c>
      <c r="AA16" s="96" t="s">
        <v>36</v>
      </c>
      <c r="AB16" s="93">
        <v>0.25</v>
      </c>
      <c r="AC16" s="95" t="s">
        <v>36</v>
      </c>
      <c r="AD16" s="95" t="s">
        <v>36</v>
      </c>
      <c r="AE16" s="95">
        <v>0.44045374929491754</v>
      </c>
      <c r="AF16" s="96" t="s">
        <v>36</v>
      </c>
      <c r="AG16" s="97">
        <v>0.3</v>
      </c>
      <c r="AH16" s="95" t="s">
        <v>36</v>
      </c>
      <c r="AI16" s="95" t="s">
        <v>36</v>
      </c>
      <c r="AJ16" s="95">
        <v>0.51904191641008168</v>
      </c>
      <c r="AK16" s="96" t="s">
        <v>36</v>
      </c>
    </row>
    <row r="17" spans="1:37" x14ac:dyDescent="0.25">
      <c r="A17" s="89" t="s">
        <v>90</v>
      </c>
      <c r="B17" s="92"/>
      <c r="C17" s="26" t="s">
        <v>55</v>
      </c>
      <c r="D17" s="26" t="s">
        <v>56</v>
      </c>
      <c r="E17" s="94"/>
      <c r="F17" s="84"/>
      <c r="G17" s="84"/>
      <c r="H17" s="84"/>
      <c r="I17" s="86"/>
      <c r="J17" s="94"/>
      <c r="K17" s="84"/>
      <c r="L17" s="84"/>
      <c r="M17" s="84"/>
      <c r="N17" s="86"/>
      <c r="O17" s="98"/>
      <c r="P17" s="84"/>
      <c r="Q17" s="84"/>
      <c r="R17" s="84"/>
      <c r="S17" s="86"/>
      <c r="U17" s="89" t="s">
        <v>90</v>
      </c>
      <c r="V17" s="92"/>
      <c r="W17" s="94"/>
      <c r="X17" s="84"/>
      <c r="Y17" s="84"/>
      <c r="Z17" s="84"/>
      <c r="AA17" s="86"/>
      <c r="AB17" s="94"/>
      <c r="AC17" s="84"/>
      <c r="AD17" s="84"/>
      <c r="AE17" s="84"/>
      <c r="AF17" s="86"/>
      <c r="AG17" s="98"/>
      <c r="AH17" s="84"/>
      <c r="AI17" s="84"/>
      <c r="AJ17" s="84"/>
      <c r="AK17" s="86"/>
    </row>
    <row r="18" spans="1:37" x14ac:dyDescent="0.25">
      <c r="A18" s="89" t="s">
        <v>90</v>
      </c>
      <c r="B18" s="92" t="s">
        <v>42</v>
      </c>
      <c r="C18" s="26" t="s">
        <v>55</v>
      </c>
      <c r="D18" s="26" t="s">
        <v>56</v>
      </c>
      <c r="E18" s="94">
        <v>0</v>
      </c>
      <c r="F18" s="84">
        <v>0</v>
      </c>
      <c r="G18" s="84">
        <v>0</v>
      </c>
      <c r="H18" s="84">
        <v>0.25918433533141649</v>
      </c>
      <c r="I18" s="86">
        <v>0</v>
      </c>
      <c r="J18" s="94">
        <v>0.23</v>
      </c>
      <c r="K18" s="84">
        <v>0</v>
      </c>
      <c r="L18" s="84">
        <v>0</v>
      </c>
      <c r="M18" s="84">
        <v>0.40140837436542576</v>
      </c>
      <c r="N18" s="86">
        <v>0</v>
      </c>
      <c r="O18" s="98">
        <v>0.27999999999999997</v>
      </c>
      <c r="P18" s="84">
        <v>0</v>
      </c>
      <c r="Q18" s="84">
        <v>0</v>
      </c>
      <c r="R18" s="84">
        <v>0.49097065891777925</v>
      </c>
      <c r="S18" s="86">
        <v>0.11116229748282981</v>
      </c>
      <c r="U18" s="89" t="s">
        <v>90</v>
      </c>
      <c r="V18" s="92" t="s">
        <v>42</v>
      </c>
      <c r="W18" s="94">
        <v>0</v>
      </c>
      <c r="X18" s="84" t="s">
        <v>36</v>
      </c>
      <c r="Y18" s="84" t="s">
        <v>36</v>
      </c>
      <c r="Z18" s="84">
        <v>0.26891244710855544</v>
      </c>
      <c r="AA18" s="86" t="s">
        <v>36</v>
      </c>
      <c r="AB18" s="94">
        <v>0.23</v>
      </c>
      <c r="AC18" s="84" t="s">
        <v>36</v>
      </c>
      <c r="AD18" s="84" t="s">
        <v>36</v>
      </c>
      <c r="AE18" s="84">
        <v>0.42045374929491752</v>
      </c>
      <c r="AF18" s="86" t="s">
        <v>36</v>
      </c>
      <c r="AG18" s="98">
        <v>0.27999999999999997</v>
      </c>
      <c r="AH18" s="84" t="s">
        <v>36</v>
      </c>
      <c r="AI18" s="84" t="s">
        <v>36</v>
      </c>
      <c r="AJ18" s="84">
        <v>0.49904191641008167</v>
      </c>
      <c r="AK18" s="86" t="s">
        <v>36</v>
      </c>
    </row>
    <row r="19" spans="1:37" ht="12" thickBot="1" x14ac:dyDescent="0.3">
      <c r="A19" s="90" t="s">
        <v>90</v>
      </c>
      <c r="B19" s="99"/>
      <c r="C19" s="27" t="s">
        <v>55</v>
      </c>
      <c r="D19" s="27" t="s">
        <v>56</v>
      </c>
      <c r="E19" s="100"/>
      <c r="F19" s="85"/>
      <c r="G19" s="85"/>
      <c r="H19" s="85"/>
      <c r="I19" s="87"/>
      <c r="J19" s="100"/>
      <c r="K19" s="85"/>
      <c r="L19" s="85"/>
      <c r="M19" s="85"/>
      <c r="N19" s="87"/>
      <c r="O19" s="101"/>
      <c r="P19" s="85"/>
      <c r="Q19" s="85"/>
      <c r="R19" s="85"/>
      <c r="S19" s="87"/>
      <c r="U19" s="90" t="s">
        <v>90</v>
      </c>
      <c r="V19" s="99"/>
      <c r="W19" s="100"/>
      <c r="X19" s="85"/>
      <c r="Y19" s="85"/>
      <c r="Z19" s="85"/>
      <c r="AA19" s="87"/>
      <c r="AB19" s="100"/>
      <c r="AC19" s="85"/>
      <c r="AD19" s="85"/>
      <c r="AE19" s="85"/>
      <c r="AF19" s="87"/>
      <c r="AG19" s="101"/>
      <c r="AH19" s="85"/>
      <c r="AI19" s="85"/>
      <c r="AJ19" s="85"/>
      <c r="AK19" s="87"/>
    </row>
    <row r="20" spans="1:37" x14ac:dyDescent="0.25">
      <c r="A20" s="88" t="s">
        <v>59</v>
      </c>
      <c r="B20" s="91" t="s">
        <v>41</v>
      </c>
      <c r="C20" s="25" t="s">
        <v>60</v>
      </c>
      <c r="D20" s="25" t="s">
        <v>56</v>
      </c>
      <c r="E20" s="93">
        <v>0.5</v>
      </c>
      <c r="F20" s="95">
        <v>0.4</v>
      </c>
      <c r="G20" s="95">
        <v>0</v>
      </c>
      <c r="H20" s="95">
        <v>0.36535275876443851</v>
      </c>
      <c r="I20" s="96">
        <v>0.37242814432109783</v>
      </c>
      <c r="J20" s="93">
        <v>0.6</v>
      </c>
      <c r="K20" s="95">
        <v>0.5</v>
      </c>
      <c r="L20" s="95">
        <v>0.29714450555384775</v>
      </c>
      <c r="M20" s="95">
        <v>0.51878480982958752</v>
      </c>
      <c r="N20" s="96">
        <v>0.5284735437356527</v>
      </c>
      <c r="O20" s="97">
        <v>0.6</v>
      </c>
      <c r="P20" s="95">
        <v>0.5</v>
      </c>
      <c r="Q20" s="95">
        <v>0.39538641264937202</v>
      </c>
      <c r="R20" s="95">
        <v>0.54099999999999993</v>
      </c>
      <c r="S20" s="96">
        <v>0.59752225998168462</v>
      </c>
      <c r="U20" s="88" t="s">
        <v>59</v>
      </c>
      <c r="V20" s="91" t="s">
        <v>41</v>
      </c>
      <c r="W20" s="93">
        <v>0.5</v>
      </c>
      <c r="X20" s="95">
        <v>0.40052141179561696</v>
      </c>
      <c r="Y20" s="95" t="s">
        <v>36</v>
      </c>
      <c r="Z20" s="95">
        <v>0.40380367835258457</v>
      </c>
      <c r="AA20" s="96">
        <v>0.37242814432109783</v>
      </c>
      <c r="AB20" s="93">
        <v>0.6</v>
      </c>
      <c r="AC20" s="95">
        <v>0.49999999999999994</v>
      </c>
      <c r="AD20" s="95" t="s">
        <v>36</v>
      </c>
      <c r="AE20" s="95">
        <v>0.54864978869954162</v>
      </c>
      <c r="AF20" s="96">
        <v>0.5284735437356527</v>
      </c>
      <c r="AG20" s="97">
        <v>0.6</v>
      </c>
      <c r="AH20" s="95">
        <v>0.49999999999999994</v>
      </c>
      <c r="AI20" s="95" t="s">
        <v>36</v>
      </c>
      <c r="AJ20" s="95">
        <v>0.54999999999999993</v>
      </c>
      <c r="AK20" s="96">
        <v>0.59752225998168462</v>
      </c>
    </row>
    <row r="21" spans="1:37" x14ac:dyDescent="0.25">
      <c r="A21" s="89" t="s">
        <v>59</v>
      </c>
      <c r="B21" s="92"/>
      <c r="C21" s="26" t="s">
        <v>60</v>
      </c>
      <c r="D21" s="26" t="s">
        <v>56</v>
      </c>
      <c r="E21" s="94"/>
      <c r="F21" s="84"/>
      <c r="G21" s="84"/>
      <c r="H21" s="84"/>
      <c r="I21" s="86"/>
      <c r="J21" s="94"/>
      <c r="K21" s="84"/>
      <c r="L21" s="84"/>
      <c r="M21" s="84"/>
      <c r="N21" s="86"/>
      <c r="O21" s="98"/>
      <c r="P21" s="84"/>
      <c r="Q21" s="84"/>
      <c r="R21" s="84"/>
      <c r="S21" s="86"/>
      <c r="U21" s="89" t="s">
        <v>59</v>
      </c>
      <c r="V21" s="92"/>
      <c r="W21" s="94"/>
      <c r="X21" s="84"/>
      <c r="Y21" s="84"/>
      <c r="Z21" s="84"/>
      <c r="AA21" s="86"/>
      <c r="AB21" s="94"/>
      <c r="AC21" s="84"/>
      <c r="AD21" s="84"/>
      <c r="AE21" s="84"/>
      <c r="AF21" s="86"/>
      <c r="AG21" s="98"/>
      <c r="AH21" s="84"/>
      <c r="AI21" s="84"/>
      <c r="AJ21" s="84"/>
      <c r="AK21" s="86"/>
    </row>
    <row r="22" spans="1:37" x14ac:dyDescent="0.25">
      <c r="A22" s="89" t="s">
        <v>59</v>
      </c>
      <c r="B22" s="92" t="s">
        <v>42</v>
      </c>
      <c r="C22" s="26" t="s">
        <v>60</v>
      </c>
      <c r="D22" s="26" t="s">
        <v>56</v>
      </c>
      <c r="E22" s="94">
        <v>0.48</v>
      </c>
      <c r="F22" s="84">
        <v>0.38</v>
      </c>
      <c r="G22" s="84">
        <v>0</v>
      </c>
      <c r="H22" s="84">
        <v>0.34535275876443849</v>
      </c>
      <c r="I22" s="86">
        <v>0.35242814432109781</v>
      </c>
      <c r="J22" s="94">
        <v>0.57999999999999996</v>
      </c>
      <c r="K22" s="84">
        <v>0.48</v>
      </c>
      <c r="L22" s="84">
        <v>0.27714450555384773</v>
      </c>
      <c r="M22" s="84">
        <v>0.49878480982958751</v>
      </c>
      <c r="N22" s="86">
        <v>0.50847354373565268</v>
      </c>
      <c r="O22" s="98">
        <v>0.57999999999999996</v>
      </c>
      <c r="P22" s="84">
        <v>0.48</v>
      </c>
      <c r="Q22" s="84">
        <v>0.375386412649372</v>
      </c>
      <c r="R22" s="84">
        <v>0.52099999999999991</v>
      </c>
      <c r="S22" s="86">
        <v>0.5775222599816846</v>
      </c>
      <c r="U22" s="89" t="s">
        <v>59</v>
      </c>
      <c r="V22" s="92" t="s">
        <v>42</v>
      </c>
      <c r="W22" s="94">
        <v>0.48</v>
      </c>
      <c r="X22" s="84">
        <v>0.38052141179561694</v>
      </c>
      <c r="Y22" s="84" t="s">
        <v>36</v>
      </c>
      <c r="Z22" s="84">
        <v>0.38380367835258455</v>
      </c>
      <c r="AA22" s="86">
        <v>0.35242814432109781</v>
      </c>
      <c r="AB22" s="94">
        <v>0.57999999999999996</v>
      </c>
      <c r="AC22" s="84">
        <v>0.47999999999999993</v>
      </c>
      <c r="AD22" s="84" t="s">
        <v>36</v>
      </c>
      <c r="AE22" s="84">
        <v>0.5286497886995416</v>
      </c>
      <c r="AF22" s="86">
        <v>0.50847354373565268</v>
      </c>
      <c r="AG22" s="98">
        <v>0.57999999999999996</v>
      </c>
      <c r="AH22" s="84">
        <v>0.47999999999999993</v>
      </c>
      <c r="AI22" s="84" t="s">
        <v>36</v>
      </c>
      <c r="AJ22" s="84">
        <v>0.52999999999999992</v>
      </c>
      <c r="AK22" s="86">
        <v>0.5775222599816846</v>
      </c>
    </row>
    <row r="23" spans="1:37" ht="12" thickBot="1" x14ac:dyDescent="0.3">
      <c r="A23" s="90" t="s">
        <v>59</v>
      </c>
      <c r="B23" s="99"/>
      <c r="C23" s="27" t="s">
        <v>60</v>
      </c>
      <c r="D23" s="27" t="s">
        <v>56</v>
      </c>
      <c r="E23" s="100"/>
      <c r="F23" s="85"/>
      <c r="G23" s="85"/>
      <c r="H23" s="85"/>
      <c r="I23" s="87"/>
      <c r="J23" s="100"/>
      <c r="K23" s="85"/>
      <c r="L23" s="85"/>
      <c r="M23" s="85"/>
      <c r="N23" s="87"/>
      <c r="O23" s="101"/>
      <c r="P23" s="85"/>
      <c r="Q23" s="85"/>
      <c r="R23" s="85"/>
      <c r="S23" s="87"/>
      <c r="U23" s="90" t="s">
        <v>59</v>
      </c>
      <c r="V23" s="99"/>
      <c r="W23" s="100"/>
      <c r="X23" s="85"/>
      <c r="Y23" s="85"/>
      <c r="Z23" s="85"/>
      <c r="AA23" s="87"/>
      <c r="AB23" s="100"/>
      <c r="AC23" s="85"/>
      <c r="AD23" s="85"/>
      <c r="AE23" s="85"/>
      <c r="AF23" s="87"/>
      <c r="AG23" s="101"/>
      <c r="AH23" s="85"/>
      <c r="AI23" s="85"/>
      <c r="AJ23" s="85"/>
      <c r="AK23" s="87"/>
    </row>
    <row r="24" spans="1:37" x14ac:dyDescent="0.25">
      <c r="A24" s="88" t="s">
        <v>61</v>
      </c>
      <c r="B24" s="91" t="s">
        <v>41</v>
      </c>
      <c r="C24" s="25" t="s">
        <v>60</v>
      </c>
      <c r="D24" s="25" t="s">
        <v>56</v>
      </c>
      <c r="E24" s="93">
        <v>0.5</v>
      </c>
      <c r="F24" s="95">
        <v>0.23</v>
      </c>
      <c r="G24" s="95">
        <v>0</v>
      </c>
      <c r="H24" s="95">
        <v>0.20129899499373316</v>
      </c>
      <c r="I24" s="96">
        <v>0.28470098277602174</v>
      </c>
      <c r="J24" s="93">
        <v>0.6</v>
      </c>
      <c r="K24" s="95">
        <v>0.38</v>
      </c>
      <c r="L24" s="95">
        <v>0.14225078635779476</v>
      </c>
      <c r="M24" s="95">
        <v>0.32697637847054284</v>
      </c>
      <c r="N24" s="96">
        <v>0.43193833009634475</v>
      </c>
      <c r="O24" s="97">
        <v>0.6</v>
      </c>
      <c r="P24" s="95">
        <v>0.44</v>
      </c>
      <c r="Q24" s="95">
        <v>0.23962083898336284</v>
      </c>
      <c r="R24" s="95">
        <v>0.43448870522981464</v>
      </c>
      <c r="S24" s="96">
        <v>0.50047955245862163</v>
      </c>
      <c r="U24" s="88" t="s">
        <v>61</v>
      </c>
      <c r="V24" s="91" t="s">
        <v>41</v>
      </c>
      <c r="W24" s="93">
        <v>0.5</v>
      </c>
      <c r="X24" s="95">
        <v>0.22874212423692408</v>
      </c>
      <c r="Y24" s="95" t="s">
        <v>36</v>
      </c>
      <c r="Z24" s="95">
        <v>0.18506532665831077</v>
      </c>
      <c r="AA24" s="96">
        <v>0.28470098277602174</v>
      </c>
      <c r="AB24" s="93">
        <v>0.6</v>
      </c>
      <c r="AC24" s="95">
        <v>0.38443876707988334</v>
      </c>
      <c r="AD24" s="95" t="s">
        <v>36</v>
      </c>
      <c r="AE24" s="95">
        <v>0.33552930941171422</v>
      </c>
      <c r="AF24" s="96">
        <v>0.43193833009634475</v>
      </c>
      <c r="AG24" s="97">
        <v>0.6</v>
      </c>
      <c r="AH24" s="95">
        <v>0.44100065185311832</v>
      </c>
      <c r="AI24" s="95" t="s">
        <v>36</v>
      </c>
      <c r="AJ24" s="95">
        <v>0.44019454147403569</v>
      </c>
      <c r="AK24" s="96">
        <v>0.50047955245862163</v>
      </c>
    </row>
    <row r="25" spans="1:37" x14ac:dyDescent="0.25">
      <c r="A25" s="89" t="s">
        <v>61</v>
      </c>
      <c r="B25" s="92"/>
      <c r="C25" s="26" t="s">
        <v>60</v>
      </c>
      <c r="D25" s="26" t="s">
        <v>56</v>
      </c>
      <c r="E25" s="94"/>
      <c r="F25" s="84"/>
      <c r="G25" s="84"/>
      <c r="H25" s="84"/>
      <c r="I25" s="86"/>
      <c r="J25" s="94"/>
      <c r="K25" s="84"/>
      <c r="L25" s="84"/>
      <c r="M25" s="84"/>
      <c r="N25" s="86"/>
      <c r="O25" s="98"/>
      <c r="P25" s="84"/>
      <c r="Q25" s="84"/>
      <c r="R25" s="84"/>
      <c r="S25" s="86"/>
      <c r="U25" s="89" t="s">
        <v>61</v>
      </c>
      <c r="V25" s="92"/>
      <c r="W25" s="94"/>
      <c r="X25" s="84"/>
      <c r="Y25" s="84"/>
      <c r="Z25" s="84"/>
      <c r="AA25" s="86"/>
      <c r="AB25" s="94"/>
      <c r="AC25" s="84"/>
      <c r="AD25" s="84"/>
      <c r="AE25" s="84"/>
      <c r="AF25" s="86"/>
      <c r="AG25" s="98"/>
      <c r="AH25" s="84"/>
      <c r="AI25" s="84"/>
      <c r="AJ25" s="84"/>
      <c r="AK25" s="86"/>
    </row>
    <row r="26" spans="1:37" x14ac:dyDescent="0.25">
      <c r="A26" s="89" t="s">
        <v>61</v>
      </c>
      <c r="B26" s="92" t="s">
        <v>42</v>
      </c>
      <c r="C26" s="26" t="s">
        <v>60</v>
      </c>
      <c r="D26" s="26" t="s">
        <v>56</v>
      </c>
      <c r="E26" s="94">
        <v>0.48</v>
      </c>
      <c r="F26" s="84">
        <v>0.21000000000000002</v>
      </c>
      <c r="G26" s="84">
        <v>0</v>
      </c>
      <c r="H26" s="84">
        <v>0.18129899499373317</v>
      </c>
      <c r="I26" s="86">
        <v>0.26470098277602172</v>
      </c>
      <c r="J26" s="94">
        <v>0.57999999999999996</v>
      </c>
      <c r="K26" s="84">
        <v>0.36</v>
      </c>
      <c r="L26" s="84">
        <v>0.12225078635779475</v>
      </c>
      <c r="M26" s="84">
        <v>0.30697637847054282</v>
      </c>
      <c r="N26" s="86">
        <v>0.41193833009634473</v>
      </c>
      <c r="O26" s="98">
        <v>0.57999999999999996</v>
      </c>
      <c r="P26" s="84">
        <v>0.42</v>
      </c>
      <c r="Q26" s="84">
        <v>0.21962083898336285</v>
      </c>
      <c r="R26" s="84">
        <v>0.41448870522981462</v>
      </c>
      <c r="S26" s="86">
        <v>0.48047955245862162</v>
      </c>
      <c r="U26" s="89" t="s">
        <v>61</v>
      </c>
      <c r="V26" s="92" t="s">
        <v>42</v>
      </c>
      <c r="W26" s="94">
        <v>0.48</v>
      </c>
      <c r="X26" s="84">
        <v>0.20874212423692409</v>
      </c>
      <c r="Y26" s="84" t="s">
        <v>36</v>
      </c>
      <c r="Z26" s="84">
        <v>0.16506532665831078</v>
      </c>
      <c r="AA26" s="86">
        <v>0.26470098277602172</v>
      </c>
      <c r="AB26" s="94">
        <v>0.57999999999999996</v>
      </c>
      <c r="AC26" s="84">
        <v>0.36443876707988332</v>
      </c>
      <c r="AD26" s="84" t="s">
        <v>36</v>
      </c>
      <c r="AE26" s="84">
        <v>0.3155293094117142</v>
      </c>
      <c r="AF26" s="86">
        <v>0.41193833009634473</v>
      </c>
      <c r="AG26" s="98">
        <v>0.57999999999999996</v>
      </c>
      <c r="AH26" s="84">
        <v>0.4210006518531183</v>
      </c>
      <c r="AI26" s="84" t="s">
        <v>36</v>
      </c>
      <c r="AJ26" s="84">
        <v>0.42019454147403568</v>
      </c>
      <c r="AK26" s="86">
        <v>0.48047955245862162</v>
      </c>
    </row>
    <row r="27" spans="1:37" ht="12" thickBot="1" x14ac:dyDescent="0.3">
      <c r="A27" s="90" t="s">
        <v>61</v>
      </c>
      <c r="B27" s="99"/>
      <c r="C27" s="27" t="s">
        <v>60</v>
      </c>
      <c r="D27" s="27" t="s">
        <v>56</v>
      </c>
      <c r="E27" s="100"/>
      <c r="F27" s="85"/>
      <c r="G27" s="85"/>
      <c r="H27" s="85"/>
      <c r="I27" s="87"/>
      <c r="J27" s="100"/>
      <c r="K27" s="85"/>
      <c r="L27" s="85"/>
      <c r="M27" s="85"/>
      <c r="N27" s="87"/>
      <c r="O27" s="101"/>
      <c r="P27" s="85"/>
      <c r="Q27" s="85"/>
      <c r="R27" s="85"/>
      <c r="S27" s="87"/>
      <c r="U27" s="90" t="s">
        <v>61</v>
      </c>
      <c r="V27" s="99"/>
      <c r="W27" s="100"/>
      <c r="X27" s="85"/>
      <c r="Y27" s="85"/>
      <c r="Z27" s="85"/>
      <c r="AA27" s="87"/>
      <c r="AB27" s="100"/>
      <c r="AC27" s="85"/>
      <c r="AD27" s="85"/>
      <c r="AE27" s="85"/>
      <c r="AF27" s="87"/>
      <c r="AG27" s="101"/>
      <c r="AH27" s="85"/>
      <c r="AI27" s="85"/>
      <c r="AJ27" s="85"/>
      <c r="AK27" s="87"/>
    </row>
    <row r="28" spans="1:37" x14ac:dyDescent="0.25">
      <c r="A28" s="88" t="s">
        <v>91</v>
      </c>
      <c r="B28" s="91" t="s">
        <v>41</v>
      </c>
      <c r="C28" s="25" t="s">
        <v>60</v>
      </c>
      <c r="D28" s="25" t="s">
        <v>56</v>
      </c>
      <c r="E28" s="93">
        <v>0.5</v>
      </c>
      <c r="F28" s="95">
        <v>0.27</v>
      </c>
      <c r="G28" s="95">
        <v>0</v>
      </c>
      <c r="H28" s="95">
        <v>0.20129899499373316</v>
      </c>
      <c r="I28" s="96">
        <v>0.28359675946658225</v>
      </c>
      <c r="J28" s="93">
        <v>0.6</v>
      </c>
      <c r="K28" s="95">
        <v>0.43</v>
      </c>
      <c r="L28" s="95">
        <v>0.16998617793439819</v>
      </c>
      <c r="M28" s="95">
        <v>0.32697637847054284</v>
      </c>
      <c r="N28" s="96">
        <v>0.44510398879454272</v>
      </c>
      <c r="O28" s="97">
        <v>0.6</v>
      </c>
      <c r="P28" s="95">
        <v>0.48</v>
      </c>
      <c r="Q28" s="95">
        <v>0.26892421819678003</v>
      </c>
      <c r="R28" s="95">
        <v>0.43448870522981464</v>
      </c>
      <c r="S28" s="96">
        <v>0.51465281199466983</v>
      </c>
      <c r="U28" s="88" t="s">
        <v>91</v>
      </c>
      <c r="V28" s="91" t="s">
        <v>41</v>
      </c>
      <c r="W28" s="93">
        <v>0.5</v>
      </c>
      <c r="X28" s="95" t="s">
        <v>36</v>
      </c>
      <c r="Y28" s="95" t="s">
        <v>36</v>
      </c>
      <c r="Z28" s="95">
        <v>0.18506532665831077</v>
      </c>
      <c r="AA28" s="96">
        <v>0.28359675946658225</v>
      </c>
      <c r="AB28" s="93">
        <v>0.6</v>
      </c>
      <c r="AC28" s="95" t="s">
        <v>36</v>
      </c>
      <c r="AD28" s="95" t="s">
        <v>36</v>
      </c>
      <c r="AE28" s="95">
        <v>0.33552930941171422</v>
      </c>
      <c r="AF28" s="96">
        <v>0.44510398879454272</v>
      </c>
      <c r="AG28" s="97">
        <v>0.6</v>
      </c>
      <c r="AH28" s="95" t="s">
        <v>36</v>
      </c>
      <c r="AI28" s="95" t="s">
        <v>36</v>
      </c>
      <c r="AJ28" s="95">
        <v>0.44019454147403569</v>
      </c>
      <c r="AK28" s="96">
        <v>0.51465281199466983</v>
      </c>
    </row>
    <row r="29" spans="1:37" x14ac:dyDescent="0.25">
      <c r="A29" s="89" t="s">
        <v>91</v>
      </c>
      <c r="B29" s="92"/>
      <c r="C29" s="26" t="s">
        <v>60</v>
      </c>
      <c r="D29" s="26" t="s">
        <v>56</v>
      </c>
      <c r="E29" s="94"/>
      <c r="F29" s="84"/>
      <c r="G29" s="84"/>
      <c r="H29" s="84"/>
      <c r="I29" s="86"/>
      <c r="J29" s="94"/>
      <c r="K29" s="84"/>
      <c r="L29" s="84"/>
      <c r="M29" s="84"/>
      <c r="N29" s="86"/>
      <c r="O29" s="98"/>
      <c r="P29" s="84"/>
      <c r="Q29" s="84"/>
      <c r="R29" s="84"/>
      <c r="S29" s="86"/>
      <c r="U29" s="89" t="s">
        <v>91</v>
      </c>
      <c r="V29" s="92"/>
      <c r="W29" s="94"/>
      <c r="X29" s="84"/>
      <c r="Y29" s="84"/>
      <c r="Z29" s="84"/>
      <c r="AA29" s="86"/>
      <c r="AB29" s="94"/>
      <c r="AC29" s="84"/>
      <c r="AD29" s="84"/>
      <c r="AE29" s="84"/>
      <c r="AF29" s="86"/>
      <c r="AG29" s="98"/>
      <c r="AH29" s="84"/>
      <c r="AI29" s="84"/>
      <c r="AJ29" s="84"/>
      <c r="AK29" s="86"/>
    </row>
    <row r="30" spans="1:37" x14ac:dyDescent="0.25">
      <c r="A30" s="89" t="s">
        <v>91</v>
      </c>
      <c r="B30" s="92" t="s">
        <v>42</v>
      </c>
      <c r="C30" s="26" t="s">
        <v>60</v>
      </c>
      <c r="D30" s="26" t="s">
        <v>56</v>
      </c>
      <c r="E30" s="94">
        <v>0.48</v>
      </c>
      <c r="F30" s="84">
        <v>0.25</v>
      </c>
      <c r="G30" s="84">
        <v>0</v>
      </c>
      <c r="H30" s="84">
        <v>0.18129899499373317</v>
      </c>
      <c r="I30" s="86">
        <v>0.26359675946658223</v>
      </c>
      <c r="J30" s="94">
        <v>0.57999999999999996</v>
      </c>
      <c r="K30" s="84">
        <v>0.41</v>
      </c>
      <c r="L30" s="84">
        <v>0.1499861779343982</v>
      </c>
      <c r="M30" s="84">
        <v>0.30697637847054282</v>
      </c>
      <c r="N30" s="86">
        <v>0.4251039887945427</v>
      </c>
      <c r="O30" s="98">
        <v>0.57999999999999996</v>
      </c>
      <c r="P30" s="84">
        <v>0.45999999999999996</v>
      </c>
      <c r="Q30" s="84">
        <v>0.24892421819678004</v>
      </c>
      <c r="R30" s="84">
        <v>0.41448870522981462</v>
      </c>
      <c r="S30" s="86">
        <v>0.49465281199466982</v>
      </c>
      <c r="U30" s="89" t="s">
        <v>91</v>
      </c>
      <c r="V30" s="92" t="s">
        <v>42</v>
      </c>
      <c r="W30" s="94">
        <v>0.48</v>
      </c>
      <c r="X30" s="84" t="s">
        <v>36</v>
      </c>
      <c r="Y30" s="84" t="s">
        <v>36</v>
      </c>
      <c r="Z30" s="84">
        <v>0.16506532665831078</v>
      </c>
      <c r="AA30" s="86">
        <v>0.26359675946658223</v>
      </c>
      <c r="AB30" s="94">
        <v>0.57999999999999996</v>
      </c>
      <c r="AC30" s="84" t="s">
        <v>36</v>
      </c>
      <c r="AD30" s="84" t="s">
        <v>36</v>
      </c>
      <c r="AE30" s="84">
        <v>0.3155293094117142</v>
      </c>
      <c r="AF30" s="86">
        <v>0.4251039887945427</v>
      </c>
      <c r="AG30" s="98">
        <v>0.57999999999999996</v>
      </c>
      <c r="AH30" s="84" t="s">
        <v>36</v>
      </c>
      <c r="AI30" s="84" t="s">
        <v>36</v>
      </c>
      <c r="AJ30" s="84">
        <v>0.42019454147403568</v>
      </c>
      <c r="AK30" s="86">
        <v>0.49465281199466982</v>
      </c>
    </row>
    <row r="31" spans="1:37" ht="12" thickBot="1" x14ac:dyDescent="0.3">
      <c r="A31" s="90" t="s">
        <v>91</v>
      </c>
      <c r="B31" s="99"/>
      <c r="C31" s="27" t="s">
        <v>60</v>
      </c>
      <c r="D31" s="27" t="s">
        <v>56</v>
      </c>
      <c r="E31" s="100"/>
      <c r="F31" s="85"/>
      <c r="G31" s="85"/>
      <c r="H31" s="85"/>
      <c r="I31" s="87"/>
      <c r="J31" s="100"/>
      <c r="K31" s="85"/>
      <c r="L31" s="85"/>
      <c r="M31" s="85"/>
      <c r="N31" s="87"/>
      <c r="O31" s="101"/>
      <c r="P31" s="85"/>
      <c r="Q31" s="85"/>
      <c r="R31" s="85"/>
      <c r="S31" s="87"/>
      <c r="U31" s="90" t="s">
        <v>91</v>
      </c>
      <c r="V31" s="99"/>
      <c r="W31" s="100"/>
      <c r="X31" s="85"/>
      <c r="Y31" s="85"/>
      <c r="Z31" s="85"/>
      <c r="AA31" s="87"/>
      <c r="AB31" s="100"/>
      <c r="AC31" s="85"/>
      <c r="AD31" s="85"/>
      <c r="AE31" s="85"/>
      <c r="AF31" s="87"/>
      <c r="AG31" s="101"/>
      <c r="AH31" s="85"/>
      <c r="AI31" s="85"/>
      <c r="AJ31" s="85"/>
      <c r="AK31" s="87"/>
    </row>
    <row r="32" spans="1:37" x14ac:dyDescent="0.25">
      <c r="A32" s="88" t="s">
        <v>64</v>
      </c>
      <c r="B32" s="91" t="s">
        <v>41</v>
      </c>
      <c r="C32" s="25" t="s">
        <v>60</v>
      </c>
      <c r="D32" s="25" t="s">
        <v>56</v>
      </c>
      <c r="E32" s="93">
        <v>0.5</v>
      </c>
      <c r="F32" s="95">
        <v>0.5</v>
      </c>
      <c r="G32" s="95">
        <v>0.16718200479982803</v>
      </c>
      <c r="H32" s="95">
        <v>0.20129899499373316</v>
      </c>
      <c r="I32" s="96">
        <v>0.42764353153791157</v>
      </c>
      <c r="J32" s="93">
        <v>0.6</v>
      </c>
      <c r="K32" s="95">
        <v>0.5</v>
      </c>
      <c r="L32" s="95">
        <v>0.375</v>
      </c>
      <c r="M32" s="95">
        <v>0.32697637847054284</v>
      </c>
      <c r="N32" s="96">
        <v>0.58601391708571704</v>
      </c>
      <c r="O32" s="97">
        <v>0.6</v>
      </c>
      <c r="P32" s="95">
        <v>0.5</v>
      </c>
      <c r="Q32" s="95">
        <v>0.42499999999999993</v>
      </c>
      <c r="R32" s="95">
        <v>0.43448870522981464</v>
      </c>
      <c r="S32" s="96">
        <v>0.6</v>
      </c>
      <c r="U32" s="88" t="s">
        <v>64</v>
      </c>
      <c r="V32" s="91" t="s">
        <v>41</v>
      </c>
      <c r="W32" s="93">
        <v>0.5</v>
      </c>
      <c r="X32" s="95">
        <v>0.49885543165383306</v>
      </c>
      <c r="Y32" s="95">
        <v>0.31197000799971353</v>
      </c>
      <c r="Z32" s="95">
        <v>0.18506532665831077</v>
      </c>
      <c r="AA32" s="96">
        <v>0.42764353153791157</v>
      </c>
      <c r="AB32" s="93">
        <v>0.6</v>
      </c>
      <c r="AC32" s="95">
        <v>0.49999999999999994</v>
      </c>
      <c r="AD32" s="95">
        <v>0.44999999999999996</v>
      </c>
      <c r="AE32" s="95">
        <v>0.33552930941171422</v>
      </c>
      <c r="AF32" s="96">
        <v>0.58601391708571704</v>
      </c>
      <c r="AG32" s="97">
        <v>0.6</v>
      </c>
      <c r="AH32" s="95">
        <v>0.49999999999999994</v>
      </c>
      <c r="AI32" s="95">
        <v>0.44999999999999996</v>
      </c>
      <c r="AJ32" s="95">
        <v>0.44019454147403569</v>
      </c>
      <c r="AK32" s="96">
        <v>0.6</v>
      </c>
    </row>
    <row r="33" spans="1:37" x14ac:dyDescent="0.25">
      <c r="A33" s="89" t="s">
        <v>64</v>
      </c>
      <c r="B33" s="92"/>
      <c r="C33" s="26" t="s">
        <v>60</v>
      </c>
      <c r="D33" s="26" t="s">
        <v>56</v>
      </c>
      <c r="E33" s="94"/>
      <c r="F33" s="84"/>
      <c r="G33" s="84"/>
      <c r="H33" s="84"/>
      <c r="I33" s="86"/>
      <c r="J33" s="94"/>
      <c r="K33" s="84"/>
      <c r="L33" s="84"/>
      <c r="M33" s="84"/>
      <c r="N33" s="86"/>
      <c r="O33" s="98"/>
      <c r="P33" s="84"/>
      <c r="Q33" s="84"/>
      <c r="R33" s="84"/>
      <c r="S33" s="86"/>
      <c r="U33" s="89" t="s">
        <v>64</v>
      </c>
      <c r="V33" s="92"/>
      <c r="W33" s="94"/>
      <c r="X33" s="84"/>
      <c r="Y33" s="84"/>
      <c r="Z33" s="84"/>
      <c r="AA33" s="86"/>
      <c r="AB33" s="94"/>
      <c r="AC33" s="84"/>
      <c r="AD33" s="84"/>
      <c r="AE33" s="84"/>
      <c r="AF33" s="86"/>
      <c r="AG33" s="98"/>
      <c r="AH33" s="84"/>
      <c r="AI33" s="84"/>
      <c r="AJ33" s="84"/>
      <c r="AK33" s="86"/>
    </row>
    <row r="34" spans="1:37" x14ac:dyDescent="0.25">
      <c r="A34" s="89" t="s">
        <v>64</v>
      </c>
      <c r="B34" s="92" t="s">
        <v>42</v>
      </c>
      <c r="C34" s="26" t="s">
        <v>60</v>
      </c>
      <c r="D34" s="26" t="s">
        <v>56</v>
      </c>
      <c r="E34" s="94">
        <v>0.48</v>
      </c>
      <c r="F34" s="84">
        <v>0.48</v>
      </c>
      <c r="G34" s="84">
        <v>0.14718200479982804</v>
      </c>
      <c r="H34" s="84">
        <v>0.18129899499373317</v>
      </c>
      <c r="I34" s="86">
        <v>0.40764353153791155</v>
      </c>
      <c r="J34" s="94">
        <v>0.57999999999999996</v>
      </c>
      <c r="K34" s="84">
        <v>0.48</v>
      </c>
      <c r="L34" s="84">
        <v>0.35499999999999998</v>
      </c>
      <c r="M34" s="84">
        <v>0.30697637847054282</v>
      </c>
      <c r="N34" s="86">
        <v>0.56601391708571702</v>
      </c>
      <c r="O34" s="98">
        <v>0.57999999999999996</v>
      </c>
      <c r="P34" s="84">
        <v>0.48</v>
      </c>
      <c r="Q34" s="84">
        <v>0.40499999999999992</v>
      </c>
      <c r="R34" s="84">
        <v>0.41448870522981462</v>
      </c>
      <c r="S34" s="86">
        <v>0.57999999999999996</v>
      </c>
      <c r="U34" s="89" t="s">
        <v>64</v>
      </c>
      <c r="V34" s="92" t="s">
        <v>42</v>
      </c>
      <c r="W34" s="94">
        <v>0.48</v>
      </c>
      <c r="X34" s="84">
        <v>0.47885543165383304</v>
      </c>
      <c r="Y34" s="84">
        <v>0.29197000799971351</v>
      </c>
      <c r="Z34" s="84">
        <v>0.16506532665831078</v>
      </c>
      <c r="AA34" s="86">
        <v>0.40764353153791155</v>
      </c>
      <c r="AB34" s="94">
        <v>0.57999999999999996</v>
      </c>
      <c r="AC34" s="84">
        <v>0.47999999999999993</v>
      </c>
      <c r="AD34" s="84">
        <v>0.42999999999999994</v>
      </c>
      <c r="AE34" s="84">
        <v>0.3155293094117142</v>
      </c>
      <c r="AF34" s="86">
        <v>0.56601391708571702</v>
      </c>
      <c r="AG34" s="98">
        <v>0.57999999999999996</v>
      </c>
      <c r="AH34" s="84">
        <v>0.47999999999999993</v>
      </c>
      <c r="AI34" s="84">
        <v>0.42999999999999994</v>
      </c>
      <c r="AJ34" s="84">
        <v>0.42019454147403568</v>
      </c>
      <c r="AK34" s="86">
        <v>0.57999999999999996</v>
      </c>
    </row>
    <row r="35" spans="1:37" ht="12" thickBot="1" x14ac:dyDescent="0.3">
      <c r="A35" s="90" t="s">
        <v>64</v>
      </c>
      <c r="B35" s="99"/>
      <c r="C35" s="27" t="s">
        <v>60</v>
      </c>
      <c r="D35" s="27" t="s">
        <v>56</v>
      </c>
      <c r="E35" s="100"/>
      <c r="F35" s="85"/>
      <c r="G35" s="85"/>
      <c r="H35" s="85"/>
      <c r="I35" s="87"/>
      <c r="J35" s="100"/>
      <c r="K35" s="85"/>
      <c r="L35" s="85"/>
      <c r="M35" s="85"/>
      <c r="N35" s="87"/>
      <c r="O35" s="101"/>
      <c r="P35" s="85"/>
      <c r="Q35" s="85"/>
      <c r="R35" s="85"/>
      <c r="S35" s="87"/>
      <c r="U35" s="90" t="s">
        <v>64</v>
      </c>
      <c r="V35" s="99"/>
      <c r="W35" s="100"/>
      <c r="X35" s="85"/>
      <c r="Y35" s="85"/>
      <c r="Z35" s="85"/>
      <c r="AA35" s="87"/>
      <c r="AB35" s="100"/>
      <c r="AC35" s="85"/>
      <c r="AD35" s="85"/>
      <c r="AE35" s="85"/>
      <c r="AF35" s="87"/>
      <c r="AG35" s="101"/>
      <c r="AH35" s="85"/>
      <c r="AI35" s="85"/>
      <c r="AJ35" s="85"/>
      <c r="AK35" s="87"/>
    </row>
    <row r="36" spans="1:37" x14ac:dyDescent="0.25">
      <c r="A36" s="88" t="s">
        <v>92</v>
      </c>
      <c r="B36" s="91" t="s">
        <v>41</v>
      </c>
      <c r="C36" s="25" t="s">
        <v>60</v>
      </c>
      <c r="D36" s="25" t="s">
        <v>56</v>
      </c>
      <c r="E36" s="93">
        <v>0.3</v>
      </c>
      <c r="F36" s="95">
        <v>0</v>
      </c>
      <c r="G36" s="95">
        <v>0</v>
      </c>
      <c r="H36" s="95">
        <v>0.20129899499373316</v>
      </c>
      <c r="I36" s="96">
        <v>0.15230663485894969</v>
      </c>
      <c r="J36" s="93">
        <v>0.45</v>
      </c>
      <c r="K36" s="95">
        <v>0</v>
      </c>
      <c r="L36" s="95">
        <v>0</v>
      </c>
      <c r="M36" s="95">
        <v>0.32697637847054284</v>
      </c>
      <c r="N36" s="96">
        <v>0.30318505061076262</v>
      </c>
      <c r="O36" s="97">
        <v>0.5</v>
      </c>
      <c r="P36" s="95">
        <v>0</v>
      </c>
      <c r="Q36" s="95">
        <v>0</v>
      </c>
      <c r="R36" s="95">
        <v>0.43448870522981464</v>
      </c>
      <c r="S36" s="96">
        <v>0.37215439018769825</v>
      </c>
      <c r="U36" s="88" t="s">
        <v>92</v>
      </c>
      <c r="V36" s="91" t="s">
        <v>41</v>
      </c>
      <c r="W36" s="93">
        <v>0.3</v>
      </c>
      <c r="X36" s="95" t="s">
        <v>36</v>
      </c>
      <c r="Y36" s="95" t="s">
        <v>36</v>
      </c>
      <c r="Z36" s="95">
        <v>0.18506532665831077</v>
      </c>
      <c r="AA36" s="96">
        <v>0.15230663485894969</v>
      </c>
      <c r="AB36" s="93">
        <v>0.45</v>
      </c>
      <c r="AC36" s="95" t="s">
        <v>36</v>
      </c>
      <c r="AD36" s="95" t="s">
        <v>36</v>
      </c>
      <c r="AE36" s="95">
        <v>0.33552930941171422</v>
      </c>
      <c r="AF36" s="96">
        <v>0.30318505061076262</v>
      </c>
      <c r="AG36" s="97">
        <v>0.5</v>
      </c>
      <c r="AH36" s="95" t="s">
        <v>36</v>
      </c>
      <c r="AI36" s="95" t="s">
        <v>36</v>
      </c>
      <c r="AJ36" s="95">
        <v>0.44019454147403569</v>
      </c>
      <c r="AK36" s="96">
        <v>0.37215439018769825</v>
      </c>
    </row>
    <row r="37" spans="1:37" x14ac:dyDescent="0.25">
      <c r="A37" s="89" t="s">
        <v>92</v>
      </c>
      <c r="B37" s="92"/>
      <c r="C37" s="26" t="s">
        <v>60</v>
      </c>
      <c r="D37" s="26" t="s">
        <v>56</v>
      </c>
      <c r="E37" s="94"/>
      <c r="F37" s="84"/>
      <c r="G37" s="84"/>
      <c r="H37" s="84"/>
      <c r="I37" s="86"/>
      <c r="J37" s="94"/>
      <c r="K37" s="84"/>
      <c r="L37" s="84"/>
      <c r="M37" s="84"/>
      <c r="N37" s="86"/>
      <c r="O37" s="98"/>
      <c r="P37" s="84"/>
      <c r="Q37" s="84"/>
      <c r="R37" s="84"/>
      <c r="S37" s="86"/>
      <c r="U37" s="89" t="s">
        <v>92</v>
      </c>
      <c r="V37" s="92"/>
      <c r="W37" s="94"/>
      <c r="X37" s="84"/>
      <c r="Y37" s="84"/>
      <c r="Z37" s="84"/>
      <c r="AA37" s="86"/>
      <c r="AB37" s="94"/>
      <c r="AC37" s="84"/>
      <c r="AD37" s="84"/>
      <c r="AE37" s="84"/>
      <c r="AF37" s="86"/>
      <c r="AG37" s="98"/>
      <c r="AH37" s="84"/>
      <c r="AI37" s="84"/>
      <c r="AJ37" s="84"/>
      <c r="AK37" s="86"/>
    </row>
    <row r="38" spans="1:37" x14ac:dyDescent="0.25">
      <c r="A38" s="89" t="s">
        <v>92</v>
      </c>
      <c r="B38" s="92" t="s">
        <v>42</v>
      </c>
      <c r="C38" s="26" t="s">
        <v>60</v>
      </c>
      <c r="D38" s="26" t="s">
        <v>56</v>
      </c>
      <c r="E38" s="94">
        <v>0.27999999999999997</v>
      </c>
      <c r="F38" s="84">
        <v>0</v>
      </c>
      <c r="G38" s="84">
        <v>0</v>
      </c>
      <c r="H38" s="84">
        <v>0.18129899499373317</v>
      </c>
      <c r="I38" s="86">
        <v>0.1323066348589497</v>
      </c>
      <c r="J38" s="94">
        <v>0.43</v>
      </c>
      <c r="K38" s="84">
        <v>0</v>
      </c>
      <c r="L38" s="84">
        <v>0</v>
      </c>
      <c r="M38" s="84">
        <v>0.30697637847054282</v>
      </c>
      <c r="N38" s="86">
        <v>0.2831850506107626</v>
      </c>
      <c r="O38" s="98">
        <v>0.48</v>
      </c>
      <c r="P38" s="84">
        <v>0</v>
      </c>
      <c r="Q38" s="84">
        <v>0</v>
      </c>
      <c r="R38" s="84">
        <v>0.41448870522981462</v>
      </c>
      <c r="S38" s="86">
        <v>0.35215439018769823</v>
      </c>
      <c r="U38" s="89" t="s">
        <v>92</v>
      </c>
      <c r="V38" s="92" t="s">
        <v>42</v>
      </c>
      <c r="W38" s="94">
        <v>0.27999999999999997</v>
      </c>
      <c r="X38" s="84" t="s">
        <v>36</v>
      </c>
      <c r="Y38" s="84" t="s">
        <v>36</v>
      </c>
      <c r="Z38" s="84">
        <v>0.16506532665831078</v>
      </c>
      <c r="AA38" s="86">
        <v>0.1323066348589497</v>
      </c>
      <c r="AB38" s="94">
        <v>0.43</v>
      </c>
      <c r="AC38" s="84" t="s">
        <v>36</v>
      </c>
      <c r="AD38" s="84" t="s">
        <v>36</v>
      </c>
      <c r="AE38" s="84">
        <v>0.3155293094117142</v>
      </c>
      <c r="AF38" s="86">
        <v>0.2831850506107626</v>
      </c>
      <c r="AG38" s="98">
        <v>0.48</v>
      </c>
      <c r="AH38" s="84" t="s">
        <v>36</v>
      </c>
      <c r="AI38" s="84" t="s">
        <v>36</v>
      </c>
      <c r="AJ38" s="84">
        <v>0.42019454147403568</v>
      </c>
      <c r="AK38" s="86">
        <v>0.35215439018769823</v>
      </c>
    </row>
    <row r="39" spans="1:37" ht="12" thickBot="1" x14ac:dyDescent="0.3">
      <c r="A39" s="90" t="s">
        <v>92</v>
      </c>
      <c r="B39" s="99"/>
      <c r="C39" s="27" t="s">
        <v>60</v>
      </c>
      <c r="D39" s="27" t="s">
        <v>56</v>
      </c>
      <c r="E39" s="100"/>
      <c r="F39" s="85"/>
      <c r="G39" s="85"/>
      <c r="H39" s="85"/>
      <c r="I39" s="87"/>
      <c r="J39" s="100"/>
      <c r="K39" s="85"/>
      <c r="L39" s="85"/>
      <c r="M39" s="85"/>
      <c r="N39" s="87"/>
      <c r="O39" s="101"/>
      <c r="P39" s="85"/>
      <c r="Q39" s="85"/>
      <c r="R39" s="85"/>
      <c r="S39" s="87"/>
      <c r="U39" s="90" t="s">
        <v>92</v>
      </c>
      <c r="V39" s="99"/>
      <c r="W39" s="100"/>
      <c r="X39" s="85"/>
      <c r="Y39" s="85"/>
      <c r="Z39" s="85"/>
      <c r="AA39" s="87"/>
      <c r="AB39" s="100"/>
      <c r="AC39" s="85"/>
      <c r="AD39" s="85"/>
      <c r="AE39" s="85"/>
      <c r="AF39" s="87"/>
      <c r="AG39" s="101"/>
      <c r="AH39" s="85"/>
      <c r="AI39" s="85"/>
      <c r="AJ39" s="85"/>
      <c r="AK39" s="87"/>
    </row>
    <row r="40" spans="1:37" x14ac:dyDescent="0.25">
      <c r="A40" s="88" t="s">
        <v>65</v>
      </c>
      <c r="B40" s="91" t="s">
        <v>41</v>
      </c>
      <c r="C40" s="25" t="s">
        <v>55</v>
      </c>
      <c r="D40" s="25" t="s">
        <v>56</v>
      </c>
      <c r="E40" s="93">
        <v>0.4</v>
      </c>
      <c r="F40" s="95">
        <v>0</v>
      </c>
      <c r="G40" s="95">
        <v>0</v>
      </c>
      <c r="H40" s="95">
        <v>0</v>
      </c>
      <c r="I40" s="96">
        <v>0.18741498738784623</v>
      </c>
      <c r="J40" s="93">
        <v>0.55000000000000004</v>
      </c>
      <c r="K40" s="95">
        <v>0</v>
      </c>
      <c r="L40" s="95">
        <v>0</v>
      </c>
      <c r="M40" s="95">
        <v>0.12544061094663939</v>
      </c>
      <c r="N40" s="96">
        <v>0.37345087145963496</v>
      </c>
      <c r="O40" s="97">
        <v>0.6</v>
      </c>
      <c r="P40" s="95">
        <v>0</v>
      </c>
      <c r="Q40" s="95">
        <v>0.17246694721657607</v>
      </c>
      <c r="R40" s="95">
        <v>0.31110869090121651</v>
      </c>
      <c r="S40" s="96">
        <v>0.44485372125637979</v>
      </c>
      <c r="U40" s="88" t="s">
        <v>65</v>
      </c>
      <c r="V40" s="91" t="s">
        <v>41</v>
      </c>
      <c r="W40" s="93">
        <v>0.4</v>
      </c>
      <c r="X40" s="95" t="s">
        <v>36</v>
      </c>
      <c r="Y40" s="95" t="s">
        <v>36</v>
      </c>
      <c r="Z40" s="95">
        <v>0</v>
      </c>
      <c r="AA40" s="96">
        <v>0.18741498738784623</v>
      </c>
      <c r="AB40" s="93">
        <v>0.55000000000000004</v>
      </c>
      <c r="AC40" s="95" t="s">
        <v>36</v>
      </c>
      <c r="AD40" s="95" t="s">
        <v>36</v>
      </c>
      <c r="AE40" s="95">
        <v>0.11160067882959923</v>
      </c>
      <c r="AF40" s="96">
        <v>0.37345087145963496</v>
      </c>
      <c r="AG40" s="97">
        <v>0.6</v>
      </c>
      <c r="AH40" s="95" t="s">
        <v>36</v>
      </c>
      <c r="AI40" s="95" t="s">
        <v>36</v>
      </c>
      <c r="AJ40" s="95">
        <v>0.31299865041362529</v>
      </c>
      <c r="AK40" s="96">
        <v>0.44485372125637979</v>
      </c>
    </row>
    <row r="41" spans="1:37" x14ac:dyDescent="0.25">
      <c r="A41" s="89" t="s">
        <v>65</v>
      </c>
      <c r="B41" s="92"/>
      <c r="C41" s="26" t="s">
        <v>55</v>
      </c>
      <c r="D41" s="26" t="s">
        <v>56</v>
      </c>
      <c r="E41" s="94"/>
      <c r="F41" s="84"/>
      <c r="G41" s="84"/>
      <c r="H41" s="84"/>
      <c r="I41" s="86"/>
      <c r="J41" s="94"/>
      <c r="K41" s="84"/>
      <c r="L41" s="84"/>
      <c r="M41" s="84"/>
      <c r="N41" s="86"/>
      <c r="O41" s="98"/>
      <c r="P41" s="84"/>
      <c r="Q41" s="84"/>
      <c r="R41" s="84"/>
      <c r="S41" s="86"/>
      <c r="U41" s="89" t="s">
        <v>65</v>
      </c>
      <c r="V41" s="92"/>
      <c r="W41" s="94"/>
      <c r="X41" s="84"/>
      <c r="Y41" s="84"/>
      <c r="Z41" s="84"/>
      <c r="AA41" s="86"/>
      <c r="AB41" s="94"/>
      <c r="AC41" s="84"/>
      <c r="AD41" s="84"/>
      <c r="AE41" s="84"/>
      <c r="AF41" s="86"/>
      <c r="AG41" s="98"/>
      <c r="AH41" s="84"/>
      <c r="AI41" s="84"/>
      <c r="AJ41" s="84"/>
      <c r="AK41" s="86"/>
    </row>
    <row r="42" spans="1:37" x14ac:dyDescent="0.25">
      <c r="A42" s="89" t="s">
        <v>65</v>
      </c>
      <c r="B42" s="92" t="s">
        <v>42</v>
      </c>
      <c r="C42" s="26" t="s">
        <v>55</v>
      </c>
      <c r="D42" s="26" t="s">
        <v>56</v>
      </c>
      <c r="E42" s="94">
        <v>0.38</v>
      </c>
      <c r="F42" s="84">
        <v>0</v>
      </c>
      <c r="G42" s="84">
        <v>0</v>
      </c>
      <c r="H42" s="84">
        <v>0</v>
      </c>
      <c r="I42" s="86">
        <v>0.16741498738784624</v>
      </c>
      <c r="J42" s="94">
        <v>0.53</v>
      </c>
      <c r="K42" s="84">
        <v>0</v>
      </c>
      <c r="L42" s="84">
        <v>0</v>
      </c>
      <c r="M42" s="84">
        <v>0.10544061094663938</v>
      </c>
      <c r="N42" s="86">
        <v>0.35345087145963494</v>
      </c>
      <c r="O42" s="98">
        <v>0.57999999999999996</v>
      </c>
      <c r="P42" s="84">
        <v>0</v>
      </c>
      <c r="Q42" s="84">
        <v>0.15246694721657608</v>
      </c>
      <c r="R42" s="84">
        <v>0.29110869090121649</v>
      </c>
      <c r="S42" s="86">
        <v>0.42485372125637977</v>
      </c>
      <c r="U42" s="89" t="s">
        <v>65</v>
      </c>
      <c r="V42" s="92" t="s">
        <v>42</v>
      </c>
      <c r="W42" s="94">
        <v>0.38</v>
      </c>
      <c r="X42" s="84" t="s">
        <v>36</v>
      </c>
      <c r="Y42" s="84" t="s">
        <v>36</v>
      </c>
      <c r="Z42" s="84">
        <v>0</v>
      </c>
      <c r="AA42" s="86">
        <v>0.16741498738784624</v>
      </c>
      <c r="AB42" s="94">
        <v>0.53</v>
      </c>
      <c r="AC42" s="84" t="s">
        <v>36</v>
      </c>
      <c r="AD42" s="84" t="s">
        <v>36</v>
      </c>
      <c r="AE42" s="84">
        <v>9.1600678829599227E-2</v>
      </c>
      <c r="AF42" s="86">
        <v>0.35345087145963494</v>
      </c>
      <c r="AG42" s="98">
        <v>0.57999999999999996</v>
      </c>
      <c r="AH42" s="84" t="s">
        <v>36</v>
      </c>
      <c r="AI42" s="84" t="s">
        <v>36</v>
      </c>
      <c r="AJ42" s="84">
        <v>0.29299865041362527</v>
      </c>
      <c r="AK42" s="86">
        <v>0.42485372125637977</v>
      </c>
    </row>
    <row r="43" spans="1:37" ht="12" thickBot="1" x14ac:dyDescent="0.3">
      <c r="A43" s="90" t="s">
        <v>65</v>
      </c>
      <c r="B43" s="99"/>
      <c r="C43" s="27" t="s">
        <v>55</v>
      </c>
      <c r="D43" s="27" t="s">
        <v>56</v>
      </c>
      <c r="E43" s="100"/>
      <c r="F43" s="85"/>
      <c r="G43" s="85"/>
      <c r="H43" s="85"/>
      <c r="I43" s="87"/>
      <c r="J43" s="100"/>
      <c r="K43" s="85"/>
      <c r="L43" s="85"/>
      <c r="M43" s="85"/>
      <c r="N43" s="87"/>
      <c r="O43" s="101"/>
      <c r="P43" s="85"/>
      <c r="Q43" s="85"/>
      <c r="R43" s="85"/>
      <c r="S43" s="87"/>
      <c r="U43" s="90" t="s">
        <v>65</v>
      </c>
      <c r="V43" s="99"/>
      <c r="W43" s="100"/>
      <c r="X43" s="85"/>
      <c r="Y43" s="85"/>
      <c r="Z43" s="85"/>
      <c r="AA43" s="87"/>
      <c r="AB43" s="100"/>
      <c r="AC43" s="85"/>
      <c r="AD43" s="85"/>
      <c r="AE43" s="85"/>
      <c r="AF43" s="87"/>
      <c r="AG43" s="101"/>
      <c r="AH43" s="85"/>
      <c r="AI43" s="85"/>
      <c r="AJ43" s="85"/>
      <c r="AK43" s="87"/>
    </row>
    <row r="44" spans="1:37" x14ac:dyDescent="0.25">
      <c r="A44" s="88" t="s">
        <v>66</v>
      </c>
      <c r="B44" s="91" t="s">
        <v>41</v>
      </c>
      <c r="C44" s="25" t="s">
        <v>55</v>
      </c>
      <c r="D44" s="25" t="s">
        <v>56</v>
      </c>
      <c r="E44" s="93">
        <v>0.4</v>
      </c>
      <c r="F44" s="95">
        <v>0</v>
      </c>
      <c r="G44" s="95">
        <v>0</v>
      </c>
      <c r="H44" s="95">
        <v>0.11552247354289102</v>
      </c>
      <c r="I44" s="96">
        <v>0.30017437378213963</v>
      </c>
      <c r="J44" s="93">
        <v>0.55000000000000004</v>
      </c>
      <c r="K44" s="95">
        <v>0</v>
      </c>
      <c r="L44" s="95">
        <v>0</v>
      </c>
      <c r="M44" s="95">
        <v>0</v>
      </c>
      <c r="N44" s="96">
        <v>0.47703542301173985</v>
      </c>
      <c r="O44" s="97">
        <v>0.6</v>
      </c>
      <c r="P44" s="95">
        <v>0</v>
      </c>
      <c r="Q44" s="95">
        <v>0.18370568678432952</v>
      </c>
      <c r="R44" s="95">
        <v>0.24349794509286704</v>
      </c>
      <c r="S44" s="96">
        <v>0.54764538646285621</v>
      </c>
      <c r="U44" s="88" t="s">
        <v>66</v>
      </c>
      <c r="V44" s="91" t="s">
        <v>41</v>
      </c>
      <c r="W44" s="93">
        <v>0.4</v>
      </c>
      <c r="X44" s="95" t="s">
        <v>36</v>
      </c>
      <c r="Y44" s="95" t="s">
        <v>36</v>
      </c>
      <c r="Z44" s="95">
        <v>7.0696631390521514E-2</v>
      </c>
      <c r="AA44" s="96">
        <v>0.30017437378213963</v>
      </c>
      <c r="AB44" s="93">
        <v>0.55000000000000004</v>
      </c>
      <c r="AC44" s="95" t="s">
        <v>36</v>
      </c>
      <c r="AD44" s="95" t="s">
        <v>36</v>
      </c>
      <c r="AE44" s="95">
        <v>3.5790491768481036E-2</v>
      </c>
      <c r="AF44" s="96">
        <v>0.47703542301173985</v>
      </c>
      <c r="AG44" s="97">
        <v>0.6</v>
      </c>
      <c r="AH44" s="95" t="s">
        <v>36</v>
      </c>
      <c r="AI44" s="95" t="s">
        <v>36</v>
      </c>
      <c r="AJ44" s="95">
        <v>0.2432968506112031</v>
      </c>
      <c r="AK44" s="96">
        <v>0.54764538646285621</v>
      </c>
    </row>
    <row r="45" spans="1:37" x14ac:dyDescent="0.25">
      <c r="A45" s="89" t="s">
        <v>66</v>
      </c>
      <c r="B45" s="92"/>
      <c r="C45" s="26" t="s">
        <v>55</v>
      </c>
      <c r="D45" s="26" t="s">
        <v>56</v>
      </c>
      <c r="E45" s="94"/>
      <c r="F45" s="84"/>
      <c r="G45" s="84"/>
      <c r="H45" s="84"/>
      <c r="I45" s="86"/>
      <c r="J45" s="94"/>
      <c r="K45" s="84"/>
      <c r="L45" s="84"/>
      <c r="M45" s="84"/>
      <c r="N45" s="86"/>
      <c r="O45" s="98"/>
      <c r="P45" s="84"/>
      <c r="Q45" s="84"/>
      <c r="R45" s="84"/>
      <c r="S45" s="86"/>
      <c r="U45" s="89" t="s">
        <v>66</v>
      </c>
      <c r="V45" s="92"/>
      <c r="W45" s="94"/>
      <c r="X45" s="84"/>
      <c r="Y45" s="84"/>
      <c r="Z45" s="84"/>
      <c r="AA45" s="86"/>
      <c r="AB45" s="94"/>
      <c r="AC45" s="84"/>
      <c r="AD45" s="84"/>
      <c r="AE45" s="84"/>
      <c r="AF45" s="86"/>
      <c r="AG45" s="98"/>
      <c r="AH45" s="84"/>
      <c r="AI45" s="84"/>
      <c r="AJ45" s="84"/>
      <c r="AK45" s="86"/>
    </row>
    <row r="46" spans="1:37" x14ac:dyDescent="0.25">
      <c r="A46" s="89" t="s">
        <v>66</v>
      </c>
      <c r="B46" s="92" t="s">
        <v>42</v>
      </c>
      <c r="C46" s="26" t="s">
        <v>55</v>
      </c>
      <c r="D46" s="26" t="s">
        <v>56</v>
      </c>
      <c r="E46" s="94">
        <v>0.38</v>
      </c>
      <c r="F46" s="84">
        <v>0</v>
      </c>
      <c r="G46" s="84">
        <v>0</v>
      </c>
      <c r="H46" s="84">
        <v>9.552247354289102E-2</v>
      </c>
      <c r="I46" s="86">
        <v>0.28017437378213961</v>
      </c>
      <c r="J46" s="94">
        <v>0.53</v>
      </c>
      <c r="K46" s="84">
        <v>0</v>
      </c>
      <c r="L46" s="84">
        <v>0</v>
      </c>
      <c r="M46" s="84">
        <v>0</v>
      </c>
      <c r="N46" s="86">
        <v>0.45703542301173983</v>
      </c>
      <c r="O46" s="98">
        <v>0.57999999999999996</v>
      </c>
      <c r="P46" s="84">
        <v>0</v>
      </c>
      <c r="Q46" s="84">
        <v>0.16370568678432953</v>
      </c>
      <c r="R46" s="84">
        <v>0.22349794509286705</v>
      </c>
      <c r="S46" s="86">
        <v>0.52764538646285619</v>
      </c>
      <c r="U46" s="89" t="s">
        <v>66</v>
      </c>
      <c r="V46" s="92" t="s">
        <v>42</v>
      </c>
      <c r="W46" s="94">
        <v>0.38</v>
      </c>
      <c r="X46" s="84" t="s">
        <v>36</v>
      </c>
      <c r="Y46" s="84" t="s">
        <v>36</v>
      </c>
      <c r="Z46" s="84">
        <v>5.069663139052151E-2</v>
      </c>
      <c r="AA46" s="86">
        <v>0.28017437378213961</v>
      </c>
      <c r="AB46" s="94">
        <v>0.53</v>
      </c>
      <c r="AC46" s="84" t="s">
        <v>36</v>
      </c>
      <c r="AD46" s="84" t="s">
        <v>36</v>
      </c>
      <c r="AE46" s="84">
        <v>1.5790491768481036E-2</v>
      </c>
      <c r="AF46" s="86">
        <v>0.45703542301173983</v>
      </c>
      <c r="AG46" s="98">
        <v>0.57999999999999996</v>
      </c>
      <c r="AH46" s="84" t="s">
        <v>36</v>
      </c>
      <c r="AI46" s="84" t="s">
        <v>36</v>
      </c>
      <c r="AJ46" s="84">
        <v>0.22329685061120311</v>
      </c>
      <c r="AK46" s="86">
        <v>0.52764538646285619</v>
      </c>
    </row>
    <row r="47" spans="1:37" ht="12" thickBot="1" x14ac:dyDescent="0.3">
      <c r="A47" s="90" t="s">
        <v>66</v>
      </c>
      <c r="B47" s="99"/>
      <c r="C47" s="27" t="s">
        <v>55</v>
      </c>
      <c r="D47" s="27" t="s">
        <v>56</v>
      </c>
      <c r="E47" s="100"/>
      <c r="F47" s="85"/>
      <c r="G47" s="85"/>
      <c r="H47" s="85"/>
      <c r="I47" s="87"/>
      <c r="J47" s="100"/>
      <c r="K47" s="85"/>
      <c r="L47" s="85"/>
      <c r="M47" s="85"/>
      <c r="N47" s="87"/>
      <c r="O47" s="101"/>
      <c r="P47" s="85"/>
      <c r="Q47" s="85"/>
      <c r="R47" s="85"/>
      <c r="S47" s="87"/>
      <c r="U47" s="90" t="s">
        <v>66</v>
      </c>
      <c r="V47" s="99"/>
      <c r="W47" s="100"/>
      <c r="X47" s="85"/>
      <c r="Y47" s="85"/>
      <c r="Z47" s="85"/>
      <c r="AA47" s="87"/>
      <c r="AB47" s="100"/>
      <c r="AC47" s="85"/>
      <c r="AD47" s="85"/>
      <c r="AE47" s="85"/>
      <c r="AF47" s="87"/>
      <c r="AG47" s="101"/>
      <c r="AH47" s="85"/>
      <c r="AI47" s="85"/>
      <c r="AJ47" s="85"/>
      <c r="AK47" s="87"/>
    </row>
    <row r="48" spans="1:37" x14ac:dyDescent="0.25">
      <c r="A48" s="88" t="s">
        <v>67</v>
      </c>
      <c r="B48" s="91" t="s">
        <v>41</v>
      </c>
      <c r="C48" s="25" t="s">
        <v>55</v>
      </c>
      <c r="D48" s="25" t="s">
        <v>56</v>
      </c>
      <c r="E48" s="93">
        <v>0.4</v>
      </c>
      <c r="F48" s="95">
        <v>0</v>
      </c>
      <c r="G48" s="95">
        <v>0</v>
      </c>
      <c r="H48" s="95">
        <v>0.11552247354289102</v>
      </c>
      <c r="I48" s="96">
        <v>0.20157761139245167</v>
      </c>
      <c r="J48" s="93">
        <v>0.55000000000000004</v>
      </c>
      <c r="K48" s="95">
        <v>0</v>
      </c>
      <c r="L48" s="95">
        <v>0</v>
      </c>
      <c r="M48" s="95">
        <v>0</v>
      </c>
      <c r="N48" s="96">
        <v>0.3894524053752968</v>
      </c>
      <c r="O48" s="97">
        <v>0.6</v>
      </c>
      <c r="P48" s="95">
        <v>0</v>
      </c>
      <c r="Q48" s="95">
        <v>0.15866328300293642</v>
      </c>
      <c r="R48" s="95">
        <v>0.24349794509286704</v>
      </c>
      <c r="S48" s="96">
        <v>0.46096658340454488</v>
      </c>
      <c r="U48" s="88" t="s">
        <v>67</v>
      </c>
      <c r="V48" s="91" t="s">
        <v>41</v>
      </c>
      <c r="W48" s="93">
        <v>0.4</v>
      </c>
      <c r="X48" s="95" t="s">
        <v>36</v>
      </c>
      <c r="Y48" s="95" t="s">
        <v>36</v>
      </c>
      <c r="Z48" s="95">
        <v>7.0696631390521514E-2</v>
      </c>
      <c r="AA48" s="96">
        <v>0.20157761139245167</v>
      </c>
      <c r="AB48" s="93">
        <v>0.55000000000000004</v>
      </c>
      <c r="AC48" s="95" t="s">
        <v>36</v>
      </c>
      <c r="AD48" s="95" t="s">
        <v>36</v>
      </c>
      <c r="AE48" s="95">
        <v>3.5790491768481036E-2</v>
      </c>
      <c r="AF48" s="96">
        <v>0.3894524053752968</v>
      </c>
      <c r="AG48" s="97">
        <v>0.6</v>
      </c>
      <c r="AH48" s="95" t="s">
        <v>36</v>
      </c>
      <c r="AI48" s="95" t="s">
        <v>36</v>
      </c>
      <c r="AJ48" s="95">
        <v>0.2432968506112031</v>
      </c>
      <c r="AK48" s="96">
        <v>0.46096658340454488</v>
      </c>
    </row>
    <row r="49" spans="1:37" x14ac:dyDescent="0.25">
      <c r="A49" s="89" t="s">
        <v>67</v>
      </c>
      <c r="B49" s="92"/>
      <c r="C49" s="26" t="s">
        <v>55</v>
      </c>
      <c r="D49" s="26" t="s">
        <v>56</v>
      </c>
      <c r="E49" s="94"/>
      <c r="F49" s="84"/>
      <c r="G49" s="84"/>
      <c r="H49" s="84"/>
      <c r="I49" s="86"/>
      <c r="J49" s="94"/>
      <c r="K49" s="84"/>
      <c r="L49" s="84"/>
      <c r="M49" s="84"/>
      <c r="N49" s="86"/>
      <c r="O49" s="98"/>
      <c r="P49" s="84"/>
      <c r="Q49" s="84"/>
      <c r="R49" s="84"/>
      <c r="S49" s="86"/>
      <c r="U49" s="89" t="s">
        <v>67</v>
      </c>
      <c r="V49" s="92"/>
      <c r="W49" s="94"/>
      <c r="X49" s="84"/>
      <c r="Y49" s="84"/>
      <c r="Z49" s="84"/>
      <c r="AA49" s="86"/>
      <c r="AB49" s="94"/>
      <c r="AC49" s="84"/>
      <c r="AD49" s="84"/>
      <c r="AE49" s="84"/>
      <c r="AF49" s="86"/>
      <c r="AG49" s="98"/>
      <c r="AH49" s="84"/>
      <c r="AI49" s="84"/>
      <c r="AJ49" s="84"/>
      <c r="AK49" s="86"/>
    </row>
    <row r="50" spans="1:37" x14ac:dyDescent="0.25">
      <c r="A50" s="89" t="s">
        <v>67</v>
      </c>
      <c r="B50" s="92" t="s">
        <v>42</v>
      </c>
      <c r="C50" s="26" t="s">
        <v>55</v>
      </c>
      <c r="D50" s="26" t="s">
        <v>56</v>
      </c>
      <c r="E50" s="94">
        <v>0.38</v>
      </c>
      <c r="F50" s="84">
        <v>0</v>
      </c>
      <c r="G50" s="84">
        <v>0</v>
      </c>
      <c r="H50" s="84">
        <v>9.552247354289102E-2</v>
      </c>
      <c r="I50" s="86">
        <v>0.18157761139245168</v>
      </c>
      <c r="J50" s="94">
        <v>0.53</v>
      </c>
      <c r="K50" s="84">
        <v>0</v>
      </c>
      <c r="L50" s="84">
        <v>0</v>
      </c>
      <c r="M50" s="84">
        <v>0</v>
      </c>
      <c r="N50" s="86">
        <v>0.36945240537529678</v>
      </c>
      <c r="O50" s="98">
        <v>0.57999999999999996</v>
      </c>
      <c r="P50" s="84">
        <v>0</v>
      </c>
      <c r="Q50" s="84">
        <v>0.13866328300293643</v>
      </c>
      <c r="R50" s="84">
        <v>0.22349794509286705</v>
      </c>
      <c r="S50" s="86">
        <v>0.44096658340454487</v>
      </c>
      <c r="U50" s="89" t="s">
        <v>67</v>
      </c>
      <c r="V50" s="92" t="s">
        <v>42</v>
      </c>
      <c r="W50" s="94">
        <v>0.38</v>
      </c>
      <c r="X50" s="84" t="s">
        <v>36</v>
      </c>
      <c r="Y50" s="84" t="s">
        <v>36</v>
      </c>
      <c r="Z50" s="84">
        <v>5.069663139052151E-2</v>
      </c>
      <c r="AA50" s="86">
        <v>0.18157761139245168</v>
      </c>
      <c r="AB50" s="94">
        <v>0.53</v>
      </c>
      <c r="AC50" s="84" t="s">
        <v>36</v>
      </c>
      <c r="AD50" s="84" t="s">
        <v>36</v>
      </c>
      <c r="AE50" s="84">
        <v>1.5790491768481036E-2</v>
      </c>
      <c r="AF50" s="86">
        <v>0.36945240537529678</v>
      </c>
      <c r="AG50" s="98">
        <v>0.57999999999999996</v>
      </c>
      <c r="AH50" s="84" t="s">
        <v>36</v>
      </c>
      <c r="AI50" s="84" t="s">
        <v>36</v>
      </c>
      <c r="AJ50" s="84">
        <v>0.22329685061120311</v>
      </c>
      <c r="AK50" s="86">
        <v>0.44096658340454487</v>
      </c>
    </row>
    <row r="51" spans="1:37" ht="12" thickBot="1" x14ac:dyDescent="0.3">
      <c r="A51" s="90" t="s">
        <v>67</v>
      </c>
      <c r="B51" s="99"/>
      <c r="C51" s="27" t="s">
        <v>55</v>
      </c>
      <c r="D51" s="27" t="s">
        <v>56</v>
      </c>
      <c r="E51" s="100"/>
      <c r="F51" s="85"/>
      <c r="G51" s="85"/>
      <c r="H51" s="85"/>
      <c r="I51" s="87"/>
      <c r="J51" s="100"/>
      <c r="K51" s="85"/>
      <c r="L51" s="85"/>
      <c r="M51" s="85"/>
      <c r="N51" s="87"/>
      <c r="O51" s="101"/>
      <c r="P51" s="85"/>
      <c r="Q51" s="85"/>
      <c r="R51" s="85"/>
      <c r="S51" s="87"/>
      <c r="U51" s="90" t="s">
        <v>67</v>
      </c>
      <c r="V51" s="99"/>
      <c r="W51" s="100"/>
      <c r="X51" s="85"/>
      <c r="Y51" s="85"/>
      <c r="Z51" s="85"/>
      <c r="AA51" s="87"/>
      <c r="AB51" s="100"/>
      <c r="AC51" s="85"/>
      <c r="AD51" s="85"/>
      <c r="AE51" s="85"/>
      <c r="AF51" s="87"/>
      <c r="AG51" s="101"/>
      <c r="AH51" s="85"/>
      <c r="AI51" s="85"/>
      <c r="AJ51" s="85"/>
      <c r="AK51" s="87"/>
    </row>
    <row r="52" spans="1:37" x14ac:dyDescent="0.25">
      <c r="A52" s="88" t="s">
        <v>68</v>
      </c>
      <c r="B52" s="91" t="s">
        <v>41</v>
      </c>
      <c r="C52" s="25" t="s">
        <v>55</v>
      </c>
      <c r="D52" s="25" t="s">
        <v>56</v>
      </c>
      <c r="E52" s="93">
        <v>0</v>
      </c>
      <c r="F52" s="95">
        <v>0</v>
      </c>
      <c r="G52" s="95">
        <v>0</v>
      </c>
      <c r="H52" s="95">
        <v>0.11552247354289102</v>
      </c>
      <c r="I52" s="96">
        <v>0</v>
      </c>
      <c r="J52" s="93">
        <v>0.25</v>
      </c>
      <c r="K52" s="95">
        <v>0</v>
      </c>
      <c r="L52" s="95">
        <v>0</v>
      </c>
      <c r="M52" s="95">
        <v>0</v>
      </c>
      <c r="N52" s="96">
        <v>0.1013710470199074</v>
      </c>
      <c r="O52" s="97">
        <v>0.3</v>
      </c>
      <c r="P52" s="95">
        <v>0</v>
      </c>
      <c r="Q52" s="95">
        <v>0</v>
      </c>
      <c r="R52" s="95">
        <v>0.24349794509286704</v>
      </c>
      <c r="S52" s="96">
        <v>0.1728788519489588</v>
      </c>
      <c r="U52" s="88" t="s">
        <v>68</v>
      </c>
      <c r="V52" s="91" t="s">
        <v>41</v>
      </c>
      <c r="W52" s="93" t="s">
        <v>36</v>
      </c>
      <c r="X52" s="95" t="s">
        <v>36</v>
      </c>
      <c r="Y52" s="95" t="s">
        <v>36</v>
      </c>
      <c r="Z52" s="95">
        <v>7.0696631390521514E-2</v>
      </c>
      <c r="AA52" s="96" t="s">
        <v>36</v>
      </c>
      <c r="AB52" s="93" t="s">
        <v>36</v>
      </c>
      <c r="AC52" s="95" t="s">
        <v>36</v>
      </c>
      <c r="AD52" s="95" t="s">
        <v>36</v>
      </c>
      <c r="AE52" s="95">
        <v>3.5790491768481036E-2</v>
      </c>
      <c r="AF52" s="96" t="s">
        <v>36</v>
      </c>
      <c r="AG52" s="97" t="s">
        <v>36</v>
      </c>
      <c r="AH52" s="95" t="s">
        <v>36</v>
      </c>
      <c r="AI52" s="95" t="s">
        <v>36</v>
      </c>
      <c r="AJ52" s="95">
        <v>0.2432968506112031</v>
      </c>
      <c r="AK52" s="96" t="s">
        <v>36</v>
      </c>
    </row>
    <row r="53" spans="1:37" x14ac:dyDescent="0.25">
      <c r="A53" s="89" t="s">
        <v>68</v>
      </c>
      <c r="B53" s="92"/>
      <c r="C53" s="26" t="s">
        <v>55</v>
      </c>
      <c r="D53" s="26" t="s">
        <v>56</v>
      </c>
      <c r="E53" s="94"/>
      <c r="F53" s="84"/>
      <c r="G53" s="84"/>
      <c r="H53" s="84"/>
      <c r="I53" s="86"/>
      <c r="J53" s="94"/>
      <c r="K53" s="84"/>
      <c r="L53" s="84"/>
      <c r="M53" s="84"/>
      <c r="N53" s="86"/>
      <c r="O53" s="98"/>
      <c r="P53" s="84"/>
      <c r="Q53" s="84"/>
      <c r="R53" s="84"/>
      <c r="S53" s="86"/>
      <c r="U53" s="89" t="s">
        <v>68</v>
      </c>
      <c r="V53" s="92"/>
      <c r="W53" s="94"/>
      <c r="X53" s="84"/>
      <c r="Y53" s="84"/>
      <c r="Z53" s="84"/>
      <c r="AA53" s="86"/>
      <c r="AB53" s="94"/>
      <c r="AC53" s="84"/>
      <c r="AD53" s="84"/>
      <c r="AE53" s="84"/>
      <c r="AF53" s="86"/>
      <c r="AG53" s="98"/>
      <c r="AH53" s="84"/>
      <c r="AI53" s="84"/>
      <c r="AJ53" s="84"/>
      <c r="AK53" s="86"/>
    </row>
    <row r="54" spans="1:37" x14ac:dyDescent="0.25">
      <c r="A54" s="89" t="s">
        <v>68</v>
      </c>
      <c r="B54" s="92" t="s">
        <v>42</v>
      </c>
      <c r="C54" s="26" t="s">
        <v>55</v>
      </c>
      <c r="D54" s="26" t="s">
        <v>56</v>
      </c>
      <c r="E54" s="94">
        <v>0</v>
      </c>
      <c r="F54" s="84">
        <v>0</v>
      </c>
      <c r="G54" s="84">
        <v>0</v>
      </c>
      <c r="H54" s="84">
        <v>9.552247354289102E-2</v>
      </c>
      <c r="I54" s="86">
        <v>0</v>
      </c>
      <c r="J54" s="94">
        <v>0.23</v>
      </c>
      <c r="K54" s="84">
        <v>0</v>
      </c>
      <c r="L54" s="84">
        <v>0</v>
      </c>
      <c r="M54" s="84">
        <v>0</v>
      </c>
      <c r="N54" s="86">
        <v>8.1371047019907397E-2</v>
      </c>
      <c r="O54" s="98">
        <v>0.27999999999999997</v>
      </c>
      <c r="P54" s="84">
        <v>0</v>
      </c>
      <c r="Q54" s="84">
        <v>0</v>
      </c>
      <c r="R54" s="84">
        <v>0.22349794509286705</v>
      </c>
      <c r="S54" s="86">
        <v>0.15287885194895881</v>
      </c>
      <c r="U54" s="89" t="s">
        <v>68</v>
      </c>
      <c r="V54" s="92" t="s">
        <v>42</v>
      </c>
      <c r="W54" s="94" t="s">
        <v>36</v>
      </c>
      <c r="X54" s="84" t="s">
        <v>36</v>
      </c>
      <c r="Y54" s="84" t="s">
        <v>36</v>
      </c>
      <c r="Z54" s="84">
        <v>5.069663139052151E-2</v>
      </c>
      <c r="AA54" s="86" t="s">
        <v>36</v>
      </c>
      <c r="AB54" s="94" t="s">
        <v>36</v>
      </c>
      <c r="AC54" s="84" t="s">
        <v>36</v>
      </c>
      <c r="AD54" s="84" t="s">
        <v>36</v>
      </c>
      <c r="AE54" s="84">
        <v>1.5790491768481036E-2</v>
      </c>
      <c r="AF54" s="86" t="s">
        <v>36</v>
      </c>
      <c r="AG54" s="98" t="s">
        <v>36</v>
      </c>
      <c r="AH54" s="84" t="s">
        <v>36</v>
      </c>
      <c r="AI54" s="84" t="s">
        <v>36</v>
      </c>
      <c r="AJ54" s="84">
        <v>0.22329685061120311</v>
      </c>
      <c r="AK54" s="86" t="s">
        <v>36</v>
      </c>
    </row>
    <row r="55" spans="1:37" ht="12" thickBot="1" x14ac:dyDescent="0.3">
      <c r="A55" s="90" t="s">
        <v>68</v>
      </c>
      <c r="B55" s="99"/>
      <c r="C55" s="27" t="s">
        <v>55</v>
      </c>
      <c r="D55" s="27" t="s">
        <v>56</v>
      </c>
      <c r="E55" s="100"/>
      <c r="F55" s="85"/>
      <c r="G55" s="85"/>
      <c r="H55" s="85"/>
      <c r="I55" s="87"/>
      <c r="J55" s="100"/>
      <c r="K55" s="85"/>
      <c r="L55" s="85"/>
      <c r="M55" s="85"/>
      <c r="N55" s="87"/>
      <c r="O55" s="101"/>
      <c r="P55" s="85"/>
      <c r="Q55" s="85"/>
      <c r="R55" s="85"/>
      <c r="S55" s="87"/>
      <c r="U55" s="90" t="s">
        <v>68</v>
      </c>
      <c r="V55" s="99"/>
      <c r="W55" s="100"/>
      <c r="X55" s="85"/>
      <c r="Y55" s="85"/>
      <c r="Z55" s="85"/>
      <c r="AA55" s="87"/>
      <c r="AB55" s="100"/>
      <c r="AC55" s="85"/>
      <c r="AD55" s="85"/>
      <c r="AE55" s="85"/>
      <c r="AF55" s="87"/>
      <c r="AG55" s="101"/>
      <c r="AH55" s="85"/>
      <c r="AI55" s="85"/>
      <c r="AJ55" s="85"/>
      <c r="AK55" s="87"/>
    </row>
    <row r="56" spans="1:37" x14ac:dyDescent="0.25">
      <c r="A56" s="88" t="s">
        <v>69</v>
      </c>
      <c r="B56" s="91" t="s">
        <v>41</v>
      </c>
      <c r="C56" s="25" t="s">
        <v>70</v>
      </c>
      <c r="D56" s="25" t="s">
        <v>56</v>
      </c>
      <c r="E56" s="93">
        <v>0.15</v>
      </c>
      <c r="F56" s="95">
        <v>0</v>
      </c>
      <c r="G56" s="95">
        <v>0</v>
      </c>
      <c r="H56" s="95">
        <v>0</v>
      </c>
      <c r="I56" s="96">
        <v>0</v>
      </c>
      <c r="J56" s="93">
        <v>0.35</v>
      </c>
      <c r="K56" s="95">
        <v>0</v>
      </c>
      <c r="L56" s="95">
        <v>0</v>
      </c>
      <c r="M56" s="95">
        <v>0</v>
      </c>
      <c r="N56" s="96">
        <v>0.13440871162768286</v>
      </c>
      <c r="O56" s="97">
        <v>0.45</v>
      </c>
      <c r="P56" s="95">
        <v>0</v>
      </c>
      <c r="Q56" s="95">
        <v>0</v>
      </c>
      <c r="R56" s="95">
        <v>0</v>
      </c>
      <c r="S56" s="96">
        <v>0.20791552290679272</v>
      </c>
      <c r="U56" s="88" t="s">
        <v>69</v>
      </c>
      <c r="V56" s="91" t="s">
        <v>41</v>
      </c>
      <c r="W56" s="93" t="s">
        <v>36</v>
      </c>
      <c r="X56" s="95" t="s">
        <v>36</v>
      </c>
      <c r="Y56" s="95" t="s">
        <v>36</v>
      </c>
      <c r="Z56" s="95" t="s">
        <v>36</v>
      </c>
      <c r="AA56" s="96" t="s">
        <v>36</v>
      </c>
      <c r="AB56" s="93" t="s">
        <v>36</v>
      </c>
      <c r="AC56" s="95" t="s">
        <v>36</v>
      </c>
      <c r="AD56" s="95" t="s">
        <v>36</v>
      </c>
      <c r="AE56" s="95" t="s">
        <v>36</v>
      </c>
      <c r="AF56" s="96" t="s">
        <v>36</v>
      </c>
      <c r="AG56" s="97" t="s">
        <v>36</v>
      </c>
      <c r="AH56" s="95" t="s">
        <v>36</v>
      </c>
      <c r="AI56" s="95" t="s">
        <v>36</v>
      </c>
      <c r="AJ56" s="95" t="s">
        <v>36</v>
      </c>
      <c r="AK56" s="96" t="s">
        <v>36</v>
      </c>
    </row>
    <row r="57" spans="1:37" x14ac:dyDescent="0.25">
      <c r="A57" s="89" t="s">
        <v>69</v>
      </c>
      <c r="B57" s="92"/>
      <c r="C57" s="26" t="s">
        <v>70</v>
      </c>
      <c r="D57" s="26" t="s">
        <v>56</v>
      </c>
      <c r="E57" s="94"/>
      <c r="F57" s="84"/>
      <c r="G57" s="84"/>
      <c r="H57" s="84"/>
      <c r="I57" s="86"/>
      <c r="J57" s="94"/>
      <c r="K57" s="84"/>
      <c r="L57" s="84"/>
      <c r="M57" s="84"/>
      <c r="N57" s="86"/>
      <c r="O57" s="98"/>
      <c r="P57" s="84"/>
      <c r="Q57" s="84"/>
      <c r="R57" s="84"/>
      <c r="S57" s="86"/>
      <c r="U57" s="89" t="s">
        <v>69</v>
      </c>
      <c r="V57" s="92"/>
      <c r="W57" s="94"/>
      <c r="X57" s="84"/>
      <c r="Y57" s="84"/>
      <c r="Z57" s="84"/>
      <c r="AA57" s="86"/>
      <c r="AB57" s="94"/>
      <c r="AC57" s="84"/>
      <c r="AD57" s="84"/>
      <c r="AE57" s="84"/>
      <c r="AF57" s="86"/>
      <c r="AG57" s="98"/>
      <c r="AH57" s="84"/>
      <c r="AI57" s="84"/>
      <c r="AJ57" s="84"/>
      <c r="AK57" s="86"/>
    </row>
    <row r="58" spans="1:37" x14ac:dyDescent="0.25">
      <c r="A58" s="89" t="s">
        <v>69</v>
      </c>
      <c r="B58" s="92" t="s">
        <v>42</v>
      </c>
      <c r="C58" s="26" t="s">
        <v>70</v>
      </c>
      <c r="D58" s="26" t="s">
        <v>56</v>
      </c>
      <c r="E58" s="94">
        <v>0.13</v>
      </c>
      <c r="F58" s="84">
        <v>0</v>
      </c>
      <c r="G58" s="84">
        <v>0</v>
      </c>
      <c r="H58" s="84">
        <v>0</v>
      </c>
      <c r="I58" s="86">
        <v>0</v>
      </c>
      <c r="J58" s="94">
        <v>0.32999999999999996</v>
      </c>
      <c r="K58" s="84">
        <v>0</v>
      </c>
      <c r="L58" s="84">
        <v>0</v>
      </c>
      <c r="M58" s="84">
        <v>0</v>
      </c>
      <c r="N58" s="86">
        <v>0.11440871162768286</v>
      </c>
      <c r="O58" s="98">
        <v>0.43</v>
      </c>
      <c r="P58" s="84">
        <v>0</v>
      </c>
      <c r="Q58" s="84">
        <v>0</v>
      </c>
      <c r="R58" s="84">
        <v>0</v>
      </c>
      <c r="S58" s="86">
        <v>0.18791552290679273</v>
      </c>
      <c r="U58" s="89" t="s">
        <v>69</v>
      </c>
      <c r="V58" s="92" t="s">
        <v>42</v>
      </c>
      <c r="W58" s="94" t="s">
        <v>36</v>
      </c>
      <c r="X58" s="84" t="s">
        <v>36</v>
      </c>
      <c r="Y58" s="84" t="s">
        <v>36</v>
      </c>
      <c r="Z58" s="84" t="s">
        <v>36</v>
      </c>
      <c r="AA58" s="86" t="s">
        <v>36</v>
      </c>
      <c r="AB58" s="94" t="s">
        <v>36</v>
      </c>
      <c r="AC58" s="84" t="s">
        <v>36</v>
      </c>
      <c r="AD58" s="84" t="s">
        <v>36</v>
      </c>
      <c r="AE58" s="84" t="s">
        <v>36</v>
      </c>
      <c r="AF58" s="86" t="s">
        <v>36</v>
      </c>
      <c r="AG58" s="98" t="s">
        <v>36</v>
      </c>
      <c r="AH58" s="84" t="s">
        <v>36</v>
      </c>
      <c r="AI58" s="84" t="s">
        <v>36</v>
      </c>
      <c r="AJ58" s="84" t="s">
        <v>36</v>
      </c>
      <c r="AK58" s="86" t="s">
        <v>36</v>
      </c>
    </row>
    <row r="59" spans="1:37" ht="12" thickBot="1" x14ac:dyDescent="0.3">
      <c r="A59" s="90" t="s">
        <v>69</v>
      </c>
      <c r="B59" s="99"/>
      <c r="C59" s="27" t="s">
        <v>70</v>
      </c>
      <c r="D59" s="27" t="s">
        <v>56</v>
      </c>
      <c r="E59" s="100"/>
      <c r="F59" s="85"/>
      <c r="G59" s="85"/>
      <c r="H59" s="85"/>
      <c r="I59" s="87"/>
      <c r="J59" s="100"/>
      <c r="K59" s="85"/>
      <c r="L59" s="85"/>
      <c r="M59" s="85"/>
      <c r="N59" s="87"/>
      <c r="O59" s="101"/>
      <c r="P59" s="85"/>
      <c r="Q59" s="85"/>
      <c r="R59" s="85"/>
      <c r="S59" s="87"/>
      <c r="U59" s="90" t="s">
        <v>69</v>
      </c>
      <c r="V59" s="99"/>
      <c r="W59" s="100"/>
      <c r="X59" s="85"/>
      <c r="Y59" s="85"/>
      <c r="Z59" s="85"/>
      <c r="AA59" s="87"/>
      <c r="AB59" s="100"/>
      <c r="AC59" s="85"/>
      <c r="AD59" s="85"/>
      <c r="AE59" s="85"/>
      <c r="AF59" s="87"/>
      <c r="AG59" s="101"/>
      <c r="AH59" s="85"/>
      <c r="AI59" s="85"/>
      <c r="AJ59" s="85"/>
      <c r="AK59" s="87"/>
    </row>
    <row r="60" spans="1:37" x14ac:dyDescent="0.25">
      <c r="A60" s="88" t="s">
        <v>71</v>
      </c>
      <c r="B60" s="91" t="s">
        <v>41</v>
      </c>
      <c r="C60" s="25" t="s">
        <v>70</v>
      </c>
      <c r="D60" s="25" t="s">
        <v>56</v>
      </c>
      <c r="E60" s="93">
        <v>0.2</v>
      </c>
      <c r="F60" s="95">
        <v>0</v>
      </c>
      <c r="G60" s="95">
        <v>0</v>
      </c>
      <c r="H60" s="95">
        <v>0</v>
      </c>
      <c r="I60" s="96">
        <v>0</v>
      </c>
      <c r="J60" s="93">
        <v>0.4</v>
      </c>
      <c r="K60" s="95">
        <v>0</v>
      </c>
      <c r="L60" s="95">
        <v>0</v>
      </c>
      <c r="M60" s="95">
        <v>0</v>
      </c>
      <c r="N60" s="96">
        <v>0.20612577787114272</v>
      </c>
      <c r="O60" s="97">
        <v>0.45</v>
      </c>
      <c r="P60" s="95">
        <v>0</v>
      </c>
      <c r="Q60" s="95">
        <v>0</v>
      </c>
      <c r="R60" s="95">
        <v>0</v>
      </c>
      <c r="S60" s="96">
        <v>0.27944090743410044</v>
      </c>
      <c r="U60" s="88" t="s">
        <v>71</v>
      </c>
      <c r="V60" s="91" t="s">
        <v>41</v>
      </c>
      <c r="W60" s="93" t="s">
        <v>36</v>
      </c>
      <c r="X60" s="95" t="s">
        <v>36</v>
      </c>
      <c r="Y60" s="95" t="s">
        <v>36</v>
      </c>
      <c r="Z60" s="95" t="s">
        <v>36</v>
      </c>
      <c r="AA60" s="96" t="s">
        <v>36</v>
      </c>
      <c r="AB60" s="93" t="s">
        <v>36</v>
      </c>
      <c r="AC60" s="95" t="s">
        <v>36</v>
      </c>
      <c r="AD60" s="95" t="s">
        <v>36</v>
      </c>
      <c r="AE60" s="95" t="s">
        <v>36</v>
      </c>
      <c r="AF60" s="96" t="s">
        <v>36</v>
      </c>
      <c r="AG60" s="97" t="s">
        <v>36</v>
      </c>
      <c r="AH60" s="95" t="s">
        <v>36</v>
      </c>
      <c r="AI60" s="95" t="s">
        <v>36</v>
      </c>
      <c r="AJ60" s="95" t="s">
        <v>36</v>
      </c>
      <c r="AK60" s="96" t="s">
        <v>36</v>
      </c>
    </row>
    <row r="61" spans="1:37" x14ac:dyDescent="0.25">
      <c r="A61" s="89" t="s">
        <v>71</v>
      </c>
      <c r="B61" s="92"/>
      <c r="C61" s="26" t="s">
        <v>70</v>
      </c>
      <c r="D61" s="26" t="s">
        <v>56</v>
      </c>
      <c r="E61" s="94"/>
      <c r="F61" s="84"/>
      <c r="G61" s="84"/>
      <c r="H61" s="84"/>
      <c r="I61" s="86"/>
      <c r="J61" s="94"/>
      <c r="K61" s="84"/>
      <c r="L61" s="84"/>
      <c r="M61" s="84"/>
      <c r="N61" s="86"/>
      <c r="O61" s="98"/>
      <c r="P61" s="84"/>
      <c r="Q61" s="84"/>
      <c r="R61" s="84"/>
      <c r="S61" s="86"/>
      <c r="U61" s="89" t="s">
        <v>71</v>
      </c>
      <c r="V61" s="92"/>
      <c r="W61" s="94"/>
      <c r="X61" s="84"/>
      <c r="Y61" s="84"/>
      <c r="Z61" s="84"/>
      <c r="AA61" s="86"/>
      <c r="AB61" s="94"/>
      <c r="AC61" s="84"/>
      <c r="AD61" s="84"/>
      <c r="AE61" s="84"/>
      <c r="AF61" s="86"/>
      <c r="AG61" s="98"/>
      <c r="AH61" s="84"/>
      <c r="AI61" s="84"/>
      <c r="AJ61" s="84"/>
      <c r="AK61" s="86"/>
    </row>
    <row r="62" spans="1:37" x14ac:dyDescent="0.25">
      <c r="A62" s="89" t="s">
        <v>71</v>
      </c>
      <c r="B62" s="92" t="s">
        <v>42</v>
      </c>
      <c r="C62" s="26" t="s">
        <v>70</v>
      </c>
      <c r="D62" s="26" t="s">
        <v>56</v>
      </c>
      <c r="E62" s="94">
        <v>0.18000000000000002</v>
      </c>
      <c r="F62" s="84">
        <v>0</v>
      </c>
      <c r="G62" s="84">
        <v>0</v>
      </c>
      <c r="H62" s="84">
        <v>0</v>
      </c>
      <c r="I62" s="86">
        <v>0</v>
      </c>
      <c r="J62" s="94">
        <v>0.38</v>
      </c>
      <c r="K62" s="84">
        <v>0</v>
      </c>
      <c r="L62" s="84">
        <v>0</v>
      </c>
      <c r="M62" s="84">
        <v>0</v>
      </c>
      <c r="N62" s="86">
        <v>0.18612577787114273</v>
      </c>
      <c r="O62" s="98">
        <v>0.43</v>
      </c>
      <c r="P62" s="84">
        <v>0</v>
      </c>
      <c r="Q62" s="84">
        <v>0</v>
      </c>
      <c r="R62" s="84">
        <v>0</v>
      </c>
      <c r="S62" s="86">
        <v>0.25944090743410042</v>
      </c>
      <c r="U62" s="89" t="s">
        <v>71</v>
      </c>
      <c r="V62" s="92" t="s">
        <v>42</v>
      </c>
      <c r="W62" s="94" t="s">
        <v>36</v>
      </c>
      <c r="X62" s="84" t="s">
        <v>36</v>
      </c>
      <c r="Y62" s="84" t="s">
        <v>36</v>
      </c>
      <c r="Z62" s="84" t="s">
        <v>36</v>
      </c>
      <c r="AA62" s="86" t="s">
        <v>36</v>
      </c>
      <c r="AB62" s="94" t="s">
        <v>36</v>
      </c>
      <c r="AC62" s="84" t="s">
        <v>36</v>
      </c>
      <c r="AD62" s="84" t="s">
        <v>36</v>
      </c>
      <c r="AE62" s="84" t="s">
        <v>36</v>
      </c>
      <c r="AF62" s="86" t="s">
        <v>36</v>
      </c>
      <c r="AG62" s="98" t="s">
        <v>36</v>
      </c>
      <c r="AH62" s="84" t="s">
        <v>36</v>
      </c>
      <c r="AI62" s="84" t="s">
        <v>36</v>
      </c>
      <c r="AJ62" s="84" t="s">
        <v>36</v>
      </c>
      <c r="AK62" s="86" t="s">
        <v>36</v>
      </c>
    </row>
    <row r="63" spans="1:37" ht="12" thickBot="1" x14ac:dyDescent="0.3">
      <c r="A63" s="90" t="s">
        <v>71</v>
      </c>
      <c r="B63" s="99"/>
      <c r="C63" s="27" t="s">
        <v>70</v>
      </c>
      <c r="D63" s="27" t="s">
        <v>56</v>
      </c>
      <c r="E63" s="100"/>
      <c r="F63" s="85"/>
      <c r="G63" s="85"/>
      <c r="H63" s="85"/>
      <c r="I63" s="87"/>
      <c r="J63" s="100"/>
      <c r="K63" s="85"/>
      <c r="L63" s="85"/>
      <c r="M63" s="85"/>
      <c r="N63" s="87"/>
      <c r="O63" s="101"/>
      <c r="P63" s="85"/>
      <c r="Q63" s="85"/>
      <c r="R63" s="85"/>
      <c r="S63" s="87"/>
      <c r="U63" s="90" t="s">
        <v>71</v>
      </c>
      <c r="V63" s="99"/>
      <c r="W63" s="100"/>
      <c r="X63" s="85"/>
      <c r="Y63" s="85"/>
      <c r="Z63" s="85"/>
      <c r="AA63" s="87"/>
      <c r="AB63" s="100"/>
      <c r="AC63" s="85"/>
      <c r="AD63" s="85"/>
      <c r="AE63" s="85"/>
      <c r="AF63" s="87"/>
      <c r="AG63" s="101"/>
      <c r="AH63" s="85"/>
      <c r="AI63" s="85"/>
      <c r="AJ63" s="85"/>
      <c r="AK63" s="87"/>
    </row>
    <row r="64" spans="1:37" x14ac:dyDescent="0.25">
      <c r="A64" s="88" t="s">
        <v>72</v>
      </c>
      <c r="B64" s="91" t="s">
        <v>41</v>
      </c>
      <c r="C64" s="25" t="s">
        <v>70</v>
      </c>
      <c r="D64" s="25" t="s">
        <v>56</v>
      </c>
      <c r="E64" s="93">
        <v>0</v>
      </c>
      <c r="F64" s="95">
        <v>0</v>
      </c>
      <c r="G64" s="95">
        <v>0</v>
      </c>
      <c r="H64" s="95">
        <v>0</v>
      </c>
      <c r="I64" s="96">
        <v>0</v>
      </c>
      <c r="J64" s="93">
        <v>0.25</v>
      </c>
      <c r="K64" s="95">
        <v>0</v>
      </c>
      <c r="L64" s="95">
        <v>0</v>
      </c>
      <c r="M64" s="95">
        <v>0</v>
      </c>
      <c r="N64" s="96">
        <v>0</v>
      </c>
      <c r="O64" s="97">
        <v>0.3</v>
      </c>
      <c r="P64" s="95">
        <v>0</v>
      </c>
      <c r="Q64" s="95">
        <v>0</v>
      </c>
      <c r="R64" s="95">
        <v>0</v>
      </c>
      <c r="S64" s="96">
        <v>0</v>
      </c>
      <c r="U64" s="88" t="s">
        <v>72</v>
      </c>
      <c r="V64" s="91" t="s">
        <v>41</v>
      </c>
      <c r="W64" s="93" t="s">
        <v>36</v>
      </c>
      <c r="X64" s="95" t="s">
        <v>36</v>
      </c>
      <c r="Y64" s="95" t="s">
        <v>36</v>
      </c>
      <c r="Z64" s="95" t="s">
        <v>36</v>
      </c>
      <c r="AA64" s="96" t="s">
        <v>36</v>
      </c>
      <c r="AB64" s="93" t="s">
        <v>36</v>
      </c>
      <c r="AC64" s="95" t="s">
        <v>36</v>
      </c>
      <c r="AD64" s="95" t="s">
        <v>36</v>
      </c>
      <c r="AE64" s="95" t="s">
        <v>36</v>
      </c>
      <c r="AF64" s="96" t="s">
        <v>36</v>
      </c>
      <c r="AG64" s="97" t="s">
        <v>36</v>
      </c>
      <c r="AH64" s="95" t="s">
        <v>36</v>
      </c>
      <c r="AI64" s="95" t="s">
        <v>36</v>
      </c>
      <c r="AJ64" s="95" t="s">
        <v>36</v>
      </c>
      <c r="AK64" s="96" t="s">
        <v>36</v>
      </c>
    </row>
    <row r="65" spans="1:37" x14ac:dyDescent="0.25">
      <c r="A65" s="89" t="s">
        <v>72</v>
      </c>
      <c r="B65" s="92"/>
      <c r="C65" s="26" t="s">
        <v>70</v>
      </c>
      <c r="D65" s="26" t="s">
        <v>56</v>
      </c>
      <c r="E65" s="94"/>
      <c r="F65" s="84"/>
      <c r="G65" s="84"/>
      <c r="H65" s="84"/>
      <c r="I65" s="86"/>
      <c r="J65" s="94"/>
      <c r="K65" s="84"/>
      <c r="L65" s="84"/>
      <c r="M65" s="84"/>
      <c r="N65" s="86"/>
      <c r="O65" s="98"/>
      <c r="P65" s="84"/>
      <c r="Q65" s="84"/>
      <c r="R65" s="84"/>
      <c r="S65" s="86"/>
      <c r="U65" s="89" t="s">
        <v>72</v>
      </c>
      <c r="V65" s="92"/>
      <c r="W65" s="94"/>
      <c r="X65" s="84"/>
      <c r="Y65" s="84"/>
      <c r="Z65" s="84"/>
      <c r="AA65" s="86"/>
      <c r="AB65" s="94"/>
      <c r="AC65" s="84"/>
      <c r="AD65" s="84"/>
      <c r="AE65" s="84"/>
      <c r="AF65" s="86"/>
      <c r="AG65" s="98"/>
      <c r="AH65" s="84"/>
      <c r="AI65" s="84"/>
      <c r="AJ65" s="84"/>
      <c r="AK65" s="86"/>
    </row>
    <row r="66" spans="1:37" x14ac:dyDescent="0.25">
      <c r="A66" s="89" t="s">
        <v>72</v>
      </c>
      <c r="B66" s="92" t="s">
        <v>42</v>
      </c>
      <c r="C66" s="26" t="s">
        <v>70</v>
      </c>
      <c r="D66" s="26" t="s">
        <v>56</v>
      </c>
      <c r="E66" s="94">
        <v>0</v>
      </c>
      <c r="F66" s="84">
        <v>0</v>
      </c>
      <c r="G66" s="84">
        <v>0</v>
      </c>
      <c r="H66" s="84">
        <v>0</v>
      </c>
      <c r="I66" s="86">
        <v>0</v>
      </c>
      <c r="J66" s="94">
        <v>0.23</v>
      </c>
      <c r="K66" s="84">
        <v>0</v>
      </c>
      <c r="L66" s="84">
        <v>0</v>
      </c>
      <c r="M66" s="84">
        <v>0</v>
      </c>
      <c r="N66" s="86">
        <v>0</v>
      </c>
      <c r="O66" s="98">
        <v>0.27999999999999997</v>
      </c>
      <c r="P66" s="84">
        <v>0</v>
      </c>
      <c r="Q66" s="84">
        <v>0</v>
      </c>
      <c r="R66" s="84">
        <v>0</v>
      </c>
      <c r="S66" s="86">
        <v>0</v>
      </c>
      <c r="U66" s="89" t="s">
        <v>72</v>
      </c>
      <c r="V66" s="92" t="s">
        <v>42</v>
      </c>
      <c r="W66" s="94" t="s">
        <v>36</v>
      </c>
      <c r="X66" s="84" t="s">
        <v>36</v>
      </c>
      <c r="Y66" s="84" t="s">
        <v>36</v>
      </c>
      <c r="Z66" s="84" t="s">
        <v>36</v>
      </c>
      <c r="AA66" s="86" t="s">
        <v>36</v>
      </c>
      <c r="AB66" s="94" t="s">
        <v>36</v>
      </c>
      <c r="AC66" s="84" t="s">
        <v>36</v>
      </c>
      <c r="AD66" s="84" t="s">
        <v>36</v>
      </c>
      <c r="AE66" s="84" t="s">
        <v>36</v>
      </c>
      <c r="AF66" s="86" t="s">
        <v>36</v>
      </c>
      <c r="AG66" s="98" t="s">
        <v>36</v>
      </c>
      <c r="AH66" s="84" t="s">
        <v>36</v>
      </c>
      <c r="AI66" s="84" t="s">
        <v>36</v>
      </c>
      <c r="AJ66" s="84" t="s">
        <v>36</v>
      </c>
      <c r="AK66" s="86" t="s">
        <v>36</v>
      </c>
    </row>
    <row r="67" spans="1:37" ht="12" thickBot="1" x14ac:dyDescent="0.3">
      <c r="A67" s="90" t="s">
        <v>72</v>
      </c>
      <c r="B67" s="99"/>
      <c r="C67" s="27" t="s">
        <v>70</v>
      </c>
      <c r="D67" s="27" t="s">
        <v>56</v>
      </c>
      <c r="E67" s="100"/>
      <c r="F67" s="85"/>
      <c r="G67" s="85"/>
      <c r="H67" s="85"/>
      <c r="I67" s="87"/>
      <c r="J67" s="100"/>
      <c r="K67" s="85"/>
      <c r="L67" s="85"/>
      <c r="M67" s="85"/>
      <c r="N67" s="87"/>
      <c r="O67" s="101"/>
      <c r="P67" s="85"/>
      <c r="Q67" s="85"/>
      <c r="R67" s="85"/>
      <c r="S67" s="87"/>
      <c r="U67" s="90" t="s">
        <v>72</v>
      </c>
      <c r="V67" s="99"/>
      <c r="W67" s="100"/>
      <c r="X67" s="85"/>
      <c r="Y67" s="85"/>
      <c r="Z67" s="85"/>
      <c r="AA67" s="87"/>
      <c r="AB67" s="100"/>
      <c r="AC67" s="85"/>
      <c r="AD67" s="85"/>
      <c r="AE67" s="85"/>
      <c r="AF67" s="87"/>
      <c r="AG67" s="101"/>
      <c r="AH67" s="85"/>
      <c r="AI67" s="85"/>
      <c r="AJ67" s="85"/>
      <c r="AK67" s="87"/>
    </row>
    <row r="68" spans="1:37" x14ac:dyDescent="0.25">
      <c r="A68" s="88" t="s">
        <v>73</v>
      </c>
      <c r="B68" s="91" t="s">
        <v>41</v>
      </c>
      <c r="C68" s="25" t="s">
        <v>70</v>
      </c>
      <c r="D68" s="25" t="s">
        <v>56</v>
      </c>
      <c r="E68" s="93">
        <v>0</v>
      </c>
      <c r="F68" s="95">
        <v>0</v>
      </c>
      <c r="G68" s="95">
        <v>0</v>
      </c>
      <c r="H68" s="95">
        <v>0</v>
      </c>
      <c r="I68" s="96">
        <v>0</v>
      </c>
      <c r="J68" s="93">
        <v>0.3</v>
      </c>
      <c r="K68" s="95">
        <v>0</v>
      </c>
      <c r="L68" s="95">
        <v>0</v>
      </c>
      <c r="M68" s="95">
        <v>0</v>
      </c>
      <c r="N68" s="96">
        <v>0</v>
      </c>
      <c r="O68" s="97">
        <v>0.4</v>
      </c>
      <c r="P68" s="95">
        <v>0</v>
      </c>
      <c r="Q68" s="95">
        <v>0</v>
      </c>
      <c r="R68" s="95">
        <v>0</v>
      </c>
      <c r="S68" s="96">
        <v>0.12113167564289451</v>
      </c>
      <c r="U68" s="88" t="s">
        <v>73</v>
      </c>
      <c r="V68" s="91" t="s">
        <v>41</v>
      </c>
      <c r="W68" s="93" t="s">
        <v>36</v>
      </c>
      <c r="X68" s="95" t="s">
        <v>36</v>
      </c>
      <c r="Y68" s="95" t="s">
        <v>36</v>
      </c>
      <c r="Z68" s="95" t="s">
        <v>36</v>
      </c>
      <c r="AA68" s="96" t="s">
        <v>36</v>
      </c>
      <c r="AB68" s="93" t="s">
        <v>36</v>
      </c>
      <c r="AC68" s="95" t="s">
        <v>36</v>
      </c>
      <c r="AD68" s="95" t="s">
        <v>36</v>
      </c>
      <c r="AE68" s="95" t="s">
        <v>36</v>
      </c>
      <c r="AF68" s="96" t="s">
        <v>36</v>
      </c>
      <c r="AG68" s="97" t="s">
        <v>36</v>
      </c>
      <c r="AH68" s="95" t="s">
        <v>36</v>
      </c>
      <c r="AI68" s="95" t="s">
        <v>36</v>
      </c>
      <c r="AJ68" s="95" t="s">
        <v>36</v>
      </c>
      <c r="AK68" s="96" t="s">
        <v>36</v>
      </c>
    </row>
    <row r="69" spans="1:37" x14ac:dyDescent="0.25">
      <c r="A69" s="89" t="s">
        <v>73</v>
      </c>
      <c r="B69" s="92"/>
      <c r="C69" s="26" t="s">
        <v>70</v>
      </c>
      <c r="D69" s="26" t="s">
        <v>56</v>
      </c>
      <c r="E69" s="94"/>
      <c r="F69" s="84"/>
      <c r="G69" s="84"/>
      <c r="H69" s="84"/>
      <c r="I69" s="86"/>
      <c r="J69" s="94"/>
      <c r="K69" s="84"/>
      <c r="L69" s="84"/>
      <c r="M69" s="84"/>
      <c r="N69" s="86"/>
      <c r="O69" s="98"/>
      <c r="P69" s="84"/>
      <c r="Q69" s="84"/>
      <c r="R69" s="84"/>
      <c r="S69" s="86"/>
      <c r="U69" s="89" t="s">
        <v>73</v>
      </c>
      <c r="V69" s="92"/>
      <c r="W69" s="94"/>
      <c r="X69" s="84"/>
      <c r="Y69" s="84"/>
      <c r="Z69" s="84"/>
      <c r="AA69" s="86"/>
      <c r="AB69" s="94"/>
      <c r="AC69" s="84"/>
      <c r="AD69" s="84"/>
      <c r="AE69" s="84"/>
      <c r="AF69" s="86"/>
      <c r="AG69" s="98"/>
      <c r="AH69" s="84"/>
      <c r="AI69" s="84"/>
      <c r="AJ69" s="84"/>
      <c r="AK69" s="86"/>
    </row>
    <row r="70" spans="1:37" x14ac:dyDescent="0.25">
      <c r="A70" s="89" t="s">
        <v>73</v>
      </c>
      <c r="B70" s="92" t="s">
        <v>42</v>
      </c>
      <c r="C70" s="26" t="s">
        <v>70</v>
      </c>
      <c r="D70" s="26" t="s">
        <v>56</v>
      </c>
      <c r="E70" s="94">
        <v>0</v>
      </c>
      <c r="F70" s="84">
        <v>0</v>
      </c>
      <c r="G70" s="84">
        <v>0</v>
      </c>
      <c r="H70" s="84">
        <v>0</v>
      </c>
      <c r="I70" s="86">
        <v>0</v>
      </c>
      <c r="J70" s="94">
        <v>0.27999999999999997</v>
      </c>
      <c r="K70" s="84">
        <v>0</v>
      </c>
      <c r="L70" s="84">
        <v>0</v>
      </c>
      <c r="M70" s="84">
        <v>0</v>
      </c>
      <c r="N70" s="86">
        <v>0</v>
      </c>
      <c r="O70" s="98">
        <v>0.38</v>
      </c>
      <c r="P70" s="84">
        <v>0</v>
      </c>
      <c r="Q70" s="84">
        <v>0</v>
      </c>
      <c r="R70" s="84">
        <v>0</v>
      </c>
      <c r="S70" s="86">
        <v>0.10113167564289451</v>
      </c>
      <c r="U70" s="89" t="s">
        <v>73</v>
      </c>
      <c r="V70" s="92" t="s">
        <v>42</v>
      </c>
      <c r="W70" s="94" t="s">
        <v>36</v>
      </c>
      <c r="X70" s="84" t="s">
        <v>36</v>
      </c>
      <c r="Y70" s="84" t="s">
        <v>36</v>
      </c>
      <c r="Z70" s="84" t="s">
        <v>36</v>
      </c>
      <c r="AA70" s="86" t="s">
        <v>36</v>
      </c>
      <c r="AB70" s="94" t="s">
        <v>36</v>
      </c>
      <c r="AC70" s="84" t="s">
        <v>36</v>
      </c>
      <c r="AD70" s="84" t="s">
        <v>36</v>
      </c>
      <c r="AE70" s="84" t="s">
        <v>36</v>
      </c>
      <c r="AF70" s="86" t="s">
        <v>36</v>
      </c>
      <c r="AG70" s="98" t="s">
        <v>36</v>
      </c>
      <c r="AH70" s="84" t="s">
        <v>36</v>
      </c>
      <c r="AI70" s="84" t="s">
        <v>36</v>
      </c>
      <c r="AJ70" s="84" t="s">
        <v>36</v>
      </c>
      <c r="AK70" s="86" t="s">
        <v>36</v>
      </c>
    </row>
    <row r="71" spans="1:37" ht="12" thickBot="1" x14ac:dyDescent="0.3">
      <c r="A71" s="90" t="s">
        <v>73</v>
      </c>
      <c r="B71" s="99"/>
      <c r="C71" s="27" t="s">
        <v>70</v>
      </c>
      <c r="D71" s="27" t="s">
        <v>56</v>
      </c>
      <c r="E71" s="100"/>
      <c r="F71" s="85"/>
      <c r="G71" s="85"/>
      <c r="H71" s="85"/>
      <c r="I71" s="87"/>
      <c r="J71" s="100"/>
      <c r="K71" s="85"/>
      <c r="L71" s="85"/>
      <c r="M71" s="85"/>
      <c r="N71" s="87"/>
      <c r="O71" s="101"/>
      <c r="P71" s="85"/>
      <c r="Q71" s="85"/>
      <c r="R71" s="85"/>
      <c r="S71" s="87"/>
      <c r="U71" s="90" t="s">
        <v>73</v>
      </c>
      <c r="V71" s="99"/>
      <c r="W71" s="100"/>
      <c r="X71" s="85"/>
      <c r="Y71" s="85"/>
      <c r="Z71" s="85"/>
      <c r="AA71" s="87"/>
      <c r="AB71" s="100"/>
      <c r="AC71" s="85"/>
      <c r="AD71" s="85"/>
      <c r="AE71" s="85"/>
      <c r="AF71" s="87"/>
      <c r="AG71" s="101"/>
      <c r="AH71" s="85"/>
      <c r="AI71" s="85"/>
      <c r="AJ71" s="85"/>
      <c r="AK71" s="87"/>
    </row>
    <row r="72" spans="1:37" x14ac:dyDescent="0.25">
      <c r="A72" s="88" t="s">
        <v>74</v>
      </c>
      <c r="B72" s="91" t="s">
        <v>41</v>
      </c>
      <c r="C72" s="25" t="s">
        <v>60</v>
      </c>
      <c r="D72" s="25" t="s">
        <v>56</v>
      </c>
      <c r="E72" s="93">
        <v>0.3</v>
      </c>
      <c r="F72" s="95">
        <v>0</v>
      </c>
      <c r="G72" s="95">
        <v>0</v>
      </c>
      <c r="H72" s="95">
        <v>0</v>
      </c>
      <c r="I72" s="96">
        <v>0</v>
      </c>
      <c r="J72" s="93">
        <v>0.45</v>
      </c>
      <c r="K72" s="95">
        <v>0</v>
      </c>
      <c r="L72" s="95">
        <v>0</v>
      </c>
      <c r="M72" s="95">
        <v>0.23544033824650068</v>
      </c>
      <c r="N72" s="96">
        <v>0.25368410842821665</v>
      </c>
      <c r="O72" s="97">
        <v>0.5</v>
      </c>
      <c r="P72" s="95">
        <v>0</v>
      </c>
      <c r="Q72" s="95">
        <v>0</v>
      </c>
      <c r="R72" s="95">
        <v>0.35217379081570921</v>
      </c>
      <c r="S72" s="96">
        <v>0.32374239229532109</v>
      </c>
      <c r="U72" s="88" t="s">
        <v>74</v>
      </c>
      <c r="V72" s="91" t="s">
        <v>41</v>
      </c>
      <c r="W72" s="93">
        <v>0.3</v>
      </c>
      <c r="X72" s="95" t="s">
        <v>36</v>
      </c>
      <c r="Y72" s="95" t="s">
        <v>36</v>
      </c>
      <c r="Z72" s="95">
        <v>0</v>
      </c>
      <c r="AA72" s="96">
        <v>0</v>
      </c>
      <c r="AB72" s="93">
        <v>0.45</v>
      </c>
      <c r="AC72" s="95" t="s">
        <v>36</v>
      </c>
      <c r="AD72" s="95" t="s">
        <v>36</v>
      </c>
      <c r="AE72" s="95">
        <v>0.23382259805166739</v>
      </c>
      <c r="AF72" s="96">
        <v>0.25368410842821665</v>
      </c>
      <c r="AG72" s="97">
        <v>0.5</v>
      </c>
      <c r="AH72" s="95" t="s">
        <v>36</v>
      </c>
      <c r="AI72" s="95" t="s">
        <v>36</v>
      </c>
      <c r="AJ72" s="95">
        <v>0.35533380496464873</v>
      </c>
      <c r="AK72" s="96">
        <v>0.32374239229532109</v>
      </c>
    </row>
    <row r="73" spans="1:37" x14ac:dyDescent="0.25">
      <c r="A73" s="89" t="s">
        <v>74</v>
      </c>
      <c r="B73" s="92"/>
      <c r="C73" s="26" t="s">
        <v>60</v>
      </c>
      <c r="D73" s="26" t="s">
        <v>56</v>
      </c>
      <c r="E73" s="94"/>
      <c r="F73" s="84"/>
      <c r="G73" s="84"/>
      <c r="H73" s="84"/>
      <c r="I73" s="86"/>
      <c r="J73" s="94"/>
      <c r="K73" s="84"/>
      <c r="L73" s="84"/>
      <c r="M73" s="84"/>
      <c r="N73" s="86"/>
      <c r="O73" s="98"/>
      <c r="P73" s="84"/>
      <c r="Q73" s="84"/>
      <c r="R73" s="84"/>
      <c r="S73" s="86"/>
      <c r="U73" s="89" t="s">
        <v>74</v>
      </c>
      <c r="V73" s="92"/>
      <c r="W73" s="94"/>
      <c r="X73" s="84"/>
      <c r="Y73" s="84"/>
      <c r="Z73" s="84"/>
      <c r="AA73" s="86"/>
      <c r="AB73" s="94"/>
      <c r="AC73" s="84"/>
      <c r="AD73" s="84"/>
      <c r="AE73" s="84"/>
      <c r="AF73" s="86"/>
      <c r="AG73" s="98"/>
      <c r="AH73" s="84"/>
      <c r="AI73" s="84"/>
      <c r="AJ73" s="84"/>
      <c r="AK73" s="86"/>
    </row>
    <row r="74" spans="1:37" x14ac:dyDescent="0.25">
      <c r="A74" s="89" t="s">
        <v>74</v>
      </c>
      <c r="B74" s="92" t="s">
        <v>42</v>
      </c>
      <c r="C74" s="26" t="s">
        <v>60</v>
      </c>
      <c r="D74" s="26" t="s">
        <v>56</v>
      </c>
      <c r="E74" s="94">
        <v>0.27999999999999997</v>
      </c>
      <c r="F74" s="84">
        <v>0</v>
      </c>
      <c r="G74" s="84">
        <v>0</v>
      </c>
      <c r="H74" s="84">
        <v>0</v>
      </c>
      <c r="I74" s="86">
        <v>0</v>
      </c>
      <c r="J74" s="94">
        <v>0.43</v>
      </c>
      <c r="K74" s="84">
        <v>0</v>
      </c>
      <c r="L74" s="84">
        <v>0</v>
      </c>
      <c r="M74" s="84">
        <v>0.21544033824650069</v>
      </c>
      <c r="N74" s="86">
        <v>0.23368410842821666</v>
      </c>
      <c r="O74" s="98">
        <v>0.48</v>
      </c>
      <c r="P74" s="84">
        <v>0</v>
      </c>
      <c r="Q74" s="84">
        <v>0</v>
      </c>
      <c r="R74" s="84">
        <v>0.33217379081570919</v>
      </c>
      <c r="S74" s="86">
        <v>0.30374239229532107</v>
      </c>
      <c r="U74" s="89" t="s">
        <v>74</v>
      </c>
      <c r="V74" s="92" t="s">
        <v>42</v>
      </c>
      <c r="W74" s="94">
        <v>0.27999999999999997</v>
      </c>
      <c r="X74" s="84" t="s">
        <v>36</v>
      </c>
      <c r="Y74" s="84" t="s">
        <v>36</v>
      </c>
      <c r="Z74" s="84">
        <v>0</v>
      </c>
      <c r="AA74" s="86">
        <v>0</v>
      </c>
      <c r="AB74" s="94">
        <v>0.43</v>
      </c>
      <c r="AC74" s="84" t="s">
        <v>36</v>
      </c>
      <c r="AD74" s="84" t="s">
        <v>36</v>
      </c>
      <c r="AE74" s="84">
        <v>0.2138225980516674</v>
      </c>
      <c r="AF74" s="86">
        <v>0.23368410842821666</v>
      </c>
      <c r="AG74" s="98">
        <v>0.48</v>
      </c>
      <c r="AH74" s="84" t="s">
        <v>36</v>
      </c>
      <c r="AI74" s="84" t="s">
        <v>36</v>
      </c>
      <c r="AJ74" s="84">
        <v>0.33533380496464871</v>
      </c>
      <c r="AK74" s="86">
        <v>0.30374239229532107</v>
      </c>
    </row>
    <row r="75" spans="1:37" ht="12" thickBot="1" x14ac:dyDescent="0.3">
      <c r="A75" s="90" t="s">
        <v>74</v>
      </c>
      <c r="B75" s="99"/>
      <c r="C75" s="27" t="s">
        <v>60</v>
      </c>
      <c r="D75" s="27" t="s">
        <v>56</v>
      </c>
      <c r="E75" s="100"/>
      <c r="F75" s="85"/>
      <c r="G75" s="85"/>
      <c r="H75" s="85"/>
      <c r="I75" s="87"/>
      <c r="J75" s="100"/>
      <c r="K75" s="85"/>
      <c r="L75" s="85"/>
      <c r="M75" s="85"/>
      <c r="N75" s="87"/>
      <c r="O75" s="101"/>
      <c r="P75" s="85"/>
      <c r="Q75" s="85"/>
      <c r="R75" s="85"/>
      <c r="S75" s="87"/>
      <c r="U75" s="90" t="s">
        <v>74</v>
      </c>
      <c r="V75" s="99"/>
      <c r="W75" s="100"/>
      <c r="X75" s="85"/>
      <c r="Y75" s="85"/>
      <c r="Z75" s="85"/>
      <c r="AA75" s="87"/>
      <c r="AB75" s="100"/>
      <c r="AC75" s="85"/>
      <c r="AD75" s="85"/>
      <c r="AE75" s="85"/>
      <c r="AF75" s="87"/>
      <c r="AG75" s="101"/>
      <c r="AH75" s="85"/>
      <c r="AI75" s="85"/>
      <c r="AJ75" s="85"/>
      <c r="AK75" s="87"/>
    </row>
    <row r="76" spans="1:37" x14ac:dyDescent="0.25">
      <c r="A76" s="88" t="s">
        <v>75</v>
      </c>
      <c r="B76" s="91" t="s">
        <v>41</v>
      </c>
      <c r="C76" s="25" t="s">
        <v>60</v>
      </c>
      <c r="D76" s="25" t="s">
        <v>56</v>
      </c>
      <c r="E76" s="93">
        <v>0</v>
      </c>
      <c r="F76" s="95">
        <v>0</v>
      </c>
      <c r="G76" s="95">
        <v>0</v>
      </c>
      <c r="H76" s="95">
        <v>0</v>
      </c>
      <c r="I76" s="96">
        <v>0</v>
      </c>
      <c r="J76" s="93">
        <v>0.15</v>
      </c>
      <c r="K76" s="95">
        <v>0</v>
      </c>
      <c r="L76" s="95">
        <v>0</v>
      </c>
      <c r="M76" s="95">
        <v>0.23544033824650068</v>
      </c>
      <c r="N76" s="96">
        <v>0</v>
      </c>
      <c r="O76" s="97">
        <v>0.25</v>
      </c>
      <c r="P76" s="95">
        <v>0</v>
      </c>
      <c r="Q76" s="95">
        <v>0</v>
      </c>
      <c r="R76" s="95">
        <v>0.35217379081570921</v>
      </c>
      <c r="S76" s="96">
        <v>0</v>
      </c>
      <c r="U76" s="88" t="s">
        <v>75</v>
      </c>
      <c r="V76" s="91" t="s">
        <v>41</v>
      </c>
      <c r="W76" s="93" t="s">
        <v>36</v>
      </c>
      <c r="X76" s="95" t="s">
        <v>36</v>
      </c>
      <c r="Y76" s="95" t="s">
        <v>36</v>
      </c>
      <c r="Z76" s="95" t="s">
        <v>36</v>
      </c>
      <c r="AA76" s="96" t="s">
        <v>36</v>
      </c>
      <c r="AB76" s="93" t="s">
        <v>36</v>
      </c>
      <c r="AC76" s="95" t="s">
        <v>36</v>
      </c>
      <c r="AD76" s="95" t="s">
        <v>36</v>
      </c>
      <c r="AE76" s="95" t="s">
        <v>36</v>
      </c>
      <c r="AF76" s="96" t="s">
        <v>36</v>
      </c>
      <c r="AG76" s="97" t="s">
        <v>36</v>
      </c>
      <c r="AH76" s="95" t="s">
        <v>36</v>
      </c>
      <c r="AI76" s="95" t="s">
        <v>36</v>
      </c>
      <c r="AJ76" s="95" t="s">
        <v>36</v>
      </c>
      <c r="AK76" s="96" t="s">
        <v>36</v>
      </c>
    </row>
    <row r="77" spans="1:37" x14ac:dyDescent="0.25">
      <c r="A77" s="89" t="s">
        <v>75</v>
      </c>
      <c r="B77" s="92"/>
      <c r="C77" s="26" t="s">
        <v>60</v>
      </c>
      <c r="D77" s="26" t="s">
        <v>56</v>
      </c>
      <c r="E77" s="94"/>
      <c r="F77" s="84"/>
      <c r="G77" s="84"/>
      <c r="H77" s="84"/>
      <c r="I77" s="86"/>
      <c r="J77" s="94"/>
      <c r="K77" s="84"/>
      <c r="L77" s="84"/>
      <c r="M77" s="84"/>
      <c r="N77" s="86"/>
      <c r="O77" s="98"/>
      <c r="P77" s="84"/>
      <c r="Q77" s="84"/>
      <c r="R77" s="84"/>
      <c r="S77" s="86"/>
      <c r="U77" s="89" t="s">
        <v>75</v>
      </c>
      <c r="V77" s="92"/>
      <c r="W77" s="94"/>
      <c r="X77" s="84"/>
      <c r="Y77" s="84"/>
      <c r="Z77" s="84"/>
      <c r="AA77" s="86"/>
      <c r="AB77" s="94"/>
      <c r="AC77" s="84"/>
      <c r="AD77" s="84"/>
      <c r="AE77" s="84"/>
      <c r="AF77" s="86"/>
      <c r="AG77" s="98"/>
      <c r="AH77" s="84"/>
      <c r="AI77" s="84"/>
      <c r="AJ77" s="84"/>
      <c r="AK77" s="86"/>
    </row>
    <row r="78" spans="1:37" x14ac:dyDescent="0.25">
      <c r="A78" s="89" t="s">
        <v>75</v>
      </c>
      <c r="B78" s="92" t="s">
        <v>42</v>
      </c>
      <c r="C78" s="26" t="s">
        <v>60</v>
      </c>
      <c r="D78" s="26" t="s">
        <v>56</v>
      </c>
      <c r="E78" s="94">
        <v>0</v>
      </c>
      <c r="F78" s="84">
        <v>0</v>
      </c>
      <c r="G78" s="84">
        <v>0</v>
      </c>
      <c r="H78" s="84">
        <v>0</v>
      </c>
      <c r="I78" s="86">
        <v>0</v>
      </c>
      <c r="J78" s="94">
        <v>0.13</v>
      </c>
      <c r="K78" s="84">
        <v>0</v>
      </c>
      <c r="L78" s="84">
        <v>0</v>
      </c>
      <c r="M78" s="84">
        <v>0.21544033824650069</v>
      </c>
      <c r="N78" s="86">
        <v>0</v>
      </c>
      <c r="O78" s="98">
        <v>0.23</v>
      </c>
      <c r="P78" s="84">
        <v>0</v>
      </c>
      <c r="Q78" s="84">
        <v>0</v>
      </c>
      <c r="R78" s="84">
        <v>0.33217379081570919</v>
      </c>
      <c r="S78" s="86">
        <v>0</v>
      </c>
      <c r="U78" s="89" t="s">
        <v>75</v>
      </c>
      <c r="V78" s="92" t="s">
        <v>42</v>
      </c>
      <c r="W78" s="94" t="s">
        <v>36</v>
      </c>
      <c r="X78" s="84" t="s">
        <v>36</v>
      </c>
      <c r="Y78" s="84" t="s">
        <v>36</v>
      </c>
      <c r="Z78" s="84" t="s">
        <v>36</v>
      </c>
      <c r="AA78" s="86" t="s">
        <v>36</v>
      </c>
      <c r="AB78" s="94" t="s">
        <v>36</v>
      </c>
      <c r="AC78" s="84" t="s">
        <v>36</v>
      </c>
      <c r="AD78" s="84" t="s">
        <v>36</v>
      </c>
      <c r="AE78" s="84" t="s">
        <v>36</v>
      </c>
      <c r="AF78" s="86" t="s">
        <v>36</v>
      </c>
      <c r="AG78" s="98" t="s">
        <v>36</v>
      </c>
      <c r="AH78" s="84" t="s">
        <v>36</v>
      </c>
      <c r="AI78" s="84" t="s">
        <v>36</v>
      </c>
      <c r="AJ78" s="84" t="s">
        <v>36</v>
      </c>
      <c r="AK78" s="86" t="s">
        <v>36</v>
      </c>
    </row>
    <row r="79" spans="1:37" ht="12" thickBot="1" x14ac:dyDescent="0.3">
      <c r="A79" s="90" t="s">
        <v>75</v>
      </c>
      <c r="B79" s="99"/>
      <c r="C79" s="27" t="s">
        <v>60</v>
      </c>
      <c r="D79" s="27" t="s">
        <v>56</v>
      </c>
      <c r="E79" s="100"/>
      <c r="F79" s="85"/>
      <c r="G79" s="85"/>
      <c r="H79" s="85"/>
      <c r="I79" s="87"/>
      <c r="J79" s="100"/>
      <c r="K79" s="85"/>
      <c r="L79" s="85"/>
      <c r="M79" s="85"/>
      <c r="N79" s="87"/>
      <c r="O79" s="101"/>
      <c r="P79" s="85"/>
      <c r="Q79" s="85"/>
      <c r="R79" s="85"/>
      <c r="S79" s="87"/>
      <c r="U79" s="90" t="s">
        <v>75</v>
      </c>
      <c r="V79" s="99"/>
      <c r="W79" s="100"/>
      <c r="X79" s="85"/>
      <c r="Y79" s="85"/>
      <c r="Z79" s="85"/>
      <c r="AA79" s="87"/>
      <c r="AB79" s="100"/>
      <c r="AC79" s="85"/>
      <c r="AD79" s="85"/>
      <c r="AE79" s="85"/>
      <c r="AF79" s="87"/>
      <c r="AG79" s="101"/>
      <c r="AH79" s="85"/>
      <c r="AI79" s="85"/>
      <c r="AJ79" s="85"/>
      <c r="AK79" s="87"/>
    </row>
    <row r="80" spans="1:37" x14ac:dyDescent="0.25">
      <c r="A80" s="88" t="s">
        <v>76</v>
      </c>
      <c r="B80" s="91" t="s">
        <v>41</v>
      </c>
      <c r="C80" s="25" t="s">
        <v>60</v>
      </c>
      <c r="D80" s="25" t="s">
        <v>56</v>
      </c>
      <c r="E80" s="93">
        <v>0</v>
      </c>
      <c r="F80" s="95">
        <v>0</v>
      </c>
      <c r="G80" s="95">
        <v>0</v>
      </c>
      <c r="H80" s="95">
        <v>0</v>
      </c>
      <c r="I80" s="96">
        <v>0</v>
      </c>
      <c r="J80" s="93">
        <v>0.3</v>
      </c>
      <c r="K80" s="95">
        <v>0</v>
      </c>
      <c r="L80" s="95">
        <v>0</v>
      </c>
      <c r="M80" s="95">
        <v>0.23544033824650068</v>
      </c>
      <c r="N80" s="96">
        <v>0</v>
      </c>
      <c r="O80" s="97">
        <v>0.35</v>
      </c>
      <c r="P80" s="95">
        <v>0</v>
      </c>
      <c r="Q80" s="95">
        <v>0</v>
      </c>
      <c r="R80" s="95">
        <v>0.35217379081570921</v>
      </c>
      <c r="S80" s="96">
        <v>0.16445216909382765</v>
      </c>
      <c r="U80" s="88" t="s">
        <v>76</v>
      </c>
      <c r="V80" s="91" t="s">
        <v>41</v>
      </c>
      <c r="W80" s="93" t="s">
        <v>36</v>
      </c>
      <c r="X80" s="95" t="s">
        <v>36</v>
      </c>
      <c r="Y80" s="95" t="s">
        <v>36</v>
      </c>
      <c r="Z80" s="95">
        <v>0</v>
      </c>
      <c r="AA80" s="96" t="s">
        <v>36</v>
      </c>
      <c r="AB80" s="93" t="s">
        <v>36</v>
      </c>
      <c r="AC80" s="95" t="s">
        <v>36</v>
      </c>
      <c r="AD80" s="95" t="s">
        <v>36</v>
      </c>
      <c r="AE80" s="95">
        <v>0.23382259805166739</v>
      </c>
      <c r="AF80" s="96" t="s">
        <v>36</v>
      </c>
      <c r="AG80" s="97" t="s">
        <v>36</v>
      </c>
      <c r="AH80" s="95" t="s">
        <v>36</v>
      </c>
      <c r="AI80" s="95" t="s">
        <v>36</v>
      </c>
      <c r="AJ80" s="95">
        <v>0.35533380496464873</v>
      </c>
      <c r="AK80" s="96" t="s">
        <v>36</v>
      </c>
    </row>
    <row r="81" spans="1:37" x14ac:dyDescent="0.25">
      <c r="A81" s="89" t="s">
        <v>76</v>
      </c>
      <c r="B81" s="92"/>
      <c r="C81" s="26" t="s">
        <v>60</v>
      </c>
      <c r="D81" s="26" t="s">
        <v>56</v>
      </c>
      <c r="E81" s="94"/>
      <c r="F81" s="84"/>
      <c r="G81" s="84"/>
      <c r="H81" s="84"/>
      <c r="I81" s="86"/>
      <c r="J81" s="94"/>
      <c r="K81" s="84"/>
      <c r="L81" s="84"/>
      <c r="M81" s="84"/>
      <c r="N81" s="86"/>
      <c r="O81" s="98"/>
      <c r="P81" s="84"/>
      <c r="Q81" s="84"/>
      <c r="R81" s="84"/>
      <c r="S81" s="86"/>
      <c r="U81" s="89" t="s">
        <v>76</v>
      </c>
      <c r="V81" s="92"/>
      <c r="W81" s="94"/>
      <c r="X81" s="84"/>
      <c r="Y81" s="84"/>
      <c r="Z81" s="84"/>
      <c r="AA81" s="86"/>
      <c r="AB81" s="94"/>
      <c r="AC81" s="84"/>
      <c r="AD81" s="84"/>
      <c r="AE81" s="84"/>
      <c r="AF81" s="86"/>
      <c r="AG81" s="98"/>
      <c r="AH81" s="84"/>
      <c r="AI81" s="84"/>
      <c r="AJ81" s="84"/>
      <c r="AK81" s="86"/>
    </row>
    <row r="82" spans="1:37" x14ac:dyDescent="0.25">
      <c r="A82" s="89" t="s">
        <v>76</v>
      </c>
      <c r="B82" s="92" t="s">
        <v>42</v>
      </c>
      <c r="C82" s="26" t="s">
        <v>60</v>
      </c>
      <c r="D82" s="26" t="s">
        <v>56</v>
      </c>
      <c r="E82" s="94">
        <v>0</v>
      </c>
      <c r="F82" s="84">
        <v>0</v>
      </c>
      <c r="G82" s="84">
        <v>0</v>
      </c>
      <c r="H82" s="84">
        <v>0</v>
      </c>
      <c r="I82" s="86">
        <v>0</v>
      </c>
      <c r="J82" s="94">
        <v>0.27999999999999997</v>
      </c>
      <c r="K82" s="84">
        <v>0</v>
      </c>
      <c r="L82" s="84">
        <v>0</v>
      </c>
      <c r="M82" s="84">
        <v>0.21544033824650069</v>
      </c>
      <c r="N82" s="86">
        <v>0</v>
      </c>
      <c r="O82" s="98">
        <v>0.32999999999999996</v>
      </c>
      <c r="P82" s="84">
        <v>0</v>
      </c>
      <c r="Q82" s="84">
        <v>0</v>
      </c>
      <c r="R82" s="84">
        <v>0.33217379081570919</v>
      </c>
      <c r="S82" s="86">
        <v>0.14445216909382766</v>
      </c>
      <c r="U82" s="89" t="s">
        <v>76</v>
      </c>
      <c r="V82" s="92" t="s">
        <v>42</v>
      </c>
      <c r="W82" s="94" t="s">
        <v>36</v>
      </c>
      <c r="X82" s="84" t="s">
        <v>36</v>
      </c>
      <c r="Y82" s="84" t="s">
        <v>36</v>
      </c>
      <c r="Z82" s="84">
        <v>0</v>
      </c>
      <c r="AA82" s="86" t="s">
        <v>36</v>
      </c>
      <c r="AB82" s="94" t="s">
        <v>36</v>
      </c>
      <c r="AC82" s="84" t="s">
        <v>36</v>
      </c>
      <c r="AD82" s="84" t="s">
        <v>36</v>
      </c>
      <c r="AE82" s="84">
        <v>0.2138225980516674</v>
      </c>
      <c r="AF82" s="86" t="s">
        <v>36</v>
      </c>
      <c r="AG82" s="98" t="s">
        <v>36</v>
      </c>
      <c r="AH82" s="84" t="s">
        <v>36</v>
      </c>
      <c r="AI82" s="84" t="s">
        <v>36</v>
      </c>
      <c r="AJ82" s="84">
        <v>0.33533380496464871</v>
      </c>
      <c r="AK82" s="86" t="s">
        <v>36</v>
      </c>
    </row>
    <row r="83" spans="1:37" ht="12" thickBot="1" x14ac:dyDescent="0.3">
      <c r="A83" s="90" t="s">
        <v>76</v>
      </c>
      <c r="B83" s="99"/>
      <c r="C83" s="27" t="s">
        <v>60</v>
      </c>
      <c r="D83" s="27" t="s">
        <v>56</v>
      </c>
      <c r="E83" s="100"/>
      <c r="F83" s="85"/>
      <c r="G83" s="85"/>
      <c r="H83" s="85"/>
      <c r="I83" s="87"/>
      <c r="J83" s="100"/>
      <c r="K83" s="85"/>
      <c r="L83" s="85"/>
      <c r="M83" s="85"/>
      <c r="N83" s="87"/>
      <c r="O83" s="101"/>
      <c r="P83" s="85"/>
      <c r="Q83" s="85"/>
      <c r="R83" s="85"/>
      <c r="S83" s="87"/>
      <c r="U83" s="90" t="s">
        <v>76</v>
      </c>
      <c r="V83" s="99"/>
      <c r="W83" s="100"/>
      <c r="X83" s="85"/>
      <c r="Y83" s="85"/>
      <c r="Z83" s="85"/>
      <c r="AA83" s="87"/>
      <c r="AB83" s="100"/>
      <c r="AC83" s="85"/>
      <c r="AD83" s="85"/>
      <c r="AE83" s="85"/>
      <c r="AF83" s="87"/>
      <c r="AG83" s="101"/>
      <c r="AH83" s="85"/>
      <c r="AI83" s="85"/>
      <c r="AJ83" s="85"/>
      <c r="AK83" s="87"/>
    </row>
    <row r="84" spans="1:37" x14ac:dyDescent="0.25">
      <c r="A84" s="88" t="s">
        <v>77</v>
      </c>
      <c r="B84" s="91" t="s">
        <v>41</v>
      </c>
      <c r="C84" s="25" t="s">
        <v>55</v>
      </c>
      <c r="D84" s="25" t="s">
        <v>56</v>
      </c>
      <c r="E84" s="93">
        <v>0.3</v>
      </c>
      <c r="F84" s="95">
        <v>0</v>
      </c>
      <c r="G84" s="95">
        <v>0</v>
      </c>
      <c r="H84" s="95">
        <v>0</v>
      </c>
      <c r="I84" s="96">
        <v>0</v>
      </c>
      <c r="J84" s="93">
        <v>0.5</v>
      </c>
      <c r="K84" s="95">
        <v>0</v>
      </c>
      <c r="L84" s="95">
        <v>0</v>
      </c>
      <c r="M84" s="95">
        <v>0</v>
      </c>
      <c r="N84" s="96">
        <v>0.29116323582107562</v>
      </c>
      <c r="O84" s="97">
        <v>0.55000000000000004</v>
      </c>
      <c r="P84" s="95">
        <v>0</v>
      </c>
      <c r="Q84" s="95">
        <v>0</v>
      </c>
      <c r="R84" s="95">
        <v>0</v>
      </c>
      <c r="S84" s="96">
        <v>0.36335643632411341</v>
      </c>
      <c r="U84" s="88" t="s">
        <v>77</v>
      </c>
      <c r="V84" s="91" t="s">
        <v>41</v>
      </c>
      <c r="W84" s="93">
        <v>0.3</v>
      </c>
      <c r="X84" s="95" t="s">
        <v>36</v>
      </c>
      <c r="Y84" s="95" t="s">
        <v>36</v>
      </c>
      <c r="Z84" s="95" t="s">
        <v>36</v>
      </c>
      <c r="AA84" s="96">
        <v>0</v>
      </c>
      <c r="AB84" s="93">
        <v>0.5</v>
      </c>
      <c r="AC84" s="95" t="s">
        <v>36</v>
      </c>
      <c r="AD84" s="95" t="s">
        <v>36</v>
      </c>
      <c r="AE84" s="95" t="s">
        <v>36</v>
      </c>
      <c r="AF84" s="96">
        <v>0</v>
      </c>
      <c r="AG84" s="97">
        <v>0.55000000000000004</v>
      </c>
      <c r="AH84" s="95" t="s">
        <v>36</v>
      </c>
      <c r="AI84" s="95" t="s">
        <v>36</v>
      </c>
      <c r="AJ84" s="95" t="s">
        <v>36</v>
      </c>
      <c r="AK84" s="96">
        <v>0</v>
      </c>
    </row>
    <row r="85" spans="1:37" x14ac:dyDescent="0.25">
      <c r="A85" s="89" t="s">
        <v>77</v>
      </c>
      <c r="B85" s="92"/>
      <c r="C85" s="26" t="s">
        <v>55</v>
      </c>
      <c r="D85" s="26" t="s">
        <v>56</v>
      </c>
      <c r="E85" s="94"/>
      <c r="F85" s="84"/>
      <c r="G85" s="84"/>
      <c r="H85" s="84"/>
      <c r="I85" s="86"/>
      <c r="J85" s="94"/>
      <c r="K85" s="84"/>
      <c r="L85" s="84"/>
      <c r="M85" s="84"/>
      <c r="N85" s="86"/>
      <c r="O85" s="98"/>
      <c r="P85" s="84"/>
      <c r="Q85" s="84"/>
      <c r="R85" s="84"/>
      <c r="S85" s="86"/>
      <c r="U85" s="89" t="s">
        <v>77</v>
      </c>
      <c r="V85" s="92"/>
      <c r="W85" s="94"/>
      <c r="X85" s="84"/>
      <c r="Y85" s="84"/>
      <c r="Z85" s="84"/>
      <c r="AA85" s="86"/>
      <c r="AB85" s="94"/>
      <c r="AC85" s="84"/>
      <c r="AD85" s="84"/>
      <c r="AE85" s="84"/>
      <c r="AF85" s="86"/>
      <c r="AG85" s="98"/>
      <c r="AH85" s="84"/>
      <c r="AI85" s="84"/>
      <c r="AJ85" s="84"/>
      <c r="AK85" s="86"/>
    </row>
    <row r="86" spans="1:37" x14ac:dyDescent="0.25">
      <c r="A86" s="89" t="s">
        <v>77</v>
      </c>
      <c r="B86" s="92" t="s">
        <v>42</v>
      </c>
      <c r="C86" s="26" t="s">
        <v>55</v>
      </c>
      <c r="D86" s="26" t="s">
        <v>56</v>
      </c>
      <c r="E86" s="94">
        <v>0.27999999999999997</v>
      </c>
      <c r="F86" s="84">
        <v>0</v>
      </c>
      <c r="G86" s="84">
        <v>0</v>
      </c>
      <c r="H86" s="84">
        <v>0</v>
      </c>
      <c r="I86" s="86">
        <v>0</v>
      </c>
      <c r="J86" s="94">
        <v>0.48</v>
      </c>
      <c r="K86" s="84">
        <v>0</v>
      </c>
      <c r="L86" s="84">
        <v>0</v>
      </c>
      <c r="M86" s="84">
        <v>0</v>
      </c>
      <c r="N86" s="86">
        <v>0.2711632358210756</v>
      </c>
      <c r="O86" s="98">
        <v>0.53</v>
      </c>
      <c r="P86" s="84">
        <v>0</v>
      </c>
      <c r="Q86" s="84">
        <v>0</v>
      </c>
      <c r="R86" s="84">
        <v>0</v>
      </c>
      <c r="S86" s="86">
        <v>0.34335643632411339</v>
      </c>
      <c r="U86" s="89" t="s">
        <v>77</v>
      </c>
      <c r="V86" s="92" t="s">
        <v>42</v>
      </c>
      <c r="W86" s="94">
        <v>0.27999999999999997</v>
      </c>
      <c r="X86" s="84" t="s">
        <v>36</v>
      </c>
      <c r="Y86" s="84" t="s">
        <v>36</v>
      </c>
      <c r="Z86" s="84" t="s">
        <v>36</v>
      </c>
      <c r="AA86" s="86">
        <v>0</v>
      </c>
      <c r="AB86" s="94">
        <v>0.48</v>
      </c>
      <c r="AC86" s="84" t="s">
        <v>36</v>
      </c>
      <c r="AD86" s="84" t="s">
        <v>36</v>
      </c>
      <c r="AE86" s="84" t="s">
        <v>36</v>
      </c>
      <c r="AF86" s="86">
        <v>0</v>
      </c>
      <c r="AG86" s="98">
        <v>0.53</v>
      </c>
      <c r="AH86" s="84" t="s">
        <v>36</v>
      </c>
      <c r="AI86" s="84" t="s">
        <v>36</v>
      </c>
      <c r="AJ86" s="84" t="s">
        <v>36</v>
      </c>
      <c r="AK86" s="86">
        <v>0</v>
      </c>
    </row>
    <row r="87" spans="1:37" ht="12" thickBot="1" x14ac:dyDescent="0.3">
      <c r="A87" s="90" t="s">
        <v>77</v>
      </c>
      <c r="B87" s="99"/>
      <c r="C87" s="27" t="s">
        <v>55</v>
      </c>
      <c r="D87" s="27" t="s">
        <v>56</v>
      </c>
      <c r="E87" s="100"/>
      <c r="F87" s="85"/>
      <c r="G87" s="85"/>
      <c r="H87" s="85"/>
      <c r="I87" s="87"/>
      <c r="J87" s="100"/>
      <c r="K87" s="85"/>
      <c r="L87" s="85"/>
      <c r="M87" s="85"/>
      <c r="N87" s="87"/>
      <c r="O87" s="101"/>
      <c r="P87" s="85"/>
      <c r="Q87" s="85"/>
      <c r="R87" s="85"/>
      <c r="S87" s="87"/>
      <c r="U87" s="90" t="s">
        <v>77</v>
      </c>
      <c r="V87" s="99"/>
      <c r="W87" s="100"/>
      <c r="X87" s="85"/>
      <c r="Y87" s="85"/>
      <c r="Z87" s="85"/>
      <c r="AA87" s="87"/>
      <c r="AB87" s="100"/>
      <c r="AC87" s="85"/>
      <c r="AD87" s="85"/>
      <c r="AE87" s="85"/>
      <c r="AF87" s="87"/>
      <c r="AG87" s="101"/>
      <c r="AH87" s="85"/>
      <c r="AI87" s="85"/>
      <c r="AJ87" s="85"/>
      <c r="AK87" s="87"/>
    </row>
    <row r="88" spans="1:37" x14ac:dyDescent="0.25">
      <c r="A88" s="88" t="s">
        <v>78</v>
      </c>
      <c r="B88" s="91" t="s">
        <v>41</v>
      </c>
      <c r="C88" s="25" t="s">
        <v>70</v>
      </c>
      <c r="D88" s="25" t="s">
        <v>56</v>
      </c>
      <c r="E88" s="93">
        <v>0.25</v>
      </c>
      <c r="F88" s="95">
        <v>0</v>
      </c>
      <c r="G88" s="95">
        <v>0</v>
      </c>
      <c r="H88" s="95">
        <v>0</v>
      </c>
      <c r="I88" s="96">
        <v>0</v>
      </c>
      <c r="J88" s="93">
        <v>0.45</v>
      </c>
      <c r="K88" s="95">
        <v>0</v>
      </c>
      <c r="L88" s="95">
        <v>0</v>
      </c>
      <c r="M88" s="95">
        <v>0</v>
      </c>
      <c r="N88" s="96">
        <v>0.24509575323201727</v>
      </c>
      <c r="O88" s="97">
        <v>0.5</v>
      </c>
      <c r="P88" s="95">
        <v>0</v>
      </c>
      <c r="Q88" s="95">
        <v>0</v>
      </c>
      <c r="R88" s="95">
        <v>0</v>
      </c>
      <c r="S88" s="96">
        <v>0.31707970941933983</v>
      </c>
      <c r="U88" s="88" t="s">
        <v>78</v>
      </c>
      <c r="V88" s="91" t="s">
        <v>41</v>
      </c>
      <c r="W88" s="93">
        <v>0.25</v>
      </c>
      <c r="X88" s="95" t="s">
        <v>36</v>
      </c>
      <c r="Y88" s="95" t="s">
        <v>36</v>
      </c>
      <c r="Z88" s="95" t="s">
        <v>36</v>
      </c>
      <c r="AA88" s="96">
        <v>0</v>
      </c>
      <c r="AB88" s="93">
        <v>0.45</v>
      </c>
      <c r="AC88" s="95" t="s">
        <v>36</v>
      </c>
      <c r="AD88" s="95" t="s">
        <v>36</v>
      </c>
      <c r="AE88" s="95" t="s">
        <v>36</v>
      </c>
      <c r="AF88" s="96">
        <v>0</v>
      </c>
      <c r="AG88" s="97">
        <v>0.5</v>
      </c>
      <c r="AH88" s="95" t="s">
        <v>36</v>
      </c>
      <c r="AI88" s="95" t="s">
        <v>36</v>
      </c>
      <c r="AJ88" s="95" t="s">
        <v>36</v>
      </c>
      <c r="AK88" s="96">
        <v>0</v>
      </c>
    </row>
    <row r="89" spans="1:37" x14ac:dyDescent="0.25">
      <c r="A89" s="89" t="s">
        <v>78</v>
      </c>
      <c r="B89" s="92"/>
      <c r="C89" s="26" t="s">
        <v>70</v>
      </c>
      <c r="D89" s="26" t="s">
        <v>56</v>
      </c>
      <c r="E89" s="94"/>
      <c r="F89" s="84"/>
      <c r="G89" s="84"/>
      <c r="H89" s="84"/>
      <c r="I89" s="86"/>
      <c r="J89" s="94"/>
      <c r="K89" s="84"/>
      <c r="L89" s="84"/>
      <c r="M89" s="84"/>
      <c r="N89" s="86"/>
      <c r="O89" s="98"/>
      <c r="P89" s="84"/>
      <c r="Q89" s="84"/>
      <c r="R89" s="84"/>
      <c r="S89" s="86"/>
      <c r="U89" s="89" t="s">
        <v>78</v>
      </c>
      <c r="V89" s="92"/>
      <c r="W89" s="94"/>
      <c r="X89" s="84"/>
      <c r="Y89" s="84"/>
      <c r="Z89" s="84"/>
      <c r="AA89" s="86"/>
      <c r="AB89" s="94"/>
      <c r="AC89" s="84"/>
      <c r="AD89" s="84"/>
      <c r="AE89" s="84"/>
      <c r="AF89" s="86"/>
      <c r="AG89" s="98"/>
      <c r="AH89" s="84"/>
      <c r="AI89" s="84"/>
      <c r="AJ89" s="84"/>
      <c r="AK89" s="86"/>
    </row>
    <row r="90" spans="1:37" x14ac:dyDescent="0.25">
      <c r="A90" s="89" t="s">
        <v>78</v>
      </c>
      <c r="B90" s="92" t="s">
        <v>42</v>
      </c>
      <c r="C90" s="26" t="s">
        <v>70</v>
      </c>
      <c r="D90" s="26" t="s">
        <v>56</v>
      </c>
      <c r="E90" s="94">
        <v>0.23</v>
      </c>
      <c r="F90" s="84">
        <v>0</v>
      </c>
      <c r="G90" s="84">
        <v>0</v>
      </c>
      <c r="H90" s="84">
        <v>0</v>
      </c>
      <c r="I90" s="86">
        <v>0</v>
      </c>
      <c r="J90" s="94">
        <v>0.43</v>
      </c>
      <c r="K90" s="84">
        <v>0</v>
      </c>
      <c r="L90" s="84">
        <v>0</v>
      </c>
      <c r="M90" s="84">
        <v>0</v>
      </c>
      <c r="N90" s="86">
        <v>0.22509575323201728</v>
      </c>
      <c r="O90" s="98">
        <v>0.48</v>
      </c>
      <c r="P90" s="84">
        <v>0</v>
      </c>
      <c r="Q90" s="84">
        <v>0</v>
      </c>
      <c r="R90" s="84">
        <v>0</v>
      </c>
      <c r="S90" s="86">
        <v>0.29707970941933981</v>
      </c>
      <c r="U90" s="89" t="s">
        <v>78</v>
      </c>
      <c r="V90" s="92" t="s">
        <v>42</v>
      </c>
      <c r="W90" s="94">
        <v>0.23</v>
      </c>
      <c r="X90" s="84" t="s">
        <v>36</v>
      </c>
      <c r="Y90" s="84" t="s">
        <v>36</v>
      </c>
      <c r="Z90" s="84" t="s">
        <v>36</v>
      </c>
      <c r="AA90" s="86">
        <v>0</v>
      </c>
      <c r="AB90" s="94">
        <v>0.43</v>
      </c>
      <c r="AC90" s="84" t="s">
        <v>36</v>
      </c>
      <c r="AD90" s="84" t="s">
        <v>36</v>
      </c>
      <c r="AE90" s="84" t="s">
        <v>36</v>
      </c>
      <c r="AF90" s="86">
        <v>0</v>
      </c>
      <c r="AG90" s="98">
        <v>0.48</v>
      </c>
      <c r="AH90" s="84" t="s">
        <v>36</v>
      </c>
      <c r="AI90" s="84" t="s">
        <v>36</v>
      </c>
      <c r="AJ90" s="84" t="s">
        <v>36</v>
      </c>
      <c r="AK90" s="86">
        <v>0</v>
      </c>
    </row>
    <row r="91" spans="1:37" ht="12" thickBot="1" x14ac:dyDescent="0.3">
      <c r="A91" s="90" t="s">
        <v>78</v>
      </c>
      <c r="B91" s="99"/>
      <c r="C91" s="27" t="s">
        <v>70</v>
      </c>
      <c r="D91" s="27" t="s">
        <v>56</v>
      </c>
      <c r="E91" s="100"/>
      <c r="F91" s="85"/>
      <c r="G91" s="85"/>
      <c r="H91" s="85"/>
      <c r="I91" s="87"/>
      <c r="J91" s="100"/>
      <c r="K91" s="85"/>
      <c r="L91" s="85"/>
      <c r="M91" s="85"/>
      <c r="N91" s="87"/>
      <c r="O91" s="101"/>
      <c r="P91" s="85"/>
      <c r="Q91" s="85"/>
      <c r="R91" s="85"/>
      <c r="S91" s="87"/>
      <c r="U91" s="90" t="s">
        <v>78</v>
      </c>
      <c r="V91" s="99"/>
      <c r="W91" s="100"/>
      <c r="X91" s="85"/>
      <c r="Y91" s="85"/>
      <c r="Z91" s="85"/>
      <c r="AA91" s="87"/>
      <c r="AB91" s="100"/>
      <c r="AC91" s="85"/>
      <c r="AD91" s="85"/>
      <c r="AE91" s="85"/>
      <c r="AF91" s="87"/>
      <c r="AG91" s="101"/>
      <c r="AH91" s="85"/>
      <c r="AI91" s="85"/>
      <c r="AJ91" s="85"/>
      <c r="AK91" s="87"/>
    </row>
    <row r="92" spans="1:37" x14ac:dyDescent="0.25">
      <c r="A92" s="88" t="s">
        <v>79</v>
      </c>
      <c r="B92" s="91" t="s">
        <v>41</v>
      </c>
      <c r="C92" s="25" t="s">
        <v>70</v>
      </c>
      <c r="D92" s="25" t="s">
        <v>56</v>
      </c>
      <c r="E92" s="93">
        <v>0</v>
      </c>
      <c r="F92" s="95">
        <v>0</v>
      </c>
      <c r="G92" s="95">
        <v>0</v>
      </c>
      <c r="H92" s="95">
        <v>0</v>
      </c>
      <c r="I92" s="96">
        <v>0</v>
      </c>
      <c r="J92" s="93">
        <v>0.25</v>
      </c>
      <c r="K92" s="95">
        <v>0</v>
      </c>
      <c r="L92" s="95">
        <v>0</v>
      </c>
      <c r="M92" s="95">
        <v>0</v>
      </c>
      <c r="N92" s="96">
        <v>0</v>
      </c>
      <c r="O92" s="97">
        <v>0.3</v>
      </c>
      <c r="P92" s="95">
        <v>0</v>
      </c>
      <c r="Q92" s="95">
        <v>0</v>
      </c>
      <c r="R92" s="95">
        <v>0</v>
      </c>
      <c r="S92" s="96">
        <v>0</v>
      </c>
      <c r="U92" s="88" t="s">
        <v>79</v>
      </c>
      <c r="V92" s="91" t="s">
        <v>41</v>
      </c>
      <c r="W92" s="93" t="s">
        <v>36</v>
      </c>
      <c r="X92" s="95" t="s">
        <v>36</v>
      </c>
      <c r="Y92" s="95" t="s">
        <v>36</v>
      </c>
      <c r="Z92" s="95" t="s">
        <v>36</v>
      </c>
      <c r="AA92" s="96" t="s">
        <v>36</v>
      </c>
      <c r="AB92" s="93" t="s">
        <v>36</v>
      </c>
      <c r="AC92" s="95" t="s">
        <v>36</v>
      </c>
      <c r="AD92" s="95" t="s">
        <v>36</v>
      </c>
      <c r="AE92" s="95" t="s">
        <v>36</v>
      </c>
      <c r="AF92" s="96" t="s">
        <v>36</v>
      </c>
      <c r="AG92" s="97" t="s">
        <v>36</v>
      </c>
      <c r="AH92" s="95" t="s">
        <v>36</v>
      </c>
      <c r="AI92" s="95" t="s">
        <v>36</v>
      </c>
      <c r="AJ92" s="95" t="s">
        <v>36</v>
      </c>
      <c r="AK92" s="96" t="s">
        <v>36</v>
      </c>
    </row>
    <row r="93" spans="1:37" x14ac:dyDescent="0.25">
      <c r="A93" s="89" t="s">
        <v>79</v>
      </c>
      <c r="B93" s="92"/>
      <c r="C93" s="26" t="s">
        <v>70</v>
      </c>
      <c r="D93" s="26" t="s">
        <v>56</v>
      </c>
      <c r="E93" s="94"/>
      <c r="F93" s="84"/>
      <c r="G93" s="84"/>
      <c r="H93" s="84"/>
      <c r="I93" s="86"/>
      <c r="J93" s="94"/>
      <c r="K93" s="84"/>
      <c r="L93" s="84"/>
      <c r="M93" s="84"/>
      <c r="N93" s="86"/>
      <c r="O93" s="98"/>
      <c r="P93" s="84"/>
      <c r="Q93" s="84"/>
      <c r="R93" s="84"/>
      <c r="S93" s="86"/>
      <c r="U93" s="89" t="s">
        <v>79</v>
      </c>
      <c r="V93" s="92"/>
      <c r="W93" s="94"/>
      <c r="X93" s="84"/>
      <c r="Y93" s="84"/>
      <c r="Z93" s="84"/>
      <c r="AA93" s="86"/>
      <c r="AB93" s="94"/>
      <c r="AC93" s="84"/>
      <c r="AD93" s="84"/>
      <c r="AE93" s="84"/>
      <c r="AF93" s="86"/>
      <c r="AG93" s="98"/>
      <c r="AH93" s="84"/>
      <c r="AI93" s="84"/>
      <c r="AJ93" s="84"/>
      <c r="AK93" s="86"/>
    </row>
    <row r="94" spans="1:37" x14ac:dyDescent="0.25">
      <c r="A94" s="89" t="s">
        <v>79</v>
      </c>
      <c r="B94" s="92" t="s">
        <v>42</v>
      </c>
      <c r="C94" s="26" t="s">
        <v>70</v>
      </c>
      <c r="D94" s="26" t="s">
        <v>56</v>
      </c>
      <c r="E94" s="94">
        <v>0</v>
      </c>
      <c r="F94" s="84">
        <v>0</v>
      </c>
      <c r="G94" s="84">
        <v>0</v>
      </c>
      <c r="H94" s="84">
        <v>0</v>
      </c>
      <c r="I94" s="86">
        <v>0</v>
      </c>
      <c r="J94" s="94">
        <v>0.23</v>
      </c>
      <c r="K94" s="84">
        <v>0</v>
      </c>
      <c r="L94" s="84">
        <v>0</v>
      </c>
      <c r="M94" s="84">
        <v>0</v>
      </c>
      <c r="N94" s="86">
        <v>0</v>
      </c>
      <c r="O94" s="98">
        <v>0.27999999999999997</v>
      </c>
      <c r="P94" s="84">
        <v>0</v>
      </c>
      <c r="Q94" s="84">
        <v>0</v>
      </c>
      <c r="R94" s="84">
        <v>0</v>
      </c>
      <c r="S94" s="86">
        <v>0</v>
      </c>
      <c r="U94" s="89" t="s">
        <v>79</v>
      </c>
      <c r="V94" s="92" t="s">
        <v>42</v>
      </c>
      <c r="W94" s="94" t="s">
        <v>36</v>
      </c>
      <c r="X94" s="84" t="s">
        <v>36</v>
      </c>
      <c r="Y94" s="84" t="s">
        <v>36</v>
      </c>
      <c r="Z94" s="84" t="s">
        <v>36</v>
      </c>
      <c r="AA94" s="86" t="s">
        <v>36</v>
      </c>
      <c r="AB94" s="94" t="s">
        <v>36</v>
      </c>
      <c r="AC94" s="84" t="s">
        <v>36</v>
      </c>
      <c r="AD94" s="84" t="s">
        <v>36</v>
      </c>
      <c r="AE94" s="84" t="s">
        <v>36</v>
      </c>
      <c r="AF94" s="86" t="s">
        <v>36</v>
      </c>
      <c r="AG94" s="98" t="s">
        <v>36</v>
      </c>
      <c r="AH94" s="84" t="s">
        <v>36</v>
      </c>
      <c r="AI94" s="84" t="s">
        <v>36</v>
      </c>
      <c r="AJ94" s="84" t="s">
        <v>36</v>
      </c>
      <c r="AK94" s="86" t="s">
        <v>36</v>
      </c>
    </row>
    <row r="95" spans="1:37" ht="12" thickBot="1" x14ac:dyDescent="0.3">
      <c r="A95" s="90" t="s">
        <v>79</v>
      </c>
      <c r="B95" s="99"/>
      <c r="C95" s="27" t="s">
        <v>70</v>
      </c>
      <c r="D95" s="27" t="s">
        <v>56</v>
      </c>
      <c r="E95" s="100"/>
      <c r="F95" s="85"/>
      <c r="G95" s="85"/>
      <c r="H95" s="85"/>
      <c r="I95" s="87"/>
      <c r="J95" s="100"/>
      <c r="K95" s="85"/>
      <c r="L95" s="85"/>
      <c r="M95" s="85"/>
      <c r="N95" s="87"/>
      <c r="O95" s="101"/>
      <c r="P95" s="85"/>
      <c r="Q95" s="85"/>
      <c r="R95" s="85"/>
      <c r="S95" s="87"/>
      <c r="U95" s="90" t="s">
        <v>79</v>
      </c>
      <c r="V95" s="99"/>
      <c r="W95" s="100"/>
      <c r="X95" s="85"/>
      <c r="Y95" s="85"/>
      <c r="Z95" s="85"/>
      <c r="AA95" s="87"/>
      <c r="AB95" s="100"/>
      <c r="AC95" s="85"/>
      <c r="AD95" s="85"/>
      <c r="AE95" s="85"/>
      <c r="AF95" s="87"/>
      <c r="AG95" s="101"/>
      <c r="AH95" s="85"/>
      <c r="AI95" s="85"/>
      <c r="AJ95" s="85"/>
      <c r="AK95" s="87"/>
    </row>
    <row r="96" spans="1:37" x14ac:dyDescent="0.25">
      <c r="A96" s="88" t="s">
        <v>93</v>
      </c>
      <c r="B96" s="91" t="s">
        <v>41</v>
      </c>
      <c r="C96" s="25" t="s">
        <v>70</v>
      </c>
      <c r="D96" s="25" t="s">
        <v>56</v>
      </c>
      <c r="E96" s="93">
        <v>0.3</v>
      </c>
      <c r="F96" s="95">
        <v>0</v>
      </c>
      <c r="G96" s="95">
        <v>0</v>
      </c>
      <c r="H96" s="95">
        <v>0</v>
      </c>
      <c r="I96" s="96">
        <v>0.13066348214854395</v>
      </c>
      <c r="J96" s="93">
        <v>0.5</v>
      </c>
      <c r="K96" s="95">
        <v>0</v>
      </c>
      <c r="L96" s="95">
        <v>0</v>
      </c>
      <c r="M96" s="95">
        <v>0</v>
      </c>
      <c r="N96" s="96">
        <v>0.31462173154562134</v>
      </c>
      <c r="O96" s="97">
        <v>0.55000000000000004</v>
      </c>
      <c r="P96" s="95">
        <v>0</v>
      </c>
      <c r="Q96" s="95">
        <v>0</v>
      </c>
      <c r="R96" s="95">
        <v>0</v>
      </c>
      <c r="S96" s="96">
        <v>0.38595155205276754</v>
      </c>
      <c r="U96" s="88" t="s">
        <v>93</v>
      </c>
      <c r="V96" s="91" t="s">
        <v>41</v>
      </c>
      <c r="W96" s="93">
        <v>0.3</v>
      </c>
      <c r="X96" s="95" t="s">
        <v>36</v>
      </c>
      <c r="Y96" s="95" t="s">
        <v>36</v>
      </c>
      <c r="Z96" s="95" t="s">
        <v>36</v>
      </c>
      <c r="AA96" s="96">
        <v>0.13066348214854395</v>
      </c>
      <c r="AB96" s="93">
        <v>0.5</v>
      </c>
      <c r="AC96" s="95" t="s">
        <v>36</v>
      </c>
      <c r="AD96" s="95" t="s">
        <v>36</v>
      </c>
      <c r="AE96" s="95" t="s">
        <v>36</v>
      </c>
      <c r="AF96" s="96">
        <v>0.31462173154562134</v>
      </c>
      <c r="AG96" s="97">
        <v>0.55000000000000004</v>
      </c>
      <c r="AH96" s="95" t="s">
        <v>36</v>
      </c>
      <c r="AI96" s="95" t="s">
        <v>36</v>
      </c>
      <c r="AJ96" s="95" t="s">
        <v>36</v>
      </c>
      <c r="AK96" s="96">
        <v>0.38595155205276754</v>
      </c>
    </row>
    <row r="97" spans="1:37" x14ac:dyDescent="0.25">
      <c r="A97" s="89" t="s">
        <v>93</v>
      </c>
      <c r="B97" s="92"/>
      <c r="C97" s="26" t="s">
        <v>70</v>
      </c>
      <c r="D97" s="26" t="s">
        <v>56</v>
      </c>
      <c r="E97" s="94"/>
      <c r="F97" s="84"/>
      <c r="G97" s="84"/>
      <c r="H97" s="84"/>
      <c r="I97" s="86"/>
      <c r="J97" s="94"/>
      <c r="K97" s="84"/>
      <c r="L97" s="84"/>
      <c r="M97" s="84"/>
      <c r="N97" s="86"/>
      <c r="O97" s="98"/>
      <c r="P97" s="84"/>
      <c r="Q97" s="84"/>
      <c r="R97" s="84"/>
      <c r="S97" s="86"/>
      <c r="U97" s="89" t="s">
        <v>93</v>
      </c>
      <c r="V97" s="92"/>
      <c r="W97" s="94"/>
      <c r="X97" s="84"/>
      <c r="Y97" s="84"/>
      <c r="Z97" s="84"/>
      <c r="AA97" s="86"/>
      <c r="AB97" s="94"/>
      <c r="AC97" s="84"/>
      <c r="AD97" s="84"/>
      <c r="AE97" s="84"/>
      <c r="AF97" s="86"/>
      <c r="AG97" s="98"/>
      <c r="AH97" s="84"/>
      <c r="AI97" s="84"/>
      <c r="AJ97" s="84"/>
      <c r="AK97" s="86"/>
    </row>
    <row r="98" spans="1:37" x14ac:dyDescent="0.25">
      <c r="A98" s="89" t="s">
        <v>93</v>
      </c>
      <c r="B98" s="92" t="s">
        <v>42</v>
      </c>
      <c r="C98" s="26" t="s">
        <v>70</v>
      </c>
      <c r="D98" s="26" t="s">
        <v>56</v>
      </c>
      <c r="E98" s="94">
        <v>0.27999999999999997</v>
      </c>
      <c r="F98" s="84">
        <v>0</v>
      </c>
      <c r="G98" s="84">
        <v>0</v>
      </c>
      <c r="H98" s="84">
        <v>0</v>
      </c>
      <c r="I98" s="86">
        <v>0.11066348214854395</v>
      </c>
      <c r="J98" s="94">
        <v>0.48</v>
      </c>
      <c r="K98" s="84">
        <v>0</v>
      </c>
      <c r="L98" s="84">
        <v>0</v>
      </c>
      <c r="M98" s="84">
        <v>0</v>
      </c>
      <c r="N98" s="86">
        <v>0.29462173154562132</v>
      </c>
      <c r="O98" s="98">
        <v>0.53</v>
      </c>
      <c r="P98" s="84">
        <v>0</v>
      </c>
      <c r="Q98" s="84">
        <v>0</v>
      </c>
      <c r="R98" s="84">
        <v>0</v>
      </c>
      <c r="S98" s="86">
        <v>0.36595155205276753</v>
      </c>
      <c r="U98" s="89" t="s">
        <v>93</v>
      </c>
      <c r="V98" s="92" t="s">
        <v>42</v>
      </c>
      <c r="W98" s="94">
        <v>0.27999999999999997</v>
      </c>
      <c r="X98" s="84" t="s">
        <v>36</v>
      </c>
      <c r="Y98" s="84" t="s">
        <v>36</v>
      </c>
      <c r="Z98" s="84" t="s">
        <v>36</v>
      </c>
      <c r="AA98" s="86">
        <v>0.11066348214854395</v>
      </c>
      <c r="AB98" s="94">
        <v>0.48</v>
      </c>
      <c r="AC98" s="84" t="s">
        <v>36</v>
      </c>
      <c r="AD98" s="84" t="s">
        <v>36</v>
      </c>
      <c r="AE98" s="84" t="s">
        <v>36</v>
      </c>
      <c r="AF98" s="86">
        <v>0.29462173154562132</v>
      </c>
      <c r="AG98" s="98">
        <v>0.53</v>
      </c>
      <c r="AH98" s="84" t="s">
        <v>36</v>
      </c>
      <c r="AI98" s="84" t="s">
        <v>36</v>
      </c>
      <c r="AJ98" s="84" t="s">
        <v>36</v>
      </c>
      <c r="AK98" s="86">
        <v>0.36595155205276753</v>
      </c>
    </row>
    <row r="99" spans="1:37" ht="12" thickBot="1" x14ac:dyDescent="0.3">
      <c r="A99" s="90" t="s">
        <v>93</v>
      </c>
      <c r="B99" s="99"/>
      <c r="C99" s="27" t="s">
        <v>70</v>
      </c>
      <c r="D99" s="27" t="s">
        <v>56</v>
      </c>
      <c r="E99" s="100"/>
      <c r="F99" s="85"/>
      <c r="G99" s="85"/>
      <c r="H99" s="85"/>
      <c r="I99" s="87"/>
      <c r="J99" s="100"/>
      <c r="K99" s="85"/>
      <c r="L99" s="85"/>
      <c r="M99" s="85"/>
      <c r="N99" s="87"/>
      <c r="O99" s="101"/>
      <c r="P99" s="85"/>
      <c r="Q99" s="85"/>
      <c r="R99" s="85"/>
      <c r="S99" s="87"/>
      <c r="U99" s="90" t="s">
        <v>93</v>
      </c>
      <c r="V99" s="99"/>
      <c r="W99" s="100"/>
      <c r="X99" s="85"/>
      <c r="Y99" s="85"/>
      <c r="Z99" s="85"/>
      <c r="AA99" s="87"/>
      <c r="AB99" s="100"/>
      <c r="AC99" s="85"/>
      <c r="AD99" s="85"/>
      <c r="AE99" s="85"/>
      <c r="AF99" s="87"/>
      <c r="AG99" s="101"/>
      <c r="AH99" s="85"/>
      <c r="AI99" s="85"/>
      <c r="AJ99" s="85"/>
      <c r="AK99" s="87"/>
    </row>
    <row r="100" spans="1:37" x14ac:dyDescent="0.25">
      <c r="A100" s="88" t="s">
        <v>80</v>
      </c>
      <c r="B100" s="91" t="s">
        <v>41</v>
      </c>
      <c r="C100" s="25" t="s">
        <v>55</v>
      </c>
      <c r="D100" s="25" t="s">
        <v>56</v>
      </c>
      <c r="E100" s="93">
        <v>0.5</v>
      </c>
      <c r="F100" s="95">
        <v>0.35</v>
      </c>
      <c r="G100" s="95">
        <v>0</v>
      </c>
      <c r="H100" s="95">
        <v>0.33896103066189909</v>
      </c>
      <c r="I100" s="96">
        <v>0.30120551156468434</v>
      </c>
      <c r="J100" s="93">
        <v>0.55000000000000004</v>
      </c>
      <c r="K100" s="95">
        <v>0.5</v>
      </c>
      <c r="L100" s="95">
        <v>0.14230788515682258</v>
      </c>
      <c r="M100" s="95">
        <v>0.39192989074914319</v>
      </c>
      <c r="N100" s="96">
        <v>0.46763481828552717</v>
      </c>
      <c r="O100" s="97">
        <v>0.55000000000000004</v>
      </c>
      <c r="P100" s="95">
        <v>0.5</v>
      </c>
      <c r="Q100" s="95">
        <v>0.24170766149883449</v>
      </c>
      <c r="R100" s="95">
        <v>0.49998609404435934</v>
      </c>
      <c r="S100" s="96">
        <v>0.53750790327207554</v>
      </c>
      <c r="U100" s="88" t="s">
        <v>80</v>
      </c>
      <c r="V100" s="91" t="s">
        <v>41</v>
      </c>
      <c r="W100" s="93">
        <v>0.5</v>
      </c>
      <c r="X100" s="95">
        <v>0.35288166979091851</v>
      </c>
      <c r="Y100" s="95" t="s">
        <v>36</v>
      </c>
      <c r="Z100" s="95">
        <v>0.36861470754919867</v>
      </c>
      <c r="AA100" s="96">
        <v>0.30120551156468434</v>
      </c>
      <c r="AB100" s="93">
        <v>0.55000000000000004</v>
      </c>
      <c r="AC100" s="95">
        <v>0.49901470735691938</v>
      </c>
      <c r="AD100" s="95" t="s">
        <v>36</v>
      </c>
      <c r="AE100" s="95">
        <v>0.40769987861015911</v>
      </c>
      <c r="AF100" s="96">
        <v>0.46763481828552717</v>
      </c>
      <c r="AG100" s="97">
        <v>0.55000000000000004</v>
      </c>
      <c r="AH100" s="95">
        <v>0.49999999999999994</v>
      </c>
      <c r="AI100" s="95" t="s">
        <v>36</v>
      </c>
      <c r="AJ100" s="95">
        <v>0.50771762272614374</v>
      </c>
      <c r="AK100" s="96">
        <v>0.53750790327207554</v>
      </c>
    </row>
    <row r="101" spans="1:37" x14ac:dyDescent="0.25">
      <c r="A101" s="89" t="s">
        <v>80</v>
      </c>
      <c r="B101" s="92"/>
      <c r="C101" s="26" t="s">
        <v>55</v>
      </c>
      <c r="D101" s="26" t="s">
        <v>56</v>
      </c>
      <c r="E101" s="94"/>
      <c r="F101" s="84"/>
      <c r="G101" s="84"/>
      <c r="H101" s="84"/>
      <c r="I101" s="86"/>
      <c r="J101" s="94"/>
      <c r="K101" s="84"/>
      <c r="L101" s="84"/>
      <c r="M101" s="84"/>
      <c r="N101" s="86"/>
      <c r="O101" s="98"/>
      <c r="P101" s="84"/>
      <c r="Q101" s="84"/>
      <c r="R101" s="84"/>
      <c r="S101" s="86"/>
      <c r="U101" s="89" t="s">
        <v>80</v>
      </c>
      <c r="V101" s="92"/>
      <c r="W101" s="94"/>
      <c r="X101" s="84"/>
      <c r="Y101" s="84"/>
      <c r="Z101" s="84"/>
      <c r="AA101" s="86"/>
      <c r="AB101" s="94"/>
      <c r="AC101" s="84"/>
      <c r="AD101" s="84"/>
      <c r="AE101" s="84"/>
      <c r="AF101" s="86"/>
      <c r="AG101" s="98"/>
      <c r="AH101" s="84"/>
      <c r="AI101" s="84"/>
      <c r="AJ101" s="84"/>
      <c r="AK101" s="86"/>
    </row>
    <row r="102" spans="1:37" x14ac:dyDescent="0.25">
      <c r="A102" s="89" t="s">
        <v>80</v>
      </c>
      <c r="B102" s="92" t="s">
        <v>42</v>
      </c>
      <c r="C102" s="26" t="s">
        <v>55</v>
      </c>
      <c r="D102" s="26" t="s">
        <v>56</v>
      </c>
      <c r="E102" s="94">
        <v>0.48</v>
      </c>
      <c r="F102" s="84">
        <v>0.32999999999999996</v>
      </c>
      <c r="G102" s="84">
        <v>0</v>
      </c>
      <c r="H102" s="84">
        <v>0.31896103066189907</v>
      </c>
      <c r="I102" s="86">
        <v>0.28120551156468432</v>
      </c>
      <c r="J102" s="94">
        <v>0.53</v>
      </c>
      <c r="K102" s="84">
        <v>0.48</v>
      </c>
      <c r="L102" s="84">
        <v>0.12230788515682257</v>
      </c>
      <c r="M102" s="84">
        <v>0.37192989074914318</v>
      </c>
      <c r="N102" s="86">
        <v>0.44763481828552715</v>
      </c>
      <c r="O102" s="98">
        <v>0.53</v>
      </c>
      <c r="P102" s="84">
        <v>0.48</v>
      </c>
      <c r="Q102" s="84">
        <v>0.2217076614988345</v>
      </c>
      <c r="R102" s="84">
        <v>0.47998609404435932</v>
      </c>
      <c r="S102" s="86">
        <v>0.51750790327207552</v>
      </c>
      <c r="U102" s="89" t="s">
        <v>80</v>
      </c>
      <c r="V102" s="92" t="s">
        <v>42</v>
      </c>
      <c r="W102" s="94">
        <v>0.48</v>
      </c>
      <c r="X102" s="84">
        <v>0.33288166979091849</v>
      </c>
      <c r="Y102" s="84" t="s">
        <v>36</v>
      </c>
      <c r="Z102" s="84">
        <v>0.34861470754919865</v>
      </c>
      <c r="AA102" s="86">
        <v>0.28120551156468432</v>
      </c>
      <c r="AB102" s="94">
        <v>0.53</v>
      </c>
      <c r="AC102" s="84">
        <v>0.47901470735691937</v>
      </c>
      <c r="AD102" s="84" t="s">
        <v>36</v>
      </c>
      <c r="AE102" s="84">
        <v>0.38769987861015909</v>
      </c>
      <c r="AF102" s="86">
        <v>0.44763481828552715</v>
      </c>
      <c r="AG102" s="98">
        <v>0.53</v>
      </c>
      <c r="AH102" s="84">
        <v>0.47999999999999993</v>
      </c>
      <c r="AI102" s="84" t="s">
        <v>36</v>
      </c>
      <c r="AJ102" s="84">
        <v>0.48771762272614372</v>
      </c>
      <c r="AK102" s="86">
        <v>0.51750790327207552</v>
      </c>
    </row>
    <row r="103" spans="1:37" ht="12" thickBot="1" x14ac:dyDescent="0.3">
      <c r="A103" s="90" t="s">
        <v>80</v>
      </c>
      <c r="B103" s="99"/>
      <c r="C103" s="27" t="s">
        <v>55</v>
      </c>
      <c r="D103" s="27" t="s">
        <v>56</v>
      </c>
      <c r="E103" s="100"/>
      <c r="F103" s="85"/>
      <c r="G103" s="85"/>
      <c r="H103" s="85"/>
      <c r="I103" s="87"/>
      <c r="J103" s="100"/>
      <c r="K103" s="85"/>
      <c r="L103" s="85"/>
      <c r="M103" s="85"/>
      <c r="N103" s="87"/>
      <c r="O103" s="101"/>
      <c r="P103" s="85"/>
      <c r="Q103" s="85"/>
      <c r="R103" s="85"/>
      <c r="S103" s="87"/>
      <c r="U103" s="90" t="s">
        <v>80</v>
      </c>
      <c r="V103" s="99"/>
      <c r="W103" s="100"/>
      <c r="X103" s="85"/>
      <c r="Y103" s="85"/>
      <c r="Z103" s="85"/>
      <c r="AA103" s="87"/>
      <c r="AB103" s="100"/>
      <c r="AC103" s="85"/>
      <c r="AD103" s="85"/>
      <c r="AE103" s="85"/>
      <c r="AF103" s="87"/>
      <c r="AG103" s="101"/>
      <c r="AH103" s="85"/>
      <c r="AI103" s="85"/>
      <c r="AJ103" s="85"/>
      <c r="AK103" s="87"/>
    </row>
    <row r="104" spans="1:37" x14ac:dyDescent="0.25">
      <c r="A104" s="88" t="s">
        <v>94</v>
      </c>
      <c r="B104" s="91" t="s">
        <v>41</v>
      </c>
      <c r="C104" s="25" t="s">
        <v>55</v>
      </c>
      <c r="D104" s="25" t="s">
        <v>56</v>
      </c>
      <c r="E104" s="93">
        <v>0.25</v>
      </c>
      <c r="F104" s="95">
        <v>0</v>
      </c>
      <c r="G104" s="95">
        <v>0</v>
      </c>
      <c r="H104" s="95">
        <v>0.33896103066189909</v>
      </c>
      <c r="I104" s="96">
        <v>0.11466444828853106</v>
      </c>
      <c r="J104" s="93">
        <v>0.45</v>
      </c>
      <c r="K104" s="95">
        <v>0</v>
      </c>
      <c r="L104" s="95">
        <v>0</v>
      </c>
      <c r="M104" s="95">
        <v>0.39192989074914319</v>
      </c>
      <c r="N104" s="96">
        <v>0.27188550410854873</v>
      </c>
      <c r="O104" s="97">
        <v>0.5</v>
      </c>
      <c r="P104" s="95">
        <v>0</v>
      </c>
      <c r="Q104" s="95">
        <v>0</v>
      </c>
      <c r="R104" s="95">
        <v>0.49998609404435934</v>
      </c>
      <c r="S104" s="96">
        <v>0.34135079208785724</v>
      </c>
      <c r="U104" s="88" t="s">
        <v>94</v>
      </c>
      <c r="V104" s="91" t="s">
        <v>41</v>
      </c>
      <c r="W104" s="93">
        <v>0.25</v>
      </c>
      <c r="X104" s="95" t="s">
        <v>36</v>
      </c>
      <c r="Y104" s="95" t="s">
        <v>36</v>
      </c>
      <c r="Z104" s="95">
        <v>0.36861470754919867</v>
      </c>
      <c r="AA104" s="96">
        <v>0.11466444828853106</v>
      </c>
      <c r="AB104" s="93">
        <v>0.45</v>
      </c>
      <c r="AC104" s="95" t="s">
        <v>36</v>
      </c>
      <c r="AD104" s="95" t="s">
        <v>36</v>
      </c>
      <c r="AE104" s="95">
        <v>0.40769987861015911</v>
      </c>
      <c r="AF104" s="96">
        <v>0.27188550410854873</v>
      </c>
      <c r="AG104" s="97">
        <v>0.5</v>
      </c>
      <c r="AH104" s="95" t="s">
        <v>36</v>
      </c>
      <c r="AI104" s="95" t="s">
        <v>36</v>
      </c>
      <c r="AJ104" s="95">
        <v>0.50771762272614374</v>
      </c>
      <c r="AK104" s="96">
        <v>0.34135079208785724</v>
      </c>
    </row>
    <row r="105" spans="1:37" x14ac:dyDescent="0.25">
      <c r="A105" s="89" t="s">
        <v>94</v>
      </c>
      <c r="B105" s="92"/>
      <c r="C105" s="26" t="s">
        <v>55</v>
      </c>
      <c r="D105" s="26" t="s">
        <v>56</v>
      </c>
      <c r="E105" s="94"/>
      <c r="F105" s="84"/>
      <c r="G105" s="84"/>
      <c r="H105" s="84"/>
      <c r="I105" s="86"/>
      <c r="J105" s="94"/>
      <c r="K105" s="84"/>
      <c r="L105" s="84"/>
      <c r="M105" s="84"/>
      <c r="N105" s="86"/>
      <c r="O105" s="98"/>
      <c r="P105" s="84"/>
      <c r="Q105" s="84"/>
      <c r="R105" s="84"/>
      <c r="S105" s="86"/>
      <c r="U105" s="89" t="s">
        <v>94</v>
      </c>
      <c r="V105" s="92"/>
      <c r="W105" s="94"/>
      <c r="X105" s="84"/>
      <c r="Y105" s="84"/>
      <c r="Z105" s="84"/>
      <c r="AA105" s="86"/>
      <c r="AB105" s="94"/>
      <c r="AC105" s="84"/>
      <c r="AD105" s="84"/>
      <c r="AE105" s="84"/>
      <c r="AF105" s="86"/>
      <c r="AG105" s="98"/>
      <c r="AH105" s="84"/>
      <c r="AI105" s="84"/>
      <c r="AJ105" s="84"/>
      <c r="AK105" s="86"/>
    </row>
    <row r="106" spans="1:37" x14ac:dyDescent="0.25">
      <c r="A106" s="89" t="s">
        <v>94</v>
      </c>
      <c r="B106" s="92" t="s">
        <v>42</v>
      </c>
      <c r="C106" s="26" t="s">
        <v>55</v>
      </c>
      <c r="D106" s="26" t="s">
        <v>56</v>
      </c>
      <c r="E106" s="94">
        <v>0.23</v>
      </c>
      <c r="F106" s="84">
        <v>0</v>
      </c>
      <c r="G106" s="84">
        <v>0</v>
      </c>
      <c r="H106" s="84">
        <v>0.31896103066189907</v>
      </c>
      <c r="I106" s="86">
        <v>9.4664448288531058E-2</v>
      </c>
      <c r="J106" s="94">
        <v>0.43</v>
      </c>
      <c r="K106" s="84">
        <v>0</v>
      </c>
      <c r="L106" s="84">
        <v>0</v>
      </c>
      <c r="M106" s="84">
        <v>0.37192989074914318</v>
      </c>
      <c r="N106" s="86">
        <v>0.25188550410854871</v>
      </c>
      <c r="O106" s="98">
        <v>0.48</v>
      </c>
      <c r="P106" s="84">
        <v>0</v>
      </c>
      <c r="Q106" s="84">
        <v>0</v>
      </c>
      <c r="R106" s="84">
        <v>0.47998609404435932</v>
      </c>
      <c r="S106" s="86">
        <v>0.32135079208785722</v>
      </c>
      <c r="U106" s="89" t="s">
        <v>94</v>
      </c>
      <c r="V106" s="92" t="s">
        <v>42</v>
      </c>
      <c r="W106" s="94">
        <v>0.23</v>
      </c>
      <c r="X106" s="84" t="s">
        <v>36</v>
      </c>
      <c r="Y106" s="84" t="s">
        <v>36</v>
      </c>
      <c r="Z106" s="84">
        <v>0.34861470754919865</v>
      </c>
      <c r="AA106" s="86">
        <v>9.4664448288531058E-2</v>
      </c>
      <c r="AB106" s="94">
        <v>0.43</v>
      </c>
      <c r="AC106" s="84" t="s">
        <v>36</v>
      </c>
      <c r="AD106" s="84" t="s">
        <v>36</v>
      </c>
      <c r="AE106" s="84">
        <v>0.38769987861015909</v>
      </c>
      <c r="AF106" s="86">
        <v>0.25188550410854871</v>
      </c>
      <c r="AG106" s="98">
        <v>0.48</v>
      </c>
      <c r="AH106" s="84" t="s">
        <v>36</v>
      </c>
      <c r="AI106" s="84" t="s">
        <v>36</v>
      </c>
      <c r="AJ106" s="84">
        <v>0.48771762272614372</v>
      </c>
      <c r="AK106" s="86">
        <v>0.32135079208785722</v>
      </c>
    </row>
    <row r="107" spans="1:37" ht="12" thickBot="1" x14ac:dyDescent="0.3">
      <c r="A107" s="90" t="s">
        <v>94</v>
      </c>
      <c r="B107" s="99"/>
      <c r="C107" s="27" t="s">
        <v>55</v>
      </c>
      <c r="D107" s="27" t="s">
        <v>56</v>
      </c>
      <c r="E107" s="100"/>
      <c r="F107" s="85"/>
      <c r="G107" s="85"/>
      <c r="H107" s="85"/>
      <c r="I107" s="87"/>
      <c r="J107" s="100"/>
      <c r="K107" s="85"/>
      <c r="L107" s="85"/>
      <c r="M107" s="85"/>
      <c r="N107" s="87"/>
      <c r="O107" s="101"/>
      <c r="P107" s="85"/>
      <c r="Q107" s="85"/>
      <c r="R107" s="85"/>
      <c r="S107" s="87"/>
      <c r="U107" s="90" t="s">
        <v>94</v>
      </c>
      <c r="V107" s="99"/>
      <c r="W107" s="100"/>
      <c r="X107" s="85"/>
      <c r="Y107" s="85"/>
      <c r="Z107" s="85"/>
      <c r="AA107" s="87"/>
      <c r="AB107" s="100"/>
      <c r="AC107" s="85"/>
      <c r="AD107" s="85"/>
      <c r="AE107" s="85"/>
      <c r="AF107" s="87"/>
      <c r="AG107" s="101"/>
      <c r="AH107" s="85"/>
      <c r="AI107" s="85"/>
      <c r="AJ107" s="85"/>
      <c r="AK107" s="87"/>
    </row>
    <row r="108" spans="1:37" x14ac:dyDescent="0.25">
      <c r="A108" s="88" t="s">
        <v>95</v>
      </c>
      <c r="B108" s="91" t="s">
        <v>41</v>
      </c>
      <c r="C108" s="25" t="s">
        <v>55</v>
      </c>
      <c r="D108" s="25" t="s">
        <v>56</v>
      </c>
      <c r="E108" s="93">
        <v>0.15</v>
      </c>
      <c r="F108" s="95">
        <v>0</v>
      </c>
      <c r="G108" s="95">
        <v>0</v>
      </c>
      <c r="H108" s="95">
        <v>0.33896103066189909</v>
      </c>
      <c r="I108" s="96">
        <v>0</v>
      </c>
      <c r="J108" s="93">
        <v>0.3</v>
      </c>
      <c r="K108" s="95">
        <v>0</v>
      </c>
      <c r="L108" s="95">
        <v>0</v>
      </c>
      <c r="M108" s="95">
        <v>0.39192989074914319</v>
      </c>
      <c r="N108" s="96">
        <v>0</v>
      </c>
      <c r="O108" s="97">
        <v>0.35</v>
      </c>
      <c r="P108" s="95">
        <v>0</v>
      </c>
      <c r="Q108" s="95">
        <v>0</v>
      </c>
      <c r="R108" s="95">
        <v>0.49998609404435934</v>
      </c>
      <c r="S108" s="96">
        <v>0.16906460097822862</v>
      </c>
      <c r="U108" s="88" t="s">
        <v>95</v>
      </c>
      <c r="V108" s="91" t="s">
        <v>41</v>
      </c>
      <c r="W108" s="93">
        <v>0.15</v>
      </c>
      <c r="X108" s="95" t="s">
        <v>36</v>
      </c>
      <c r="Y108" s="95" t="s">
        <v>36</v>
      </c>
      <c r="Z108" s="95">
        <v>0.36861470754919867</v>
      </c>
      <c r="AA108" s="96" t="s">
        <v>36</v>
      </c>
      <c r="AB108" s="93">
        <v>0.3</v>
      </c>
      <c r="AC108" s="95" t="s">
        <v>36</v>
      </c>
      <c r="AD108" s="95" t="s">
        <v>36</v>
      </c>
      <c r="AE108" s="95">
        <v>0.40769987861015911</v>
      </c>
      <c r="AF108" s="96" t="s">
        <v>36</v>
      </c>
      <c r="AG108" s="97">
        <v>0.35</v>
      </c>
      <c r="AH108" s="95" t="s">
        <v>36</v>
      </c>
      <c r="AI108" s="95" t="s">
        <v>36</v>
      </c>
      <c r="AJ108" s="95">
        <v>0.50771762272614374</v>
      </c>
      <c r="AK108" s="96" t="s">
        <v>36</v>
      </c>
    </row>
    <row r="109" spans="1:37" x14ac:dyDescent="0.25">
      <c r="A109" s="89" t="s">
        <v>95</v>
      </c>
      <c r="B109" s="92"/>
      <c r="C109" s="26" t="s">
        <v>55</v>
      </c>
      <c r="D109" s="26" t="s">
        <v>56</v>
      </c>
      <c r="E109" s="94"/>
      <c r="F109" s="84"/>
      <c r="G109" s="84"/>
      <c r="H109" s="84"/>
      <c r="I109" s="86"/>
      <c r="J109" s="94"/>
      <c r="K109" s="84"/>
      <c r="L109" s="84"/>
      <c r="M109" s="84"/>
      <c r="N109" s="86"/>
      <c r="O109" s="98"/>
      <c r="P109" s="84"/>
      <c r="Q109" s="84"/>
      <c r="R109" s="84"/>
      <c r="S109" s="86"/>
      <c r="U109" s="89" t="s">
        <v>95</v>
      </c>
      <c r="V109" s="92"/>
      <c r="W109" s="94"/>
      <c r="X109" s="84"/>
      <c r="Y109" s="84"/>
      <c r="Z109" s="84"/>
      <c r="AA109" s="86"/>
      <c r="AB109" s="94"/>
      <c r="AC109" s="84"/>
      <c r="AD109" s="84"/>
      <c r="AE109" s="84"/>
      <c r="AF109" s="86"/>
      <c r="AG109" s="98"/>
      <c r="AH109" s="84"/>
      <c r="AI109" s="84"/>
      <c r="AJ109" s="84"/>
      <c r="AK109" s="86"/>
    </row>
    <row r="110" spans="1:37" x14ac:dyDescent="0.25">
      <c r="A110" s="89" t="s">
        <v>95</v>
      </c>
      <c r="B110" s="92" t="s">
        <v>42</v>
      </c>
      <c r="C110" s="26" t="s">
        <v>55</v>
      </c>
      <c r="D110" s="26" t="s">
        <v>56</v>
      </c>
      <c r="E110" s="94">
        <v>0.13</v>
      </c>
      <c r="F110" s="84">
        <v>0</v>
      </c>
      <c r="G110" s="84">
        <v>0</v>
      </c>
      <c r="H110" s="84">
        <v>0.31896103066189907</v>
      </c>
      <c r="I110" s="86">
        <v>0</v>
      </c>
      <c r="J110" s="94">
        <v>0.27999999999999997</v>
      </c>
      <c r="K110" s="84">
        <v>0</v>
      </c>
      <c r="L110" s="84">
        <v>0</v>
      </c>
      <c r="M110" s="84">
        <v>0.37192989074914318</v>
      </c>
      <c r="N110" s="86">
        <v>0</v>
      </c>
      <c r="O110" s="98">
        <v>0.32999999999999996</v>
      </c>
      <c r="P110" s="84">
        <v>0</v>
      </c>
      <c r="Q110" s="84">
        <v>0</v>
      </c>
      <c r="R110" s="84">
        <v>0.47998609404435932</v>
      </c>
      <c r="S110" s="86">
        <v>0.14906460097822863</v>
      </c>
      <c r="U110" s="89" t="s">
        <v>95</v>
      </c>
      <c r="V110" s="92" t="s">
        <v>42</v>
      </c>
      <c r="W110" s="94">
        <v>0.13</v>
      </c>
      <c r="X110" s="84" t="s">
        <v>36</v>
      </c>
      <c r="Y110" s="84" t="s">
        <v>36</v>
      </c>
      <c r="Z110" s="84">
        <v>0.34861470754919865</v>
      </c>
      <c r="AA110" s="86" t="s">
        <v>36</v>
      </c>
      <c r="AB110" s="94">
        <v>0.27999999999999997</v>
      </c>
      <c r="AC110" s="84" t="s">
        <v>36</v>
      </c>
      <c r="AD110" s="84" t="s">
        <v>36</v>
      </c>
      <c r="AE110" s="84">
        <v>0.38769987861015909</v>
      </c>
      <c r="AF110" s="86" t="s">
        <v>36</v>
      </c>
      <c r="AG110" s="98">
        <v>0.32999999999999996</v>
      </c>
      <c r="AH110" s="84" t="s">
        <v>36</v>
      </c>
      <c r="AI110" s="84" t="s">
        <v>36</v>
      </c>
      <c r="AJ110" s="84">
        <v>0.48771762272614372</v>
      </c>
      <c r="AK110" s="86" t="s">
        <v>36</v>
      </c>
    </row>
    <row r="111" spans="1:37" ht="12" thickBot="1" x14ac:dyDescent="0.3">
      <c r="A111" s="90" t="s">
        <v>95</v>
      </c>
      <c r="B111" s="99"/>
      <c r="C111" s="27" t="s">
        <v>55</v>
      </c>
      <c r="D111" s="27" t="s">
        <v>56</v>
      </c>
      <c r="E111" s="100"/>
      <c r="F111" s="85"/>
      <c r="G111" s="85"/>
      <c r="H111" s="85"/>
      <c r="I111" s="87"/>
      <c r="J111" s="100"/>
      <c r="K111" s="85"/>
      <c r="L111" s="85"/>
      <c r="M111" s="85"/>
      <c r="N111" s="87"/>
      <c r="O111" s="101"/>
      <c r="P111" s="85"/>
      <c r="Q111" s="85"/>
      <c r="R111" s="85"/>
      <c r="S111" s="87"/>
      <c r="U111" s="90" t="s">
        <v>95</v>
      </c>
      <c r="V111" s="99"/>
      <c r="W111" s="100"/>
      <c r="X111" s="85"/>
      <c r="Y111" s="85"/>
      <c r="Z111" s="85"/>
      <c r="AA111" s="87"/>
      <c r="AB111" s="100"/>
      <c r="AC111" s="85"/>
      <c r="AD111" s="85"/>
      <c r="AE111" s="85"/>
      <c r="AF111" s="87"/>
      <c r="AG111" s="101"/>
      <c r="AH111" s="85"/>
      <c r="AI111" s="85"/>
      <c r="AJ111" s="85"/>
      <c r="AK111" s="87"/>
    </row>
  </sheetData>
  <autoFilter ref="A3:S111" xr:uid="{8801C757-6BA4-4816-BBCD-F16F93E6B420}"/>
  <mergeCells count="1790">
    <mergeCell ref="A2:B2"/>
    <mergeCell ref="U2:V2"/>
    <mergeCell ref="W2:AA2"/>
    <mergeCell ref="AB2:AF2"/>
    <mergeCell ref="AG2:AK2"/>
    <mergeCell ref="E2:I2"/>
    <mergeCell ref="J2:N2"/>
    <mergeCell ref="O2:S2"/>
    <mergeCell ref="A4:A7"/>
    <mergeCell ref="B4:B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P4:P5"/>
    <mergeCell ref="Q4:Q5"/>
    <mergeCell ref="R4:R5"/>
    <mergeCell ref="S4:S5"/>
    <mergeCell ref="V4:V5"/>
    <mergeCell ref="B6:B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P6:P7"/>
    <mergeCell ref="Q6:Q7"/>
    <mergeCell ref="R6:R7"/>
    <mergeCell ref="S6:S7"/>
    <mergeCell ref="V6:V7"/>
    <mergeCell ref="N4:N5"/>
    <mergeCell ref="O4:O5"/>
    <mergeCell ref="U4:U7"/>
    <mergeCell ref="O8:O9"/>
    <mergeCell ref="U8:U11"/>
    <mergeCell ref="A8:A11"/>
    <mergeCell ref="B8:B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P8:P9"/>
    <mergeCell ref="Q8:Q9"/>
    <mergeCell ref="R8:R9"/>
    <mergeCell ref="S8:S9"/>
    <mergeCell ref="A12:A15"/>
    <mergeCell ref="B12:B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P12:P13"/>
    <mergeCell ref="Q12:Q13"/>
    <mergeCell ref="R12:R13"/>
    <mergeCell ref="S12:S13"/>
    <mergeCell ref="V8:V9"/>
    <mergeCell ref="B10:B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P10:P11"/>
    <mergeCell ref="Q10:Q11"/>
    <mergeCell ref="R10:R11"/>
    <mergeCell ref="S10:S11"/>
    <mergeCell ref="V10:V11"/>
    <mergeCell ref="N8:N9"/>
    <mergeCell ref="V12:V13"/>
    <mergeCell ref="B14:B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P14:P15"/>
    <mergeCell ref="Q14:Q15"/>
    <mergeCell ref="R14:R15"/>
    <mergeCell ref="S14:S15"/>
    <mergeCell ref="V14:V15"/>
    <mergeCell ref="N12:N13"/>
    <mergeCell ref="O12:O13"/>
    <mergeCell ref="U12:U15"/>
    <mergeCell ref="O16:O17"/>
    <mergeCell ref="U16:U19"/>
    <mergeCell ref="A16:A19"/>
    <mergeCell ref="B16:B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P16:P17"/>
    <mergeCell ref="Q16:Q17"/>
    <mergeCell ref="R16:R17"/>
    <mergeCell ref="S16:S17"/>
    <mergeCell ref="A20:A23"/>
    <mergeCell ref="B20:B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P20:P21"/>
    <mergeCell ref="Q20:Q21"/>
    <mergeCell ref="R20:R21"/>
    <mergeCell ref="S20:S21"/>
    <mergeCell ref="V16:V17"/>
    <mergeCell ref="B18:B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P18:P19"/>
    <mergeCell ref="Q18:Q19"/>
    <mergeCell ref="R18:R19"/>
    <mergeCell ref="S18:S19"/>
    <mergeCell ref="V18:V19"/>
    <mergeCell ref="N16:N17"/>
    <mergeCell ref="V20:V21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P22:P23"/>
    <mergeCell ref="Q22:Q23"/>
    <mergeCell ref="R22:R23"/>
    <mergeCell ref="S22:S23"/>
    <mergeCell ref="V22:V23"/>
    <mergeCell ref="N20:N21"/>
    <mergeCell ref="O20:O21"/>
    <mergeCell ref="U20:U23"/>
    <mergeCell ref="O24:O25"/>
    <mergeCell ref="U24:U27"/>
    <mergeCell ref="A24:A27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P24:P25"/>
    <mergeCell ref="Q24:Q25"/>
    <mergeCell ref="R24:R25"/>
    <mergeCell ref="S24:S25"/>
    <mergeCell ref="A28:A31"/>
    <mergeCell ref="B28:B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P28:P29"/>
    <mergeCell ref="Q28:Q29"/>
    <mergeCell ref="R28:R29"/>
    <mergeCell ref="S28:S29"/>
    <mergeCell ref="V24:V25"/>
    <mergeCell ref="B26:B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P26:P27"/>
    <mergeCell ref="Q26:Q27"/>
    <mergeCell ref="R26:R27"/>
    <mergeCell ref="S26:S27"/>
    <mergeCell ref="V26:V27"/>
    <mergeCell ref="N24:N25"/>
    <mergeCell ref="V28:V29"/>
    <mergeCell ref="B30:B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P30:P31"/>
    <mergeCell ref="Q30:Q31"/>
    <mergeCell ref="R30:R31"/>
    <mergeCell ref="S30:S31"/>
    <mergeCell ref="V30:V31"/>
    <mergeCell ref="N28:N29"/>
    <mergeCell ref="O28:O29"/>
    <mergeCell ref="U28:U31"/>
    <mergeCell ref="O32:O33"/>
    <mergeCell ref="U32:U35"/>
    <mergeCell ref="A32:A35"/>
    <mergeCell ref="B32:B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P32:P33"/>
    <mergeCell ref="Q32:Q33"/>
    <mergeCell ref="R32:R33"/>
    <mergeCell ref="S32:S33"/>
    <mergeCell ref="A36:A39"/>
    <mergeCell ref="B36:B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P36:P37"/>
    <mergeCell ref="Q36:Q37"/>
    <mergeCell ref="R36:R37"/>
    <mergeCell ref="S36:S37"/>
    <mergeCell ref="V32:V33"/>
    <mergeCell ref="B34:B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P34:P35"/>
    <mergeCell ref="Q34:Q35"/>
    <mergeCell ref="R34:R35"/>
    <mergeCell ref="S34:S35"/>
    <mergeCell ref="V34:V35"/>
    <mergeCell ref="N32:N33"/>
    <mergeCell ref="V36:V37"/>
    <mergeCell ref="B38:B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P38:P39"/>
    <mergeCell ref="Q38:Q39"/>
    <mergeCell ref="R38:R39"/>
    <mergeCell ref="S38:S39"/>
    <mergeCell ref="V38:V39"/>
    <mergeCell ref="N36:N37"/>
    <mergeCell ref="O36:O37"/>
    <mergeCell ref="U36:U39"/>
    <mergeCell ref="O40:O41"/>
    <mergeCell ref="U40:U43"/>
    <mergeCell ref="A40:A43"/>
    <mergeCell ref="B40:B41"/>
    <mergeCell ref="E40:E41"/>
    <mergeCell ref="F40:F41"/>
    <mergeCell ref="G40:G41"/>
    <mergeCell ref="H40:H41"/>
    <mergeCell ref="I40:I41"/>
    <mergeCell ref="J40:J41"/>
    <mergeCell ref="K40:K41"/>
    <mergeCell ref="L40:L41"/>
    <mergeCell ref="M40:M41"/>
    <mergeCell ref="P40:P41"/>
    <mergeCell ref="Q40:Q41"/>
    <mergeCell ref="R40:R41"/>
    <mergeCell ref="S40:S41"/>
    <mergeCell ref="A44:A47"/>
    <mergeCell ref="B44:B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P44:P45"/>
    <mergeCell ref="Q44:Q45"/>
    <mergeCell ref="R44:R45"/>
    <mergeCell ref="S44:S45"/>
    <mergeCell ref="V40:V41"/>
    <mergeCell ref="B42:B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P42:P43"/>
    <mergeCell ref="Q42:Q43"/>
    <mergeCell ref="R42:R43"/>
    <mergeCell ref="S42:S43"/>
    <mergeCell ref="V42:V43"/>
    <mergeCell ref="N40:N41"/>
    <mergeCell ref="V44:V45"/>
    <mergeCell ref="B46:B47"/>
    <mergeCell ref="E46:E47"/>
    <mergeCell ref="F46:F47"/>
    <mergeCell ref="G46:G47"/>
    <mergeCell ref="H46:H47"/>
    <mergeCell ref="I46:I47"/>
    <mergeCell ref="J46:J47"/>
    <mergeCell ref="K46:K47"/>
    <mergeCell ref="L46:L47"/>
    <mergeCell ref="M46:M47"/>
    <mergeCell ref="P46:P47"/>
    <mergeCell ref="Q46:Q47"/>
    <mergeCell ref="R46:R47"/>
    <mergeCell ref="S46:S47"/>
    <mergeCell ref="V46:V47"/>
    <mergeCell ref="N44:N45"/>
    <mergeCell ref="O44:O45"/>
    <mergeCell ref="U44:U47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N6:N7"/>
    <mergeCell ref="O6:O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N10:N11"/>
    <mergeCell ref="O10:O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N14:N15"/>
    <mergeCell ref="O14:O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N18:N19"/>
    <mergeCell ref="O18:O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W20:W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H20:AH21"/>
    <mergeCell ref="AI20:AI21"/>
    <mergeCell ref="AJ20:AJ21"/>
    <mergeCell ref="AK20:AK21"/>
    <mergeCell ref="N22:N23"/>
    <mergeCell ref="O22:O23"/>
    <mergeCell ref="W22:W23"/>
    <mergeCell ref="X22:X23"/>
    <mergeCell ref="Y22:Y23"/>
    <mergeCell ref="Z22:Z23"/>
    <mergeCell ref="AA22:AA23"/>
    <mergeCell ref="AB22:AB23"/>
    <mergeCell ref="AC22:AC23"/>
    <mergeCell ref="AD22:AD23"/>
    <mergeCell ref="AE22:AE23"/>
    <mergeCell ref="AF22:AF23"/>
    <mergeCell ref="AG22:AG23"/>
    <mergeCell ref="AH22:AH23"/>
    <mergeCell ref="AI22:AI23"/>
    <mergeCell ref="AJ22:AJ23"/>
    <mergeCell ref="AK22:AK23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N26:N27"/>
    <mergeCell ref="O26:O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N30:N31"/>
    <mergeCell ref="O30:O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N34:N35"/>
    <mergeCell ref="O34:O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N38:N39"/>
    <mergeCell ref="O38:O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N42:N43"/>
    <mergeCell ref="O42:O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N46:N47"/>
    <mergeCell ref="O46:O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48:A51"/>
    <mergeCell ref="B48:B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B50:B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AJ50:AJ51"/>
    <mergeCell ref="AK50:AK51"/>
    <mergeCell ref="U48:U51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S50:S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S54:S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52:A55"/>
    <mergeCell ref="B52:B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B54:B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AJ54:AJ55"/>
    <mergeCell ref="AK54:AK55"/>
    <mergeCell ref="U52:U55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56:A59"/>
    <mergeCell ref="B56:B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B58:B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AJ58:AJ59"/>
    <mergeCell ref="AK58:AK59"/>
    <mergeCell ref="U56:U59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S58:S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S62:S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60:A63"/>
    <mergeCell ref="B60:B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B62:B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AJ62:AJ63"/>
    <mergeCell ref="AK62:AK63"/>
    <mergeCell ref="U60:U63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64:A67"/>
    <mergeCell ref="B64:B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B66:B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AJ66:AJ67"/>
    <mergeCell ref="AK66:AK67"/>
    <mergeCell ref="U64:U67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S66:S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S70:S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68:A71"/>
    <mergeCell ref="B68:B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B70:B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AJ70:AJ71"/>
    <mergeCell ref="AK70:AK71"/>
    <mergeCell ref="U68:U71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72:A75"/>
    <mergeCell ref="B72:B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B74:B75"/>
    <mergeCell ref="E74:E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AJ74:AJ75"/>
    <mergeCell ref="AK74:AK75"/>
    <mergeCell ref="U72:U75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S74:S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S78:S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76:A79"/>
    <mergeCell ref="B76:B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B78:B79"/>
    <mergeCell ref="E78:E79"/>
    <mergeCell ref="F78:F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AJ78:AJ79"/>
    <mergeCell ref="AK78:AK79"/>
    <mergeCell ref="U76:U79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80:A83"/>
    <mergeCell ref="B80:B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B82:B83"/>
    <mergeCell ref="E82:E83"/>
    <mergeCell ref="F82:F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AJ82:AJ83"/>
    <mergeCell ref="AK82:AK83"/>
    <mergeCell ref="U80:U83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S82:S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S86:S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84:A87"/>
    <mergeCell ref="B84:B85"/>
    <mergeCell ref="E84:E85"/>
    <mergeCell ref="F84:F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B86:B87"/>
    <mergeCell ref="E86:E87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AJ86:AJ87"/>
    <mergeCell ref="AK86:AK87"/>
    <mergeCell ref="U84:U87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88:A91"/>
    <mergeCell ref="B88:B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B90:B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AJ90:AJ91"/>
    <mergeCell ref="AK90:AK91"/>
    <mergeCell ref="U88:U91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S90:S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S94:S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92:A95"/>
    <mergeCell ref="B92:B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B94:B95"/>
    <mergeCell ref="E94:E95"/>
    <mergeCell ref="F94:F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AJ94:AJ95"/>
    <mergeCell ref="AK94:AK95"/>
    <mergeCell ref="U92:U95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96:A99"/>
    <mergeCell ref="B96:B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B98:B99"/>
    <mergeCell ref="E98:E99"/>
    <mergeCell ref="F98:F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AJ98:AJ99"/>
    <mergeCell ref="AK98:AK99"/>
    <mergeCell ref="U96:U99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S98:S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S102:S103"/>
    <mergeCell ref="V102:V103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AH102:AH103"/>
    <mergeCell ref="AI102:AI103"/>
    <mergeCell ref="A100:A103"/>
    <mergeCell ref="B100:B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B102:B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AJ102:AJ103"/>
    <mergeCell ref="AK102:AK103"/>
    <mergeCell ref="U100:U103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104:A107"/>
    <mergeCell ref="B104:B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B106:B107"/>
    <mergeCell ref="E106:E107"/>
    <mergeCell ref="F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AJ106:AJ107"/>
    <mergeCell ref="AK106:AK107"/>
    <mergeCell ref="U104:U107"/>
    <mergeCell ref="V104:V105"/>
    <mergeCell ref="W104:W105"/>
    <mergeCell ref="X104:X105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AH104:AH105"/>
    <mergeCell ref="AI104:AI105"/>
    <mergeCell ref="AJ104:AJ105"/>
    <mergeCell ref="AK104:AK105"/>
    <mergeCell ref="S106:S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S110:S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108:A111"/>
    <mergeCell ref="B108:B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B110:B111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AJ110:AJ111"/>
    <mergeCell ref="AK110:AK111"/>
    <mergeCell ref="U108:U111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2D3B-F9B3-4EC7-8B57-60ABE3EC43B6}">
  <dimension ref="A1:V48"/>
  <sheetViews>
    <sheetView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1" sqref="C1:D1048576"/>
    </sheetView>
  </sheetViews>
  <sheetFormatPr defaultColWidth="9.140625" defaultRowHeight="11.25" x14ac:dyDescent="0.25"/>
  <cols>
    <col min="1" max="1" width="21.5703125" style="7" bestFit="1" customWidth="1"/>
    <col min="2" max="2" width="10.28515625" style="7" customWidth="1"/>
    <col min="3" max="3" width="14.5703125" style="7" hidden="1" customWidth="1"/>
    <col min="4" max="4" width="14.140625" style="7" hidden="1" customWidth="1"/>
    <col min="5" max="8" width="10.28515625" style="17" customWidth="1"/>
    <col min="9" max="9" width="10" style="17" bestFit="1" customWidth="1"/>
    <col min="10" max="10" width="9.7109375" style="17" bestFit="1" customWidth="1"/>
    <col min="11" max="12" width="10.28515625" style="17" customWidth="1"/>
    <col min="13" max="13" width="9.7109375" style="17" bestFit="1" customWidth="1"/>
    <col min="14" max="14" width="1.7109375" style="7" bestFit="1" customWidth="1"/>
    <col min="15" max="15" width="21.5703125" style="7" bestFit="1" customWidth="1"/>
    <col min="16" max="16" width="9.28515625" style="7" bestFit="1" customWidth="1"/>
    <col min="17" max="16384" width="9.140625" style="7"/>
  </cols>
  <sheetData>
    <row r="1" spans="1:22" x14ac:dyDescent="0.2">
      <c r="A1" s="57" t="s">
        <v>104</v>
      </c>
      <c r="B1" s="55"/>
      <c r="C1" s="55"/>
      <c r="D1" s="55"/>
      <c r="E1" s="56"/>
      <c r="F1" s="56"/>
      <c r="G1" s="56"/>
      <c r="H1" s="56"/>
      <c r="I1" s="56"/>
      <c r="J1" s="56"/>
      <c r="K1" s="56"/>
    </row>
    <row r="2" spans="1:22" s="17" customFormat="1" ht="12" thickBot="1" x14ac:dyDescent="0.3"/>
    <row r="3" spans="1:22" ht="12" thickBot="1" x14ac:dyDescent="0.3">
      <c r="A3" s="102" t="s">
        <v>53</v>
      </c>
      <c r="B3" s="102"/>
      <c r="E3" s="107" t="s">
        <v>10</v>
      </c>
      <c r="F3" s="107"/>
      <c r="G3" s="108"/>
      <c r="H3" s="107" t="s">
        <v>49</v>
      </c>
      <c r="I3" s="107"/>
      <c r="J3" s="108"/>
      <c r="K3" s="107" t="s">
        <v>50</v>
      </c>
      <c r="L3" s="107"/>
      <c r="M3" s="108"/>
      <c r="O3" s="102" t="s">
        <v>48</v>
      </c>
      <c r="P3" s="102"/>
      <c r="Q3" s="121" t="s">
        <v>10</v>
      </c>
      <c r="R3" s="122"/>
      <c r="S3" s="121" t="s">
        <v>49</v>
      </c>
      <c r="T3" s="122"/>
      <c r="U3" s="121" t="s">
        <v>50</v>
      </c>
      <c r="V3" s="122"/>
    </row>
    <row r="4" spans="1:22" ht="12" thickBot="1" x14ac:dyDescent="0.3">
      <c r="A4" s="28" t="s">
        <v>19</v>
      </c>
      <c r="B4" s="29" t="s">
        <v>1</v>
      </c>
      <c r="C4" s="37" t="s">
        <v>34</v>
      </c>
      <c r="D4" s="37" t="s">
        <v>35</v>
      </c>
      <c r="E4" s="30" t="s">
        <v>43</v>
      </c>
      <c r="F4" s="30" t="s">
        <v>44</v>
      </c>
      <c r="G4" s="31" t="s">
        <v>11</v>
      </c>
      <c r="H4" s="30" t="s">
        <v>43</v>
      </c>
      <c r="I4" s="30" t="s">
        <v>44</v>
      </c>
      <c r="J4" s="31" t="s">
        <v>11</v>
      </c>
      <c r="K4" s="30" t="s">
        <v>43</v>
      </c>
      <c r="L4" s="30" t="s">
        <v>44</v>
      </c>
      <c r="M4" s="31" t="s">
        <v>11</v>
      </c>
      <c r="N4" s="7" t="s">
        <v>51</v>
      </c>
      <c r="O4" s="28" t="s">
        <v>19</v>
      </c>
      <c r="P4" s="37" t="s">
        <v>1</v>
      </c>
      <c r="Q4" s="41" t="s">
        <v>43</v>
      </c>
      <c r="R4" s="31" t="s">
        <v>44</v>
      </c>
      <c r="S4" s="41" t="s">
        <v>43</v>
      </c>
      <c r="T4" s="31" t="s">
        <v>44</v>
      </c>
      <c r="U4" s="41" t="s">
        <v>43</v>
      </c>
      <c r="V4" s="31" t="s">
        <v>44</v>
      </c>
    </row>
    <row r="5" spans="1:22" x14ac:dyDescent="0.25">
      <c r="A5" s="112" t="s">
        <v>54</v>
      </c>
      <c r="B5" s="114" t="s">
        <v>41</v>
      </c>
      <c r="C5" s="42" t="s">
        <v>55</v>
      </c>
      <c r="D5" s="42" t="s">
        <v>56</v>
      </c>
      <c r="E5" s="95">
        <v>0</v>
      </c>
      <c r="F5" s="95">
        <v>0</v>
      </c>
      <c r="G5" s="96">
        <v>0.25</v>
      </c>
      <c r="H5" s="95">
        <v>0</v>
      </c>
      <c r="I5" s="95">
        <v>0</v>
      </c>
      <c r="J5" s="96">
        <v>0.25</v>
      </c>
      <c r="K5" s="95">
        <v>0.25</v>
      </c>
      <c r="L5" s="95">
        <v>0.25</v>
      </c>
      <c r="M5" s="96">
        <v>0.25</v>
      </c>
      <c r="O5" s="89" t="s">
        <v>54</v>
      </c>
      <c r="P5" s="91" t="s">
        <v>41</v>
      </c>
      <c r="Q5" s="93">
        <v>0</v>
      </c>
      <c r="R5" s="96">
        <v>0</v>
      </c>
      <c r="S5" s="93">
        <v>0.14005532340563631</v>
      </c>
      <c r="T5" s="96">
        <v>0.12507808413402277</v>
      </c>
      <c r="U5" s="93">
        <v>0.27704983093506352</v>
      </c>
      <c r="V5" s="96">
        <v>0.26474451293821022</v>
      </c>
    </row>
    <row r="6" spans="1:22" x14ac:dyDescent="0.25">
      <c r="A6" s="112"/>
      <c r="B6" s="109"/>
      <c r="C6" s="26" t="s">
        <v>55</v>
      </c>
      <c r="D6" s="26" t="s">
        <v>56</v>
      </c>
      <c r="E6" s="84"/>
      <c r="F6" s="84"/>
      <c r="G6" s="86"/>
      <c r="H6" s="84"/>
      <c r="I6" s="84"/>
      <c r="J6" s="86"/>
      <c r="K6" s="84"/>
      <c r="L6" s="84"/>
      <c r="M6" s="86"/>
      <c r="O6" s="89"/>
      <c r="P6" s="92"/>
      <c r="Q6" s="94"/>
      <c r="R6" s="86"/>
      <c r="S6" s="94"/>
      <c r="T6" s="86"/>
      <c r="U6" s="94"/>
      <c r="V6" s="86"/>
    </row>
    <row r="7" spans="1:22" x14ac:dyDescent="0.25">
      <c r="A7" s="112"/>
      <c r="B7" s="109" t="s">
        <v>42</v>
      </c>
      <c r="C7" s="26" t="s">
        <v>55</v>
      </c>
      <c r="D7" s="26" t="s">
        <v>56</v>
      </c>
      <c r="E7" s="84">
        <v>0</v>
      </c>
      <c r="F7" s="84">
        <v>0</v>
      </c>
      <c r="G7" s="86">
        <v>0.23</v>
      </c>
      <c r="H7" s="84">
        <v>0</v>
      </c>
      <c r="I7" s="84">
        <v>0</v>
      </c>
      <c r="J7" s="86">
        <v>0.23</v>
      </c>
      <c r="K7" s="84">
        <f>K5-2%</f>
        <v>0.23</v>
      </c>
      <c r="L7" s="84">
        <f>L5-2%</f>
        <v>0.23</v>
      </c>
      <c r="M7" s="86">
        <v>0.23</v>
      </c>
      <c r="O7" s="89"/>
      <c r="P7" s="92" t="s">
        <v>42</v>
      </c>
      <c r="Q7" s="94">
        <v>0</v>
      </c>
      <c r="R7" s="86">
        <v>0</v>
      </c>
      <c r="S7" s="94">
        <v>0.12005532340563631</v>
      </c>
      <c r="T7" s="86">
        <v>0.10507808413402277</v>
      </c>
      <c r="U7" s="94">
        <v>0.25704983093506351</v>
      </c>
      <c r="V7" s="86">
        <v>0.24474451293821023</v>
      </c>
    </row>
    <row r="8" spans="1:22" ht="12" thickBot="1" x14ac:dyDescent="0.3">
      <c r="A8" s="113"/>
      <c r="B8" s="110"/>
      <c r="C8" s="27" t="s">
        <v>55</v>
      </c>
      <c r="D8" s="27" t="s">
        <v>56</v>
      </c>
      <c r="E8" s="85"/>
      <c r="F8" s="85"/>
      <c r="G8" s="87"/>
      <c r="H8" s="85"/>
      <c r="I8" s="85"/>
      <c r="J8" s="87"/>
      <c r="K8" s="85"/>
      <c r="L8" s="85"/>
      <c r="M8" s="87"/>
      <c r="O8" s="90"/>
      <c r="P8" s="99"/>
      <c r="Q8" s="100"/>
      <c r="R8" s="87"/>
      <c r="S8" s="100"/>
      <c r="T8" s="87"/>
      <c r="U8" s="100"/>
      <c r="V8" s="87"/>
    </row>
    <row r="9" spans="1:22" x14ac:dyDescent="0.25">
      <c r="A9" s="111" t="s">
        <v>57</v>
      </c>
      <c r="B9" s="114" t="s">
        <v>41</v>
      </c>
      <c r="C9" s="25" t="s">
        <v>55</v>
      </c>
      <c r="D9" s="25" t="s">
        <v>56</v>
      </c>
      <c r="E9" s="95">
        <v>0</v>
      </c>
      <c r="F9" s="95">
        <v>0</v>
      </c>
      <c r="G9" s="96">
        <v>0.25</v>
      </c>
      <c r="H9" s="95">
        <v>0.25</v>
      </c>
      <c r="I9" s="95">
        <v>0.25</v>
      </c>
      <c r="J9" s="96">
        <v>0.25</v>
      </c>
      <c r="K9" s="95">
        <v>0.3</v>
      </c>
      <c r="L9" s="95">
        <v>0.3</v>
      </c>
      <c r="M9" s="96">
        <v>0.25</v>
      </c>
      <c r="O9" s="88" t="s">
        <v>57</v>
      </c>
      <c r="P9" s="91" t="s">
        <v>41</v>
      </c>
      <c r="Q9" s="93">
        <v>0.17968971787149668</v>
      </c>
      <c r="R9" s="96">
        <v>0.1647232196879006</v>
      </c>
      <c r="S9" s="93">
        <v>0.31150651493914316</v>
      </c>
      <c r="T9" s="96">
        <v>0.2994332814933337</v>
      </c>
      <c r="U9" s="93">
        <v>0.41969903103141115</v>
      </c>
      <c r="V9" s="96">
        <v>0.42</v>
      </c>
    </row>
    <row r="10" spans="1:22" x14ac:dyDescent="0.25">
      <c r="A10" s="112"/>
      <c r="B10" s="109"/>
      <c r="C10" s="26" t="s">
        <v>55</v>
      </c>
      <c r="D10" s="26" t="s">
        <v>56</v>
      </c>
      <c r="E10" s="84"/>
      <c r="F10" s="84"/>
      <c r="G10" s="86"/>
      <c r="H10" s="84"/>
      <c r="I10" s="84"/>
      <c r="J10" s="86"/>
      <c r="K10" s="84"/>
      <c r="L10" s="84"/>
      <c r="M10" s="86"/>
      <c r="O10" s="89"/>
      <c r="P10" s="92"/>
      <c r="Q10" s="94"/>
      <c r="R10" s="86"/>
      <c r="S10" s="94"/>
      <c r="T10" s="86"/>
      <c r="U10" s="94"/>
      <c r="V10" s="86"/>
    </row>
    <row r="11" spans="1:22" x14ac:dyDescent="0.25">
      <c r="A11" s="112"/>
      <c r="B11" s="109" t="s">
        <v>42</v>
      </c>
      <c r="C11" s="26" t="s">
        <v>55</v>
      </c>
      <c r="D11" s="26" t="s">
        <v>56</v>
      </c>
      <c r="E11" s="84">
        <v>0</v>
      </c>
      <c r="F11" s="84">
        <v>0</v>
      </c>
      <c r="G11" s="86">
        <v>0.23</v>
      </c>
      <c r="H11" s="84">
        <f>H9-2%</f>
        <v>0.23</v>
      </c>
      <c r="I11" s="84">
        <f>I9-2%</f>
        <v>0.23</v>
      </c>
      <c r="J11" s="86">
        <v>0.23</v>
      </c>
      <c r="K11" s="84">
        <f t="shared" ref="K11:L11" si="0">K9-2%</f>
        <v>0.27999999999999997</v>
      </c>
      <c r="L11" s="84">
        <f t="shared" si="0"/>
        <v>0.27999999999999997</v>
      </c>
      <c r="M11" s="86">
        <v>0.23</v>
      </c>
      <c r="O11" s="89"/>
      <c r="P11" s="92" t="s">
        <v>42</v>
      </c>
      <c r="Q11" s="94">
        <v>0.15968971787149669</v>
      </c>
      <c r="R11" s="86">
        <v>0.14472321968790061</v>
      </c>
      <c r="S11" s="94">
        <v>0.29150651493914315</v>
      </c>
      <c r="T11" s="86">
        <v>0.27943328149333369</v>
      </c>
      <c r="U11" s="94">
        <v>0.39969903103141113</v>
      </c>
      <c r="V11" s="86">
        <v>0.39999999999999997</v>
      </c>
    </row>
    <row r="12" spans="1:22" ht="12" thickBot="1" x14ac:dyDescent="0.3">
      <c r="A12" s="113"/>
      <c r="B12" s="110"/>
      <c r="C12" s="27" t="s">
        <v>55</v>
      </c>
      <c r="D12" s="27" t="s">
        <v>56</v>
      </c>
      <c r="E12" s="85"/>
      <c r="F12" s="85"/>
      <c r="G12" s="87"/>
      <c r="H12" s="85"/>
      <c r="I12" s="85"/>
      <c r="J12" s="87"/>
      <c r="K12" s="85"/>
      <c r="L12" s="85"/>
      <c r="M12" s="87"/>
      <c r="O12" s="90"/>
      <c r="P12" s="99"/>
      <c r="Q12" s="100"/>
      <c r="R12" s="87"/>
      <c r="S12" s="100"/>
      <c r="T12" s="87"/>
      <c r="U12" s="100"/>
      <c r="V12" s="87"/>
    </row>
    <row r="13" spans="1:22" x14ac:dyDescent="0.25">
      <c r="A13" s="111" t="s">
        <v>58</v>
      </c>
      <c r="B13" s="114" t="s">
        <v>41</v>
      </c>
      <c r="C13" s="25" t="s">
        <v>55</v>
      </c>
      <c r="D13" s="25" t="s">
        <v>56</v>
      </c>
      <c r="E13" s="95">
        <v>0</v>
      </c>
      <c r="F13" s="95">
        <v>0</v>
      </c>
      <c r="G13" s="96">
        <v>0.25</v>
      </c>
      <c r="H13" s="95">
        <v>0</v>
      </c>
      <c r="I13" s="95">
        <v>0</v>
      </c>
      <c r="J13" s="96">
        <v>0.25</v>
      </c>
      <c r="K13" s="95">
        <v>0.2</v>
      </c>
      <c r="L13" s="95">
        <v>0.18</v>
      </c>
      <c r="M13" s="96">
        <v>0.25</v>
      </c>
      <c r="O13" s="88" t="s">
        <v>58</v>
      </c>
      <c r="P13" s="91" t="s">
        <v>41</v>
      </c>
      <c r="Q13" s="93">
        <v>0</v>
      </c>
      <c r="R13" s="96">
        <v>0</v>
      </c>
      <c r="S13" s="93">
        <v>6.925873003271743E-2</v>
      </c>
      <c r="T13" s="96">
        <v>5.2409982493740515E-2</v>
      </c>
      <c r="U13" s="93">
        <v>0.21864441304844673</v>
      </c>
      <c r="V13" s="96">
        <v>0.2048140115869479</v>
      </c>
    </row>
    <row r="14" spans="1:22" x14ac:dyDescent="0.25">
      <c r="A14" s="112"/>
      <c r="B14" s="109"/>
      <c r="C14" s="26" t="s">
        <v>55</v>
      </c>
      <c r="D14" s="26" t="s">
        <v>56</v>
      </c>
      <c r="E14" s="84"/>
      <c r="F14" s="84"/>
      <c r="G14" s="86"/>
      <c r="H14" s="84"/>
      <c r="I14" s="84"/>
      <c r="J14" s="86"/>
      <c r="K14" s="84"/>
      <c r="L14" s="84"/>
      <c r="M14" s="86"/>
      <c r="O14" s="89"/>
      <c r="P14" s="92"/>
      <c r="Q14" s="94"/>
      <c r="R14" s="86"/>
      <c r="S14" s="94"/>
      <c r="T14" s="86"/>
      <c r="U14" s="94"/>
      <c r="V14" s="86"/>
    </row>
    <row r="15" spans="1:22" x14ac:dyDescent="0.25">
      <c r="A15" s="112"/>
      <c r="B15" s="109" t="s">
        <v>42</v>
      </c>
      <c r="C15" s="26" t="s">
        <v>55</v>
      </c>
      <c r="D15" s="26" t="s">
        <v>56</v>
      </c>
      <c r="E15" s="84">
        <v>0</v>
      </c>
      <c r="F15" s="84">
        <v>0</v>
      </c>
      <c r="G15" s="86">
        <v>0.23</v>
      </c>
      <c r="H15" s="84">
        <v>0</v>
      </c>
      <c r="I15" s="84">
        <v>0</v>
      </c>
      <c r="J15" s="86">
        <v>0.23</v>
      </c>
      <c r="K15" s="84">
        <f t="shared" ref="K15:L15" si="1">K13-2%</f>
        <v>0.18000000000000002</v>
      </c>
      <c r="L15" s="84">
        <f t="shared" si="1"/>
        <v>0.16</v>
      </c>
      <c r="M15" s="86">
        <v>0.23</v>
      </c>
      <c r="O15" s="89"/>
      <c r="P15" s="92" t="s">
        <v>42</v>
      </c>
      <c r="Q15" s="94">
        <v>0</v>
      </c>
      <c r="R15" s="86">
        <v>0</v>
      </c>
      <c r="S15" s="94">
        <v>4.9258730032717427E-2</v>
      </c>
      <c r="T15" s="86">
        <v>3.2409982493740511E-2</v>
      </c>
      <c r="U15" s="94">
        <v>0.19864441304844674</v>
      </c>
      <c r="V15" s="86">
        <v>0.18481401158694791</v>
      </c>
    </row>
    <row r="16" spans="1:22" ht="12" thickBot="1" x14ac:dyDescent="0.3">
      <c r="A16" s="113"/>
      <c r="B16" s="110"/>
      <c r="C16" s="27" t="s">
        <v>55</v>
      </c>
      <c r="D16" s="27" t="s">
        <v>56</v>
      </c>
      <c r="E16" s="85"/>
      <c r="F16" s="85"/>
      <c r="G16" s="87"/>
      <c r="H16" s="85"/>
      <c r="I16" s="85"/>
      <c r="J16" s="87"/>
      <c r="K16" s="85"/>
      <c r="L16" s="85"/>
      <c r="M16" s="87"/>
      <c r="O16" s="90"/>
      <c r="P16" s="99"/>
      <c r="Q16" s="100"/>
      <c r="R16" s="87"/>
      <c r="S16" s="100"/>
      <c r="T16" s="87"/>
      <c r="U16" s="100"/>
      <c r="V16" s="87"/>
    </row>
    <row r="17" spans="1:22" x14ac:dyDescent="0.25">
      <c r="A17" s="89" t="s">
        <v>59</v>
      </c>
      <c r="B17" s="114" t="s">
        <v>41</v>
      </c>
      <c r="C17" s="42" t="s">
        <v>60</v>
      </c>
      <c r="D17" s="42" t="s">
        <v>56</v>
      </c>
      <c r="E17" s="116">
        <v>0</v>
      </c>
      <c r="F17" s="116">
        <v>0</v>
      </c>
      <c r="G17" s="115">
        <v>0.44999999999999996</v>
      </c>
      <c r="H17" s="116">
        <v>0</v>
      </c>
      <c r="I17" s="116">
        <v>0</v>
      </c>
      <c r="J17" s="115">
        <v>0.46249999999999997</v>
      </c>
      <c r="K17" s="116">
        <v>0</v>
      </c>
      <c r="L17" s="116">
        <v>0</v>
      </c>
      <c r="M17" s="115">
        <v>0.47499999999999992</v>
      </c>
      <c r="O17" s="117" t="s">
        <v>59</v>
      </c>
      <c r="P17" s="91" t="s">
        <v>41</v>
      </c>
      <c r="Q17" s="120">
        <v>0</v>
      </c>
      <c r="R17" s="115">
        <v>0</v>
      </c>
      <c r="S17" s="120">
        <v>0</v>
      </c>
      <c r="T17" s="115">
        <v>0</v>
      </c>
      <c r="U17" s="120">
        <v>0.2</v>
      </c>
      <c r="V17" s="115">
        <v>0.2</v>
      </c>
    </row>
    <row r="18" spans="1:22" x14ac:dyDescent="0.25">
      <c r="A18" s="89"/>
      <c r="B18" s="109"/>
      <c r="C18" s="26" t="s">
        <v>60</v>
      </c>
      <c r="D18" s="26" t="s">
        <v>56</v>
      </c>
      <c r="E18" s="84"/>
      <c r="F18" s="84"/>
      <c r="G18" s="86"/>
      <c r="H18" s="84"/>
      <c r="I18" s="84"/>
      <c r="J18" s="86"/>
      <c r="K18" s="84"/>
      <c r="L18" s="84"/>
      <c r="M18" s="86"/>
      <c r="O18" s="118"/>
      <c r="P18" s="92"/>
      <c r="Q18" s="94"/>
      <c r="R18" s="86"/>
      <c r="S18" s="94"/>
      <c r="T18" s="86"/>
      <c r="U18" s="94"/>
      <c r="V18" s="86"/>
    </row>
    <row r="19" spans="1:22" x14ac:dyDescent="0.25">
      <c r="A19" s="89"/>
      <c r="B19" s="109" t="s">
        <v>42</v>
      </c>
      <c r="C19" s="26" t="s">
        <v>60</v>
      </c>
      <c r="D19" s="26" t="s">
        <v>56</v>
      </c>
      <c r="E19" s="84">
        <v>0</v>
      </c>
      <c r="F19" s="84">
        <v>0</v>
      </c>
      <c r="G19" s="86">
        <v>0.42999999999999994</v>
      </c>
      <c r="H19" s="84">
        <v>0</v>
      </c>
      <c r="I19" s="84">
        <v>0</v>
      </c>
      <c r="J19" s="86">
        <v>0.44249999999999995</v>
      </c>
      <c r="K19" s="84">
        <v>0</v>
      </c>
      <c r="L19" s="84">
        <v>0</v>
      </c>
      <c r="M19" s="86">
        <v>0.4549999999999999</v>
      </c>
      <c r="O19" s="118"/>
      <c r="P19" s="92" t="s">
        <v>42</v>
      </c>
      <c r="Q19" s="94">
        <v>0</v>
      </c>
      <c r="R19" s="86">
        <v>0</v>
      </c>
      <c r="S19" s="94">
        <v>0</v>
      </c>
      <c r="T19" s="86">
        <v>0</v>
      </c>
      <c r="U19" s="94">
        <v>0.18000000000000002</v>
      </c>
      <c r="V19" s="86">
        <v>0.18000000000000002</v>
      </c>
    </row>
    <row r="20" spans="1:22" ht="12" thickBot="1" x14ac:dyDescent="0.3">
      <c r="A20" s="90"/>
      <c r="B20" s="110"/>
      <c r="C20" s="27" t="s">
        <v>60</v>
      </c>
      <c r="D20" s="27" t="s">
        <v>56</v>
      </c>
      <c r="E20" s="85"/>
      <c r="F20" s="85"/>
      <c r="G20" s="87"/>
      <c r="H20" s="85"/>
      <c r="I20" s="85"/>
      <c r="J20" s="87"/>
      <c r="K20" s="85"/>
      <c r="L20" s="85"/>
      <c r="M20" s="87"/>
      <c r="O20" s="119"/>
      <c r="P20" s="99"/>
      <c r="Q20" s="100"/>
      <c r="R20" s="87"/>
      <c r="S20" s="100"/>
      <c r="T20" s="87"/>
      <c r="U20" s="100"/>
      <c r="V20" s="87"/>
    </row>
    <row r="21" spans="1:22" x14ac:dyDescent="0.25">
      <c r="A21" s="111" t="s">
        <v>82</v>
      </c>
      <c r="B21" s="114" t="s">
        <v>41</v>
      </c>
      <c r="C21" s="25" t="s">
        <v>60</v>
      </c>
      <c r="D21" s="25" t="s">
        <v>56</v>
      </c>
      <c r="E21" s="95">
        <v>0</v>
      </c>
      <c r="F21" s="95">
        <v>0</v>
      </c>
      <c r="G21" s="96">
        <v>0.44999999999999996</v>
      </c>
      <c r="H21" s="95">
        <v>0</v>
      </c>
      <c r="I21" s="95">
        <v>0</v>
      </c>
      <c r="J21" s="96">
        <v>0.46249999999999997</v>
      </c>
      <c r="K21" s="95">
        <v>0.25</v>
      </c>
      <c r="L21" s="95">
        <v>0.25</v>
      </c>
      <c r="M21" s="96">
        <v>0.47499999999999992</v>
      </c>
      <c r="O21" s="88" t="s">
        <v>82</v>
      </c>
      <c r="P21" s="91" t="s">
        <v>41</v>
      </c>
      <c r="Q21" s="93">
        <v>0</v>
      </c>
      <c r="R21" s="96">
        <v>0</v>
      </c>
      <c r="S21" s="93">
        <v>0.2</v>
      </c>
      <c r="T21" s="96">
        <v>0.20466883341358744</v>
      </c>
      <c r="U21" s="93">
        <v>0.35</v>
      </c>
      <c r="V21" s="96">
        <v>0.35</v>
      </c>
    </row>
    <row r="22" spans="1:22" x14ac:dyDescent="0.25">
      <c r="A22" s="112"/>
      <c r="B22" s="109"/>
      <c r="C22" s="26" t="s">
        <v>60</v>
      </c>
      <c r="D22" s="26" t="s">
        <v>56</v>
      </c>
      <c r="E22" s="84"/>
      <c r="F22" s="84"/>
      <c r="G22" s="86"/>
      <c r="H22" s="84"/>
      <c r="I22" s="84"/>
      <c r="J22" s="86"/>
      <c r="K22" s="84"/>
      <c r="L22" s="84"/>
      <c r="M22" s="86"/>
      <c r="O22" s="89"/>
      <c r="P22" s="92"/>
      <c r="Q22" s="94"/>
      <c r="R22" s="86"/>
      <c r="S22" s="94"/>
      <c r="T22" s="86"/>
      <c r="U22" s="94"/>
      <c r="V22" s="86"/>
    </row>
    <row r="23" spans="1:22" x14ac:dyDescent="0.25">
      <c r="A23" s="112"/>
      <c r="B23" s="109" t="s">
        <v>42</v>
      </c>
      <c r="C23" s="26" t="s">
        <v>60</v>
      </c>
      <c r="D23" s="26" t="s">
        <v>56</v>
      </c>
      <c r="E23" s="84">
        <v>0</v>
      </c>
      <c r="F23" s="84">
        <v>0</v>
      </c>
      <c r="G23" s="86">
        <v>0.42999999999999994</v>
      </c>
      <c r="H23" s="84">
        <v>0</v>
      </c>
      <c r="I23" s="84">
        <v>0</v>
      </c>
      <c r="J23" s="86">
        <v>0.44249999999999995</v>
      </c>
      <c r="K23" s="84">
        <v>0.23</v>
      </c>
      <c r="L23" s="84">
        <v>0.23</v>
      </c>
      <c r="M23" s="86">
        <v>0.4549999999999999</v>
      </c>
      <c r="O23" s="89"/>
      <c r="P23" s="92" t="s">
        <v>42</v>
      </c>
      <c r="Q23" s="94">
        <v>0</v>
      </c>
      <c r="R23" s="86">
        <v>0</v>
      </c>
      <c r="S23" s="94">
        <v>0.18000000000000002</v>
      </c>
      <c r="T23" s="86">
        <v>0.18466883341358745</v>
      </c>
      <c r="U23" s="94">
        <v>0.32999999999999996</v>
      </c>
      <c r="V23" s="86">
        <v>0.32999999999999996</v>
      </c>
    </row>
    <row r="24" spans="1:22" ht="12" thickBot="1" x14ac:dyDescent="0.3">
      <c r="A24" s="113"/>
      <c r="B24" s="110"/>
      <c r="C24" s="27" t="s">
        <v>60</v>
      </c>
      <c r="D24" s="27" t="s">
        <v>56</v>
      </c>
      <c r="E24" s="85"/>
      <c r="F24" s="85"/>
      <c r="G24" s="87"/>
      <c r="H24" s="85"/>
      <c r="I24" s="85"/>
      <c r="J24" s="87"/>
      <c r="K24" s="85"/>
      <c r="L24" s="85"/>
      <c r="M24" s="87"/>
      <c r="O24" s="90"/>
      <c r="P24" s="99"/>
      <c r="Q24" s="100"/>
      <c r="R24" s="87"/>
      <c r="S24" s="100"/>
      <c r="T24" s="87"/>
      <c r="U24" s="100"/>
      <c r="V24" s="87"/>
    </row>
    <row r="25" spans="1:22" x14ac:dyDescent="0.25">
      <c r="A25" s="111" t="s">
        <v>83</v>
      </c>
      <c r="B25" s="114" t="s">
        <v>41</v>
      </c>
      <c r="C25" s="25" t="s">
        <v>60</v>
      </c>
      <c r="D25" s="25" t="s">
        <v>56</v>
      </c>
      <c r="E25" s="95">
        <v>0</v>
      </c>
      <c r="F25" s="95">
        <v>0</v>
      </c>
      <c r="G25" s="96">
        <v>0.44999999999999996</v>
      </c>
      <c r="H25" s="95">
        <v>0</v>
      </c>
      <c r="I25" s="95">
        <v>0</v>
      </c>
      <c r="J25" s="96">
        <v>0.46249999999999997</v>
      </c>
      <c r="K25" s="95">
        <v>0.1</v>
      </c>
      <c r="L25" s="95">
        <v>0.1</v>
      </c>
      <c r="M25" s="96">
        <v>0.47499999999999992</v>
      </c>
      <c r="O25" s="88" t="s">
        <v>83</v>
      </c>
      <c r="P25" s="91" t="s">
        <v>41</v>
      </c>
      <c r="Q25" s="93" t="s">
        <v>36</v>
      </c>
      <c r="R25" s="96" t="s">
        <v>36</v>
      </c>
      <c r="S25" s="93" t="s">
        <v>36</v>
      </c>
      <c r="T25" s="96" t="s">
        <v>36</v>
      </c>
      <c r="U25" s="93" t="s">
        <v>36</v>
      </c>
      <c r="V25" s="96" t="s">
        <v>36</v>
      </c>
    </row>
    <row r="26" spans="1:22" x14ac:dyDescent="0.25">
      <c r="A26" s="112"/>
      <c r="B26" s="109"/>
      <c r="C26" s="26" t="s">
        <v>60</v>
      </c>
      <c r="D26" s="26" t="s">
        <v>56</v>
      </c>
      <c r="E26" s="84"/>
      <c r="F26" s="84"/>
      <c r="G26" s="86"/>
      <c r="H26" s="84"/>
      <c r="I26" s="84"/>
      <c r="J26" s="86"/>
      <c r="K26" s="84"/>
      <c r="L26" s="84"/>
      <c r="M26" s="86"/>
      <c r="O26" s="89"/>
      <c r="P26" s="92"/>
      <c r="Q26" s="94"/>
      <c r="R26" s="86"/>
      <c r="S26" s="94"/>
      <c r="T26" s="86"/>
      <c r="U26" s="94"/>
      <c r="V26" s="86"/>
    </row>
    <row r="27" spans="1:22" x14ac:dyDescent="0.25">
      <c r="A27" s="112"/>
      <c r="B27" s="109" t="s">
        <v>42</v>
      </c>
      <c r="C27" s="26" t="s">
        <v>60</v>
      </c>
      <c r="D27" s="26" t="s">
        <v>56</v>
      </c>
      <c r="E27" s="84">
        <v>0</v>
      </c>
      <c r="F27" s="84">
        <v>0</v>
      </c>
      <c r="G27" s="86">
        <v>0.42999999999999994</v>
      </c>
      <c r="H27" s="84">
        <v>0</v>
      </c>
      <c r="I27" s="84">
        <v>0</v>
      </c>
      <c r="J27" s="86">
        <v>0.44249999999999995</v>
      </c>
      <c r="K27" s="84">
        <v>0.08</v>
      </c>
      <c r="L27" s="84">
        <v>0.08</v>
      </c>
      <c r="M27" s="86">
        <v>0.4549999999999999</v>
      </c>
      <c r="O27" s="89"/>
      <c r="P27" s="92" t="s">
        <v>42</v>
      </c>
      <c r="Q27" s="94" t="s">
        <v>36</v>
      </c>
      <c r="R27" s="86" t="s">
        <v>36</v>
      </c>
      <c r="S27" s="94" t="s">
        <v>36</v>
      </c>
      <c r="T27" s="86" t="s">
        <v>36</v>
      </c>
      <c r="U27" s="94" t="s">
        <v>36</v>
      </c>
      <c r="V27" s="86" t="s">
        <v>36</v>
      </c>
    </row>
    <row r="28" spans="1:22" ht="12" thickBot="1" x14ac:dyDescent="0.3">
      <c r="A28" s="113"/>
      <c r="B28" s="110"/>
      <c r="C28" s="27" t="s">
        <v>60</v>
      </c>
      <c r="D28" s="27" t="s">
        <v>56</v>
      </c>
      <c r="E28" s="85"/>
      <c r="F28" s="85"/>
      <c r="G28" s="87"/>
      <c r="H28" s="85"/>
      <c r="I28" s="85"/>
      <c r="J28" s="87"/>
      <c r="K28" s="85"/>
      <c r="L28" s="85"/>
      <c r="M28" s="87"/>
      <c r="O28" s="90"/>
      <c r="P28" s="99"/>
      <c r="Q28" s="100"/>
      <c r="R28" s="87"/>
      <c r="S28" s="100"/>
      <c r="T28" s="87"/>
      <c r="U28" s="100"/>
      <c r="V28" s="87"/>
    </row>
    <row r="29" spans="1:22" x14ac:dyDescent="0.25">
      <c r="A29" s="88" t="s">
        <v>84</v>
      </c>
      <c r="B29" s="114" t="s">
        <v>41</v>
      </c>
      <c r="C29" s="25" t="s">
        <v>55</v>
      </c>
      <c r="D29" s="25" t="s">
        <v>56</v>
      </c>
      <c r="E29" s="95">
        <v>0</v>
      </c>
      <c r="F29" s="95">
        <v>0</v>
      </c>
      <c r="G29" s="96">
        <v>0</v>
      </c>
      <c r="H29" s="95">
        <v>0</v>
      </c>
      <c r="I29" s="95">
        <v>0</v>
      </c>
      <c r="J29" s="96">
        <v>0</v>
      </c>
      <c r="K29" s="95">
        <v>0</v>
      </c>
      <c r="L29" s="95">
        <v>0</v>
      </c>
      <c r="M29" s="96">
        <v>0</v>
      </c>
      <c r="O29" s="88" t="s">
        <v>84</v>
      </c>
      <c r="P29" s="91" t="s">
        <v>41</v>
      </c>
      <c r="Q29" s="93" t="s">
        <v>36</v>
      </c>
      <c r="R29" s="96" t="s">
        <v>36</v>
      </c>
      <c r="S29" s="93" t="s">
        <v>36</v>
      </c>
      <c r="T29" s="96" t="s">
        <v>36</v>
      </c>
      <c r="U29" s="93" t="s">
        <v>36</v>
      </c>
      <c r="V29" s="96" t="s">
        <v>36</v>
      </c>
    </row>
    <row r="30" spans="1:22" x14ac:dyDescent="0.25">
      <c r="A30" s="89"/>
      <c r="B30" s="109"/>
      <c r="C30" s="26" t="s">
        <v>55</v>
      </c>
      <c r="D30" s="26" t="s">
        <v>56</v>
      </c>
      <c r="E30" s="84"/>
      <c r="F30" s="84"/>
      <c r="G30" s="86"/>
      <c r="H30" s="84"/>
      <c r="I30" s="84"/>
      <c r="J30" s="86"/>
      <c r="K30" s="84"/>
      <c r="L30" s="84"/>
      <c r="M30" s="86"/>
      <c r="O30" s="89"/>
      <c r="P30" s="92"/>
      <c r="Q30" s="94"/>
      <c r="R30" s="86"/>
      <c r="S30" s="94"/>
      <c r="T30" s="86"/>
      <c r="U30" s="94"/>
      <c r="V30" s="86"/>
    </row>
    <row r="31" spans="1:22" x14ac:dyDescent="0.25">
      <c r="A31" s="89"/>
      <c r="B31" s="109" t="s">
        <v>42</v>
      </c>
      <c r="C31" s="26" t="s">
        <v>55</v>
      </c>
      <c r="D31" s="26" t="s">
        <v>56</v>
      </c>
      <c r="E31" s="84">
        <v>0</v>
      </c>
      <c r="F31" s="84">
        <v>0</v>
      </c>
      <c r="G31" s="86">
        <v>0</v>
      </c>
      <c r="H31" s="84">
        <v>0</v>
      </c>
      <c r="I31" s="84">
        <v>0</v>
      </c>
      <c r="J31" s="86">
        <v>0</v>
      </c>
      <c r="K31" s="84">
        <v>0</v>
      </c>
      <c r="L31" s="84">
        <v>0</v>
      </c>
      <c r="M31" s="86">
        <v>0</v>
      </c>
      <c r="O31" s="89"/>
      <c r="P31" s="92" t="s">
        <v>42</v>
      </c>
      <c r="Q31" s="94" t="s">
        <v>36</v>
      </c>
      <c r="R31" s="86" t="s">
        <v>36</v>
      </c>
      <c r="S31" s="94" t="s">
        <v>36</v>
      </c>
      <c r="T31" s="86" t="s">
        <v>36</v>
      </c>
      <c r="U31" s="94" t="s">
        <v>36</v>
      </c>
      <c r="V31" s="86" t="s">
        <v>36</v>
      </c>
    </row>
    <row r="32" spans="1:22" ht="12" thickBot="1" x14ac:dyDescent="0.3">
      <c r="A32" s="90"/>
      <c r="B32" s="110"/>
      <c r="C32" s="27" t="s">
        <v>55</v>
      </c>
      <c r="D32" s="27" t="s">
        <v>56</v>
      </c>
      <c r="E32" s="85"/>
      <c r="F32" s="85"/>
      <c r="G32" s="87"/>
      <c r="H32" s="85"/>
      <c r="I32" s="85"/>
      <c r="J32" s="87"/>
      <c r="K32" s="85"/>
      <c r="L32" s="85"/>
      <c r="M32" s="87"/>
      <c r="O32" s="90"/>
      <c r="P32" s="99"/>
      <c r="Q32" s="100"/>
      <c r="R32" s="87"/>
      <c r="S32" s="100"/>
      <c r="T32" s="87"/>
      <c r="U32" s="100"/>
      <c r="V32" s="87"/>
    </row>
    <row r="33" spans="1:22" x14ac:dyDescent="0.25">
      <c r="A33" s="88" t="s">
        <v>85</v>
      </c>
      <c r="B33" s="114" t="s">
        <v>41</v>
      </c>
      <c r="C33" s="25" t="s">
        <v>70</v>
      </c>
      <c r="D33" s="25" t="s">
        <v>56</v>
      </c>
      <c r="E33" s="95">
        <v>0</v>
      </c>
      <c r="F33" s="95">
        <v>0</v>
      </c>
      <c r="G33" s="96">
        <v>0</v>
      </c>
      <c r="H33" s="95">
        <v>0</v>
      </c>
      <c r="I33" s="95">
        <v>0</v>
      </c>
      <c r="J33" s="96">
        <v>0</v>
      </c>
      <c r="K33" s="95">
        <v>0</v>
      </c>
      <c r="L33" s="95">
        <v>0</v>
      </c>
      <c r="M33" s="96">
        <v>0</v>
      </c>
      <c r="O33" s="88" t="s">
        <v>85</v>
      </c>
      <c r="P33" s="91" t="s">
        <v>41</v>
      </c>
      <c r="Q33" s="93" t="s">
        <v>36</v>
      </c>
      <c r="R33" s="96" t="s">
        <v>36</v>
      </c>
      <c r="S33" s="93" t="s">
        <v>36</v>
      </c>
      <c r="T33" s="96" t="s">
        <v>36</v>
      </c>
      <c r="U33" s="93" t="s">
        <v>36</v>
      </c>
      <c r="V33" s="96" t="s">
        <v>36</v>
      </c>
    </row>
    <row r="34" spans="1:22" x14ac:dyDescent="0.25">
      <c r="A34" s="89"/>
      <c r="B34" s="109"/>
      <c r="C34" s="26" t="s">
        <v>70</v>
      </c>
      <c r="D34" s="26" t="s">
        <v>56</v>
      </c>
      <c r="E34" s="84"/>
      <c r="F34" s="84"/>
      <c r="G34" s="86"/>
      <c r="H34" s="84"/>
      <c r="I34" s="84"/>
      <c r="J34" s="86"/>
      <c r="K34" s="84"/>
      <c r="L34" s="84"/>
      <c r="M34" s="86"/>
      <c r="O34" s="89"/>
      <c r="P34" s="92"/>
      <c r="Q34" s="94"/>
      <c r="R34" s="86"/>
      <c r="S34" s="94"/>
      <c r="T34" s="86"/>
      <c r="U34" s="94"/>
      <c r="V34" s="86"/>
    </row>
    <row r="35" spans="1:22" x14ac:dyDescent="0.25">
      <c r="A35" s="89"/>
      <c r="B35" s="109" t="s">
        <v>42</v>
      </c>
      <c r="C35" s="26" t="s">
        <v>70</v>
      </c>
      <c r="D35" s="26" t="s">
        <v>56</v>
      </c>
      <c r="E35" s="84">
        <v>0</v>
      </c>
      <c r="F35" s="84">
        <v>0</v>
      </c>
      <c r="G35" s="86">
        <v>0</v>
      </c>
      <c r="H35" s="84">
        <v>0</v>
      </c>
      <c r="I35" s="84">
        <v>0</v>
      </c>
      <c r="J35" s="86">
        <v>0</v>
      </c>
      <c r="K35" s="84">
        <v>0</v>
      </c>
      <c r="L35" s="84">
        <v>0</v>
      </c>
      <c r="M35" s="86">
        <v>0</v>
      </c>
      <c r="O35" s="89"/>
      <c r="P35" s="92" t="s">
        <v>42</v>
      </c>
      <c r="Q35" s="94" t="s">
        <v>36</v>
      </c>
      <c r="R35" s="86" t="s">
        <v>36</v>
      </c>
      <c r="S35" s="94" t="s">
        <v>36</v>
      </c>
      <c r="T35" s="86" t="s">
        <v>36</v>
      </c>
      <c r="U35" s="94" t="s">
        <v>36</v>
      </c>
      <c r="V35" s="86" t="s">
        <v>36</v>
      </c>
    </row>
    <row r="36" spans="1:22" ht="12" thickBot="1" x14ac:dyDescent="0.3">
      <c r="A36" s="90"/>
      <c r="B36" s="110"/>
      <c r="C36" s="27" t="s">
        <v>70</v>
      </c>
      <c r="D36" s="27" t="s">
        <v>56</v>
      </c>
      <c r="E36" s="85"/>
      <c r="F36" s="85"/>
      <c r="G36" s="87"/>
      <c r="H36" s="85"/>
      <c r="I36" s="85"/>
      <c r="J36" s="87"/>
      <c r="K36" s="85"/>
      <c r="L36" s="85"/>
      <c r="M36" s="87"/>
      <c r="O36" s="90"/>
      <c r="P36" s="99"/>
      <c r="Q36" s="100"/>
      <c r="R36" s="87"/>
      <c r="S36" s="100"/>
      <c r="T36" s="87"/>
      <c r="U36" s="100"/>
      <c r="V36" s="87"/>
    </row>
    <row r="37" spans="1:22" x14ac:dyDescent="0.25">
      <c r="A37" s="88" t="s">
        <v>86</v>
      </c>
      <c r="B37" s="114" t="s">
        <v>41</v>
      </c>
      <c r="C37" s="25" t="s">
        <v>60</v>
      </c>
      <c r="D37" s="25" t="s">
        <v>56</v>
      </c>
      <c r="E37" s="95">
        <v>0</v>
      </c>
      <c r="F37" s="95">
        <v>0</v>
      </c>
      <c r="G37" s="96">
        <v>0</v>
      </c>
      <c r="H37" s="95">
        <v>0</v>
      </c>
      <c r="I37" s="95">
        <v>0</v>
      </c>
      <c r="J37" s="96">
        <v>0</v>
      </c>
      <c r="K37" s="95">
        <v>0</v>
      </c>
      <c r="L37" s="95">
        <v>0</v>
      </c>
      <c r="M37" s="96">
        <v>0</v>
      </c>
      <c r="O37" s="88" t="s">
        <v>86</v>
      </c>
      <c r="P37" s="91" t="s">
        <v>41</v>
      </c>
      <c r="Q37" s="93" t="s">
        <v>36</v>
      </c>
      <c r="R37" s="96" t="s">
        <v>36</v>
      </c>
      <c r="S37" s="93" t="s">
        <v>36</v>
      </c>
      <c r="T37" s="96" t="s">
        <v>36</v>
      </c>
      <c r="U37" s="93" t="s">
        <v>36</v>
      </c>
      <c r="V37" s="96" t="s">
        <v>36</v>
      </c>
    </row>
    <row r="38" spans="1:22" x14ac:dyDescent="0.25">
      <c r="A38" s="89"/>
      <c r="B38" s="109"/>
      <c r="C38" s="26" t="s">
        <v>60</v>
      </c>
      <c r="D38" s="26" t="s">
        <v>56</v>
      </c>
      <c r="E38" s="84"/>
      <c r="F38" s="84"/>
      <c r="G38" s="86"/>
      <c r="H38" s="84"/>
      <c r="I38" s="84"/>
      <c r="J38" s="86"/>
      <c r="K38" s="84"/>
      <c r="L38" s="84"/>
      <c r="M38" s="86"/>
      <c r="O38" s="89"/>
      <c r="P38" s="92"/>
      <c r="Q38" s="94"/>
      <c r="R38" s="86"/>
      <c r="S38" s="94"/>
      <c r="T38" s="86"/>
      <c r="U38" s="94"/>
      <c r="V38" s="86"/>
    </row>
    <row r="39" spans="1:22" x14ac:dyDescent="0.25">
      <c r="A39" s="89"/>
      <c r="B39" s="109" t="s">
        <v>42</v>
      </c>
      <c r="C39" s="26" t="s">
        <v>60</v>
      </c>
      <c r="D39" s="26" t="s">
        <v>56</v>
      </c>
      <c r="E39" s="84">
        <v>0</v>
      </c>
      <c r="F39" s="84">
        <v>0</v>
      </c>
      <c r="G39" s="86">
        <v>0</v>
      </c>
      <c r="H39" s="84">
        <v>0</v>
      </c>
      <c r="I39" s="84">
        <v>0</v>
      </c>
      <c r="J39" s="86">
        <v>0</v>
      </c>
      <c r="K39" s="84">
        <v>0</v>
      </c>
      <c r="L39" s="84">
        <v>0</v>
      </c>
      <c r="M39" s="86">
        <v>0</v>
      </c>
      <c r="O39" s="89"/>
      <c r="P39" s="92" t="s">
        <v>42</v>
      </c>
      <c r="Q39" s="94" t="s">
        <v>36</v>
      </c>
      <c r="R39" s="86" t="s">
        <v>36</v>
      </c>
      <c r="S39" s="94" t="s">
        <v>36</v>
      </c>
      <c r="T39" s="86" t="s">
        <v>36</v>
      </c>
      <c r="U39" s="94" t="s">
        <v>36</v>
      </c>
      <c r="V39" s="86" t="s">
        <v>36</v>
      </c>
    </row>
    <row r="40" spans="1:22" ht="12" thickBot="1" x14ac:dyDescent="0.3">
      <c r="A40" s="90"/>
      <c r="B40" s="110"/>
      <c r="C40" s="27" t="s">
        <v>60</v>
      </c>
      <c r="D40" s="27" t="s">
        <v>56</v>
      </c>
      <c r="E40" s="85"/>
      <c r="F40" s="85"/>
      <c r="G40" s="87"/>
      <c r="H40" s="85"/>
      <c r="I40" s="85"/>
      <c r="J40" s="87"/>
      <c r="K40" s="85"/>
      <c r="L40" s="85"/>
      <c r="M40" s="87"/>
      <c r="O40" s="90"/>
      <c r="P40" s="99"/>
      <c r="Q40" s="100"/>
      <c r="R40" s="87"/>
      <c r="S40" s="100"/>
      <c r="T40" s="87"/>
      <c r="U40" s="100"/>
      <c r="V40" s="87"/>
    </row>
    <row r="41" spans="1:22" x14ac:dyDescent="0.25">
      <c r="A41" s="88" t="s">
        <v>87</v>
      </c>
      <c r="B41" s="114" t="s">
        <v>41</v>
      </c>
      <c r="C41" s="25" t="s">
        <v>70</v>
      </c>
      <c r="D41" s="25" t="s">
        <v>56</v>
      </c>
      <c r="E41" s="95">
        <v>0</v>
      </c>
      <c r="F41" s="95">
        <v>0</v>
      </c>
      <c r="G41" s="96">
        <v>0</v>
      </c>
      <c r="H41" s="95">
        <v>0</v>
      </c>
      <c r="I41" s="95">
        <v>0</v>
      </c>
      <c r="J41" s="96">
        <v>0</v>
      </c>
      <c r="K41" s="95">
        <v>0</v>
      </c>
      <c r="L41" s="95">
        <v>0</v>
      </c>
      <c r="M41" s="96">
        <v>0</v>
      </c>
      <c r="O41" s="88" t="s">
        <v>87</v>
      </c>
      <c r="P41" s="91" t="s">
        <v>41</v>
      </c>
      <c r="Q41" s="93" t="s">
        <v>36</v>
      </c>
      <c r="R41" s="96" t="s">
        <v>36</v>
      </c>
      <c r="S41" s="93" t="s">
        <v>36</v>
      </c>
      <c r="T41" s="96" t="s">
        <v>36</v>
      </c>
      <c r="U41" s="93" t="s">
        <v>36</v>
      </c>
      <c r="V41" s="96" t="s">
        <v>36</v>
      </c>
    </row>
    <row r="42" spans="1:22" x14ac:dyDescent="0.25">
      <c r="A42" s="89"/>
      <c r="B42" s="109"/>
      <c r="C42" s="26" t="s">
        <v>70</v>
      </c>
      <c r="D42" s="26" t="s">
        <v>56</v>
      </c>
      <c r="E42" s="84"/>
      <c r="F42" s="84"/>
      <c r="G42" s="86"/>
      <c r="H42" s="84"/>
      <c r="I42" s="84"/>
      <c r="J42" s="86"/>
      <c r="K42" s="84"/>
      <c r="L42" s="84"/>
      <c r="M42" s="86"/>
      <c r="O42" s="89"/>
      <c r="P42" s="92"/>
      <c r="Q42" s="94"/>
      <c r="R42" s="86"/>
      <c r="S42" s="94"/>
      <c r="T42" s="86"/>
      <c r="U42" s="94"/>
      <c r="V42" s="86"/>
    </row>
    <row r="43" spans="1:22" x14ac:dyDescent="0.25">
      <c r="A43" s="89"/>
      <c r="B43" s="109" t="s">
        <v>42</v>
      </c>
      <c r="C43" s="26" t="s">
        <v>70</v>
      </c>
      <c r="D43" s="26" t="s">
        <v>56</v>
      </c>
      <c r="E43" s="84">
        <v>0</v>
      </c>
      <c r="F43" s="84">
        <v>0</v>
      </c>
      <c r="G43" s="86">
        <v>0</v>
      </c>
      <c r="H43" s="84">
        <v>0</v>
      </c>
      <c r="I43" s="84">
        <v>0</v>
      </c>
      <c r="J43" s="86">
        <v>0</v>
      </c>
      <c r="K43" s="84">
        <v>0</v>
      </c>
      <c r="L43" s="84">
        <v>0</v>
      </c>
      <c r="M43" s="86">
        <v>0</v>
      </c>
      <c r="O43" s="89"/>
      <c r="P43" s="92" t="s">
        <v>42</v>
      </c>
      <c r="Q43" s="94" t="s">
        <v>36</v>
      </c>
      <c r="R43" s="86" t="s">
        <v>36</v>
      </c>
      <c r="S43" s="94" t="s">
        <v>36</v>
      </c>
      <c r="T43" s="86" t="s">
        <v>36</v>
      </c>
      <c r="U43" s="94" t="s">
        <v>36</v>
      </c>
      <c r="V43" s="86" t="s">
        <v>36</v>
      </c>
    </row>
    <row r="44" spans="1:22" ht="12" thickBot="1" x14ac:dyDescent="0.3">
      <c r="A44" s="90"/>
      <c r="B44" s="110"/>
      <c r="C44" s="27" t="s">
        <v>70</v>
      </c>
      <c r="D44" s="27" t="s">
        <v>56</v>
      </c>
      <c r="E44" s="85"/>
      <c r="F44" s="85"/>
      <c r="G44" s="87"/>
      <c r="H44" s="85"/>
      <c r="I44" s="85"/>
      <c r="J44" s="87"/>
      <c r="K44" s="85"/>
      <c r="L44" s="85"/>
      <c r="M44" s="87"/>
      <c r="O44" s="90"/>
      <c r="P44" s="99"/>
      <c r="Q44" s="100"/>
      <c r="R44" s="87"/>
      <c r="S44" s="100"/>
      <c r="T44" s="87"/>
      <c r="U44" s="100"/>
      <c r="V44" s="87"/>
    </row>
    <row r="45" spans="1:22" x14ac:dyDescent="0.25">
      <c r="A45" s="111" t="s">
        <v>88</v>
      </c>
      <c r="B45" s="114" t="s">
        <v>41</v>
      </c>
      <c r="C45" s="25" t="s">
        <v>55</v>
      </c>
      <c r="D45" s="25" t="s">
        <v>56</v>
      </c>
      <c r="E45" s="95">
        <v>0</v>
      </c>
      <c r="F45" s="95">
        <v>0</v>
      </c>
      <c r="G45" s="96">
        <v>0</v>
      </c>
      <c r="H45" s="95">
        <v>0</v>
      </c>
      <c r="I45" s="95">
        <v>0</v>
      </c>
      <c r="J45" s="96">
        <v>0</v>
      </c>
      <c r="K45" s="95">
        <v>0.25</v>
      </c>
      <c r="L45" s="95">
        <v>0.25</v>
      </c>
      <c r="M45" s="96">
        <v>0</v>
      </c>
      <c r="O45" s="88" t="s">
        <v>88</v>
      </c>
      <c r="P45" s="91" t="s">
        <v>41</v>
      </c>
      <c r="Q45" s="93">
        <v>0</v>
      </c>
      <c r="R45" s="96">
        <v>0</v>
      </c>
      <c r="S45" s="93">
        <v>0.1371008880208765</v>
      </c>
      <c r="T45" s="96">
        <v>0.12109548404602333</v>
      </c>
      <c r="U45" s="93">
        <v>0.27531630765010573</v>
      </c>
      <c r="V45" s="96">
        <v>0.26218797427461416</v>
      </c>
    </row>
    <row r="46" spans="1:22" x14ac:dyDescent="0.25">
      <c r="A46" s="112"/>
      <c r="B46" s="109"/>
      <c r="C46" s="26" t="s">
        <v>55</v>
      </c>
      <c r="D46" s="26" t="s">
        <v>56</v>
      </c>
      <c r="E46" s="84"/>
      <c r="F46" s="84"/>
      <c r="G46" s="86"/>
      <c r="H46" s="84"/>
      <c r="I46" s="84"/>
      <c r="J46" s="86"/>
      <c r="K46" s="84"/>
      <c r="L46" s="84"/>
      <c r="M46" s="86"/>
      <c r="O46" s="89"/>
      <c r="P46" s="92"/>
      <c r="Q46" s="94"/>
      <c r="R46" s="86"/>
      <c r="S46" s="94"/>
      <c r="T46" s="86"/>
      <c r="U46" s="94"/>
      <c r="V46" s="86"/>
    </row>
    <row r="47" spans="1:22" x14ac:dyDescent="0.25">
      <c r="A47" s="112"/>
      <c r="B47" s="109" t="s">
        <v>42</v>
      </c>
      <c r="C47" s="26" t="s">
        <v>55</v>
      </c>
      <c r="D47" s="26" t="s">
        <v>56</v>
      </c>
      <c r="E47" s="84">
        <v>0</v>
      </c>
      <c r="F47" s="84">
        <v>0</v>
      </c>
      <c r="G47" s="86">
        <v>0</v>
      </c>
      <c r="H47" s="84">
        <v>0</v>
      </c>
      <c r="I47" s="84">
        <v>0</v>
      </c>
      <c r="J47" s="86">
        <v>0</v>
      </c>
      <c r="K47" s="84">
        <f>K45-2%</f>
        <v>0.23</v>
      </c>
      <c r="L47" s="84">
        <f>L45-2%</f>
        <v>0.23</v>
      </c>
      <c r="M47" s="86">
        <v>0</v>
      </c>
      <c r="O47" s="89"/>
      <c r="P47" s="92" t="s">
        <v>42</v>
      </c>
      <c r="Q47" s="94">
        <v>0</v>
      </c>
      <c r="R47" s="86">
        <v>0</v>
      </c>
      <c r="S47" s="94">
        <v>0.1171008880208765</v>
      </c>
      <c r="T47" s="86">
        <v>0.10109548404602332</v>
      </c>
      <c r="U47" s="94">
        <v>0.25531630765010571</v>
      </c>
      <c r="V47" s="86">
        <v>0.24218797427461417</v>
      </c>
    </row>
    <row r="48" spans="1:22" ht="12" thickBot="1" x14ac:dyDescent="0.3">
      <c r="A48" s="113"/>
      <c r="B48" s="110"/>
      <c r="C48" s="27" t="s">
        <v>55</v>
      </c>
      <c r="D48" s="27" t="s">
        <v>56</v>
      </c>
      <c r="E48" s="85"/>
      <c r="F48" s="85"/>
      <c r="G48" s="87"/>
      <c r="H48" s="85"/>
      <c r="I48" s="85"/>
      <c r="J48" s="87"/>
      <c r="K48" s="85"/>
      <c r="L48" s="85"/>
      <c r="M48" s="87"/>
      <c r="O48" s="90"/>
      <c r="P48" s="99"/>
      <c r="Q48" s="100"/>
      <c r="R48" s="87"/>
      <c r="S48" s="100"/>
      <c r="T48" s="87"/>
      <c r="U48" s="100"/>
      <c r="V48" s="87"/>
    </row>
  </sheetData>
  <autoFilter ref="A4:V48" xr:uid="{8A692D3B-F9B3-4EC7-8B57-60ABE3EC43B6}"/>
  <mergeCells count="404">
    <mergeCell ref="A3:B3"/>
    <mergeCell ref="O3:P3"/>
    <mergeCell ref="Q3:R3"/>
    <mergeCell ref="S3:T3"/>
    <mergeCell ref="U3:V3"/>
    <mergeCell ref="E3:G3"/>
    <mergeCell ref="H3:J3"/>
    <mergeCell ref="K3:M3"/>
    <mergeCell ref="R5:R6"/>
    <mergeCell ref="S5:S6"/>
    <mergeCell ref="T5:T6"/>
    <mergeCell ref="U5:U6"/>
    <mergeCell ref="A5:A8"/>
    <mergeCell ref="B5:B6"/>
    <mergeCell ref="E5:E6"/>
    <mergeCell ref="F5:F6"/>
    <mergeCell ref="G5:G6"/>
    <mergeCell ref="H5:H6"/>
    <mergeCell ref="I5:I6"/>
    <mergeCell ref="J5:J6"/>
    <mergeCell ref="K5:K6"/>
    <mergeCell ref="A9:A12"/>
    <mergeCell ref="B9:B10"/>
    <mergeCell ref="E9:E10"/>
    <mergeCell ref="F9:F10"/>
    <mergeCell ref="G9:G10"/>
    <mergeCell ref="H9:H10"/>
    <mergeCell ref="I9:I10"/>
    <mergeCell ref="J9:J10"/>
    <mergeCell ref="K9:K10"/>
    <mergeCell ref="V5:V6"/>
    <mergeCell ref="B7:B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P7:P8"/>
    <mergeCell ref="Q7:Q8"/>
    <mergeCell ref="R7:R8"/>
    <mergeCell ref="S7:S8"/>
    <mergeCell ref="T7:T8"/>
    <mergeCell ref="U7:U8"/>
    <mergeCell ref="V7:V8"/>
    <mergeCell ref="L5:L6"/>
    <mergeCell ref="M5:M6"/>
    <mergeCell ref="O5:O8"/>
    <mergeCell ref="P5:P6"/>
    <mergeCell ref="Q5:Q6"/>
    <mergeCell ref="V9:V10"/>
    <mergeCell ref="B11:B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P11:P12"/>
    <mergeCell ref="Q11:Q12"/>
    <mergeCell ref="R11:R12"/>
    <mergeCell ref="S11:S12"/>
    <mergeCell ref="T11:T12"/>
    <mergeCell ref="U11:U12"/>
    <mergeCell ref="V11:V12"/>
    <mergeCell ref="L9:L10"/>
    <mergeCell ref="M9:M10"/>
    <mergeCell ref="O9:O12"/>
    <mergeCell ref="P9:P10"/>
    <mergeCell ref="Q9:Q10"/>
    <mergeCell ref="R9:R10"/>
    <mergeCell ref="S9:S10"/>
    <mergeCell ref="T9:T10"/>
    <mergeCell ref="U9:U10"/>
    <mergeCell ref="M13:M14"/>
    <mergeCell ref="O13:O16"/>
    <mergeCell ref="P13:P14"/>
    <mergeCell ref="Q13:Q14"/>
    <mergeCell ref="R13:R14"/>
    <mergeCell ref="S13:S14"/>
    <mergeCell ref="T13:T14"/>
    <mergeCell ref="U13:U14"/>
    <mergeCell ref="A13:A16"/>
    <mergeCell ref="B13:B14"/>
    <mergeCell ref="E13:E14"/>
    <mergeCell ref="F13:F14"/>
    <mergeCell ref="G13:G14"/>
    <mergeCell ref="H13:H14"/>
    <mergeCell ref="I13:I14"/>
    <mergeCell ref="J13:J14"/>
    <mergeCell ref="K13:K14"/>
    <mergeCell ref="R17:R18"/>
    <mergeCell ref="S17:S18"/>
    <mergeCell ref="T17:T18"/>
    <mergeCell ref="U17:U18"/>
    <mergeCell ref="A17:A20"/>
    <mergeCell ref="B17:B18"/>
    <mergeCell ref="E17:E18"/>
    <mergeCell ref="F17:F18"/>
    <mergeCell ref="G17:G18"/>
    <mergeCell ref="H17:H18"/>
    <mergeCell ref="I17:I18"/>
    <mergeCell ref="J17:J18"/>
    <mergeCell ref="K17:K18"/>
    <mergeCell ref="V13:V14"/>
    <mergeCell ref="B15:B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P15:P16"/>
    <mergeCell ref="Q15:Q16"/>
    <mergeCell ref="R15:R16"/>
    <mergeCell ref="S15:S16"/>
    <mergeCell ref="T15:T16"/>
    <mergeCell ref="U15:U16"/>
    <mergeCell ref="V15:V16"/>
    <mergeCell ref="L13:L14"/>
    <mergeCell ref="A21:A24"/>
    <mergeCell ref="B21:B22"/>
    <mergeCell ref="E21:E22"/>
    <mergeCell ref="F21:F22"/>
    <mergeCell ref="G21:G22"/>
    <mergeCell ref="H21:H22"/>
    <mergeCell ref="I21:I22"/>
    <mergeCell ref="J21:J22"/>
    <mergeCell ref="K21:K22"/>
    <mergeCell ref="V17:V18"/>
    <mergeCell ref="B19:B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P19:P20"/>
    <mergeCell ref="Q19:Q20"/>
    <mergeCell ref="R19:R20"/>
    <mergeCell ref="S19:S20"/>
    <mergeCell ref="T19:T20"/>
    <mergeCell ref="U19:U20"/>
    <mergeCell ref="V19:V20"/>
    <mergeCell ref="L17:L18"/>
    <mergeCell ref="M17:M18"/>
    <mergeCell ref="O17:O20"/>
    <mergeCell ref="P17:P18"/>
    <mergeCell ref="Q17:Q18"/>
    <mergeCell ref="V21:V22"/>
    <mergeCell ref="B23:B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P23:P24"/>
    <mergeCell ref="Q23:Q24"/>
    <mergeCell ref="R23:R24"/>
    <mergeCell ref="S23:S24"/>
    <mergeCell ref="T23:T24"/>
    <mergeCell ref="U23:U24"/>
    <mergeCell ref="V23:V24"/>
    <mergeCell ref="L21:L22"/>
    <mergeCell ref="M21:M22"/>
    <mergeCell ref="O21:O24"/>
    <mergeCell ref="P21:P22"/>
    <mergeCell ref="Q21:Q22"/>
    <mergeCell ref="R21:R22"/>
    <mergeCell ref="S21:S22"/>
    <mergeCell ref="T21:T22"/>
    <mergeCell ref="U21:U22"/>
    <mergeCell ref="M25:M26"/>
    <mergeCell ref="O25:O28"/>
    <mergeCell ref="P25:P26"/>
    <mergeCell ref="Q25:Q26"/>
    <mergeCell ref="R25:R26"/>
    <mergeCell ref="S25:S26"/>
    <mergeCell ref="T25:T26"/>
    <mergeCell ref="U25:U26"/>
    <mergeCell ref="A25:A28"/>
    <mergeCell ref="B25:B26"/>
    <mergeCell ref="E25:E26"/>
    <mergeCell ref="F25:F26"/>
    <mergeCell ref="G25:G26"/>
    <mergeCell ref="H25:H26"/>
    <mergeCell ref="I25:I26"/>
    <mergeCell ref="J25:J26"/>
    <mergeCell ref="K25:K26"/>
    <mergeCell ref="R29:R30"/>
    <mergeCell ref="S29:S30"/>
    <mergeCell ref="T29:T30"/>
    <mergeCell ref="U29:U30"/>
    <mergeCell ref="A29:A32"/>
    <mergeCell ref="B29:B30"/>
    <mergeCell ref="E29:E30"/>
    <mergeCell ref="F29:F30"/>
    <mergeCell ref="G29:G30"/>
    <mergeCell ref="H29:H30"/>
    <mergeCell ref="I29:I30"/>
    <mergeCell ref="J29:J30"/>
    <mergeCell ref="K29:K30"/>
    <mergeCell ref="V25:V26"/>
    <mergeCell ref="B27:B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P27:P28"/>
    <mergeCell ref="Q27:Q28"/>
    <mergeCell ref="R27:R28"/>
    <mergeCell ref="S27:S28"/>
    <mergeCell ref="T27:T28"/>
    <mergeCell ref="U27:U28"/>
    <mergeCell ref="V27:V28"/>
    <mergeCell ref="L25:L26"/>
    <mergeCell ref="A33:A36"/>
    <mergeCell ref="B33:B34"/>
    <mergeCell ref="E33:E34"/>
    <mergeCell ref="F33:F34"/>
    <mergeCell ref="G33:G34"/>
    <mergeCell ref="H33:H34"/>
    <mergeCell ref="I33:I34"/>
    <mergeCell ref="J33:J34"/>
    <mergeCell ref="K33:K34"/>
    <mergeCell ref="V29:V30"/>
    <mergeCell ref="B31:B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P31:P32"/>
    <mergeCell ref="Q31:Q32"/>
    <mergeCell ref="R31:R32"/>
    <mergeCell ref="S31:S32"/>
    <mergeCell ref="T31:T32"/>
    <mergeCell ref="U31:U32"/>
    <mergeCell ref="V31:V32"/>
    <mergeCell ref="L29:L30"/>
    <mergeCell ref="M29:M30"/>
    <mergeCell ref="O29:O32"/>
    <mergeCell ref="P29:P30"/>
    <mergeCell ref="Q29:Q30"/>
    <mergeCell ref="V33:V34"/>
    <mergeCell ref="B35:B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P35:P36"/>
    <mergeCell ref="Q35:Q36"/>
    <mergeCell ref="R35:R36"/>
    <mergeCell ref="S35:S36"/>
    <mergeCell ref="T35:T36"/>
    <mergeCell ref="U35:U36"/>
    <mergeCell ref="V35:V36"/>
    <mergeCell ref="L33:L34"/>
    <mergeCell ref="M33:M34"/>
    <mergeCell ref="O33:O36"/>
    <mergeCell ref="P33:P34"/>
    <mergeCell ref="Q33:Q34"/>
    <mergeCell ref="R33:R34"/>
    <mergeCell ref="S33:S34"/>
    <mergeCell ref="T33:T34"/>
    <mergeCell ref="U33:U34"/>
    <mergeCell ref="M37:M38"/>
    <mergeCell ref="O37:O40"/>
    <mergeCell ref="P37:P38"/>
    <mergeCell ref="Q37:Q38"/>
    <mergeCell ref="R37:R38"/>
    <mergeCell ref="S37:S38"/>
    <mergeCell ref="T37:T38"/>
    <mergeCell ref="U37:U38"/>
    <mergeCell ref="A37:A40"/>
    <mergeCell ref="B37:B38"/>
    <mergeCell ref="E37:E38"/>
    <mergeCell ref="F37:F38"/>
    <mergeCell ref="G37:G38"/>
    <mergeCell ref="H37:H38"/>
    <mergeCell ref="I37:I38"/>
    <mergeCell ref="J37:J38"/>
    <mergeCell ref="K37:K38"/>
    <mergeCell ref="R41:R42"/>
    <mergeCell ref="S41:S42"/>
    <mergeCell ref="T41:T42"/>
    <mergeCell ref="U41:U42"/>
    <mergeCell ref="A41:A44"/>
    <mergeCell ref="B41:B42"/>
    <mergeCell ref="E41:E42"/>
    <mergeCell ref="F41:F42"/>
    <mergeCell ref="G41:G42"/>
    <mergeCell ref="H41:H42"/>
    <mergeCell ref="I41:I42"/>
    <mergeCell ref="J41:J42"/>
    <mergeCell ref="K41:K42"/>
    <mergeCell ref="V37:V38"/>
    <mergeCell ref="B39:B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P39:P40"/>
    <mergeCell ref="Q39:Q40"/>
    <mergeCell ref="R39:R40"/>
    <mergeCell ref="S39:S40"/>
    <mergeCell ref="T39:T40"/>
    <mergeCell ref="U39:U40"/>
    <mergeCell ref="V39:V40"/>
    <mergeCell ref="L37:L38"/>
    <mergeCell ref="A45:A48"/>
    <mergeCell ref="B45:B46"/>
    <mergeCell ref="E45:E46"/>
    <mergeCell ref="F45:F46"/>
    <mergeCell ref="G45:G46"/>
    <mergeCell ref="H45:H46"/>
    <mergeCell ref="I45:I46"/>
    <mergeCell ref="J45:J46"/>
    <mergeCell ref="K45:K46"/>
    <mergeCell ref="V41:V42"/>
    <mergeCell ref="B43:B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P43:P44"/>
    <mergeCell ref="Q43:Q44"/>
    <mergeCell ref="R43:R44"/>
    <mergeCell ref="S43:S44"/>
    <mergeCell ref="T43:T44"/>
    <mergeCell ref="U43:U44"/>
    <mergeCell ref="V43:V44"/>
    <mergeCell ref="L41:L42"/>
    <mergeCell ref="M41:M42"/>
    <mergeCell ref="O41:O44"/>
    <mergeCell ref="P41:P42"/>
    <mergeCell ref="Q41:Q42"/>
    <mergeCell ref="V45:V46"/>
    <mergeCell ref="B47:B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P47:P48"/>
    <mergeCell ref="Q47:Q48"/>
    <mergeCell ref="R47:R48"/>
    <mergeCell ref="S47:S48"/>
    <mergeCell ref="T47:T48"/>
    <mergeCell ref="U47:U48"/>
    <mergeCell ref="V47:V48"/>
    <mergeCell ref="L45:L46"/>
    <mergeCell ref="M45:M46"/>
    <mergeCell ref="O45:O48"/>
    <mergeCell ref="P45:P46"/>
    <mergeCell ref="Q45:Q46"/>
    <mergeCell ref="R45:R46"/>
    <mergeCell ref="S45:S46"/>
    <mergeCell ref="T45:T46"/>
    <mergeCell ref="U45:U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C4A3-1AEC-4159-A9D6-891A7FB6B2C8}">
  <dimension ref="A1:L27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:C1048576"/>
    </sheetView>
  </sheetViews>
  <sheetFormatPr defaultColWidth="9.140625" defaultRowHeight="11.25" x14ac:dyDescent="0.2"/>
  <cols>
    <col min="1" max="1" width="26.42578125" style="6" customWidth="1"/>
    <col min="2" max="2" width="15" style="6" hidden="1" customWidth="1"/>
    <col min="3" max="3" width="14.28515625" style="6" hidden="1" customWidth="1"/>
    <col min="4" max="12" width="9.140625" style="38"/>
    <col min="13" max="16384" width="9.140625" style="6"/>
  </cols>
  <sheetData>
    <row r="1" spans="1:12" x14ac:dyDescent="0.2">
      <c r="A1" s="10" t="s">
        <v>17</v>
      </c>
      <c r="B1" s="15"/>
      <c r="C1" s="15"/>
      <c r="D1" s="123" t="s">
        <v>105</v>
      </c>
      <c r="E1" s="123"/>
      <c r="F1" s="123"/>
      <c r="G1" s="123"/>
      <c r="H1" s="123"/>
      <c r="I1" s="123"/>
      <c r="J1" s="123"/>
      <c r="K1" s="123"/>
      <c r="L1" s="123"/>
    </row>
    <row r="2" spans="1:12" x14ac:dyDescent="0.2">
      <c r="A2" s="11" t="s">
        <v>18</v>
      </c>
      <c r="B2" s="11"/>
      <c r="C2" s="11"/>
      <c r="D2" s="124" t="s">
        <v>45</v>
      </c>
      <c r="E2" s="125"/>
      <c r="F2" s="126"/>
      <c r="G2" s="124" t="s">
        <v>46</v>
      </c>
      <c r="H2" s="125"/>
      <c r="I2" s="126"/>
      <c r="J2" s="124" t="s">
        <v>30</v>
      </c>
      <c r="K2" s="125"/>
      <c r="L2" s="126"/>
    </row>
    <row r="3" spans="1:12" ht="22.5" x14ac:dyDescent="0.2">
      <c r="A3" s="8" t="s">
        <v>29</v>
      </c>
      <c r="B3" s="8" t="s">
        <v>34</v>
      </c>
      <c r="C3" s="8" t="s">
        <v>35</v>
      </c>
      <c r="D3" s="39" t="s">
        <v>31</v>
      </c>
      <c r="E3" s="39" t="s">
        <v>32</v>
      </c>
      <c r="F3" s="39" t="s">
        <v>33</v>
      </c>
      <c r="G3" s="39" t="s">
        <v>31</v>
      </c>
      <c r="H3" s="39" t="s">
        <v>32</v>
      </c>
      <c r="I3" s="39" t="s">
        <v>33</v>
      </c>
      <c r="J3" s="39" t="s">
        <v>31</v>
      </c>
      <c r="K3" s="39" t="s">
        <v>32</v>
      </c>
      <c r="L3" s="39" t="s">
        <v>33</v>
      </c>
    </row>
    <row r="4" spans="1:12" x14ac:dyDescent="0.2">
      <c r="A4" s="9" t="s">
        <v>54</v>
      </c>
      <c r="B4" s="9" t="s">
        <v>55</v>
      </c>
      <c r="C4" s="9" t="s">
        <v>56</v>
      </c>
      <c r="D4" s="78" t="s">
        <v>36</v>
      </c>
      <c r="E4" s="78">
        <v>0.25542441408444372</v>
      </c>
      <c r="F4" s="78">
        <v>0.48091932762693801</v>
      </c>
      <c r="G4" s="78" t="s">
        <v>36</v>
      </c>
      <c r="H4" s="78" t="s">
        <v>36</v>
      </c>
      <c r="I4" s="78" t="s">
        <v>36</v>
      </c>
      <c r="J4" s="78" t="s">
        <v>36</v>
      </c>
      <c r="K4" s="78" t="s">
        <v>36</v>
      </c>
      <c r="L4" s="78">
        <v>0.2931668305137709</v>
      </c>
    </row>
    <row r="5" spans="1:12" x14ac:dyDescent="0.2">
      <c r="A5" s="9" t="s">
        <v>57</v>
      </c>
      <c r="B5" s="9" t="s">
        <v>55</v>
      </c>
      <c r="C5" s="9" t="s">
        <v>56</v>
      </c>
      <c r="D5" s="78">
        <v>0.21299643194936491</v>
      </c>
      <c r="E5" s="78">
        <v>0.35186446772109481</v>
      </c>
      <c r="F5" s="78">
        <v>0.54294402902598327</v>
      </c>
      <c r="G5" s="78" t="s">
        <v>36</v>
      </c>
      <c r="H5" s="78" t="s">
        <v>36</v>
      </c>
      <c r="I5" s="78">
        <v>0.20259728676348354</v>
      </c>
      <c r="J5" s="78" t="s">
        <v>36</v>
      </c>
      <c r="K5" s="78" t="s">
        <v>36</v>
      </c>
      <c r="L5" s="78">
        <v>0.37603088665292883</v>
      </c>
    </row>
    <row r="6" spans="1:12" x14ac:dyDescent="0.2">
      <c r="A6" s="9" t="s">
        <v>58</v>
      </c>
      <c r="B6" s="9" t="s">
        <v>55</v>
      </c>
      <c r="C6" s="9" t="s">
        <v>56</v>
      </c>
      <c r="D6" s="78" t="s">
        <v>36</v>
      </c>
      <c r="E6" s="78" t="s">
        <v>36</v>
      </c>
      <c r="F6" s="78" t="s">
        <v>36</v>
      </c>
      <c r="G6" s="78" t="s">
        <v>36</v>
      </c>
      <c r="H6" s="78" t="s">
        <v>36</v>
      </c>
      <c r="I6" s="78" t="s">
        <v>36</v>
      </c>
      <c r="J6" s="78" t="s">
        <v>36</v>
      </c>
      <c r="K6" s="78" t="s">
        <v>36</v>
      </c>
      <c r="L6" s="78" t="s">
        <v>36</v>
      </c>
    </row>
    <row r="7" spans="1:12" x14ac:dyDescent="0.2">
      <c r="A7" s="9" t="s">
        <v>59</v>
      </c>
      <c r="B7" s="9" t="s">
        <v>60</v>
      </c>
      <c r="C7" s="9" t="s">
        <v>56</v>
      </c>
      <c r="D7" s="78" t="s">
        <v>36</v>
      </c>
      <c r="E7" s="78">
        <v>0.28973439072040685</v>
      </c>
      <c r="F7" s="78">
        <v>0.49734404981934527</v>
      </c>
      <c r="G7" s="78" t="s">
        <v>36</v>
      </c>
      <c r="H7" s="78" t="s">
        <v>36</v>
      </c>
      <c r="I7" s="78" t="s">
        <v>36</v>
      </c>
      <c r="J7" s="78" t="s">
        <v>36</v>
      </c>
      <c r="K7" s="78" t="s">
        <v>36</v>
      </c>
      <c r="L7" s="78">
        <v>0.30750671027378751</v>
      </c>
    </row>
    <row r="8" spans="1:12" x14ac:dyDescent="0.2">
      <c r="A8" s="9" t="s">
        <v>61</v>
      </c>
      <c r="B8" s="9" t="s">
        <v>60</v>
      </c>
      <c r="C8" s="9" t="s">
        <v>56</v>
      </c>
      <c r="D8" s="78" t="s">
        <v>36</v>
      </c>
      <c r="E8" s="78">
        <v>0.18039510401586656</v>
      </c>
      <c r="F8" s="78">
        <v>0.4228412177624008</v>
      </c>
      <c r="G8" s="78" t="s">
        <v>36</v>
      </c>
      <c r="H8" s="78" t="s">
        <v>36</v>
      </c>
      <c r="I8" s="78" t="s">
        <v>36</v>
      </c>
      <c r="J8" s="78" t="s">
        <v>36</v>
      </c>
      <c r="K8" s="78" t="s">
        <v>36</v>
      </c>
      <c r="L8" s="78">
        <v>0.20233566424683291</v>
      </c>
    </row>
    <row r="9" spans="1:12" x14ac:dyDescent="0.2">
      <c r="A9" s="9" t="s">
        <v>62</v>
      </c>
      <c r="B9" s="9" t="s">
        <v>60</v>
      </c>
      <c r="C9" s="9" t="s">
        <v>56</v>
      </c>
      <c r="D9" s="78" t="s">
        <v>36</v>
      </c>
      <c r="E9" s="78" t="s">
        <v>36</v>
      </c>
      <c r="F9" s="78">
        <v>0.34677186200186016</v>
      </c>
      <c r="G9" s="78" t="s">
        <v>36</v>
      </c>
      <c r="H9" s="78" t="s">
        <v>36</v>
      </c>
      <c r="I9" s="78" t="s">
        <v>36</v>
      </c>
      <c r="J9" s="78" t="s">
        <v>36</v>
      </c>
      <c r="K9" s="78" t="s">
        <v>36</v>
      </c>
      <c r="L9" s="78" t="s">
        <v>36</v>
      </c>
    </row>
    <row r="10" spans="1:12" x14ac:dyDescent="0.2">
      <c r="A10" s="9" t="s">
        <v>63</v>
      </c>
      <c r="B10" s="9" t="s">
        <v>60</v>
      </c>
      <c r="C10" s="9" t="s">
        <v>56</v>
      </c>
      <c r="D10" s="78" t="s">
        <v>36</v>
      </c>
      <c r="E10" s="78" t="s">
        <v>36</v>
      </c>
      <c r="F10" s="78" t="s">
        <v>36</v>
      </c>
      <c r="G10" s="78" t="s">
        <v>36</v>
      </c>
      <c r="H10" s="78" t="s">
        <v>36</v>
      </c>
      <c r="I10" s="78" t="s">
        <v>36</v>
      </c>
      <c r="J10" s="78" t="s">
        <v>36</v>
      </c>
      <c r="K10" s="78" t="s">
        <v>36</v>
      </c>
      <c r="L10" s="78" t="s">
        <v>36</v>
      </c>
    </row>
    <row r="11" spans="1:12" x14ac:dyDescent="0.2">
      <c r="A11" s="9" t="s">
        <v>64</v>
      </c>
      <c r="B11" s="9" t="s">
        <v>60</v>
      </c>
      <c r="C11" s="9" t="s">
        <v>56</v>
      </c>
      <c r="D11" s="78">
        <v>0.29136085922358634</v>
      </c>
      <c r="E11" s="78">
        <v>0.41545409817647538</v>
      </c>
      <c r="F11" s="78">
        <v>0.58281179064178168</v>
      </c>
      <c r="G11" s="78" t="s">
        <v>36</v>
      </c>
      <c r="H11" s="78" t="s">
        <v>36</v>
      </c>
      <c r="I11" s="78">
        <v>0.27751410741763582</v>
      </c>
      <c r="J11" s="78" t="s">
        <v>36</v>
      </c>
      <c r="K11" s="78">
        <v>0.19187686280805616</v>
      </c>
      <c r="L11" s="78">
        <v>0.42790618960225657</v>
      </c>
    </row>
    <row r="12" spans="1:12" x14ac:dyDescent="0.2">
      <c r="A12" s="9" t="s">
        <v>65</v>
      </c>
      <c r="B12" s="9" t="s">
        <v>55</v>
      </c>
      <c r="C12" s="9" t="s">
        <v>56</v>
      </c>
      <c r="D12" s="78" t="s">
        <v>36</v>
      </c>
      <c r="E12" s="78">
        <v>0.22311465824068211</v>
      </c>
      <c r="F12" s="78">
        <v>0.46409256684846395</v>
      </c>
      <c r="G12" s="78" t="s">
        <v>36</v>
      </c>
      <c r="H12" s="78" t="s">
        <v>36</v>
      </c>
      <c r="I12" s="78" t="s">
        <v>36</v>
      </c>
      <c r="J12" s="78" t="s">
        <v>36</v>
      </c>
      <c r="K12" s="78" t="s">
        <v>36</v>
      </c>
      <c r="L12" s="78">
        <v>0.27601420684579325</v>
      </c>
    </row>
    <row r="13" spans="1:12" x14ac:dyDescent="0.2">
      <c r="A13" s="9" t="s">
        <v>66</v>
      </c>
      <c r="B13" s="9" t="s">
        <v>55</v>
      </c>
      <c r="C13" s="9" t="s">
        <v>56</v>
      </c>
      <c r="D13" s="78" t="s">
        <v>36</v>
      </c>
      <c r="E13" s="78" t="s">
        <v>36</v>
      </c>
      <c r="F13" s="78" t="s">
        <v>36</v>
      </c>
      <c r="G13" s="78" t="s">
        <v>36</v>
      </c>
      <c r="H13" s="78" t="s">
        <v>36</v>
      </c>
      <c r="I13" s="78" t="s">
        <v>36</v>
      </c>
      <c r="J13" s="78" t="s">
        <v>36</v>
      </c>
      <c r="K13" s="78" t="s">
        <v>36</v>
      </c>
      <c r="L13" s="78" t="s">
        <v>36</v>
      </c>
    </row>
    <row r="14" spans="1:12" x14ac:dyDescent="0.2">
      <c r="A14" s="9" t="s">
        <v>67</v>
      </c>
      <c r="B14" s="9" t="s">
        <v>55</v>
      </c>
      <c r="C14" s="9" t="s">
        <v>56</v>
      </c>
      <c r="D14" s="78" t="s">
        <v>36</v>
      </c>
      <c r="E14" s="78" t="s">
        <v>36</v>
      </c>
      <c r="F14" s="78" t="s">
        <v>36</v>
      </c>
      <c r="G14" s="78" t="s">
        <v>36</v>
      </c>
      <c r="H14" s="78" t="s">
        <v>36</v>
      </c>
      <c r="I14" s="78" t="s">
        <v>36</v>
      </c>
      <c r="J14" s="78" t="s">
        <v>36</v>
      </c>
      <c r="K14" s="78" t="s">
        <v>36</v>
      </c>
      <c r="L14" s="78" t="s">
        <v>36</v>
      </c>
    </row>
    <row r="15" spans="1:12" x14ac:dyDescent="0.2">
      <c r="A15" s="9" t="s">
        <v>68</v>
      </c>
      <c r="B15" s="9" t="s">
        <v>55</v>
      </c>
      <c r="C15" s="9" t="s">
        <v>56</v>
      </c>
      <c r="D15" s="78" t="s">
        <v>36</v>
      </c>
      <c r="E15" s="78" t="s">
        <v>36</v>
      </c>
      <c r="F15" s="78" t="s">
        <v>36</v>
      </c>
      <c r="G15" s="78" t="s">
        <v>36</v>
      </c>
      <c r="H15" s="78" t="s">
        <v>36</v>
      </c>
      <c r="I15" s="78" t="s">
        <v>36</v>
      </c>
      <c r="J15" s="78" t="s">
        <v>36</v>
      </c>
      <c r="K15" s="78" t="s">
        <v>36</v>
      </c>
      <c r="L15" s="78" t="s">
        <v>36</v>
      </c>
    </row>
    <row r="16" spans="1:12" x14ac:dyDescent="0.2">
      <c r="A16" s="9" t="s">
        <v>69</v>
      </c>
      <c r="B16" s="9" t="s">
        <v>70</v>
      </c>
      <c r="C16" s="9" t="s">
        <v>56</v>
      </c>
      <c r="D16" s="78" t="s">
        <v>36</v>
      </c>
      <c r="E16" s="78" t="s">
        <v>36</v>
      </c>
      <c r="F16" s="78" t="s">
        <v>36</v>
      </c>
      <c r="G16" s="78" t="s">
        <v>36</v>
      </c>
      <c r="H16" s="78" t="s">
        <v>36</v>
      </c>
      <c r="I16" s="78" t="s">
        <v>36</v>
      </c>
      <c r="J16" s="78" t="s">
        <v>36</v>
      </c>
      <c r="K16" s="78" t="s">
        <v>36</v>
      </c>
      <c r="L16" s="78" t="s">
        <v>36</v>
      </c>
    </row>
    <row r="17" spans="1:12" x14ac:dyDescent="0.2">
      <c r="A17" s="9" t="s">
        <v>71</v>
      </c>
      <c r="B17" s="9" t="s">
        <v>70</v>
      </c>
      <c r="C17" s="9" t="s">
        <v>56</v>
      </c>
      <c r="D17" s="78" t="s">
        <v>36</v>
      </c>
      <c r="E17" s="78" t="s">
        <v>36</v>
      </c>
      <c r="F17" s="78" t="s">
        <v>36</v>
      </c>
      <c r="G17" s="78" t="s">
        <v>36</v>
      </c>
      <c r="H17" s="78" t="s">
        <v>36</v>
      </c>
      <c r="I17" s="78" t="s">
        <v>36</v>
      </c>
      <c r="J17" s="78" t="s">
        <v>36</v>
      </c>
      <c r="K17" s="78" t="s">
        <v>36</v>
      </c>
      <c r="L17" s="78" t="s">
        <v>36</v>
      </c>
    </row>
    <row r="18" spans="1:12" x14ac:dyDescent="0.2">
      <c r="A18" s="9" t="s">
        <v>72</v>
      </c>
      <c r="B18" s="9" t="s">
        <v>70</v>
      </c>
      <c r="C18" s="9" t="s">
        <v>56</v>
      </c>
      <c r="D18" s="78" t="s">
        <v>36</v>
      </c>
      <c r="E18" s="78" t="s">
        <v>36</v>
      </c>
      <c r="F18" s="78" t="s">
        <v>36</v>
      </c>
      <c r="G18" s="78" t="s">
        <v>36</v>
      </c>
      <c r="H18" s="78" t="s">
        <v>36</v>
      </c>
      <c r="I18" s="78" t="s">
        <v>36</v>
      </c>
      <c r="J18" s="78" t="s">
        <v>36</v>
      </c>
      <c r="K18" s="78" t="s">
        <v>36</v>
      </c>
      <c r="L18" s="78" t="s">
        <v>36</v>
      </c>
    </row>
    <row r="19" spans="1:12" x14ac:dyDescent="0.2">
      <c r="A19" s="9" t="s">
        <v>73</v>
      </c>
      <c r="B19" s="9" t="s">
        <v>70</v>
      </c>
      <c r="C19" s="9" t="s">
        <v>56</v>
      </c>
      <c r="D19" s="78" t="s">
        <v>36</v>
      </c>
      <c r="E19" s="78" t="s">
        <v>36</v>
      </c>
      <c r="F19" s="78" t="s">
        <v>36</v>
      </c>
      <c r="G19" s="78" t="s">
        <v>36</v>
      </c>
      <c r="H19" s="78" t="s">
        <v>36</v>
      </c>
      <c r="I19" s="78" t="s">
        <v>36</v>
      </c>
      <c r="J19" s="78" t="s">
        <v>36</v>
      </c>
      <c r="K19" s="78" t="s">
        <v>36</v>
      </c>
      <c r="L19" s="78" t="s">
        <v>36</v>
      </c>
    </row>
    <row r="20" spans="1:12" x14ac:dyDescent="0.2">
      <c r="A20" s="9" t="s">
        <v>74</v>
      </c>
      <c r="B20" s="9" t="s">
        <v>60</v>
      </c>
      <c r="C20" s="9" t="s">
        <v>56</v>
      </c>
      <c r="D20" s="78" t="s">
        <v>36</v>
      </c>
      <c r="E20" s="78" t="s">
        <v>36</v>
      </c>
      <c r="F20" s="78" t="s">
        <v>36</v>
      </c>
      <c r="G20" s="78" t="s">
        <v>36</v>
      </c>
      <c r="H20" s="78" t="s">
        <v>36</v>
      </c>
      <c r="I20" s="78" t="s">
        <v>36</v>
      </c>
      <c r="J20" s="78" t="s">
        <v>36</v>
      </c>
      <c r="K20" s="78" t="s">
        <v>36</v>
      </c>
      <c r="L20" s="78" t="s">
        <v>36</v>
      </c>
    </row>
    <row r="21" spans="1:12" x14ac:dyDescent="0.2">
      <c r="A21" s="9" t="s">
        <v>75</v>
      </c>
      <c r="B21" s="9" t="s">
        <v>60</v>
      </c>
      <c r="C21" s="9" t="s">
        <v>56</v>
      </c>
      <c r="D21" s="78" t="s">
        <v>36</v>
      </c>
      <c r="E21" s="78" t="s">
        <v>36</v>
      </c>
      <c r="F21" s="78" t="s">
        <v>36</v>
      </c>
      <c r="G21" s="78" t="s">
        <v>36</v>
      </c>
      <c r="H21" s="78" t="s">
        <v>36</v>
      </c>
      <c r="I21" s="78" t="s">
        <v>36</v>
      </c>
      <c r="J21" s="78" t="s">
        <v>36</v>
      </c>
      <c r="K21" s="78" t="s">
        <v>36</v>
      </c>
      <c r="L21" s="78" t="s">
        <v>36</v>
      </c>
    </row>
    <row r="22" spans="1:12" x14ac:dyDescent="0.2">
      <c r="A22" s="9" t="s">
        <v>76</v>
      </c>
      <c r="B22" s="9" t="s">
        <v>60</v>
      </c>
      <c r="C22" s="9" t="s">
        <v>56</v>
      </c>
      <c r="D22" s="78" t="s">
        <v>36</v>
      </c>
      <c r="E22" s="78" t="s">
        <v>36</v>
      </c>
      <c r="F22" s="78" t="s">
        <v>36</v>
      </c>
      <c r="G22" s="78" t="s">
        <v>36</v>
      </c>
      <c r="H22" s="78" t="s">
        <v>36</v>
      </c>
      <c r="I22" s="78" t="s">
        <v>36</v>
      </c>
      <c r="J22" s="78" t="s">
        <v>36</v>
      </c>
      <c r="K22" s="78" t="s">
        <v>36</v>
      </c>
      <c r="L22" s="78" t="s">
        <v>36</v>
      </c>
    </row>
    <row r="23" spans="1:12" x14ac:dyDescent="0.2">
      <c r="A23" s="9" t="s">
        <v>77</v>
      </c>
      <c r="B23" s="9" t="s">
        <v>55</v>
      </c>
      <c r="C23" s="9" t="s">
        <v>56</v>
      </c>
      <c r="D23" s="78" t="s">
        <v>36</v>
      </c>
      <c r="E23" s="78" t="s">
        <v>36</v>
      </c>
      <c r="F23" s="78">
        <v>0.29307568916644666</v>
      </c>
      <c r="G23" s="78" t="s">
        <v>36</v>
      </c>
      <c r="H23" s="78" t="s">
        <v>36</v>
      </c>
      <c r="I23" s="78" t="s">
        <v>36</v>
      </c>
      <c r="J23" s="78" t="s">
        <v>36</v>
      </c>
      <c r="K23" s="78" t="s">
        <v>36</v>
      </c>
      <c r="L23" s="78" t="s">
        <v>36</v>
      </c>
    </row>
    <row r="24" spans="1:12" x14ac:dyDescent="0.2">
      <c r="A24" s="9" t="s">
        <v>78</v>
      </c>
      <c r="B24" s="9" t="s">
        <v>70</v>
      </c>
      <c r="C24" s="9" t="s">
        <v>56</v>
      </c>
      <c r="D24" s="78" t="s">
        <v>36</v>
      </c>
      <c r="E24" s="78" t="s">
        <v>36</v>
      </c>
      <c r="F24" s="78" t="s">
        <v>36</v>
      </c>
      <c r="G24" s="78" t="s">
        <v>36</v>
      </c>
      <c r="H24" s="78" t="s">
        <v>36</v>
      </c>
      <c r="I24" s="78" t="s">
        <v>36</v>
      </c>
      <c r="J24" s="78" t="s">
        <v>36</v>
      </c>
      <c r="K24" s="78" t="s">
        <v>36</v>
      </c>
      <c r="L24" s="78" t="s">
        <v>36</v>
      </c>
    </row>
    <row r="25" spans="1:12" x14ac:dyDescent="0.2">
      <c r="A25" s="9" t="s">
        <v>79</v>
      </c>
      <c r="B25" s="9" t="s">
        <v>70</v>
      </c>
      <c r="C25" s="9" t="s">
        <v>56</v>
      </c>
      <c r="D25" s="78" t="s">
        <v>36</v>
      </c>
      <c r="E25" s="78" t="s">
        <v>36</v>
      </c>
      <c r="F25" s="78" t="s">
        <v>36</v>
      </c>
      <c r="G25" s="78" t="s">
        <v>36</v>
      </c>
      <c r="H25" s="78" t="s">
        <v>36</v>
      </c>
      <c r="I25" s="78" t="s">
        <v>36</v>
      </c>
      <c r="J25" s="78" t="s">
        <v>36</v>
      </c>
      <c r="K25" s="78" t="s">
        <v>36</v>
      </c>
      <c r="L25" s="78" t="s">
        <v>36</v>
      </c>
    </row>
    <row r="26" spans="1:12" x14ac:dyDescent="0.2">
      <c r="A26" s="9" t="s">
        <v>80</v>
      </c>
      <c r="B26" s="9" t="s">
        <v>55</v>
      </c>
      <c r="C26" s="9" t="s">
        <v>56</v>
      </c>
      <c r="D26" s="78">
        <v>0.4</v>
      </c>
      <c r="E26" s="78">
        <v>0.4</v>
      </c>
      <c r="F26" s="78">
        <v>0.4</v>
      </c>
      <c r="G26" s="78" t="s">
        <v>36</v>
      </c>
      <c r="H26" s="78" t="s">
        <v>36</v>
      </c>
      <c r="I26" s="78">
        <v>0.35</v>
      </c>
      <c r="J26" s="78" t="s">
        <v>36</v>
      </c>
      <c r="K26" s="78">
        <v>0.25918711589899879</v>
      </c>
      <c r="L26" s="78">
        <v>0.48100729043135743</v>
      </c>
    </row>
    <row r="27" spans="1:12" x14ac:dyDescent="0.2">
      <c r="A27" s="9" t="s">
        <v>81</v>
      </c>
      <c r="B27" s="9" t="s">
        <v>55</v>
      </c>
      <c r="C27" s="9" t="s">
        <v>56</v>
      </c>
      <c r="D27" s="78" t="s">
        <v>36</v>
      </c>
      <c r="E27" s="78" t="s">
        <v>36</v>
      </c>
      <c r="F27" s="78">
        <v>0.19949695701745596</v>
      </c>
      <c r="G27" s="78" t="s">
        <v>36</v>
      </c>
      <c r="H27" s="78" t="s">
        <v>36</v>
      </c>
      <c r="I27" s="78" t="s">
        <v>36</v>
      </c>
      <c r="J27" s="78" t="s">
        <v>36</v>
      </c>
      <c r="K27" s="78" t="s">
        <v>36</v>
      </c>
      <c r="L27" s="78" t="s">
        <v>36</v>
      </c>
    </row>
  </sheetData>
  <autoFilter ref="A3:L27" xr:uid="{A71FC4A3-1AEC-4159-A9D6-891A7FB6B2C8}"/>
  <mergeCells count="4">
    <mergeCell ref="D1:L1"/>
    <mergeCell ref="D2:F2"/>
    <mergeCell ref="G2:I2"/>
    <mergeCell ref="J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F582-99CE-41AB-8614-D9BF25FBC255}">
  <dimension ref="A1:I27"/>
  <sheetViews>
    <sheetView workbookViewId="0">
      <selection activeCell="B1" sqref="B1:C1048576"/>
    </sheetView>
  </sheetViews>
  <sheetFormatPr defaultColWidth="9.140625" defaultRowHeight="11.25" x14ac:dyDescent="0.2"/>
  <cols>
    <col min="1" max="1" width="64.5703125" style="6" bestFit="1" customWidth="1"/>
    <col min="2" max="2" width="15" style="6" hidden="1" customWidth="1"/>
    <col min="3" max="3" width="14.28515625" style="6" hidden="1" customWidth="1"/>
    <col min="4" max="5" width="9.140625" style="6"/>
    <col min="6" max="6" width="10.140625" style="6" bestFit="1" customWidth="1"/>
    <col min="7" max="7" width="7.28515625" style="6" bestFit="1" customWidth="1"/>
    <col min="8" max="16384" width="9.140625" style="6"/>
  </cols>
  <sheetData>
    <row r="1" spans="1:9" x14ac:dyDescent="0.2">
      <c r="A1" s="11" t="s">
        <v>20</v>
      </c>
      <c r="B1" s="11"/>
      <c r="C1" s="11"/>
      <c r="D1" s="127" t="s">
        <v>22</v>
      </c>
      <c r="E1" s="127"/>
      <c r="F1" s="127"/>
      <c r="G1" s="127"/>
      <c r="H1" s="127"/>
      <c r="I1" s="127"/>
    </row>
    <row r="2" spans="1:9" x14ac:dyDescent="0.2">
      <c r="A2" s="11" t="s">
        <v>18</v>
      </c>
      <c r="B2" s="11"/>
      <c r="C2" s="51"/>
      <c r="D2" s="127" t="s">
        <v>23</v>
      </c>
      <c r="E2" s="128"/>
      <c r="F2" s="128"/>
      <c r="G2" s="128"/>
      <c r="H2" s="127" t="s">
        <v>24</v>
      </c>
      <c r="I2" s="128"/>
    </row>
    <row r="3" spans="1:9" x14ac:dyDescent="0.2">
      <c r="A3" s="14" t="s">
        <v>19</v>
      </c>
      <c r="B3" s="50" t="s">
        <v>34</v>
      </c>
      <c r="C3" s="52" t="s">
        <v>35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25</v>
      </c>
      <c r="I3" s="12" t="s">
        <v>26</v>
      </c>
    </row>
    <row r="4" spans="1:9" x14ac:dyDescent="0.2">
      <c r="A4" s="13" t="s">
        <v>54</v>
      </c>
      <c r="B4" s="6" t="s">
        <v>55</v>
      </c>
      <c r="C4" s="6" t="s">
        <v>56</v>
      </c>
      <c r="D4" s="40">
        <v>0.49999999999999994</v>
      </c>
      <c r="E4" s="40">
        <v>0.49999999999999994</v>
      </c>
      <c r="F4" s="40">
        <v>0.49999999999999994</v>
      </c>
      <c r="G4" s="40">
        <v>0.32</v>
      </c>
      <c r="H4" s="40">
        <v>0.6</v>
      </c>
      <c r="I4" s="40">
        <v>0.6</v>
      </c>
    </row>
    <row r="5" spans="1:9" x14ac:dyDescent="0.2">
      <c r="A5" s="13" t="s">
        <v>57</v>
      </c>
      <c r="B5" s="6" t="s">
        <v>55</v>
      </c>
      <c r="C5" s="6" t="s">
        <v>56</v>
      </c>
      <c r="D5" s="40">
        <v>0.49999999999999994</v>
      </c>
      <c r="E5" s="40">
        <v>0.49999999999999994</v>
      </c>
      <c r="F5" s="40">
        <v>0.49999999999999994</v>
      </c>
      <c r="G5" s="40">
        <v>0.32</v>
      </c>
      <c r="H5" s="40">
        <v>0.6</v>
      </c>
      <c r="I5" s="40">
        <v>0.6</v>
      </c>
    </row>
    <row r="6" spans="1:9" x14ac:dyDescent="0.2">
      <c r="A6" s="13" t="s">
        <v>58</v>
      </c>
      <c r="B6" s="6" t="s">
        <v>55</v>
      </c>
      <c r="C6" s="6" t="s">
        <v>56</v>
      </c>
      <c r="D6" s="40">
        <v>0.49999999999999994</v>
      </c>
      <c r="E6" s="40">
        <v>0.19602358677085718</v>
      </c>
      <c r="F6" s="40">
        <v>0.24896206344828475</v>
      </c>
      <c r="G6" s="40">
        <v>0.4</v>
      </c>
      <c r="H6" s="40">
        <v>0.6</v>
      </c>
      <c r="I6" s="40">
        <v>0.6</v>
      </c>
    </row>
    <row r="7" spans="1:9" x14ac:dyDescent="0.2">
      <c r="A7" s="13" t="s">
        <v>59</v>
      </c>
      <c r="B7" s="6" t="s">
        <v>60</v>
      </c>
      <c r="C7" s="6" t="s">
        <v>56</v>
      </c>
      <c r="D7" s="40">
        <v>0.49999999999999994</v>
      </c>
      <c r="E7" s="40">
        <v>0.49999999999999994</v>
      </c>
      <c r="F7" s="40">
        <v>0.49999999999999994</v>
      </c>
      <c r="G7" s="40">
        <v>0.49999999999999994</v>
      </c>
      <c r="H7" s="40">
        <v>0.6</v>
      </c>
      <c r="I7" s="40">
        <v>0.6</v>
      </c>
    </row>
    <row r="8" spans="1:9" x14ac:dyDescent="0.2">
      <c r="A8" s="13" t="s">
        <v>61</v>
      </c>
      <c r="B8" s="6" t="s">
        <v>60</v>
      </c>
      <c r="C8" s="6" t="s">
        <v>56</v>
      </c>
      <c r="D8" s="40">
        <v>0.49999999999999994</v>
      </c>
      <c r="E8" s="40">
        <v>0.35987279544649853</v>
      </c>
      <c r="F8" s="40">
        <v>0.4</v>
      </c>
      <c r="G8" s="40">
        <v>0.49999999999999994</v>
      </c>
      <c r="H8" s="40">
        <v>0.6</v>
      </c>
      <c r="I8" s="40">
        <v>0.6</v>
      </c>
    </row>
    <row r="9" spans="1:9" x14ac:dyDescent="0.2">
      <c r="A9" s="13" t="s">
        <v>62</v>
      </c>
      <c r="B9" s="6" t="s">
        <v>60</v>
      </c>
      <c r="C9" s="6" t="s">
        <v>56</v>
      </c>
      <c r="D9" s="40">
        <v>0.49999999999999994</v>
      </c>
      <c r="E9" s="40">
        <v>0.49999999999999994</v>
      </c>
      <c r="F9" s="40">
        <v>0.49999999999999994</v>
      </c>
      <c r="G9" s="40">
        <v>0.49999999999999994</v>
      </c>
      <c r="H9" s="40">
        <v>0.6</v>
      </c>
      <c r="I9" s="40">
        <v>0.6</v>
      </c>
    </row>
    <row r="10" spans="1:9" x14ac:dyDescent="0.2">
      <c r="A10" s="13" t="s">
        <v>63</v>
      </c>
      <c r="B10" s="6" t="s">
        <v>60</v>
      </c>
      <c r="C10" s="6" t="s">
        <v>56</v>
      </c>
      <c r="D10" s="40">
        <v>0.45158154721137911</v>
      </c>
      <c r="E10" s="40">
        <v>0</v>
      </c>
      <c r="F10" s="40">
        <v>5.9420636534552873E-3</v>
      </c>
      <c r="G10" s="40">
        <v>0.2180023973848465</v>
      </c>
      <c r="H10" s="40">
        <v>0.53964596536615961</v>
      </c>
      <c r="I10" s="40">
        <v>0.53964596536615961</v>
      </c>
    </row>
    <row r="11" spans="1:9" x14ac:dyDescent="0.2">
      <c r="A11" s="13" t="s">
        <v>64</v>
      </c>
      <c r="B11" s="6" t="s">
        <v>60</v>
      </c>
      <c r="C11" s="6" t="s">
        <v>56</v>
      </c>
      <c r="D11" s="40">
        <v>0.49999999999999994</v>
      </c>
      <c r="E11" s="40">
        <v>0.49999999999999994</v>
      </c>
      <c r="F11" s="40">
        <v>0.49999999999999994</v>
      </c>
      <c r="G11" s="40">
        <v>0.49999999999999994</v>
      </c>
      <c r="H11" s="40">
        <v>0.6</v>
      </c>
      <c r="I11" s="40">
        <v>0.6</v>
      </c>
    </row>
    <row r="12" spans="1:9" x14ac:dyDescent="0.2">
      <c r="A12" s="13" t="s">
        <v>65</v>
      </c>
      <c r="B12" s="6" t="s">
        <v>55</v>
      </c>
      <c r="C12" s="6" t="s">
        <v>56</v>
      </c>
      <c r="D12" s="40">
        <v>0.45</v>
      </c>
      <c r="E12" s="40">
        <v>0.2647131290702941</v>
      </c>
      <c r="F12" s="40">
        <v>0.27</v>
      </c>
      <c r="G12" s="40">
        <v>0.39</v>
      </c>
      <c r="H12" s="40">
        <v>0.6</v>
      </c>
      <c r="I12" s="40">
        <v>0.6</v>
      </c>
    </row>
    <row r="13" spans="1:9" x14ac:dyDescent="0.2">
      <c r="A13" s="13" t="s">
        <v>66</v>
      </c>
      <c r="B13" s="6" t="s">
        <v>55</v>
      </c>
      <c r="C13" s="6" t="s">
        <v>56</v>
      </c>
      <c r="D13" s="40">
        <v>0.49999999999999994</v>
      </c>
      <c r="E13" s="40">
        <v>0.13555686860112315</v>
      </c>
      <c r="F13" s="40">
        <v>0.15650973770635435</v>
      </c>
      <c r="G13" s="40">
        <v>0.37357329940113404</v>
      </c>
      <c r="H13" s="40">
        <v>0.52</v>
      </c>
      <c r="I13" s="40">
        <v>0.52</v>
      </c>
    </row>
    <row r="14" spans="1:9" x14ac:dyDescent="0.2">
      <c r="A14" s="13" t="s">
        <v>67</v>
      </c>
      <c r="B14" s="6" t="s">
        <v>55</v>
      </c>
      <c r="C14" s="6" t="s">
        <v>56</v>
      </c>
      <c r="D14" s="40">
        <v>0.45883309013597207</v>
      </c>
      <c r="E14" s="40">
        <v>0</v>
      </c>
      <c r="F14" s="40">
        <v>0</v>
      </c>
      <c r="G14" s="40">
        <v>0.18528247928265329</v>
      </c>
      <c r="H14" s="40">
        <v>0.34</v>
      </c>
      <c r="I14" s="40">
        <v>0.34</v>
      </c>
    </row>
    <row r="15" spans="1:9" x14ac:dyDescent="0.2">
      <c r="A15" s="13" t="s">
        <v>68</v>
      </c>
      <c r="B15" s="6" t="s">
        <v>55</v>
      </c>
      <c r="C15" s="6" t="s">
        <v>56</v>
      </c>
      <c r="D15" s="40">
        <v>8.2652446893302978E-2</v>
      </c>
      <c r="E15" s="40">
        <v>0</v>
      </c>
      <c r="F15" s="40">
        <v>0</v>
      </c>
      <c r="G15" s="40">
        <v>0</v>
      </c>
      <c r="H15" s="40">
        <v>0.13913704433012608</v>
      </c>
      <c r="I15" s="40">
        <v>0.13913704433012608</v>
      </c>
    </row>
    <row r="16" spans="1:9" x14ac:dyDescent="0.2">
      <c r="A16" s="13" t="s">
        <v>69</v>
      </c>
      <c r="B16" s="6" t="s">
        <v>70</v>
      </c>
      <c r="C16" s="6" t="s">
        <v>56</v>
      </c>
      <c r="D16" s="40">
        <v>0.30097054463131601</v>
      </c>
      <c r="E16" s="40">
        <v>0</v>
      </c>
      <c r="F16" s="40">
        <v>0</v>
      </c>
      <c r="G16" s="40">
        <v>0</v>
      </c>
      <c r="H16" s="40">
        <v>0.19999999999999996</v>
      </c>
      <c r="I16" s="40">
        <v>0.19999999999999996</v>
      </c>
    </row>
    <row r="17" spans="1:9" x14ac:dyDescent="0.2">
      <c r="A17" s="13" t="s">
        <v>71</v>
      </c>
      <c r="B17" s="6" t="s">
        <v>70</v>
      </c>
      <c r="C17" s="6" t="s">
        <v>56</v>
      </c>
      <c r="D17" s="40">
        <v>0.410904620548184</v>
      </c>
      <c r="E17" s="40">
        <v>0</v>
      </c>
      <c r="F17" s="40">
        <v>0</v>
      </c>
      <c r="G17" s="40">
        <v>8.6343199649111857E-2</v>
      </c>
      <c r="H17" s="40">
        <v>0.19999999999999996</v>
      </c>
      <c r="I17" s="40">
        <v>0.19999999999999996</v>
      </c>
    </row>
    <row r="18" spans="1:9" x14ac:dyDescent="0.2">
      <c r="A18" s="13" t="s">
        <v>72</v>
      </c>
      <c r="B18" s="6" t="s">
        <v>70</v>
      </c>
      <c r="C18" s="6" t="s">
        <v>56</v>
      </c>
      <c r="D18" s="40">
        <v>1.2808023455375461E-2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</row>
    <row r="19" spans="1:9" x14ac:dyDescent="0.2">
      <c r="A19" s="13" t="s">
        <v>73</v>
      </c>
      <c r="B19" s="6" t="s">
        <v>70</v>
      </c>
      <c r="C19" s="6" t="s">
        <v>56</v>
      </c>
      <c r="D19" s="40">
        <v>2.5794951961501833E-2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</row>
    <row r="20" spans="1:9" x14ac:dyDescent="0.2">
      <c r="A20" s="13" t="s">
        <v>74</v>
      </c>
      <c r="B20" s="6" t="s">
        <v>60</v>
      </c>
      <c r="C20" s="6" t="s">
        <v>56</v>
      </c>
      <c r="D20" s="40">
        <v>0.23499999999999999</v>
      </c>
      <c r="E20" s="40">
        <v>0.23499999999999999</v>
      </c>
      <c r="F20" s="40">
        <v>0.23499999999999999</v>
      </c>
      <c r="G20" s="40">
        <v>0.23499999999999999</v>
      </c>
      <c r="H20" s="40">
        <v>0.49999999999999994</v>
      </c>
      <c r="I20" s="40">
        <v>0.49999999999999994</v>
      </c>
    </row>
    <row r="21" spans="1:9" x14ac:dyDescent="0.2">
      <c r="A21" s="13" t="s">
        <v>75</v>
      </c>
      <c r="B21" s="6" t="s">
        <v>60</v>
      </c>
      <c r="C21" s="6" t="s">
        <v>56</v>
      </c>
      <c r="D21" s="40">
        <v>0.22777105995117652</v>
      </c>
      <c r="E21" s="40">
        <v>0</v>
      </c>
      <c r="F21" s="40">
        <v>0</v>
      </c>
      <c r="G21" s="40">
        <v>0</v>
      </c>
      <c r="H21" s="40">
        <v>0.29201255485404332</v>
      </c>
      <c r="I21" s="40">
        <v>0.29201255485404332</v>
      </c>
    </row>
    <row r="22" spans="1:9" x14ac:dyDescent="0.2">
      <c r="A22" s="13" t="s">
        <v>76</v>
      </c>
      <c r="B22" s="6" t="s">
        <v>60</v>
      </c>
      <c r="C22" s="6" t="s">
        <v>56</v>
      </c>
      <c r="D22" s="40">
        <v>0.31460384974205757</v>
      </c>
      <c r="E22" s="40">
        <v>0</v>
      </c>
      <c r="F22" s="40">
        <v>0</v>
      </c>
      <c r="G22" s="40">
        <v>2.022296314311689E-2</v>
      </c>
      <c r="H22" s="40">
        <v>0.29999999999999993</v>
      </c>
      <c r="I22" s="40">
        <v>0.29999999999999993</v>
      </c>
    </row>
    <row r="23" spans="1:9" x14ac:dyDescent="0.2">
      <c r="A23" s="13" t="s">
        <v>77</v>
      </c>
      <c r="B23" s="6" t="s">
        <v>55</v>
      </c>
      <c r="C23" s="6" t="s">
        <v>56</v>
      </c>
      <c r="D23" s="40">
        <v>0.49999999999999994</v>
      </c>
      <c r="E23" s="40">
        <v>3.9397844885400435E-2</v>
      </c>
      <c r="F23" s="40">
        <v>5.909753553397501E-2</v>
      </c>
      <c r="G23" s="40">
        <v>0.3072479857267546</v>
      </c>
      <c r="H23" s="40">
        <v>0.19999999999999996</v>
      </c>
      <c r="I23" s="40">
        <v>0.19999999999999996</v>
      </c>
    </row>
    <row r="24" spans="1:9" x14ac:dyDescent="0.2">
      <c r="A24" s="13" t="s">
        <v>78</v>
      </c>
      <c r="B24" s="6" t="s">
        <v>70</v>
      </c>
      <c r="C24" s="6" t="s">
        <v>56</v>
      </c>
      <c r="D24" s="40">
        <v>0.48256130507184197</v>
      </c>
      <c r="E24" s="40">
        <v>0</v>
      </c>
      <c r="F24" s="40">
        <v>0</v>
      </c>
      <c r="G24" s="40">
        <v>0.22841536476330593</v>
      </c>
      <c r="H24" s="40">
        <v>0.19999999999999996</v>
      </c>
      <c r="I24" s="40">
        <v>0.19999999999999996</v>
      </c>
    </row>
    <row r="25" spans="1:9" x14ac:dyDescent="0.2">
      <c r="A25" s="13" t="s">
        <v>79</v>
      </c>
      <c r="B25" s="6" t="s">
        <v>70</v>
      </c>
      <c r="C25" s="6" t="s">
        <v>56</v>
      </c>
      <c r="D25" s="40">
        <v>0.23817738670688848</v>
      </c>
      <c r="E25" s="40">
        <v>0</v>
      </c>
      <c r="F25" s="40">
        <v>0</v>
      </c>
      <c r="G25" s="40">
        <v>0</v>
      </c>
      <c r="H25" s="40">
        <v>0.19999999999999996</v>
      </c>
      <c r="I25" s="40">
        <v>0.19999999999999996</v>
      </c>
    </row>
    <row r="26" spans="1:9" x14ac:dyDescent="0.2">
      <c r="A26" s="13" t="s">
        <v>80</v>
      </c>
      <c r="B26" s="6" t="s">
        <v>55</v>
      </c>
      <c r="C26" s="6" t="s">
        <v>56</v>
      </c>
      <c r="D26" s="40">
        <v>0.38</v>
      </c>
      <c r="E26" s="40">
        <v>0.38</v>
      </c>
      <c r="F26" s="40">
        <v>0.38</v>
      </c>
      <c r="G26" s="40">
        <v>0.38</v>
      </c>
      <c r="H26" s="40">
        <v>0.6</v>
      </c>
      <c r="I26" s="40">
        <v>0.6</v>
      </c>
    </row>
    <row r="27" spans="1:9" x14ac:dyDescent="0.2">
      <c r="A27" s="13" t="s">
        <v>81</v>
      </c>
      <c r="B27" s="6" t="s">
        <v>55</v>
      </c>
      <c r="C27" s="6" t="s">
        <v>56</v>
      </c>
      <c r="D27" s="40">
        <v>0.49999999999999994</v>
      </c>
      <c r="E27" s="40">
        <v>0.22620324889886134</v>
      </c>
      <c r="F27" s="40">
        <v>0.28099463255671886</v>
      </c>
      <c r="G27" s="40">
        <v>0.42092201475962898</v>
      </c>
      <c r="H27" s="40">
        <v>0.6</v>
      </c>
      <c r="I27" s="40">
        <v>0.6</v>
      </c>
    </row>
  </sheetData>
  <autoFilter ref="A3:I27" xr:uid="{D9B5F582-99CE-41AB-8614-D9BF25FBC255}"/>
  <mergeCells count="3">
    <mergeCell ref="D1:I1"/>
    <mergeCell ref="D2:G2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F2B5-2DC3-470C-B6F5-8042E0550807}">
  <dimension ref="A1:H14"/>
  <sheetViews>
    <sheetView workbookViewId="0">
      <selection activeCell="C1" sqref="C1:D1048576"/>
    </sheetView>
  </sheetViews>
  <sheetFormatPr defaultColWidth="9.140625" defaultRowHeight="11.25" x14ac:dyDescent="0.2"/>
  <cols>
    <col min="1" max="1" width="28.28515625" style="43" bestFit="1" customWidth="1"/>
    <col min="2" max="2" width="9.140625" style="43"/>
    <col min="3" max="3" width="14.140625" style="43" hidden="1" customWidth="1"/>
    <col min="4" max="4" width="13.28515625" style="43" hidden="1" customWidth="1"/>
    <col min="5" max="7" width="9.140625" style="49"/>
    <col min="8" max="16384" width="9.140625" style="43"/>
  </cols>
  <sheetData>
    <row r="1" spans="1:8" x14ac:dyDescent="0.2">
      <c r="E1" s="129" t="s">
        <v>96</v>
      </c>
      <c r="F1" s="130"/>
      <c r="G1" s="130"/>
      <c r="H1" s="130"/>
    </row>
    <row r="2" spans="1:8" x14ac:dyDescent="0.2">
      <c r="A2" s="14" t="s">
        <v>19</v>
      </c>
      <c r="B2" s="44" t="s">
        <v>97</v>
      </c>
      <c r="C2" s="44" t="s">
        <v>34</v>
      </c>
      <c r="D2" s="44" t="s">
        <v>35</v>
      </c>
      <c r="E2" s="45" t="s">
        <v>10</v>
      </c>
      <c r="F2" s="45" t="s">
        <v>98</v>
      </c>
      <c r="G2" s="45" t="s">
        <v>99</v>
      </c>
      <c r="H2" s="45" t="s">
        <v>100</v>
      </c>
    </row>
    <row r="3" spans="1:8" x14ac:dyDescent="0.2">
      <c r="A3" s="13" t="s">
        <v>84</v>
      </c>
      <c r="B3" s="46" t="s">
        <v>6</v>
      </c>
      <c r="C3" s="46" t="s">
        <v>55</v>
      </c>
      <c r="D3" s="46" t="s">
        <v>56</v>
      </c>
      <c r="E3" s="47">
        <v>0.25</v>
      </c>
      <c r="F3" s="47">
        <v>0.25</v>
      </c>
      <c r="G3" s="47">
        <v>0.25</v>
      </c>
      <c r="H3" s="47">
        <v>0.25</v>
      </c>
    </row>
    <row r="4" spans="1:8" x14ac:dyDescent="0.2">
      <c r="A4" s="13" t="str">
        <f>A3</f>
        <v>KARNATAKA</v>
      </c>
      <c r="B4" s="46" t="s">
        <v>101</v>
      </c>
      <c r="C4" s="46" t="s">
        <v>55</v>
      </c>
      <c r="D4" s="46" t="s">
        <v>56</v>
      </c>
      <c r="E4" s="47">
        <v>0.23</v>
      </c>
      <c r="F4" s="47">
        <v>0.23</v>
      </c>
      <c r="G4" s="47">
        <v>0.23</v>
      </c>
      <c r="H4" s="47">
        <v>0.23</v>
      </c>
    </row>
    <row r="5" spans="1:8" x14ac:dyDescent="0.2">
      <c r="A5" s="13" t="str">
        <f t="shared" ref="A5" si="0">A4</f>
        <v>KARNATAKA</v>
      </c>
      <c r="B5" s="46" t="s">
        <v>102</v>
      </c>
      <c r="C5" s="46" t="s">
        <v>55</v>
      </c>
      <c r="D5" s="46" t="s">
        <v>56</v>
      </c>
      <c r="E5" s="47">
        <v>0.23</v>
      </c>
      <c r="F5" s="47">
        <v>0.23</v>
      </c>
      <c r="G5" s="47">
        <v>0.23</v>
      </c>
      <c r="H5" s="47">
        <v>0.23</v>
      </c>
    </row>
    <row r="6" spans="1:8" x14ac:dyDescent="0.2">
      <c r="A6" s="46" t="s">
        <v>59</v>
      </c>
      <c r="B6" s="46" t="s">
        <v>6</v>
      </c>
      <c r="C6" s="46" t="s">
        <v>60</v>
      </c>
      <c r="D6" s="46" t="s">
        <v>56</v>
      </c>
      <c r="E6" s="48">
        <v>0.25</v>
      </c>
      <c r="F6" s="48">
        <v>0.25</v>
      </c>
      <c r="G6" s="48">
        <v>0.25</v>
      </c>
      <c r="H6" s="48">
        <v>0.25</v>
      </c>
    </row>
    <row r="7" spans="1:8" x14ac:dyDescent="0.2">
      <c r="A7" s="46" t="s">
        <v>59</v>
      </c>
      <c r="B7" s="46" t="s">
        <v>101</v>
      </c>
      <c r="C7" s="46" t="s">
        <v>60</v>
      </c>
      <c r="D7" s="46" t="s">
        <v>56</v>
      </c>
      <c r="E7" s="48">
        <v>0.25</v>
      </c>
      <c r="F7" s="48">
        <v>0.25</v>
      </c>
      <c r="G7" s="48">
        <v>0.25</v>
      </c>
      <c r="H7" s="48">
        <v>0.25</v>
      </c>
    </row>
    <row r="8" spans="1:8" x14ac:dyDescent="0.2">
      <c r="A8" s="46" t="s">
        <v>59</v>
      </c>
      <c r="B8" s="46" t="s">
        <v>102</v>
      </c>
      <c r="C8" s="46" t="s">
        <v>60</v>
      </c>
      <c r="D8" s="46" t="s">
        <v>56</v>
      </c>
      <c r="E8" s="48">
        <v>0.25</v>
      </c>
      <c r="F8" s="48">
        <v>0.25</v>
      </c>
      <c r="G8" s="48">
        <v>0.25</v>
      </c>
      <c r="H8" s="48">
        <v>0.25</v>
      </c>
    </row>
    <row r="9" spans="1:8" x14ac:dyDescent="0.2">
      <c r="A9" s="46" t="s">
        <v>82</v>
      </c>
      <c r="B9" s="46" t="s">
        <v>6</v>
      </c>
      <c r="C9" s="46" t="s">
        <v>60</v>
      </c>
      <c r="D9" s="46" t="s">
        <v>56</v>
      </c>
      <c r="E9" s="48">
        <v>0.25</v>
      </c>
      <c r="F9" s="48">
        <v>0.25</v>
      </c>
      <c r="G9" s="48">
        <v>0.25</v>
      </c>
      <c r="H9" s="48">
        <v>0.25</v>
      </c>
    </row>
    <row r="10" spans="1:8" x14ac:dyDescent="0.2">
      <c r="A10" s="46" t="s">
        <v>82</v>
      </c>
      <c r="B10" s="46" t="s">
        <v>101</v>
      </c>
      <c r="C10" s="46" t="s">
        <v>60</v>
      </c>
      <c r="D10" s="46" t="s">
        <v>56</v>
      </c>
      <c r="E10" s="48">
        <v>0.25</v>
      </c>
      <c r="F10" s="48">
        <v>0.25</v>
      </c>
      <c r="G10" s="48">
        <v>0.25</v>
      </c>
      <c r="H10" s="48">
        <v>0.25</v>
      </c>
    </row>
    <row r="11" spans="1:8" x14ac:dyDescent="0.2">
      <c r="A11" s="46" t="s">
        <v>82</v>
      </c>
      <c r="B11" s="46" t="s">
        <v>102</v>
      </c>
      <c r="C11" s="46" t="s">
        <v>60</v>
      </c>
      <c r="D11" s="46" t="s">
        <v>56</v>
      </c>
      <c r="E11" s="48">
        <v>0.25</v>
      </c>
      <c r="F11" s="48">
        <v>0.25</v>
      </c>
      <c r="G11" s="48">
        <v>0.25</v>
      </c>
      <c r="H11" s="48">
        <v>0.25</v>
      </c>
    </row>
    <row r="12" spans="1:8" x14ac:dyDescent="0.2">
      <c r="A12" s="46" t="s">
        <v>83</v>
      </c>
      <c r="B12" s="46" t="s">
        <v>6</v>
      </c>
      <c r="C12" s="46" t="s">
        <v>60</v>
      </c>
      <c r="D12" s="46" t="s">
        <v>56</v>
      </c>
      <c r="E12" s="48">
        <v>0.25</v>
      </c>
      <c r="F12" s="48">
        <v>0.25</v>
      </c>
      <c r="G12" s="48">
        <v>0.25</v>
      </c>
      <c r="H12" s="48">
        <v>0.25</v>
      </c>
    </row>
    <row r="13" spans="1:8" x14ac:dyDescent="0.2">
      <c r="A13" s="46" t="s">
        <v>83</v>
      </c>
      <c r="B13" s="46" t="s">
        <v>101</v>
      </c>
      <c r="C13" s="46" t="s">
        <v>60</v>
      </c>
      <c r="D13" s="46" t="s">
        <v>56</v>
      </c>
      <c r="E13" s="48">
        <v>0.25</v>
      </c>
      <c r="F13" s="48">
        <v>0.25</v>
      </c>
      <c r="G13" s="48">
        <v>0.25</v>
      </c>
      <c r="H13" s="48">
        <v>0.25</v>
      </c>
    </row>
    <row r="14" spans="1:8" x14ac:dyDescent="0.2">
      <c r="A14" s="46" t="s">
        <v>83</v>
      </c>
      <c r="B14" s="46" t="s">
        <v>102</v>
      </c>
      <c r="C14" s="46" t="s">
        <v>60</v>
      </c>
      <c r="D14" s="46" t="s">
        <v>56</v>
      </c>
      <c r="E14" s="48">
        <v>0.25</v>
      </c>
      <c r="F14" s="48">
        <v>0.25</v>
      </c>
      <c r="G14" s="48">
        <v>0.25</v>
      </c>
      <c r="H14" s="48">
        <v>0.25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 TW_Comp and SAOD</vt:lpstr>
      <vt:lpstr>CV &lt;7.5T Comp &amp; SATP</vt:lpstr>
      <vt:lpstr>CV &gt;7.5T Comp &amp; SATP</vt:lpstr>
      <vt:lpstr>PC SATP</vt:lpstr>
      <vt:lpstr>TW SATP</vt:lpstr>
      <vt:lpstr>Misc D (Ex Tractor)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Katyayani</dc:creator>
  <cp:lastModifiedBy>Patel, Jay</cp:lastModifiedBy>
  <cp:lastPrinted>2025-02-18T08:40:27Z</cp:lastPrinted>
  <dcterms:created xsi:type="dcterms:W3CDTF">2024-08-01T09:15:28Z</dcterms:created>
  <dcterms:modified xsi:type="dcterms:W3CDTF">2025-11-25T07:50:58Z</dcterms:modified>
</cp:coreProperties>
</file>