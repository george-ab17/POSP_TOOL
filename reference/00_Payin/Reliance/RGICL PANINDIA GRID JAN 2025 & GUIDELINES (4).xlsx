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shrinithiinsure-my.sharepoint.com/personal/ss1_shrinithiinsure_com/Documents/00_Shrinithi Broking &amp; Capital &amp; Bunk/Broking - Business/2026/01_Jan_2026/00_Payin/Reliance/"/>
    </mc:Choice>
  </mc:AlternateContent>
  <xr:revisionPtr revIDLastSave="11" documentId="11_97BA698E9CAE1A5E5D55910FD6AEBE84F339E2A2" xr6:coauthVersionLast="47" xr6:coauthVersionMax="47" xr10:uidLastSave="{A02680D4-2E1F-4F2C-AE31-54BC7DDA027B}"/>
  <bookViews>
    <workbookView xWindow="-110" yWindow="-110" windowWidth="19420" windowHeight="10300" xr2:uid="{00000000-000D-0000-FFFF-FFFF00000000}"/>
  </bookViews>
  <sheets>
    <sheet name="JAN 26" sheetId="5" r:id="rId1"/>
    <sheet name="TW Scooter" sheetId="9" r:id="rId2"/>
    <sheet name="Private car" sheetId="10" r:id="rId3"/>
    <sheet name="Short terem taxi" sheetId="11" r:id="rId4"/>
    <sheet name="Guidelines" sheetId="12" r:id="rId5"/>
    <sheet name="Contest" sheetId="13" r:id="rId6"/>
    <sheet name="Sheet1" sheetId="7" state="hidden" r:id="rId7"/>
  </sheets>
  <definedNames>
    <definedName name="_xlnm._FilterDatabase" localSheetId="0" hidden="1">'JAN 26'!$B$4:$AV$76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" i="5" l="1"/>
  <c r="M40" i="5"/>
  <c r="O39" i="5"/>
  <c r="M39" i="5"/>
  <c r="O38" i="5"/>
  <c r="M38" i="5"/>
  <c r="O37" i="5"/>
  <c r="M37" i="5"/>
  <c r="O36" i="5"/>
  <c r="M36" i="5"/>
  <c r="O35" i="5"/>
  <c r="M35" i="5"/>
  <c r="O34" i="5"/>
  <c r="M34" i="5"/>
  <c r="O33" i="5"/>
  <c r="M33" i="5"/>
  <c r="O32" i="5"/>
  <c r="M32" i="5"/>
  <c r="O31" i="5"/>
  <c r="M31" i="5"/>
  <c r="O30" i="5"/>
  <c r="M30" i="5"/>
  <c r="O29" i="5"/>
  <c r="M29" i="5"/>
  <c r="O28" i="5"/>
  <c r="M28" i="5"/>
  <c r="O27" i="5"/>
  <c r="M27" i="5"/>
  <c r="O25" i="5"/>
  <c r="M25" i="5"/>
  <c r="O24" i="5"/>
  <c r="M24" i="5"/>
</calcChain>
</file>

<file path=xl/sharedStrings.xml><?xml version="1.0" encoding="utf-8"?>
<sst xmlns="http://schemas.openxmlformats.org/spreadsheetml/2006/main" count="337" uniqueCount="157">
  <si>
    <t>PO Grid for May'24 FY 25-26</t>
  </si>
  <si>
    <t>PO at ODD as per UW</t>
  </si>
  <si>
    <t xml:space="preserve">TATA / Maruti </t>
  </si>
  <si>
    <t>Other  (Mahindra &amp; AL-Below 2.5K) (TATA &amp; MARUTI -2K -2.5K</t>
  </si>
  <si>
    <t>Tata / AL/ Eicher Make</t>
  </si>
  <si>
    <t>All Make</t>
  </si>
  <si>
    <t>Updated Make</t>
  </si>
  <si>
    <t>Product Segment</t>
  </si>
  <si>
    <t>PCV 3W (Non diesel)</t>
  </si>
  <si>
    <t>School Bus</t>
  </si>
  <si>
    <t>PCV TAXI &lt; 6 Str (NND)</t>
  </si>
  <si>
    <t>PCV TAXI &lt; 6 Str (ND)</t>
  </si>
  <si>
    <t>GCV &lt; 2.0 K</t>
  </si>
  <si>
    <t>GCV &lt; 2.5 K</t>
  </si>
  <si>
    <t>GCV 2.5K - 3.5K</t>
  </si>
  <si>
    <t>GCV 3.5K-7.5K</t>
  </si>
  <si>
    <t>GCV 7.5K-12K</t>
  </si>
  <si>
    <t>GCV 12K-20K</t>
  </si>
  <si>
    <t>GCV 20K-40K</t>
  </si>
  <si>
    <t>GCV 40K-50K            (All Age Band)</t>
  </si>
  <si>
    <t>GCV &gt; 50 K</t>
  </si>
  <si>
    <t>GCV 3W Non Electric</t>
  </si>
  <si>
    <t>GCV 3W -Electric</t>
  </si>
  <si>
    <t>PCV Taxi 7+1 STR (Only NND)(Maruti, Toyota, Mahindra, Kia, MG) All Fuel Type</t>
  </si>
  <si>
    <t>PCV Other Bus &gt;8Str &amp; PCV 7+1 (Other Makes)</t>
  </si>
  <si>
    <t>Car Carrier</t>
  </si>
  <si>
    <t>Flat Bed</t>
  </si>
  <si>
    <t>MISD CPM(JCB, L&amp;T and Caterpillar)</t>
  </si>
  <si>
    <t>Tractor - (Agricultural without Trailer)</t>
  </si>
  <si>
    <t>Employee Pick Up</t>
  </si>
  <si>
    <t>Zone</t>
  </si>
  <si>
    <t>RTO Region</t>
  </si>
  <si>
    <t>COMP</t>
  </si>
  <si>
    <t>STP</t>
  </si>
  <si>
    <t>Comp-Other (Petrol+CNG+Battery)</t>
  </si>
  <si>
    <t>Diesel - Comp &amp; STP</t>
  </si>
  <si>
    <t>STP - Others (Petrol+CNG+Battery)</t>
  </si>
  <si>
    <t xml:space="preserve">COMP </t>
  </si>
  <si>
    <t>COMP All Age</t>
  </si>
  <si>
    <t>Comp/STP</t>
  </si>
  <si>
    <t>Comp (Fresh)</t>
  </si>
  <si>
    <t xml:space="preserve">Comp
(Non fresh    &lt; 5 Years) </t>
  </si>
  <si>
    <t xml:space="preserve">Comp
(Non fresh    &gt; 5 Years) </t>
  </si>
  <si>
    <t>Comp</t>
  </si>
  <si>
    <t>West</t>
  </si>
  <si>
    <t>MUMBAI</t>
  </si>
  <si>
    <t>NAGPUR</t>
  </si>
  <si>
    <t>PUNE</t>
  </si>
  <si>
    <t>ROM</t>
  </si>
  <si>
    <t>AHMEDNAGAR</t>
  </si>
  <si>
    <t>AURANGABAD</t>
  </si>
  <si>
    <t>KOLHAPUR</t>
  </si>
  <si>
    <t>NASHIK</t>
  </si>
  <si>
    <t>SOLAPUR</t>
  </si>
  <si>
    <t>GOA</t>
  </si>
  <si>
    <t>AHMEDABAD</t>
  </si>
  <si>
    <t>SURAT</t>
  </si>
  <si>
    <t>VADODARA</t>
  </si>
  <si>
    <t>GUJARAT</t>
  </si>
  <si>
    <t>GANDHIDHAM</t>
  </si>
  <si>
    <t>JAMNAGAR</t>
  </si>
  <si>
    <t>RAJKOT</t>
  </si>
  <si>
    <t>VAPI</t>
  </si>
  <si>
    <t>GUJ 1</t>
  </si>
  <si>
    <t>MADHYA PRADESH</t>
  </si>
  <si>
    <t>South</t>
  </si>
  <si>
    <t>ANDHRA PRADESH</t>
  </si>
  <si>
    <t>HYDERABAD</t>
  </si>
  <si>
    <t>TELANGANA</t>
  </si>
  <si>
    <t>BANGALORE</t>
  </si>
  <si>
    <t>KARNATAKA</t>
  </si>
  <si>
    <t>MANGALORE</t>
  </si>
  <si>
    <t>MYSORE</t>
  </si>
  <si>
    <t>KERALA</t>
  </si>
  <si>
    <t>CALICUT</t>
  </si>
  <si>
    <t>COCHIN</t>
  </si>
  <si>
    <t>TRIVANDRUM</t>
  </si>
  <si>
    <t>CHENNAI</t>
  </si>
  <si>
    <t>COIMBATORE</t>
  </si>
  <si>
    <t>TAMILNADU</t>
  </si>
  <si>
    <t>ERODE</t>
  </si>
  <si>
    <t>MADURAI</t>
  </si>
  <si>
    <t>PONDICHERRY</t>
  </si>
  <si>
    <t>North</t>
  </si>
  <si>
    <t>DELHI</t>
  </si>
  <si>
    <t>CHANDIGARH</t>
  </si>
  <si>
    <t>HP AND JAMMU</t>
  </si>
  <si>
    <t>JAMMU</t>
  </si>
  <si>
    <t>SHIMLA</t>
  </si>
  <si>
    <t>SRINAGAR</t>
  </si>
  <si>
    <t>Ladakh</t>
  </si>
  <si>
    <t>PUNJAB</t>
  </si>
  <si>
    <t>AMRITSAR</t>
  </si>
  <si>
    <t>LUDHIANA</t>
  </si>
  <si>
    <t>HARYANA</t>
  </si>
  <si>
    <t>RAJASTHAN</t>
  </si>
  <si>
    <t>JAIPUR</t>
  </si>
  <si>
    <t>UTTARAKHAND</t>
  </si>
  <si>
    <t>DEHRADUN</t>
  </si>
  <si>
    <t>UP West</t>
  </si>
  <si>
    <t>LUCKNOW</t>
  </si>
  <si>
    <t>UP East</t>
  </si>
  <si>
    <t>VARANASI</t>
  </si>
  <si>
    <t>UP1</t>
  </si>
  <si>
    <t>UP2</t>
  </si>
  <si>
    <t>East</t>
  </si>
  <si>
    <t>BIHAR</t>
  </si>
  <si>
    <t>PATNA</t>
  </si>
  <si>
    <t>JHARKHAND</t>
  </si>
  <si>
    <t>JAMSHEDPUR</t>
  </si>
  <si>
    <t>RANCHI</t>
  </si>
  <si>
    <t>BHUBANESHWAR</t>
  </si>
  <si>
    <t>ODISHA</t>
  </si>
  <si>
    <t>CUTTACK</t>
  </si>
  <si>
    <t>ROURKELA</t>
  </si>
  <si>
    <t>CHHATTISGARH</t>
  </si>
  <si>
    <t>KOLKATA</t>
  </si>
  <si>
    <t>WEST BENGAL</t>
  </si>
  <si>
    <t>SILIGURI</t>
  </si>
  <si>
    <t>NORTH EAST</t>
  </si>
  <si>
    <t>AGARTALA</t>
  </si>
  <si>
    <t>AIZWAL</t>
  </si>
  <si>
    <t>GUWAHATI</t>
  </si>
  <si>
    <t>All Retail Products (Retail Health &amp; Individual PA) - New Business</t>
  </si>
  <si>
    <t>Slabs (whichever is higher)</t>
  </si>
  <si>
    <t>TC %</t>
  </si>
  <si>
    <t>2.5% of Motor or 10.0k of Synergy Business</t>
  </si>
  <si>
    <t>Grid</t>
  </si>
  <si>
    <t>3.5% of Motor or 12.5k of Synergy Business</t>
  </si>
  <si>
    <t>Grid + 1.0%</t>
  </si>
  <si>
    <t>5.0% of Motor or 15.0k of Synergy Business</t>
  </si>
  <si>
    <t>Grid + 1.5%</t>
  </si>
  <si>
    <t>7.5% of Motor or 20.0k of Synergy Business</t>
  </si>
  <si>
    <t>Grid + 2.0%</t>
  </si>
  <si>
    <t>10.0% of Motor or 30.0k of Synergy Business</t>
  </si>
  <si>
    <t>Grid + 2.5%</t>
  </si>
  <si>
    <t>Guidelines for Synergy Enabler</t>
  </si>
  <si>
    <t>- For the synergy enabler to be applicable, payouts on synergy business should be as per base gird</t>
  </si>
  <si>
    <t>- For a Channel Partner to Qualify for Synergy Enabler, mix of Motor Business in Channel Partner should be &gt;75%</t>
  </si>
  <si>
    <t>- Synergy PO shall not be applicable on PCV 3W, School Bus, Taxi incl Kali Pili and LCV Below 2.5T</t>
  </si>
  <si>
    <t>- Any Channel Partner who has deviation from Base grid for Synergy Product, Synergy enabler shall not applicable.</t>
  </si>
  <si>
    <t>Product Enabler - From 1st Policy</t>
  </si>
  <si>
    <t>PCV 3W (Non Diesel &amp; STP)Comp &amp; STP</t>
  </si>
  <si>
    <t xml:space="preserve">Pcv Taxi &lt; 6 Str (Non Diesel ) Comp </t>
  </si>
  <si>
    <t>Kaali Pili Taxi</t>
  </si>
  <si>
    <t>Location</t>
  </si>
  <si>
    <t>Mumbai</t>
  </si>
  <si>
    <t>Delhi</t>
  </si>
  <si>
    <t>Kolkata</t>
  </si>
  <si>
    <t>June'25 Grid Key Highlighter special for Premier Broker</t>
  </si>
  <si>
    <t>- All Volume Contest Included in Base Grid Only</t>
  </si>
  <si>
    <t>- H1 PO in GCV&lt;2.5T &amp; GCV &gt;43T and H2 in GCV 40-43T</t>
  </si>
  <si>
    <t>- PCV Taxi Diesel STP Open up</t>
  </si>
  <si>
    <t>- New Segment PCV 7+1 Str Open up</t>
  </si>
  <si>
    <t>- PC STP Open for Mumbai, Pune, Goa, Punjab, Bihar &amp; Kolkatta</t>
  </si>
  <si>
    <t>- PC Comp : Upto 90% Discount in Maruti/Toyota/Tata/Hyundai/Kia/Mahindra</t>
  </si>
  <si>
    <t>- TW Scooter Agreesive PO in 1+5, 1+1, SAOD &amp; STP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</si>
</sst>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."/>
    <numFmt numFmtId="165" formatCode="0.0%"/>
  </numFmts>
  <fonts count="14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u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0"/>
      <name val="Arial"/>
      <charset val="134"/>
    </font>
    <font>
      <sz val="11"/>
      <color theme="1"/>
      <name val="Calibri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theme="4" tint="0.79995117038483843"/>
      </patternFill>
    </fill>
    <fill>
      <patternFill patternType="solid">
        <fgColor theme="3"/>
        <bgColor theme="4" tint="0.79995117038483843"/>
      </patternFill>
    </fill>
    <fill>
      <patternFill patternType="solid">
        <fgColor theme="7"/>
        <bgColor theme="4" tint="0.79995117038483843"/>
      </patternFill>
    </fill>
    <fill>
      <patternFill patternType="solid">
        <fgColor rgb="FFFFC000"/>
        <bgColor theme="4" tint="0.79995117038483843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9" fontId="13" fillId="0" borderId="0" applyFont="0" applyFill="0" applyBorder="0" applyAlignment="0" applyProtection="0"/>
    <xf numFmtId="0" fontId="12" fillId="0" borderId="0"/>
  </cellStyleXfs>
  <cellXfs count="81">
    <xf numFmtId="0" fontId="0" fillId="0" borderId="0" xfId="0"/>
    <xf numFmtId="0" fontId="4" fillId="5" borderId="0" xfId="0" applyFont="1" applyFill="1" applyAlignment="1">
      <alignment horizontal="center"/>
    </xf>
    <xf numFmtId="0" fontId="4" fillId="5" borderId="0" xfId="0" applyFont="1" applyFill="1" applyAlignment="1">
      <alignment horizontal="left"/>
    </xf>
    <xf numFmtId="164" fontId="4" fillId="5" borderId="0" xfId="0" applyNumberFormat="1" applyFont="1" applyFill="1" applyAlignment="1">
      <alignment horizontal="left"/>
    </xf>
    <xf numFmtId="164" fontId="4" fillId="3" borderId="0" xfId="0" applyNumberFormat="1" applyFont="1" applyFill="1" applyAlignment="1">
      <alignment horizontal="left"/>
    </xf>
    <xf numFmtId="0" fontId="3" fillId="5" borderId="0" xfId="0" applyFont="1" applyFill="1" applyAlignment="1">
      <alignment horizontal="center"/>
    </xf>
    <xf numFmtId="165" fontId="4" fillId="5" borderId="0" xfId="0" applyNumberFormat="1" applyFont="1" applyFill="1" applyAlignment="1">
      <alignment horizontal="center"/>
    </xf>
    <xf numFmtId="0" fontId="6" fillId="0" borderId="0" xfId="0" applyFont="1"/>
    <xf numFmtId="0" fontId="7" fillId="0" borderId="0" xfId="0" applyFont="1"/>
    <xf numFmtId="165" fontId="8" fillId="0" borderId="0" xfId="1" applyNumberFormat="1" applyFont="1" applyFill="1" applyAlignment="1">
      <alignment horizontal="center" vertical="center"/>
    </xf>
    <xf numFmtId="0" fontId="9" fillId="0" borderId="0" xfId="0" applyFont="1"/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horizontal="left" vertical="center"/>
    </xf>
    <xf numFmtId="165" fontId="8" fillId="0" borderId="0" xfId="1" applyNumberFormat="1" applyFont="1" applyFill="1"/>
    <xf numFmtId="165" fontId="10" fillId="5" borderId="0" xfId="2" applyNumberFormat="1" applyFont="1" applyFill="1" applyAlignment="1">
      <alignment horizontal="center" vertical="center"/>
    </xf>
    <xf numFmtId="165" fontId="10" fillId="0" borderId="0" xfId="2" applyNumberFormat="1" applyFont="1" applyAlignment="1">
      <alignment vertical="center" wrapText="1"/>
    </xf>
    <xf numFmtId="0" fontId="7" fillId="6" borderId="1" xfId="2" applyFont="1" applyFill="1" applyBorder="1" applyAlignment="1">
      <alignment horizontal="center" vertical="center" wrapText="1"/>
    </xf>
    <xf numFmtId="165" fontId="11" fillId="7" borderId="1" xfId="1" applyNumberFormat="1" applyFont="1" applyFill="1" applyBorder="1" applyAlignment="1">
      <alignment horizontal="center" vertical="center" wrapText="1"/>
    </xf>
    <xf numFmtId="165" fontId="11" fillId="7" borderId="2" xfId="1" applyNumberFormat="1" applyFont="1" applyFill="1" applyBorder="1" applyAlignment="1">
      <alignment horizontal="center" vertical="center" wrapText="1"/>
    </xf>
    <xf numFmtId="0" fontId="7" fillId="6" borderId="1" xfId="2" applyFont="1" applyFill="1" applyBorder="1" applyAlignment="1">
      <alignment horizontal="center" vertical="center"/>
    </xf>
    <xf numFmtId="165" fontId="7" fillId="8" borderId="1" xfId="1" applyNumberFormat="1" applyFont="1" applyFill="1" applyBorder="1" applyAlignment="1">
      <alignment horizontal="center" vertical="center"/>
    </xf>
    <xf numFmtId="165" fontId="7" fillId="9" borderId="2" xfId="1" applyNumberFormat="1" applyFont="1" applyFill="1" applyBorder="1" applyAlignment="1">
      <alignment horizontal="center" vertical="center" wrapText="1"/>
    </xf>
    <xf numFmtId="165" fontId="7" fillId="8" borderId="1" xfId="1" applyNumberFormat="1" applyFont="1" applyFill="1" applyBorder="1" applyAlignment="1">
      <alignment horizontal="center" vertical="center" wrapText="1"/>
    </xf>
    <xf numFmtId="0" fontId="7" fillId="5" borderId="1" xfId="2" applyFont="1" applyFill="1" applyBorder="1" applyAlignment="1">
      <alignment horizontal="center" vertical="center"/>
    </xf>
    <xf numFmtId="165" fontId="10" fillId="5" borderId="1" xfId="2" applyNumberFormat="1" applyFont="1" applyFill="1" applyBorder="1" applyAlignment="1">
      <alignment horizontal="center" vertical="center"/>
    </xf>
    <xf numFmtId="165" fontId="8" fillId="5" borderId="1" xfId="1" applyNumberFormat="1" applyFont="1" applyFill="1" applyBorder="1" applyAlignment="1">
      <alignment horizontal="center" vertical="center"/>
    </xf>
    <xf numFmtId="165" fontId="8" fillId="3" borderId="1" xfId="1" applyNumberFormat="1" applyFont="1" applyFill="1" applyBorder="1" applyAlignment="1">
      <alignment horizontal="center" vertical="center"/>
    </xf>
    <xf numFmtId="165" fontId="10" fillId="5" borderId="1" xfId="2" applyNumberFormat="1" applyFont="1" applyFill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/>
    </xf>
    <xf numFmtId="165" fontId="10" fillId="0" borderId="1" xfId="2" applyNumberFormat="1" applyFont="1" applyBorder="1" applyAlignment="1">
      <alignment horizontal="center" vertical="center"/>
    </xf>
    <xf numFmtId="0" fontId="7" fillId="5" borderId="1" xfId="2" applyFont="1" applyFill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165" fontId="7" fillId="9" borderId="1" xfId="1" applyNumberFormat="1" applyFont="1" applyFill="1" applyBorder="1" applyAlignment="1">
      <alignment horizontal="center" vertical="center" wrapText="1"/>
    </xf>
    <xf numFmtId="165" fontId="10" fillId="4" borderId="5" xfId="2" applyNumberFormat="1" applyFont="1" applyFill="1" applyBorder="1" applyAlignment="1">
      <alignment vertical="center" wrapText="1"/>
    </xf>
    <xf numFmtId="165" fontId="8" fillId="0" borderId="1" xfId="1" applyNumberFormat="1" applyFont="1" applyFill="1" applyBorder="1" applyAlignment="1">
      <alignment horizontal="center" vertical="center"/>
    </xf>
    <xf numFmtId="165" fontId="10" fillId="5" borderId="0" xfId="2" applyNumberFormat="1" applyFont="1" applyFill="1" applyAlignment="1">
      <alignment vertical="center" wrapText="1"/>
    </xf>
    <xf numFmtId="165" fontId="8" fillId="0" borderId="0" xfId="2" applyNumberFormat="1" applyFont="1" applyAlignment="1">
      <alignment horizontal="center" vertical="center"/>
    </xf>
    <xf numFmtId="165" fontId="10" fillId="5" borderId="0" xfId="2" applyNumberFormat="1" applyFont="1" applyFill="1" applyAlignment="1">
      <alignment vertical="center"/>
    </xf>
    <xf numFmtId="165" fontId="8" fillId="5" borderId="1" xfId="0" applyNumberFormat="1" applyFont="1" applyFill="1" applyBorder="1" applyAlignment="1">
      <alignment horizontal="center"/>
    </xf>
    <xf numFmtId="10" fontId="9" fillId="0" borderId="0" xfId="0" applyNumberFormat="1" applyFont="1"/>
    <xf numFmtId="0" fontId="7" fillId="0" borderId="0" xfId="2" applyFont="1" applyAlignment="1">
      <alignment horizontal="center" vertical="center"/>
    </xf>
    <xf numFmtId="165" fontId="10" fillId="0" borderId="0" xfId="2" applyNumberFormat="1" applyFont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0" fontId="8" fillId="0" borderId="0" xfId="2" applyFont="1"/>
    <xf numFmtId="0" fontId="8" fillId="0" borderId="0" xfId="2" applyFont="1" applyAlignment="1">
      <alignment horizontal="left" vertical="center" indent="2"/>
    </xf>
    <xf numFmtId="165" fontId="8" fillId="0" borderId="0" xfId="1" applyNumberFormat="1" applyFont="1" applyFill="1" applyBorder="1" applyAlignment="1">
      <alignment horizontal="center" vertical="center"/>
    </xf>
    <xf numFmtId="164" fontId="4" fillId="5" borderId="0" xfId="0" quotePrefix="1" applyNumberFormat="1" applyFont="1" applyFill="1" applyAlignment="1">
      <alignment horizontal="left"/>
    </xf>
    <xf numFmtId="165" fontId="11" fillId="7" borderId="1" xfId="1" applyNumberFormat="1" applyFont="1" applyFill="1" applyBorder="1" applyAlignment="1">
      <alignment horizontal="center" vertical="center" wrapText="1"/>
    </xf>
    <xf numFmtId="165" fontId="11" fillId="7" borderId="2" xfId="1" applyNumberFormat="1" applyFont="1" applyFill="1" applyBorder="1" applyAlignment="1">
      <alignment horizontal="center" vertical="center" wrapText="1"/>
    </xf>
    <xf numFmtId="165" fontId="11" fillId="7" borderId="4" xfId="1" applyNumberFormat="1" applyFont="1" applyFill="1" applyBorder="1" applyAlignment="1">
      <alignment horizontal="center" vertical="center" wrapText="1"/>
    </xf>
    <xf numFmtId="165" fontId="11" fillId="7" borderId="1" xfId="2" applyNumberFormat="1" applyFont="1" applyFill="1" applyBorder="1" applyAlignment="1">
      <alignment horizontal="center" vertical="center" wrapText="1"/>
    </xf>
    <xf numFmtId="165" fontId="10" fillId="5" borderId="0" xfId="2" applyNumberFormat="1" applyFont="1" applyFill="1" applyAlignment="1">
      <alignment horizontal="center" vertical="center"/>
    </xf>
    <xf numFmtId="0" fontId="10" fillId="0" borderId="5" xfId="2" applyFont="1" applyBorder="1" applyAlignment="1">
      <alignment horizontal="center" vertical="center" wrapText="1"/>
    </xf>
    <xf numFmtId="0" fontId="10" fillId="0" borderId="6" xfId="2" applyFont="1" applyBorder="1" applyAlignment="1">
      <alignment horizontal="center" vertical="center" wrapText="1"/>
    </xf>
    <xf numFmtId="165" fontId="10" fillId="10" borderId="5" xfId="2" applyNumberFormat="1" applyFont="1" applyFill="1" applyBorder="1" applyAlignment="1">
      <alignment horizontal="center" vertical="center" wrapText="1"/>
    </xf>
    <xf numFmtId="165" fontId="10" fillId="3" borderId="7" xfId="2" applyNumberFormat="1" applyFont="1" applyFill="1" applyBorder="1" applyAlignment="1">
      <alignment horizontal="center" vertical="center" wrapText="1"/>
    </xf>
    <xf numFmtId="165" fontId="10" fillId="0" borderId="1" xfId="2" applyNumberFormat="1" applyFont="1" applyBorder="1" applyAlignment="1">
      <alignment horizontal="center" vertical="center" wrapText="1"/>
    </xf>
    <xf numFmtId="165" fontId="10" fillId="0" borderId="2" xfId="2" applyNumberFormat="1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165" fontId="4" fillId="5" borderId="2" xfId="0" applyNumberFormat="1" applyFont="1" applyFill="1" applyBorder="1" applyAlignment="1">
      <alignment horizontal="center"/>
    </xf>
    <xf numFmtId="165" fontId="4" fillId="5" borderId="4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4" fontId="4" fillId="5" borderId="0" xfId="0" quotePrefix="1" applyNumberFormat="1" applyFont="1" applyFill="1" applyAlignment="1">
      <alignment horizontal="left"/>
    </xf>
    <xf numFmtId="164" fontId="4" fillId="5" borderId="0" xfId="0" applyNumberFormat="1" applyFont="1" applyFill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5" borderId="1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wrapText="1"/>
    </xf>
    <xf numFmtId="0" fontId="4" fillId="5" borderId="4" xfId="0" applyFont="1" applyFill="1" applyBorder="1" applyAlignment="1">
      <alignment horizontal="center" wrapText="1"/>
    </xf>
    <xf numFmtId="0" fontId="5" fillId="5" borderId="0" xfId="0" applyFont="1" applyFill="1" applyAlignment="1">
      <alignment horizontal="left"/>
    </xf>
    <xf numFmtId="0" fontId="4" fillId="5" borderId="0" xfId="0" quotePrefix="1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2" fillId="3" borderId="1" xfId="0" quotePrefix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1" xfId="0" quotePrefix="1" applyFont="1" applyFill="1" applyBorder="1"/>
    <xf numFmtId="0" fontId="2" fillId="3" borderId="1" xfId="0" applyFont="1" applyFill="1" applyBorder="1"/>
  </cellXfs>
  <cellStyles count="3">
    <cellStyle name="Normal" xfId="0" builtinId="0"/>
    <cellStyle name="Normal 2" xfId="2" xr:uid="{00000000-0005-0000-0000-000031000000}"/>
    <cellStyle name="Percent" xfId="1" builtinId="5"/>
  </cellStyles>
  <dxfs count="1">
    <dxf>
      <font>
        <color rgb="FF9C0006"/>
      </font>
      <fill>
        <patternFill patternType="solid">
          <bgColor rgb="FFFFC7CE"/>
        </patternFill>
      </fill>
    </dxf>
  </dxfs>
  <tableStyles count="1" defaultTableStyle="TableStyleMedium2" defaultPivotStyle="PivotStyleLight16">
    <tableStyle name="Invisible" pivot="0" table="0" count="0" xr9:uid="{36A01D34-1C4C-4A3C-AEC9-BB5C0F294B5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123825</xdr:colOff>
      <xdr:row>16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29425" cy="3143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12</xdr:col>
      <xdr:colOff>485775</xdr:colOff>
      <xdr:row>27</xdr:row>
      <xdr:rowOff>66675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38500"/>
          <a:ext cx="7800975" cy="1971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428625</xdr:colOff>
      <xdr:row>16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24625" cy="3219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7</xdr:col>
      <xdr:colOff>381000</xdr:colOff>
      <xdr:row>24</xdr:row>
      <xdr:rowOff>85725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29000"/>
          <a:ext cx="4648200" cy="1228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14</xdr:col>
      <xdr:colOff>228600</xdr:colOff>
      <xdr:row>20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8753475" cy="385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20</xdr:row>
      <xdr:rowOff>57150</xdr:rowOff>
    </xdr:from>
    <xdr:to>
      <xdr:col>14</xdr:col>
      <xdr:colOff>267335</xdr:colOff>
      <xdr:row>35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" y="3867150"/>
          <a:ext cx="8801100" cy="2828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35</xdr:row>
      <xdr:rowOff>47625</xdr:rowOff>
    </xdr:from>
    <xdr:to>
      <xdr:col>14</xdr:col>
      <xdr:colOff>257810</xdr:colOff>
      <xdr:row>50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5" y="6715125"/>
          <a:ext cx="8791575" cy="2847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14</xdr:col>
      <xdr:colOff>238125</xdr:colOff>
      <xdr:row>64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9525000"/>
          <a:ext cx="8772525" cy="2838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14</xdr:col>
      <xdr:colOff>257175</xdr:colOff>
      <xdr:row>76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382500"/>
          <a:ext cx="8791575" cy="2114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17</xdr:col>
      <xdr:colOff>590550</xdr:colOff>
      <xdr:row>85</xdr:row>
      <xdr:rowOff>95250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4668500"/>
          <a:ext cx="10953750" cy="1619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21</xdr:row>
      <xdr:rowOff>28575</xdr:rowOff>
    </xdr:from>
    <xdr:to>
      <xdr:col>4</xdr:col>
      <xdr:colOff>162560</xdr:colOff>
      <xdr:row>26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4200525"/>
          <a:ext cx="5295900" cy="1038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4</xdr:col>
      <xdr:colOff>419100</xdr:colOff>
      <xdr:row>26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71800"/>
          <a:ext cx="5553075" cy="2381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5</xdr:col>
      <xdr:colOff>85725</xdr:colOff>
      <xdr:row>37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372100"/>
          <a:ext cx="5829300" cy="2076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12</xdr:col>
      <xdr:colOff>28575</xdr:colOff>
      <xdr:row>47</xdr:row>
      <xdr:rowOff>38100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524750"/>
          <a:ext cx="10039350" cy="1752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10</xdr:col>
      <xdr:colOff>238125</xdr:colOff>
      <xdr:row>61</xdr:row>
      <xdr:rowOff>180975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9239250"/>
          <a:ext cx="9029700" cy="2847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15</xdr:col>
      <xdr:colOff>276225</xdr:colOff>
      <xdr:row>78</xdr:row>
      <xdr:rowOff>57150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2096750"/>
          <a:ext cx="12115800" cy="3105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114300</xdr:colOff>
      <xdr:row>11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39100" cy="2114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13</xdr:col>
      <xdr:colOff>9525</xdr:colOff>
      <xdr:row>19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95500"/>
          <a:ext cx="7934325" cy="16478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AY88"/>
  <sheetViews>
    <sheetView showGridLines="0" tabSelected="1" topLeftCell="A2" workbookViewId="0">
      <pane xSplit="4" ySplit="3" topLeftCell="E24" activePane="bottomRight" state="frozen"/>
      <selection pane="topRight"/>
      <selection pane="bottomLeft"/>
      <selection pane="bottomRight" activeCell="G25" sqref="G25"/>
    </sheetView>
  </sheetViews>
  <sheetFormatPr defaultColWidth="9" defaultRowHeight="13"/>
  <cols>
    <col min="1" max="1" width="2.1796875" style="10" customWidth="1"/>
    <col min="2" max="2" width="6.26953125" style="11" customWidth="1"/>
    <col min="3" max="3" width="20.26953125" style="11" customWidth="1"/>
    <col min="4" max="4" width="17.81640625" style="12" customWidth="1"/>
    <col min="5" max="6" width="10.7265625" style="9" customWidth="1"/>
    <col min="7" max="7" width="10.7265625" style="10" customWidth="1"/>
    <col min="8" max="8" width="10.54296875" style="10" customWidth="1"/>
    <col min="9" max="9" width="11.1796875" style="10" customWidth="1"/>
    <col min="10" max="10" width="10.453125" style="10" customWidth="1"/>
    <col min="11" max="11" width="11.7265625" style="10" customWidth="1"/>
    <col min="12" max="12" width="11.54296875" style="10" customWidth="1"/>
    <col min="13" max="13" width="11.1796875" style="10" customWidth="1"/>
    <col min="14" max="21" width="9.26953125" style="10" customWidth="1"/>
    <col min="22" max="22" width="9.81640625" style="10" customWidth="1"/>
    <col min="23" max="23" width="9.26953125" style="10" customWidth="1"/>
    <col min="24" max="24" width="11" style="10" customWidth="1"/>
    <col min="25" max="27" width="9.26953125" style="10" customWidth="1"/>
    <col min="28" max="28" width="10.1796875" style="10" customWidth="1"/>
    <col min="29" max="29" width="9.26953125" style="10" customWidth="1"/>
    <col min="30" max="30" width="6.453125" style="9" customWidth="1"/>
    <col min="31" max="31" width="5.7265625" style="9" customWidth="1"/>
    <col min="32" max="32" width="6.453125" style="9" customWidth="1"/>
    <col min="33" max="33" width="5.7265625" style="9" customWidth="1"/>
    <col min="34" max="34" width="9.81640625" style="13" customWidth="1"/>
    <col min="35" max="35" width="17" style="13" customWidth="1"/>
    <col min="36" max="37" width="11.54296875" style="13" customWidth="1"/>
    <col min="38" max="38" width="11.1796875" style="13" customWidth="1"/>
    <col min="39" max="39" width="6.453125" style="13" customWidth="1"/>
    <col min="40" max="40" width="5.7265625" style="13" customWidth="1"/>
    <col min="41" max="41" width="13.54296875" style="13" customWidth="1"/>
    <col min="42" max="42" width="14.453125" style="13" customWidth="1"/>
    <col min="43" max="43" width="7.7265625" style="13" customWidth="1"/>
    <col min="44" max="45" width="11.54296875" style="13" customWidth="1"/>
    <col min="46" max="46" width="10" style="13" customWidth="1"/>
    <col min="47" max="48" width="15.453125" style="10" customWidth="1"/>
    <col min="49" max="50" width="9.1796875" style="10" customWidth="1"/>
    <col min="51" max="16367" width="9.1796875" style="10"/>
    <col min="16368" max="16384" width="9" style="10"/>
  </cols>
  <sheetData>
    <row r="1" spans="2:51" s="8" customFormat="1" ht="35.25" customHeight="1">
      <c r="B1" s="56" t="s">
        <v>0</v>
      </c>
      <c r="C1" s="56"/>
      <c r="D1" s="57"/>
      <c r="E1" s="51"/>
      <c r="F1" s="51"/>
      <c r="G1" s="14"/>
      <c r="H1" s="51"/>
      <c r="I1" s="51"/>
      <c r="J1" s="51"/>
      <c r="K1" s="14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14"/>
      <c r="AA1" s="14"/>
      <c r="AB1" s="51"/>
      <c r="AC1" s="51"/>
      <c r="AD1" s="51"/>
      <c r="AE1" s="51"/>
      <c r="AF1" s="51"/>
      <c r="AG1" s="51"/>
      <c r="AH1" s="51"/>
      <c r="AI1" s="51"/>
      <c r="AJ1" s="14"/>
      <c r="AK1" s="14"/>
      <c r="AL1" s="35"/>
      <c r="AM1" s="51"/>
      <c r="AN1" s="51"/>
      <c r="AO1" s="51"/>
      <c r="AP1" s="51"/>
      <c r="AQ1" s="51"/>
      <c r="AR1" s="51"/>
      <c r="AS1" s="51"/>
      <c r="AT1" s="51"/>
      <c r="AU1" s="37"/>
      <c r="AV1" s="37"/>
    </row>
    <row r="2" spans="2:51" ht="37.5" customHeight="1">
      <c r="B2" s="52" t="s">
        <v>1</v>
      </c>
      <c r="C2" s="52"/>
      <c r="D2" s="53"/>
      <c r="E2" s="15"/>
      <c r="F2" s="15"/>
      <c r="L2" s="54" t="s">
        <v>2</v>
      </c>
      <c r="M2" s="54"/>
      <c r="N2" s="54" t="s">
        <v>3</v>
      </c>
      <c r="O2" s="54"/>
      <c r="P2" s="15"/>
      <c r="Q2" s="15"/>
      <c r="R2" s="15"/>
      <c r="S2" s="15"/>
      <c r="T2" s="15"/>
      <c r="U2" s="15"/>
      <c r="V2" s="33" t="s">
        <v>4</v>
      </c>
      <c r="W2" s="33" t="s">
        <v>5</v>
      </c>
      <c r="X2" s="33" t="s">
        <v>4</v>
      </c>
      <c r="Y2" s="33" t="s">
        <v>5</v>
      </c>
      <c r="Z2" s="33" t="s">
        <v>4</v>
      </c>
      <c r="AA2" s="33" t="s">
        <v>5</v>
      </c>
      <c r="AB2" s="33" t="s">
        <v>4</v>
      </c>
      <c r="AC2" s="33" t="s">
        <v>5</v>
      </c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36"/>
      <c r="AO2" s="55" t="s">
        <v>6</v>
      </c>
      <c r="AP2" s="55"/>
      <c r="AQ2" s="36"/>
      <c r="AR2" s="36"/>
      <c r="AS2" s="36"/>
      <c r="AT2" s="36"/>
    </row>
    <row r="3" spans="2:51" ht="47.25" customHeight="1">
      <c r="B3" s="16"/>
      <c r="C3" s="16"/>
      <c r="D3" s="16" t="s">
        <v>7</v>
      </c>
      <c r="E3" s="47" t="s">
        <v>8</v>
      </c>
      <c r="F3" s="47"/>
      <c r="G3" s="18" t="s">
        <v>9</v>
      </c>
      <c r="H3" s="47" t="s">
        <v>10</v>
      </c>
      <c r="I3" s="47"/>
      <c r="J3" s="47"/>
      <c r="K3" s="17" t="s">
        <v>11</v>
      </c>
      <c r="L3" s="50" t="s">
        <v>12</v>
      </c>
      <c r="M3" s="50"/>
      <c r="N3" s="50" t="s">
        <v>13</v>
      </c>
      <c r="O3" s="50"/>
      <c r="P3" s="50" t="s">
        <v>14</v>
      </c>
      <c r="Q3" s="50"/>
      <c r="R3" s="50" t="s">
        <v>15</v>
      </c>
      <c r="S3" s="50"/>
      <c r="T3" s="50" t="s">
        <v>16</v>
      </c>
      <c r="U3" s="50"/>
      <c r="V3" s="47" t="s">
        <v>17</v>
      </c>
      <c r="W3" s="47"/>
      <c r="X3" s="47" t="s">
        <v>18</v>
      </c>
      <c r="Y3" s="47"/>
      <c r="Z3" s="47" t="s">
        <v>19</v>
      </c>
      <c r="AA3" s="47"/>
      <c r="AB3" s="48" t="s">
        <v>20</v>
      </c>
      <c r="AC3" s="49"/>
      <c r="AD3" s="47" t="s">
        <v>21</v>
      </c>
      <c r="AE3" s="47"/>
      <c r="AF3" s="47" t="s">
        <v>22</v>
      </c>
      <c r="AG3" s="47"/>
      <c r="AH3" s="47" t="s">
        <v>23</v>
      </c>
      <c r="AI3" s="47"/>
      <c r="AJ3" s="47" t="s">
        <v>24</v>
      </c>
      <c r="AK3" s="47"/>
      <c r="AL3" s="17" t="s">
        <v>25</v>
      </c>
      <c r="AM3" s="47" t="s">
        <v>26</v>
      </c>
      <c r="AN3" s="47"/>
      <c r="AO3" s="47" t="s">
        <v>27</v>
      </c>
      <c r="AP3" s="47"/>
      <c r="AQ3" s="47" t="s">
        <v>28</v>
      </c>
      <c r="AR3" s="47"/>
      <c r="AS3" s="47"/>
      <c r="AT3" s="47"/>
      <c r="AU3" s="48" t="s">
        <v>29</v>
      </c>
      <c r="AV3" s="49"/>
    </row>
    <row r="4" spans="2:51" ht="39">
      <c r="B4" s="19" t="s">
        <v>30</v>
      </c>
      <c r="C4" s="19" t="s">
        <v>31</v>
      </c>
      <c r="D4" s="19"/>
      <c r="E4" s="20" t="s">
        <v>32</v>
      </c>
      <c r="F4" s="20" t="s">
        <v>33</v>
      </c>
      <c r="G4" s="21" t="s">
        <v>9</v>
      </c>
      <c r="H4" s="22" t="s">
        <v>34</v>
      </c>
      <c r="I4" s="22" t="s">
        <v>35</v>
      </c>
      <c r="J4" s="32" t="s">
        <v>36</v>
      </c>
      <c r="K4" s="32" t="s">
        <v>34</v>
      </c>
      <c r="L4" s="20" t="s">
        <v>32</v>
      </c>
      <c r="M4" s="20" t="s">
        <v>33</v>
      </c>
      <c r="N4" s="20" t="s">
        <v>32</v>
      </c>
      <c r="O4" s="20" t="s">
        <v>33</v>
      </c>
      <c r="P4" s="20" t="s">
        <v>32</v>
      </c>
      <c r="Q4" s="20" t="s">
        <v>33</v>
      </c>
      <c r="R4" s="20" t="s">
        <v>32</v>
      </c>
      <c r="S4" s="20" t="s">
        <v>33</v>
      </c>
      <c r="T4" s="20" t="s">
        <v>32</v>
      </c>
      <c r="U4" s="20" t="s">
        <v>33</v>
      </c>
      <c r="V4" s="22" t="s">
        <v>37</v>
      </c>
      <c r="W4" s="20" t="s">
        <v>33</v>
      </c>
      <c r="X4" s="22" t="s">
        <v>37</v>
      </c>
      <c r="Y4" s="20" t="s">
        <v>33</v>
      </c>
      <c r="Z4" s="22" t="s">
        <v>37</v>
      </c>
      <c r="AA4" s="20" t="s">
        <v>33</v>
      </c>
      <c r="AB4" s="22" t="s">
        <v>38</v>
      </c>
      <c r="AC4" s="20" t="s">
        <v>33</v>
      </c>
      <c r="AD4" s="20" t="s">
        <v>32</v>
      </c>
      <c r="AE4" s="20" t="s">
        <v>33</v>
      </c>
      <c r="AF4" s="20" t="s">
        <v>32</v>
      </c>
      <c r="AG4" s="20" t="s">
        <v>33</v>
      </c>
      <c r="AH4" s="20" t="s">
        <v>32</v>
      </c>
      <c r="AI4" s="20" t="s">
        <v>33</v>
      </c>
      <c r="AJ4" s="20" t="s">
        <v>32</v>
      </c>
      <c r="AK4" s="20" t="s">
        <v>33</v>
      </c>
      <c r="AL4" s="20" t="s">
        <v>39</v>
      </c>
      <c r="AM4" s="20" t="s">
        <v>32</v>
      </c>
      <c r="AN4" s="20" t="s">
        <v>33</v>
      </c>
      <c r="AO4" s="20" t="s">
        <v>32</v>
      </c>
      <c r="AP4" s="20" t="s">
        <v>33</v>
      </c>
      <c r="AQ4" s="22" t="s">
        <v>40</v>
      </c>
      <c r="AR4" s="22" t="s">
        <v>41</v>
      </c>
      <c r="AS4" s="22" t="s">
        <v>42</v>
      </c>
      <c r="AT4" s="20" t="s">
        <v>33</v>
      </c>
      <c r="AU4" s="20" t="s">
        <v>43</v>
      </c>
      <c r="AV4" s="20" t="s">
        <v>33</v>
      </c>
    </row>
    <row r="5" spans="2:51" hidden="1">
      <c r="B5" s="23" t="s">
        <v>44</v>
      </c>
      <c r="C5" s="24" t="s">
        <v>45</v>
      </c>
      <c r="D5" s="24" t="s">
        <v>45</v>
      </c>
      <c r="E5" s="25">
        <v>0.55000000000000004</v>
      </c>
      <c r="F5" s="25">
        <v>0.55000000000000004</v>
      </c>
      <c r="G5" s="25">
        <v>0.71</v>
      </c>
      <c r="H5" s="26">
        <v>0.5</v>
      </c>
      <c r="I5" s="25">
        <v>0.25</v>
      </c>
      <c r="J5" s="26">
        <v>0.5</v>
      </c>
      <c r="K5" s="26">
        <v>0.35</v>
      </c>
      <c r="L5" s="25">
        <v>0.66</v>
      </c>
      <c r="M5" s="25">
        <v>0.66</v>
      </c>
      <c r="N5" s="25">
        <v>0.65</v>
      </c>
      <c r="O5" s="25">
        <v>0.625</v>
      </c>
      <c r="P5" s="25">
        <v>0</v>
      </c>
      <c r="Q5" s="25">
        <v>0</v>
      </c>
      <c r="R5" s="25">
        <v>0</v>
      </c>
      <c r="S5" s="25">
        <v>0</v>
      </c>
      <c r="T5" s="25">
        <v>0</v>
      </c>
      <c r="U5" s="25">
        <v>0</v>
      </c>
      <c r="V5" s="34">
        <v>0.15</v>
      </c>
      <c r="W5" s="34">
        <v>0.25</v>
      </c>
      <c r="X5" s="34">
        <v>0.1</v>
      </c>
      <c r="Y5" s="25">
        <v>0.2</v>
      </c>
      <c r="Z5" s="26">
        <v>0.25</v>
      </c>
      <c r="AA5" s="26">
        <v>0.45</v>
      </c>
      <c r="AB5" s="26">
        <v>0.15</v>
      </c>
      <c r="AC5" s="26">
        <v>0.4</v>
      </c>
      <c r="AD5" s="25">
        <v>0</v>
      </c>
      <c r="AE5" s="25">
        <v>0</v>
      </c>
      <c r="AF5" s="25">
        <v>0</v>
      </c>
      <c r="AG5" s="25">
        <v>0</v>
      </c>
      <c r="AH5" s="25">
        <v>0</v>
      </c>
      <c r="AI5" s="25">
        <v>0</v>
      </c>
      <c r="AJ5" s="25">
        <v>0</v>
      </c>
      <c r="AK5" s="25">
        <v>0</v>
      </c>
      <c r="AL5" s="25">
        <v>0</v>
      </c>
      <c r="AM5" s="25">
        <v>0</v>
      </c>
      <c r="AN5" s="25">
        <v>0</v>
      </c>
      <c r="AO5" s="25">
        <v>0.4</v>
      </c>
      <c r="AP5" s="25">
        <v>0</v>
      </c>
      <c r="AQ5" s="25">
        <v>0.25</v>
      </c>
      <c r="AR5" s="25">
        <v>0.25</v>
      </c>
      <c r="AS5" s="25">
        <v>0.2</v>
      </c>
      <c r="AT5" s="25">
        <v>0</v>
      </c>
      <c r="AU5" s="25">
        <v>0</v>
      </c>
      <c r="AV5" s="25">
        <v>0</v>
      </c>
      <c r="AY5" s="39"/>
    </row>
    <row r="6" spans="2:51" hidden="1">
      <c r="B6" s="23" t="s">
        <v>44</v>
      </c>
      <c r="C6" s="24" t="s">
        <v>46</v>
      </c>
      <c r="D6" s="24" t="s">
        <v>46</v>
      </c>
      <c r="E6" s="25">
        <v>0</v>
      </c>
      <c r="F6" s="25">
        <v>0</v>
      </c>
      <c r="G6" s="25">
        <v>0.71</v>
      </c>
      <c r="H6" s="26">
        <v>0.35</v>
      </c>
      <c r="I6" s="25">
        <v>0.15</v>
      </c>
      <c r="J6" s="26">
        <v>0.35</v>
      </c>
      <c r="K6" s="26">
        <v>0.2</v>
      </c>
      <c r="L6" s="25">
        <v>0.22500000000000001</v>
      </c>
      <c r="M6" s="25">
        <v>0.22500000000000001</v>
      </c>
      <c r="N6" s="25">
        <v>0.125</v>
      </c>
      <c r="O6" s="25">
        <v>7.4999999999999997E-2</v>
      </c>
      <c r="P6" s="25">
        <v>0</v>
      </c>
      <c r="Q6" s="25">
        <v>0</v>
      </c>
      <c r="R6" s="25">
        <v>0</v>
      </c>
      <c r="S6" s="25">
        <v>0</v>
      </c>
      <c r="T6" s="25">
        <v>0</v>
      </c>
      <c r="U6" s="25">
        <v>0</v>
      </c>
      <c r="V6" s="34">
        <v>0</v>
      </c>
      <c r="W6" s="34">
        <v>0</v>
      </c>
      <c r="X6" s="25">
        <v>0</v>
      </c>
      <c r="Y6" s="25">
        <v>0</v>
      </c>
      <c r="Z6" s="26">
        <v>0</v>
      </c>
      <c r="AA6" s="26">
        <v>0</v>
      </c>
      <c r="AB6" s="26">
        <v>0</v>
      </c>
      <c r="AC6" s="26">
        <v>0</v>
      </c>
      <c r="AD6" s="25">
        <v>0</v>
      </c>
      <c r="AE6" s="25">
        <v>0</v>
      </c>
      <c r="AF6" s="25">
        <v>0</v>
      </c>
      <c r="AG6" s="25">
        <v>0</v>
      </c>
      <c r="AH6" s="25">
        <v>0</v>
      </c>
      <c r="AI6" s="25">
        <v>0</v>
      </c>
      <c r="AJ6" s="25">
        <v>0</v>
      </c>
      <c r="AK6" s="25">
        <v>0</v>
      </c>
      <c r="AL6" s="25">
        <v>0</v>
      </c>
      <c r="AM6" s="25">
        <v>0</v>
      </c>
      <c r="AN6" s="25">
        <v>0</v>
      </c>
      <c r="AO6" s="25">
        <v>0.4</v>
      </c>
      <c r="AP6" s="25">
        <v>0</v>
      </c>
      <c r="AQ6" s="25">
        <v>0.42499999999999999</v>
      </c>
      <c r="AR6" s="25">
        <v>0.25</v>
      </c>
      <c r="AS6" s="25">
        <v>0.2</v>
      </c>
      <c r="AT6" s="25">
        <v>0</v>
      </c>
      <c r="AU6" s="25">
        <v>0</v>
      </c>
      <c r="AV6" s="25">
        <v>0</v>
      </c>
    </row>
    <row r="7" spans="2:51" hidden="1">
      <c r="B7" s="23" t="s">
        <v>44</v>
      </c>
      <c r="C7" s="24" t="s">
        <v>47</v>
      </c>
      <c r="D7" s="24" t="s">
        <v>47</v>
      </c>
      <c r="E7" s="25">
        <v>0.6</v>
      </c>
      <c r="F7" s="25">
        <v>0.6</v>
      </c>
      <c r="G7" s="25">
        <v>0.71</v>
      </c>
      <c r="H7" s="26">
        <v>0.47499999999999998</v>
      </c>
      <c r="I7" s="25">
        <v>0.25</v>
      </c>
      <c r="J7" s="26">
        <v>0.47499999999999998</v>
      </c>
      <c r="K7" s="26">
        <v>0.32500000000000001</v>
      </c>
      <c r="L7" s="25">
        <v>0.66</v>
      </c>
      <c r="M7" s="25">
        <v>0.66</v>
      </c>
      <c r="N7" s="25">
        <v>0.65</v>
      </c>
      <c r="O7" s="25">
        <v>0.625</v>
      </c>
      <c r="P7" s="25">
        <v>0</v>
      </c>
      <c r="Q7" s="25">
        <v>0</v>
      </c>
      <c r="R7" s="25">
        <v>0</v>
      </c>
      <c r="S7" s="25">
        <v>0</v>
      </c>
      <c r="T7" s="25">
        <v>0</v>
      </c>
      <c r="U7" s="25">
        <v>0</v>
      </c>
      <c r="V7" s="34">
        <v>0</v>
      </c>
      <c r="W7" s="34">
        <v>0</v>
      </c>
      <c r="X7" s="25">
        <v>0</v>
      </c>
      <c r="Y7" s="25">
        <v>0</v>
      </c>
      <c r="Z7" s="26">
        <v>0</v>
      </c>
      <c r="AA7" s="26">
        <v>0</v>
      </c>
      <c r="AB7" s="26">
        <v>0</v>
      </c>
      <c r="AC7" s="26">
        <v>0</v>
      </c>
      <c r="AD7" s="25">
        <v>0</v>
      </c>
      <c r="AE7" s="25">
        <v>0</v>
      </c>
      <c r="AF7" s="25">
        <v>0</v>
      </c>
      <c r="AG7" s="25">
        <v>0</v>
      </c>
      <c r="AH7" s="25">
        <v>0</v>
      </c>
      <c r="AI7" s="25">
        <v>0</v>
      </c>
      <c r="AJ7" s="25">
        <v>0</v>
      </c>
      <c r="AK7" s="25">
        <v>0</v>
      </c>
      <c r="AL7" s="25">
        <v>0</v>
      </c>
      <c r="AM7" s="25">
        <v>0</v>
      </c>
      <c r="AN7" s="25">
        <v>0</v>
      </c>
      <c r="AO7" s="25">
        <v>0.4</v>
      </c>
      <c r="AP7" s="25">
        <v>0</v>
      </c>
      <c r="AQ7" s="25">
        <v>0.25</v>
      </c>
      <c r="AR7" s="25">
        <v>0.25</v>
      </c>
      <c r="AS7" s="25">
        <v>0.2</v>
      </c>
      <c r="AT7" s="25">
        <v>0</v>
      </c>
      <c r="AU7" s="25">
        <v>0</v>
      </c>
      <c r="AV7" s="25">
        <v>0</v>
      </c>
    </row>
    <row r="8" spans="2:51" hidden="1">
      <c r="B8" s="23" t="s">
        <v>44</v>
      </c>
      <c r="C8" s="23" t="s">
        <v>48</v>
      </c>
      <c r="D8" s="24" t="s">
        <v>49</v>
      </c>
      <c r="E8" s="25">
        <v>0.55000000000000004</v>
      </c>
      <c r="F8" s="25">
        <v>0.52500000000000002</v>
      </c>
      <c r="G8" s="25">
        <v>0.71</v>
      </c>
      <c r="H8" s="26">
        <v>0.32500000000000001</v>
      </c>
      <c r="I8" s="25">
        <v>0.1</v>
      </c>
      <c r="J8" s="26">
        <v>0.2</v>
      </c>
      <c r="K8" s="26">
        <v>0.17499999999999999</v>
      </c>
      <c r="L8" s="26">
        <v>0.65</v>
      </c>
      <c r="M8" s="26">
        <v>0.65</v>
      </c>
      <c r="N8" s="25">
        <v>0.625</v>
      </c>
      <c r="O8" s="25">
        <v>0.6</v>
      </c>
      <c r="P8" s="25">
        <v>0</v>
      </c>
      <c r="Q8" s="25">
        <v>0</v>
      </c>
      <c r="R8" s="25">
        <v>0</v>
      </c>
      <c r="S8" s="25">
        <v>0</v>
      </c>
      <c r="T8" s="25">
        <v>0</v>
      </c>
      <c r="U8" s="25">
        <v>0</v>
      </c>
      <c r="V8" s="34">
        <v>0.125</v>
      </c>
      <c r="W8" s="34">
        <v>0.25</v>
      </c>
      <c r="X8" s="25">
        <v>2.5000000000000001E-2</v>
      </c>
      <c r="Y8" s="25">
        <v>0.2</v>
      </c>
      <c r="Z8" s="26">
        <v>0.22500000000000001</v>
      </c>
      <c r="AA8" s="26">
        <v>0.45</v>
      </c>
      <c r="AB8" s="26">
        <v>0.15</v>
      </c>
      <c r="AC8" s="26">
        <v>0.4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>
        <v>0</v>
      </c>
      <c r="AJ8" s="25">
        <v>0</v>
      </c>
      <c r="AK8" s="25">
        <v>0</v>
      </c>
      <c r="AL8" s="25">
        <v>0</v>
      </c>
      <c r="AM8" s="25">
        <v>0</v>
      </c>
      <c r="AN8" s="25">
        <v>0</v>
      </c>
      <c r="AO8" s="25">
        <v>0.4</v>
      </c>
      <c r="AP8" s="25">
        <v>0</v>
      </c>
      <c r="AQ8" s="25">
        <v>0.42499999999999999</v>
      </c>
      <c r="AR8" s="25">
        <v>0.25</v>
      </c>
      <c r="AS8" s="25">
        <v>0.2</v>
      </c>
      <c r="AT8" s="25">
        <v>0</v>
      </c>
      <c r="AU8" s="25">
        <v>0</v>
      </c>
      <c r="AV8" s="25">
        <v>0</v>
      </c>
    </row>
    <row r="9" spans="2:51" hidden="1">
      <c r="B9" s="23" t="s">
        <v>44</v>
      </c>
      <c r="C9" s="23" t="s">
        <v>48</v>
      </c>
      <c r="D9" s="24" t="s">
        <v>50</v>
      </c>
      <c r="E9" s="25">
        <v>0.52500000000000002</v>
      </c>
      <c r="F9" s="25">
        <v>0.52500000000000002</v>
      </c>
      <c r="G9" s="25">
        <v>0.71</v>
      </c>
      <c r="H9" s="26">
        <v>0.32500000000000001</v>
      </c>
      <c r="I9" s="25">
        <v>0.1</v>
      </c>
      <c r="J9" s="26">
        <v>0.2</v>
      </c>
      <c r="K9" s="26">
        <v>0.17499999999999999</v>
      </c>
      <c r="L9" s="25">
        <v>0.22500000000000001</v>
      </c>
      <c r="M9" s="25">
        <v>0.22500000000000001</v>
      </c>
      <c r="N9" s="25">
        <v>0.125</v>
      </c>
      <c r="O9" s="25">
        <v>7.4999999999999997E-2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34">
        <v>0.125</v>
      </c>
      <c r="W9" s="34">
        <v>0.25</v>
      </c>
      <c r="X9" s="25">
        <v>2.5000000000000001E-2</v>
      </c>
      <c r="Y9" s="25">
        <v>0.2</v>
      </c>
      <c r="Z9" s="26">
        <v>0.22500000000000001</v>
      </c>
      <c r="AA9" s="26">
        <v>0.45</v>
      </c>
      <c r="AB9" s="26">
        <v>0.15</v>
      </c>
      <c r="AC9" s="26">
        <v>0.4</v>
      </c>
      <c r="AD9" s="25">
        <v>0</v>
      </c>
      <c r="AE9" s="25">
        <v>0</v>
      </c>
      <c r="AF9" s="25">
        <v>0</v>
      </c>
      <c r="AG9" s="25">
        <v>0</v>
      </c>
      <c r="AH9" s="25">
        <v>0</v>
      </c>
      <c r="AI9" s="25">
        <v>0</v>
      </c>
      <c r="AJ9" s="25">
        <v>0</v>
      </c>
      <c r="AK9" s="25">
        <v>0</v>
      </c>
      <c r="AL9" s="25">
        <v>0</v>
      </c>
      <c r="AM9" s="25">
        <v>0</v>
      </c>
      <c r="AN9" s="25">
        <v>0</v>
      </c>
      <c r="AO9" s="25">
        <v>0.4</v>
      </c>
      <c r="AP9" s="25">
        <v>0</v>
      </c>
      <c r="AQ9" s="25">
        <v>0.42499999999999999</v>
      </c>
      <c r="AR9" s="25">
        <v>0.25</v>
      </c>
      <c r="AS9" s="25">
        <v>0.2</v>
      </c>
      <c r="AT9" s="25">
        <v>0</v>
      </c>
      <c r="AU9" s="25">
        <v>0</v>
      </c>
      <c r="AV9" s="25">
        <v>0</v>
      </c>
    </row>
    <row r="10" spans="2:51" hidden="1">
      <c r="B10" s="23" t="s">
        <v>44</v>
      </c>
      <c r="C10" s="23" t="s">
        <v>48</v>
      </c>
      <c r="D10" s="24" t="s">
        <v>51</v>
      </c>
      <c r="E10" s="25">
        <v>0</v>
      </c>
      <c r="F10" s="25">
        <v>0</v>
      </c>
      <c r="G10" s="25">
        <v>0.71</v>
      </c>
      <c r="H10" s="26">
        <v>0.32500000000000001</v>
      </c>
      <c r="I10" s="25">
        <v>0.1</v>
      </c>
      <c r="J10" s="26">
        <v>0.2</v>
      </c>
      <c r="K10" s="26">
        <v>0.17499999999999999</v>
      </c>
      <c r="L10" s="26">
        <v>0.65</v>
      </c>
      <c r="M10" s="26">
        <v>0.65</v>
      </c>
      <c r="N10" s="25">
        <v>0.625</v>
      </c>
      <c r="O10" s="25">
        <v>0.6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  <c r="V10" s="34">
        <v>0.125</v>
      </c>
      <c r="W10" s="34">
        <v>0.25</v>
      </c>
      <c r="X10" s="25">
        <v>2.5000000000000001E-2</v>
      </c>
      <c r="Y10" s="25">
        <v>0.2</v>
      </c>
      <c r="Z10" s="26">
        <v>0.22500000000000001</v>
      </c>
      <c r="AA10" s="26">
        <v>0.45</v>
      </c>
      <c r="AB10" s="26">
        <v>0.15</v>
      </c>
      <c r="AC10" s="26">
        <v>0.4</v>
      </c>
      <c r="AD10" s="25">
        <v>0</v>
      </c>
      <c r="AE10" s="25">
        <v>0</v>
      </c>
      <c r="AF10" s="25">
        <v>0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5">
        <v>0</v>
      </c>
      <c r="AO10" s="25">
        <v>0.4</v>
      </c>
      <c r="AP10" s="25">
        <v>0</v>
      </c>
      <c r="AQ10" s="25">
        <v>0.42499999999999999</v>
      </c>
      <c r="AR10" s="25">
        <v>0.25</v>
      </c>
      <c r="AS10" s="25">
        <v>0.2</v>
      </c>
      <c r="AT10" s="25">
        <v>0</v>
      </c>
      <c r="AU10" s="25">
        <v>0</v>
      </c>
      <c r="AV10" s="25">
        <v>0</v>
      </c>
    </row>
    <row r="11" spans="2:51" hidden="1">
      <c r="B11" s="23" t="s">
        <v>44</v>
      </c>
      <c r="C11" s="23" t="s">
        <v>48</v>
      </c>
      <c r="D11" s="24" t="s">
        <v>52</v>
      </c>
      <c r="E11" s="25">
        <v>0.52500000000000002</v>
      </c>
      <c r="F11" s="25">
        <v>0.52500000000000002</v>
      </c>
      <c r="G11" s="25">
        <v>0.71</v>
      </c>
      <c r="H11" s="26">
        <v>0.32500000000000001</v>
      </c>
      <c r="I11" s="25">
        <v>0.1</v>
      </c>
      <c r="J11" s="26">
        <v>0.2</v>
      </c>
      <c r="K11" s="26">
        <v>0.17499999999999999</v>
      </c>
      <c r="L11" s="26">
        <v>0.65</v>
      </c>
      <c r="M11" s="26">
        <v>0.65</v>
      </c>
      <c r="N11" s="25">
        <v>0.625</v>
      </c>
      <c r="O11" s="25">
        <v>0.6</v>
      </c>
      <c r="P11" s="25">
        <v>0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34">
        <v>0.125</v>
      </c>
      <c r="W11" s="34">
        <v>0.25</v>
      </c>
      <c r="X11" s="25">
        <v>2.5000000000000001E-2</v>
      </c>
      <c r="Y11" s="25">
        <v>0.2</v>
      </c>
      <c r="Z11" s="26">
        <v>0.22500000000000001</v>
      </c>
      <c r="AA11" s="26">
        <v>0.45</v>
      </c>
      <c r="AB11" s="26">
        <v>0.15</v>
      </c>
      <c r="AC11" s="26">
        <v>0.4</v>
      </c>
      <c r="AD11" s="25">
        <v>0</v>
      </c>
      <c r="AE11" s="25">
        <v>0</v>
      </c>
      <c r="AF11" s="25">
        <v>0</v>
      </c>
      <c r="AG11" s="25">
        <v>0</v>
      </c>
      <c r="AH11" s="25">
        <v>0</v>
      </c>
      <c r="AI11" s="25">
        <v>0</v>
      </c>
      <c r="AJ11" s="25">
        <v>0</v>
      </c>
      <c r="AK11" s="25">
        <v>0</v>
      </c>
      <c r="AL11" s="25">
        <v>0</v>
      </c>
      <c r="AM11" s="25">
        <v>0</v>
      </c>
      <c r="AN11" s="25">
        <v>0</v>
      </c>
      <c r="AO11" s="25">
        <v>0.4</v>
      </c>
      <c r="AP11" s="25">
        <v>0</v>
      </c>
      <c r="AQ11" s="25">
        <v>0.42499999999999999</v>
      </c>
      <c r="AR11" s="25">
        <v>0.25</v>
      </c>
      <c r="AS11" s="25">
        <v>0.2</v>
      </c>
      <c r="AT11" s="25">
        <v>0</v>
      </c>
      <c r="AU11" s="25">
        <v>0</v>
      </c>
      <c r="AV11" s="25">
        <v>0</v>
      </c>
    </row>
    <row r="12" spans="2:51" hidden="1">
      <c r="B12" s="23" t="s">
        <v>44</v>
      </c>
      <c r="C12" s="23" t="s">
        <v>48</v>
      </c>
      <c r="D12" s="24" t="s">
        <v>53</v>
      </c>
      <c r="E12" s="25">
        <v>0.52500000000000002</v>
      </c>
      <c r="F12" s="25">
        <v>0.52500000000000002</v>
      </c>
      <c r="G12" s="25">
        <v>0.71</v>
      </c>
      <c r="H12" s="26">
        <v>0.32500000000000001</v>
      </c>
      <c r="I12" s="25">
        <v>0.1</v>
      </c>
      <c r="J12" s="26">
        <v>0.2</v>
      </c>
      <c r="K12" s="26">
        <v>0.17499999999999999</v>
      </c>
      <c r="L12" s="26">
        <v>0.65</v>
      </c>
      <c r="M12" s="26">
        <v>0.65</v>
      </c>
      <c r="N12" s="25">
        <v>0.625</v>
      </c>
      <c r="O12" s="25">
        <v>0.6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34">
        <v>0.125</v>
      </c>
      <c r="W12" s="34">
        <v>0.25</v>
      </c>
      <c r="X12" s="25">
        <v>2.5000000000000001E-2</v>
      </c>
      <c r="Y12" s="25">
        <v>0.2</v>
      </c>
      <c r="Z12" s="26">
        <v>0.22500000000000001</v>
      </c>
      <c r="AA12" s="26">
        <v>0.45</v>
      </c>
      <c r="AB12" s="26">
        <v>0.15</v>
      </c>
      <c r="AC12" s="26">
        <v>0.4</v>
      </c>
      <c r="AD12" s="25">
        <v>0</v>
      </c>
      <c r="AE12" s="25">
        <v>0</v>
      </c>
      <c r="AF12" s="25">
        <v>0</v>
      </c>
      <c r="AG12" s="25">
        <v>0</v>
      </c>
      <c r="AH12" s="25">
        <v>0</v>
      </c>
      <c r="AI12" s="25">
        <v>0</v>
      </c>
      <c r="AJ12" s="25">
        <v>0</v>
      </c>
      <c r="AK12" s="25">
        <v>0</v>
      </c>
      <c r="AL12" s="25">
        <v>0</v>
      </c>
      <c r="AM12" s="25">
        <v>0</v>
      </c>
      <c r="AN12" s="25">
        <v>0</v>
      </c>
      <c r="AO12" s="25">
        <v>0.4</v>
      </c>
      <c r="AP12" s="25">
        <v>0</v>
      </c>
      <c r="AQ12" s="25">
        <v>0.42499999999999999</v>
      </c>
      <c r="AR12" s="25">
        <v>0.25</v>
      </c>
      <c r="AS12" s="25">
        <v>0.2</v>
      </c>
      <c r="AT12" s="25">
        <v>0</v>
      </c>
      <c r="AU12" s="25">
        <v>0</v>
      </c>
      <c r="AV12" s="25">
        <v>0</v>
      </c>
    </row>
    <row r="13" spans="2:51" hidden="1">
      <c r="B13" s="23" t="s">
        <v>44</v>
      </c>
      <c r="C13" s="23" t="s">
        <v>48</v>
      </c>
      <c r="D13" s="24" t="s">
        <v>48</v>
      </c>
      <c r="E13" s="25">
        <v>0.52500000000000002</v>
      </c>
      <c r="F13" s="25">
        <v>0.52500000000000002</v>
      </c>
      <c r="G13" s="25">
        <v>0.71</v>
      </c>
      <c r="H13" s="26">
        <v>0.32500000000000001</v>
      </c>
      <c r="I13" s="25">
        <v>0.1</v>
      </c>
      <c r="J13" s="26">
        <v>0.2</v>
      </c>
      <c r="K13" s="26">
        <v>0.17499999999999999</v>
      </c>
      <c r="L13" s="26">
        <v>0.65</v>
      </c>
      <c r="M13" s="26">
        <v>0.65</v>
      </c>
      <c r="N13" s="25">
        <v>0.625</v>
      </c>
      <c r="O13" s="25">
        <v>0.6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34">
        <v>0.125</v>
      </c>
      <c r="W13" s="34">
        <v>0.25</v>
      </c>
      <c r="X13" s="25">
        <v>2.5000000000000001E-2</v>
      </c>
      <c r="Y13" s="25">
        <v>0.2</v>
      </c>
      <c r="Z13" s="26">
        <v>0.22500000000000001</v>
      </c>
      <c r="AA13" s="26">
        <v>0.45</v>
      </c>
      <c r="AB13" s="26">
        <v>0.15</v>
      </c>
      <c r="AC13" s="26">
        <v>0.4</v>
      </c>
      <c r="AD13" s="25">
        <v>0</v>
      </c>
      <c r="AE13" s="25">
        <v>0</v>
      </c>
      <c r="AF13" s="25">
        <v>0</v>
      </c>
      <c r="AG13" s="25">
        <v>0</v>
      </c>
      <c r="AH13" s="25">
        <v>0</v>
      </c>
      <c r="AI13" s="25">
        <v>0</v>
      </c>
      <c r="AJ13" s="25">
        <v>0</v>
      </c>
      <c r="AK13" s="25">
        <v>0</v>
      </c>
      <c r="AL13" s="25">
        <v>0</v>
      </c>
      <c r="AM13" s="25">
        <v>0</v>
      </c>
      <c r="AN13" s="25">
        <v>0</v>
      </c>
      <c r="AO13" s="25">
        <v>0.4</v>
      </c>
      <c r="AP13" s="25">
        <v>0</v>
      </c>
      <c r="AQ13" s="25">
        <v>0.42499999999999999</v>
      </c>
      <c r="AR13" s="25">
        <v>0.25</v>
      </c>
      <c r="AS13" s="25">
        <v>0.2</v>
      </c>
      <c r="AT13" s="25">
        <v>0</v>
      </c>
      <c r="AU13" s="25">
        <v>0</v>
      </c>
      <c r="AV13" s="25">
        <v>0</v>
      </c>
    </row>
    <row r="14" spans="2:51" hidden="1">
      <c r="B14" s="23" t="s">
        <v>44</v>
      </c>
      <c r="C14" s="27" t="s">
        <v>54</v>
      </c>
      <c r="D14" s="27" t="s">
        <v>54</v>
      </c>
      <c r="E14" s="25">
        <v>0</v>
      </c>
      <c r="F14" s="25">
        <v>0</v>
      </c>
      <c r="G14" s="25">
        <v>0.71</v>
      </c>
      <c r="H14" s="26">
        <v>0.52500000000000002</v>
      </c>
      <c r="I14" s="25">
        <v>0.4</v>
      </c>
      <c r="J14" s="26">
        <v>0.52500000000000002</v>
      </c>
      <c r="K14" s="26">
        <v>0.3</v>
      </c>
      <c r="L14" s="26">
        <v>0.65</v>
      </c>
      <c r="M14" s="26">
        <v>0.65</v>
      </c>
      <c r="N14" s="25">
        <v>0.625</v>
      </c>
      <c r="O14" s="25">
        <v>0.6</v>
      </c>
      <c r="P14" s="25">
        <v>0</v>
      </c>
      <c r="Q14" s="25">
        <v>0</v>
      </c>
      <c r="R14" s="25">
        <v>0</v>
      </c>
      <c r="S14" s="25">
        <v>0</v>
      </c>
      <c r="T14" s="25">
        <v>0.3</v>
      </c>
      <c r="U14" s="25">
        <v>0.3</v>
      </c>
      <c r="V14" s="34">
        <v>0</v>
      </c>
      <c r="W14" s="25">
        <v>0</v>
      </c>
      <c r="X14" s="25">
        <v>0</v>
      </c>
      <c r="Y14" s="25">
        <v>0</v>
      </c>
      <c r="Z14" s="26">
        <v>0</v>
      </c>
      <c r="AA14" s="26">
        <v>0</v>
      </c>
      <c r="AB14" s="26">
        <v>0</v>
      </c>
      <c r="AC14" s="26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>
        <v>0</v>
      </c>
      <c r="AJ14" s="25">
        <v>0</v>
      </c>
      <c r="AK14" s="25">
        <v>0</v>
      </c>
      <c r="AL14" s="25">
        <v>0</v>
      </c>
      <c r="AM14" s="25">
        <v>0</v>
      </c>
      <c r="AN14" s="25">
        <v>0</v>
      </c>
      <c r="AO14" s="25">
        <v>0.4</v>
      </c>
      <c r="AP14" s="25">
        <v>0</v>
      </c>
      <c r="AQ14" s="25">
        <v>0.42499999999999999</v>
      </c>
      <c r="AR14" s="25">
        <v>0.25</v>
      </c>
      <c r="AS14" s="25">
        <v>0.2</v>
      </c>
      <c r="AT14" s="25">
        <v>0</v>
      </c>
      <c r="AU14" s="25">
        <v>0</v>
      </c>
      <c r="AV14" s="25">
        <v>0</v>
      </c>
    </row>
    <row r="15" spans="2:51" hidden="1">
      <c r="B15" s="23" t="s">
        <v>44</v>
      </c>
      <c r="C15" s="24" t="s">
        <v>55</v>
      </c>
      <c r="D15" s="24" t="s">
        <v>55</v>
      </c>
      <c r="E15" s="25">
        <v>0.57499999999999996</v>
      </c>
      <c r="F15" s="25">
        <v>0.57499999999999996</v>
      </c>
      <c r="G15" s="25">
        <v>0.71</v>
      </c>
      <c r="H15" s="26">
        <v>0.375</v>
      </c>
      <c r="I15" s="25">
        <v>0.15</v>
      </c>
      <c r="J15" s="26">
        <v>0.375</v>
      </c>
      <c r="K15" s="26">
        <v>0.22500000000000001</v>
      </c>
      <c r="L15" s="26">
        <v>0.625</v>
      </c>
      <c r="M15" s="26">
        <v>0.625</v>
      </c>
      <c r="N15" s="26">
        <v>0.6</v>
      </c>
      <c r="O15" s="26">
        <v>0.57499999999999996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34">
        <v>0</v>
      </c>
      <c r="W15" s="25">
        <v>0</v>
      </c>
      <c r="X15" s="25">
        <v>0</v>
      </c>
      <c r="Y15" s="25">
        <v>0</v>
      </c>
      <c r="Z15" s="26">
        <v>0</v>
      </c>
      <c r="AA15" s="26">
        <v>0</v>
      </c>
      <c r="AB15" s="26">
        <v>0</v>
      </c>
      <c r="AC15" s="26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0</v>
      </c>
      <c r="AK15" s="25">
        <v>0</v>
      </c>
      <c r="AL15" s="25">
        <v>0</v>
      </c>
      <c r="AM15" s="25">
        <v>0</v>
      </c>
      <c r="AN15" s="25">
        <v>0</v>
      </c>
      <c r="AO15" s="25">
        <v>0.4</v>
      </c>
      <c r="AP15" s="25">
        <v>0</v>
      </c>
      <c r="AQ15" s="25">
        <v>0.25</v>
      </c>
      <c r="AR15" s="25">
        <v>0.25</v>
      </c>
      <c r="AS15" s="25">
        <v>0.2</v>
      </c>
      <c r="AT15" s="25">
        <v>0</v>
      </c>
      <c r="AU15" s="25">
        <v>0</v>
      </c>
      <c r="AV15" s="25">
        <v>0</v>
      </c>
    </row>
    <row r="16" spans="2:51" hidden="1">
      <c r="B16" s="23" t="s">
        <v>44</v>
      </c>
      <c r="C16" s="24" t="s">
        <v>56</v>
      </c>
      <c r="D16" s="24" t="s">
        <v>56</v>
      </c>
      <c r="E16" s="25">
        <v>0.6</v>
      </c>
      <c r="F16" s="25">
        <v>0.6</v>
      </c>
      <c r="G16" s="25">
        <v>0.71</v>
      </c>
      <c r="H16" s="26">
        <v>0.375</v>
      </c>
      <c r="I16" s="25">
        <v>0.15</v>
      </c>
      <c r="J16" s="26">
        <v>0.375</v>
      </c>
      <c r="K16" s="26">
        <v>0.22500000000000001</v>
      </c>
      <c r="L16" s="26">
        <v>0.625</v>
      </c>
      <c r="M16" s="26">
        <v>0.625</v>
      </c>
      <c r="N16" s="26">
        <v>0.6</v>
      </c>
      <c r="O16" s="26">
        <v>0.57499999999999996</v>
      </c>
      <c r="P16" s="25">
        <v>0</v>
      </c>
      <c r="Q16" s="25">
        <v>0</v>
      </c>
      <c r="R16" s="25">
        <v>0</v>
      </c>
      <c r="S16" s="25">
        <v>0</v>
      </c>
      <c r="T16" s="25">
        <v>0</v>
      </c>
      <c r="U16" s="25">
        <v>0</v>
      </c>
      <c r="V16" s="34">
        <v>0</v>
      </c>
      <c r="W16" s="25">
        <v>0</v>
      </c>
      <c r="X16" s="25">
        <v>0</v>
      </c>
      <c r="Y16" s="25">
        <v>0</v>
      </c>
      <c r="Z16" s="26">
        <v>0</v>
      </c>
      <c r="AA16" s="26">
        <v>0</v>
      </c>
      <c r="AB16" s="26">
        <v>0</v>
      </c>
      <c r="AC16" s="26">
        <v>0</v>
      </c>
      <c r="AD16" s="25">
        <v>0</v>
      </c>
      <c r="AE16" s="25">
        <v>0</v>
      </c>
      <c r="AF16" s="25">
        <v>0</v>
      </c>
      <c r="AG16" s="25">
        <v>0</v>
      </c>
      <c r="AH16" s="25">
        <v>0</v>
      </c>
      <c r="AI16" s="25">
        <v>0</v>
      </c>
      <c r="AJ16" s="25">
        <v>0</v>
      </c>
      <c r="AK16" s="25">
        <v>0</v>
      </c>
      <c r="AL16" s="25">
        <v>0</v>
      </c>
      <c r="AM16" s="25">
        <v>0</v>
      </c>
      <c r="AN16" s="25">
        <v>0</v>
      </c>
      <c r="AO16" s="25">
        <v>0.4</v>
      </c>
      <c r="AP16" s="25">
        <v>0</v>
      </c>
      <c r="AQ16" s="25">
        <v>0.25</v>
      </c>
      <c r="AR16" s="25">
        <v>0.25</v>
      </c>
      <c r="AS16" s="25">
        <v>0.2</v>
      </c>
      <c r="AT16" s="25">
        <v>0</v>
      </c>
      <c r="AU16" s="25">
        <v>0</v>
      </c>
      <c r="AV16" s="25">
        <v>0</v>
      </c>
    </row>
    <row r="17" spans="2:48" hidden="1">
      <c r="B17" s="23" t="s">
        <v>44</v>
      </c>
      <c r="C17" s="24" t="s">
        <v>57</v>
      </c>
      <c r="D17" s="24" t="s">
        <v>57</v>
      </c>
      <c r="E17" s="25">
        <v>0.57499999999999996</v>
      </c>
      <c r="F17" s="25">
        <v>0.57499999999999996</v>
      </c>
      <c r="G17" s="25">
        <v>0.71</v>
      </c>
      <c r="H17" s="26">
        <v>0.375</v>
      </c>
      <c r="I17" s="25">
        <v>0.15</v>
      </c>
      <c r="J17" s="26">
        <v>0.375</v>
      </c>
      <c r="K17" s="26">
        <v>0.22500000000000001</v>
      </c>
      <c r="L17" s="26">
        <v>0.625</v>
      </c>
      <c r="M17" s="26">
        <v>0.625</v>
      </c>
      <c r="N17" s="26">
        <v>0.6</v>
      </c>
      <c r="O17" s="26">
        <v>0.57499999999999996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34">
        <v>0</v>
      </c>
      <c r="W17" s="25">
        <v>0</v>
      </c>
      <c r="X17" s="25">
        <v>0</v>
      </c>
      <c r="Y17" s="25">
        <v>0</v>
      </c>
      <c r="Z17" s="26">
        <v>0</v>
      </c>
      <c r="AA17" s="26">
        <v>0</v>
      </c>
      <c r="AB17" s="26">
        <v>0</v>
      </c>
      <c r="AC17" s="26">
        <v>0</v>
      </c>
      <c r="AD17" s="25">
        <v>0</v>
      </c>
      <c r="AE17" s="25">
        <v>0</v>
      </c>
      <c r="AF17" s="25">
        <v>0</v>
      </c>
      <c r="AG17" s="25">
        <v>0</v>
      </c>
      <c r="AH17" s="25">
        <v>0</v>
      </c>
      <c r="AI17" s="25">
        <v>0</v>
      </c>
      <c r="AJ17" s="25">
        <v>0</v>
      </c>
      <c r="AK17" s="25">
        <v>0</v>
      </c>
      <c r="AL17" s="25">
        <v>0</v>
      </c>
      <c r="AM17" s="25">
        <v>0</v>
      </c>
      <c r="AN17" s="25">
        <v>0</v>
      </c>
      <c r="AO17" s="25">
        <v>0.4</v>
      </c>
      <c r="AP17" s="25">
        <v>0</v>
      </c>
      <c r="AQ17" s="25">
        <v>0.25</v>
      </c>
      <c r="AR17" s="25">
        <v>0.25</v>
      </c>
      <c r="AS17" s="25">
        <v>0.2</v>
      </c>
      <c r="AT17" s="25">
        <v>0</v>
      </c>
      <c r="AU17" s="25">
        <v>0</v>
      </c>
      <c r="AV17" s="25">
        <v>0</v>
      </c>
    </row>
    <row r="18" spans="2:48" hidden="1">
      <c r="B18" s="23" t="s">
        <v>44</v>
      </c>
      <c r="C18" s="23" t="s">
        <v>58</v>
      </c>
      <c r="D18" s="24" t="s">
        <v>59</v>
      </c>
      <c r="E18" s="25">
        <v>0</v>
      </c>
      <c r="F18" s="25">
        <v>0</v>
      </c>
      <c r="G18" s="25">
        <v>0.71</v>
      </c>
      <c r="H18" s="26">
        <v>0.4</v>
      </c>
      <c r="I18" s="25">
        <v>0.15</v>
      </c>
      <c r="J18" s="26">
        <v>0.4</v>
      </c>
      <c r="K18" s="26">
        <v>0.25</v>
      </c>
      <c r="L18" s="26">
        <v>0.625</v>
      </c>
      <c r="M18" s="26">
        <v>0.625</v>
      </c>
      <c r="N18" s="26">
        <v>0.6</v>
      </c>
      <c r="O18" s="26">
        <v>0.57499999999999996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34">
        <v>0.15</v>
      </c>
      <c r="W18" s="34">
        <v>0.25</v>
      </c>
      <c r="X18" s="25">
        <v>2.5000000000000001E-2</v>
      </c>
      <c r="Y18" s="25">
        <v>0.2</v>
      </c>
      <c r="Z18" s="26">
        <v>0.25</v>
      </c>
      <c r="AA18" s="26">
        <v>0.45</v>
      </c>
      <c r="AB18" s="26">
        <v>0.15</v>
      </c>
      <c r="AC18" s="26">
        <v>0.4</v>
      </c>
      <c r="AD18" s="25">
        <v>0</v>
      </c>
      <c r="AE18" s="25">
        <v>0</v>
      </c>
      <c r="AF18" s="25">
        <v>0</v>
      </c>
      <c r="AG18" s="25">
        <v>0</v>
      </c>
      <c r="AH18" s="25">
        <v>0</v>
      </c>
      <c r="AI18" s="25">
        <v>0</v>
      </c>
      <c r="AJ18" s="25">
        <v>0</v>
      </c>
      <c r="AK18" s="25">
        <v>0</v>
      </c>
      <c r="AL18" s="25">
        <v>0</v>
      </c>
      <c r="AM18" s="25">
        <v>0</v>
      </c>
      <c r="AN18" s="25">
        <v>0</v>
      </c>
      <c r="AO18" s="25">
        <v>0.4</v>
      </c>
      <c r="AP18" s="25">
        <v>0</v>
      </c>
      <c r="AQ18" s="25">
        <v>0.52500000000000002</v>
      </c>
      <c r="AR18" s="25">
        <v>0.25</v>
      </c>
      <c r="AS18" s="25">
        <v>0.25</v>
      </c>
      <c r="AT18" s="25">
        <v>0</v>
      </c>
      <c r="AU18" s="25">
        <v>0</v>
      </c>
      <c r="AV18" s="25">
        <v>0</v>
      </c>
    </row>
    <row r="19" spans="2:48" hidden="1">
      <c r="B19" s="23" t="s">
        <v>44</v>
      </c>
      <c r="C19" s="23" t="s">
        <v>58</v>
      </c>
      <c r="D19" s="24" t="s">
        <v>60</v>
      </c>
      <c r="E19" s="25">
        <v>0</v>
      </c>
      <c r="F19" s="25">
        <v>0</v>
      </c>
      <c r="G19" s="25">
        <v>0.71</v>
      </c>
      <c r="H19" s="26">
        <v>0.4</v>
      </c>
      <c r="I19" s="25">
        <v>0.15</v>
      </c>
      <c r="J19" s="26">
        <v>0.4</v>
      </c>
      <c r="K19" s="26">
        <v>0.25</v>
      </c>
      <c r="L19" s="26">
        <v>0.625</v>
      </c>
      <c r="M19" s="26">
        <v>0.625</v>
      </c>
      <c r="N19" s="26">
        <v>0.6</v>
      </c>
      <c r="O19" s="26">
        <v>0.57499999999999996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34">
        <v>0.15</v>
      </c>
      <c r="W19" s="34">
        <v>0.25</v>
      </c>
      <c r="X19" s="25">
        <v>2.5000000000000001E-2</v>
      </c>
      <c r="Y19" s="25">
        <v>0.2</v>
      </c>
      <c r="Z19" s="26">
        <v>0.25</v>
      </c>
      <c r="AA19" s="26">
        <v>0.45</v>
      </c>
      <c r="AB19" s="26">
        <v>0.15</v>
      </c>
      <c r="AC19" s="26">
        <v>0.4</v>
      </c>
      <c r="AD19" s="25">
        <v>0</v>
      </c>
      <c r="AE19" s="25">
        <v>0</v>
      </c>
      <c r="AF19" s="25">
        <v>0</v>
      </c>
      <c r="AG19" s="25">
        <v>0</v>
      </c>
      <c r="AH19" s="25">
        <v>0</v>
      </c>
      <c r="AI19" s="25">
        <v>0</v>
      </c>
      <c r="AJ19" s="25">
        <v>0</v>
      </c>
      <c r="AK19" s="25">
        <v>0</v>
      </c>
      <c r="AL19" s="25">
        <v>0</v>
      </c>
      <c r="AM19" s="25">
        <v>0</v>
      </c>
      <c r="AN19" s="25">
        <v>0</v>
      </c>
      <c r="AO19" s="25">
        <v>0.4</v>
      </c>
      <c r="AP19" s="25">
        <v>0</v>
      </c>
      <c r="AQ19" s="25">
        <v>0.52500000000000002</v>
      </c>
      <c r="AR19" s="25">
        <v>0.25</v>
      </c>
      <c r="AS19" s="25">
        <v>0.25</v>
      </c>
      <c r="AT19" s="25">
        <v>0</v>
      </c>
      <c r="AU19" s="25">
        <v>0</v>
      </c>
      <c r="AV19" s="25">
        <v>0</v>
      </c>
    </row>
    <row r="20" spans="2:48" hidden="1">
      <c r="B20" s="23" t="s">
        <v>44</v>
      </c>
      <c r="C20" s="23" t="s">
        <v>58</v>
      </c>
      <c r="D20" s="24" t="s">
        <v>61</v>
      </c>
      <c r="E20" s="25">
        <v>0</v>
      </c>
      <c r="F20" s="25">
        <v>0</v>
      </c>
      <c r="G20" s="25">
        <v>0.71</v>
      </c>
      <c r="H20" s="26">
        <v>0.4</v>
      </c>
      <c r="I20" s="25">
        <v>0.15</v>
      </c>
      <c r="J20" s="26">
        <v>0.4</v>
      </c>
      <c r="K20" s="26">
        <v>0.25</v>
      </c>
      <c r="L20" s="26">
        <v>0.625</v>
      </c>
      <c r="M20" s="26">
        <v>0.625</v>
      </c>
      <c r="N20" s="26">
        <v>0.6</v>
      </c>
      <c r="O20" s="26">
        <v>0.57499999999999996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34">
        <v>0.15</v>
      </c>
      <c r="W20" s="34">
        <v>0.25</v>
      </c>
      <c r="X20" s="25">
        <v>2.5000000000000001E-2</v>
      </c>
      <c r="Y20" s="25">
        <v>0.2</v>
      </c>
      <c r="Z20" s="26">
        <v>0.25</v>
      </c>
      <c r="AA20" s="26">
        <v>0.45</v>
      </c>
      <c r="AB20" s="26">
        <v>0.15</v>
      </c>
      <c r="AC20" s="26">
        <v>0.4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0</v>
      </c>
      <c r="AO20" s="25">
        <v>0.4</v>
      </c>
      <c r="AP20" s="25">
        <v>0</v>
      </c>
      <c r="AQ20" s="25">
        <v>0.25</v>
      </c>
      <c r="AR20" s="25">
        <v>0.25</v>
      </c>
      <c r="AS20" s="25">
        <v>0.25</v>
      </c>
      <c r="AT20" s="25">
        <v>0</v>
      </c>
      <c r="AU20" s="25">
        <v>0</v>
      </c>
      <c r="AV20" s="25">
        <v>0</v>
      </c>
    </row>
    <row r="21" spans="2:48" hidden="1">
      <c r="B21" s="23" t="s">
        <v>44</v>
      </c>
      <c r="C21" s="23" t="s">
        <v>58</v>
      </c>
      <c r="D21" s="24" t="s">
        <v>62</v>
      </c>
      <c r="E21" s="25">
        <v>0</v>
      </c>
      <c r="F21" s="25">
        <v>0</v>
      </c>
      <c r="G21" s="25">
        <v>0.71</v>
      </c>
      <c r="H21" s="26">
        <v>0.4</v>
      </c>
      <c r="I21" s="25">
        <v>0.15</v>
      </c>
      <c r="J21" s="26">
        <v>0.4</v>
      </c>
      <c r="K21" s="26">
        <v>0.25</v>
      </c>
      <c r="L21" s="26">
        <v>0.625</v>
      </c>
      <c r="M21" s="26">
        <v>0.625</v>
      </c>
      <c r="N21" s="26">
        <v>0.6</v>
      </c>
      <c r="O21" s="26">
        <v>0.57499999999999996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34">
        <v>0.15</v>
      </c>
      <c r="W21" s="34">
        <v>0.25</v>
      </c>
      <c r="X21" s="25">
        <v>2.5000000000000001E-2</v>
      </c>
      <c r="Y21" s="25">
        <v>0.2</v>
      </c>
      <c r="Z21" s="26">
        <v>0.25</v>
      </c>
      <c r="AA21" s="26">
        <v>0.45</v>
      </c>
      <c r="AB21" s="26">
        <v>0.15</v>
      </c>
      <c r="AC21" s="26">
        <v>0.4</v>
      </c>
      <c r="AD21" s="25">
        <v>0</v>
      </c>
      <c r="AE21" s="25">
        <v>0</v>
      </c>
      <c r="AF21" s="25">
        <v>0</v>
      </c>
      <c r="AG21" s="25">
        <v>0</v>
      </c>
      <c r="AH21" s="25">
        <v>0</v>
      </c>
      <c r="AI21" s="25">
        <v>0</v>
      </c>
      <c r="AJ21" s="25">
        <v>0</v>
      </c>
      <c r="AK21" s="25">
        <v>0</v>
      </c>
      <c r="AL21" s="25">
        <v>0</v>
      </c>
      <c r="AM21" s="25">
        <v>0</v>
      </c>
      <c r="AN21" s="25">
        <v>0</v>
      </c>
      <c r="AO21" s="25">
        <v>0.4</v>
      </c>
      <c r="AP21" s="25">
        <v>0</v>
      </c>
      <c r="AQ21" s="25">
        <v>0.52500000000000002</v>
      </c>
      <c r="AR21" s="25">
        <v>0.25</v>
      </c>
      <c r="AS21" s="25">
        <v>0.25</v>
      </c>
      <c r="AT21" s="25">
        <v>0</v>
      </c>
      <c r="AU21" s="25">
        <v>0</v>
      </c>
      <c r="AV21" s="25">
        <v>0</v>
      </c>
    </row>
    <row r="22" spans="2:48" hidden="1">
      <c r="B22" s="23" t="s">
        <v>44</v>
      </c>
      <c r="C22" s="23" t="s">
        <v>58</v>
      </c>
      <c r="D22" s="24" t="s">
        <v>63</v>
      </c>
      <c r="E22" s="25">
        <v>0</v>
      </c>
      <c r="F22" s="25">
        <v>0</v>
      </c>
      <c r="G22" s="25">
        <v>0.71</v>
      </c>
      <c r="H22" s="26">
        <v>0.4</v>
      </c>
      <c r="I22" s="25">
        <v>0.15</v>
      </c>
      <c r="J22" s="26">
        <v>0.4</v>
      </c>
      <c r="K22" s="26">
        <v>0.25</v>
      </c>
      <c r="L22" s="26">
        <v>0.625</v>
      </c>
      <c r="M22" s="26">
        <v>0.625</v>
      </c>
      <c r="N22" s="26">
        <v>0.6</v>
      </c>
      <c r="O22" s="26">
        <v>0.57499999999999996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34">
        <v>0.15</v>
      </c>
      <c r="W22" s="34">
        <v>0.25</v>
      </c>
      <c r="X22" s="25">
        <v>2.5000000000000001E-2</v>
      </c>
      <c r="Y22" s="25">
        <v>0.2</v>
      </c>
      <c r="Z22" s="26">
        <v>0.25</v>
      </c>
      <c r="AA22" s="26">
        <v>0.45</v>
      </c>
      <c r="AB22" s="26">
        <v>0.15</v>
      </c>
      <c r="AC22" s="26">
        <v>0.4</v>
      </c>
      <c r="AD22" s="25">
        <v>0</v>
      </c>
      <c r="AE22" s="25">
        <v>0</v>
      </c>
      <c r="AF22" s="25">
        <v>0</v>
      </c>
      <c r="AG22" s="25">
        <v>0</v>
      </c>
      <c r="AH22" s="25">
        <v>0</v>
      </c>
      <c r="AI22" s="25">
        <v>0</v>
      </c>
      <c r="AJ22" s="25">
        <v>0</v>
      </c>
      <c r="AK22" s="25">
        <v>0</v>
      </c>
      <c r="AL22" s="25">
        <v>0</v>
      </c>
      <c r="AM22" s="25">
        <v>0</v>
      </c>
      <c r="AN22" s="25">
        <v>0</v>
      </c>
      <c r="AO22" s="25">
        <v>0.4</v>
      </c>
      <c r="AP22" s="25">
        <v>0</v>
      </c>
      <c r="AQ22" s="25">
        <v>0.52500000000000002</v>
      </c>
      <c r="AR22" s="25">
        <v>0.25</v>
      </c>
      <c r="AS22" s="25">
        <v>0.25</v>
      </c>
      <c r="AT22" s="25">
        <v>0</v>
      </c>
      <c r="AU22" s="25">
        <v>0</v>
      </c>
      <c r="AV22" s="25">
        <v>0</v>
      </c>
    </row>
    <row r="23" spans="2:48" hidden="1">
      <c r="B23" s="28" t="s">
        <v>44</v>
      </c>
      <c r="C23" s="29" t="s">
        <v>64</v>
      </c>
      <c r="D23" s="29" t="s">
        <v>64</v>
      </c>
      <c r="E23" s="25">
        <v>0.5</v>
      </c>
      <c r="F23" s="25">
        <v>0.5</v>
      </c>
      <c r="G23" s="25">
        <v>0.6</v>
      </c>
      <c r="H23" s="25">
        <v>0</v>
      </c>
      <c r="I23" s="25">
        <v>0</v>
      </c>
      <c r="J23" s="26">
        <v>0</v>
      </c>
      <c r="K23" s="26">
        <v>0</v>
      </c>
      <c r="L23" s="26">
        <v>0</v>
      </c>
      <c r="M23" s="26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5">
        <v>0</v>
      </c>
      <c r="V23" s="34">
        <v>0</v>
      </c>
      <c r="W23" s="25">
        <v>0</v>
      </c>
      <c r="X23" s="25">
        <v>0</v>
      </c>
      <c r="Y23" s="25">
        <v>0</v>
      </c>
      <c r="Z23" s="26">
        <v>0</v>
      </c>
      <c r="AA23" s="26">
        <v>0</v>
      </c>
      <c r="AB23" s="26">
        <v>0</v>
      </c>
      <c r="AC23" s="26">
        <v>0</v>
      </c>
      <c r="AD23" s="25">
        <v>0</v>
      </c>
      <c r="AE23" s="25">
        <v>0</v>
      </c>
      <c r="AF23" s="25">
        <v>0</v>
      </c>
      <c r="AG23" s="25">
        <v>0</v>
      </c>
      <c r="AH23" s="25">
        <v>0</v>
      </c>
      <c r="AI23" s="25">
        <v>0</v>
      </c>
      <c r="AJ23" s="25">
        <v>0</v>
      </c>
      <c r="AK23" s="25">
        <v>0</v>
      </c>
      <c r="AL23" s="25">
        <v>0</v>
      </c>
      <c r="AM23" s="25">
        <v>0</v>
      </c>
      <c r="AN23" s="25">
        <v>0</v>
      </c>
      <c r="AO23" s="25">
        <v>0</v>
      </c>
      <c r="AP23" s="25">
        <v>0</v>
      </c>
      <c r="AQ23" s="38">
        <v>0</v>
      </c>
      <c r="AR23" s="38">
        <v>0</v>
      </c>
      <c r="AS23" s="38">
        <v>0</v>
      </c>
      <c r="AT23" s="25">
        <v>0</v>
      </c>
      <c r="AU23" s="25">
        <v>0</v>
      </c>
      <c r="AV23" s="25">
        <v>0</v>
      </c>
    </row>
    <row r="24" spans="2:48">
      <c r="B24" s="23" t="s">
        <v>65</v>
      </c>
      <c r="C24" s="24" t="s">
        <v>66</v>
      </c>
      <c r="D24" s="24" t="s">
        <v>66</v>
      </c>
      <c r="E24" s="25">
        <v>0</v>
      </c>
      <c r="F24" s="25">
        <v>0</v>
      </c>
      <c r="G24" s="26">
        <v>0.72499999999999998</v>
      </c>
      <c r="H24" s="25">
        <v>0</v>
      </c>
      <c r="I24" s="25">
        <v>0</v>
      </c>
      <c r="J24" s="25">
        <v>0</v>
      </c>
      <c r="K24" s="25">
        <v>0</v>
      </c>
      <c r="L24" s="25">
        <v>0.27500000000000002</v>
      </c>
      <c r="M24" s="25">
        <f>L24-2.5%</f>
        <v>0.25</v>
      </c>
      <c r="N24" s="25">
        <v>0.17499999999999999</v>
      </c>
      <c r="O24" s="25">
        <f t="shared" ref="O24:O27" si="0">N24-5%</f>
        <v>0.12499999999999999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0</v>
      </c>
      <c r="AG24" s="25">
        <v>0</v>
      </c>
      <c r="AH24" s="25">
        <v>0</v>
      </c>
      <c r="AI24" s="25">
        <v>0</v>
      </c>
      <c r="AJ24" s="25">
        <v>0</v>
      </c>
      <c r="AK24" s="25">
        <v>0</v>
      </c>
      <c r="AL24" s="25">
        <v>0</v>
      </c>
      <c r="AM24" s="25">
        <v>0</v>
      </c>
      <c r="AN24" s="25">
        <v>0</v>
      </c>
      <c r="AO24" s="25">
        <v>0</v>
      </c>
      <c r="AP24" s="25">
        <v>0</v>
      </c>
      <c r="AQ24" s="25">
        <v>0.35</v>
      </c>
      <c r="AR24" s="25">
        <v>0</v>
      </c>
      <c r="AS24" s="25">
        <v>0</v>
      </c>
      <c r="AT24" s="25">
        <v>0</v>
      </c>
      <c r="AU24" s="25">
        <v>0</v>
      </c>
      <c r="AV24" s="25">
        <v>0</v>
      </c>
    </row>
    <row r="25" spans="2:48">
      <c r="B25" s="23" t="s">
        <v>65</v>
      </c>
      <c r="C25" s="24" t="s">
        <v>67</v>
      </c>
      <c r="D25" s="24" t="s">
        <v>67</v>
      </c>
      <c r="E25" s="25">
        <v>0</v>
      </c>
      <c r="F25" s="25">
        <v>0</v>
      </c>
      <c r="G25" s="26">
        <v>0.72499999999999998</v>
      </c>
      <c r="H25" s="25">
        <v>0.2</v>
      </c>
      <c r="I25" s="25">
        <v>0.1</v>
      </c>
      <c r="J25" s="25">
        <v>0.2</v>
      </c>
      <c r="K25" s="25">
        <v>0.05</v>
      </c>
      <c r="L25" s="25">
        <v>0.4</v>
      </c>
      <c r="M25" s="25">
        <f t="shared" ref="M25:M40" si="1">L25-2.5%</f>
        <v>0.375</v>
      </c>
      <c r="N25" s="25">
        <v>0.3</v>
      </c>
      <c r="O25" s="25">
        <f t="shared" si="0"/>
        <v>0.25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2.5000000000000001E-2</v>
      </c>
      <c r="W25" s="25">
        <v>0.2</v>
      </c>
      <c r="X25" s="25">
        <v>2.5000000000000001E-2</v>
      </c>
      <c r="Y25" s="25">
        <v>0.2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  <c r="AR25" s="25">
        <v>0</v>
      </c>
      <c r="AS25" s="25">
        <v>0</v>
      </c>
      <c r="AT25" s="25">
        <v>0</v>
      </c>
      <c r="AU25" s="25">
        <v>0</v>
      </c>
      <c r="AV25" s="25">
        <v>0</v>
      </c>
    </row>
    <row r="26" spans="2:48">
      <c r="B26" s="23" t="s">
        <v>65</v>
      </c>
      <c r="C26" s="24" t="s">
        <v>68</v>
      </c>
      <c r="D26" s="24" t="s">
        <v>68</v>
      </c>
      <c r="E26" s="25">
        <v>0</v>
      </c>
      <c r="F26" s="25">
        <v>0</v>
      </c>
      <c r="G26" s="26">
        <v>0.72499999999999998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25">
        <v>0</v>
      </c>
      <c r="AC26" s="25">
        <v>0</v>
      </c>
      <c r="AD26" s="25">
        <v>0</v>
      </c>
      <c r="AE26" s="25">
        <v>0</v>
      </c>
      <c r="AF26" s="25">
        <v>0</v>
      </c>
      <c r="AG26" s="25">
        <v>0</v>
      </c>
      <c r="AH26" s="25">
        <v>0</v>
      </c>
      <c r="AI26" s="25">
        <v>0</v>
      </c>
      <c r="AJ26" s="25">
        <v>0</v>
      </c>
      <c r="AK26" s="25">
        <v>0</v>
      </c>
      <c r="AL26" s="25">
        <v>0</v>
      </c>
      <c r="AM26" s="25">
        <v>0</v>
      </c>
      <c r="AN26" s="25">
        <v>0</v>
      </c>
      <c r="AO26" s="25">
        <v>0</v>
      </c>
      <c r="AP26" s="25">
        <v>0</v>
      </c>
      <c r="AQ26" s="25">
        <v>0</v>
      </c>
      <c r="AR26" s="25">
        <v>0</v>
      </c>
      <c r="AS26" s="25">
        <v>0</v>
      </c>
      <c r="AT26" s="25">
        <v>0</v>
      </c>
      <c r="AU26" s="25">
        <v>0</v>
      </c>
      <c r="AV26" s="25">
        <v>0</v>
      </c>
    </row>
    <row r="27" spans="2:48" hidden="1">
      <c r="B27" s="23" t="s">
        <v>65</v>
      </c>
      <c r="C27" s="24" t="s">
        <v>69</v>
      </c>
      <c r="D27" s="24" t="s">
        <v>69</v>
      </c>
      <c r="E27" s="25">
        <v>0</v>
      </c>
      <c r="F27" s="25">
        <v>0</v>
      </c>
      <c r="G27" s="26">
        <v>0.72499999999999998</v>
      </c>
      <c r="H27" s="25">
        <v>0</v>
      </c>
      <c r="I27" s="25">
        <v>0</v>
      </c>
      <c r="J27" s="25">
        <v>0</v>
      </c>
      <c r="K27" s="25">
        <v>0</v>
      </c>
      <c r="L27" s="25">
        <v>0.4</v>
      </c>
      <c r="M27" s="25">
        <f t="shared" si="1"/>
        <v>0.375</v>
      </c>
      <c r="N27" s="25">
        <v>0.3</v>
      </c>
      <c r="O27" s="25">
        <f t="shared" si="0"/>
        <v>0.25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25">
        <v>0</v>
      </c>
      <c r="AM27" s="25">
        <v>0</v>
      </c>
      <c r="AN27" s="25">
        <v>0</v>
      </c>
      <c r="AO27" s="25">
        <v>0</v>
      </c>
      <c r="AP27" s="25">
        <v>0</v>
      </c>
      <c r="AQ27" s="25">
        <v>0</v>
      </c>
      <c r="AR27" s="25">
        <v>0</v>
      </c>
      <c r="AS27" s="25">
        <v>0</v>
      </c>
      <c r="AT27" s="25">
        <v>0</v>
      </c>
      <c r="AU27" s="25">
        <v>0</v>
      </c>
      <c r="AV27" s="25">
        <v>0</v>
      </c>
    </row>
    <row r="28" spans="2:48" hidden="1">
      <c r="B28" s="23" t="s">
        <v>65</v>
      </c>
      <c r="C28" s="23" t="s">
        <v>70</v>
      </c>
      <c r="D28" s="24" t="s">
        <v>70</v>
      </c>
      <c r="E28" s="25">
        <v>0</v>
      </c>
      <c r="F28" s="25">
        <v>0</v>
      </c>
      <c r="G28" s="26">
        <v>0.72499999999999998</v>
      </c>
      <c r="H28" s="25">
        <v>0</v>
      </c>
      <c r="I28" s="25">
        <v>0</v>
      </c>
      <c r="J28" s="25">
        <v>0</v>
      </c>
      <c r="K28" s="25">
        <v>0</v>
      </c>
      <c r="L28" s="25">
        <v>0.35</v>
      </c>
      <c r="M28" s="25">
        <f t="shared" si="1"/>
        <v>0.32499999999999996</v>
      </c>
      <c r="N28" s="25">
        <v>0.25</v>
      </c>
      <c r="O28" s="25">
        <f t="shared" ref="O28:O40" si="2">N28-5%</f>
        <v>0.2</v>
      </c>
      <c r="P28" s="25">
        <v>0</v>
      </c>
      <c r="Q28" s="25">
        <v>0</v>
      </c>
      <c r="R28" s="25">
        <v>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>
        <v>0</v>
      </c>
      <c r="AH28" s="25">
        <v>0</v>
      </c>
      <c r="AI28" s="25">
        <v>0</v>
      </c>
      <c r="AJ28" s="25">
        <v>0</v>
      </c>
      <c r="AK28" s="25">
        <v>0</v>
      </c>
      <c r="AL28" s="25">
        <v>0</v>
      </c>
      <c r="AM28" s="25">
        <v>0</v>
      </c>
      <c r="AN28" s="25">
        <v>0</v>
      </c>
      <c r="AO28" s="25">
        <v>0.35</v>
      </c>
      <c r="AP28" s="25">
        <v>0</v>
      </c>
      <c r="AQ28" s="25">
        <v>0.35</v>
      </c>
      <c r="AR28" s="25">
        <v>0</v>
      </c>
      <c r="AS28" s="25">
        <v>0</v>
      </c>
      <c r="AT28" s="25">
        <v>0</v>
      </c>
      <c r="AU28" s="25">
        <v>0</v>
      </c>
      <c r="AV28" s="25">
        <v>0</v>
      </c>
    </row>
    <row r="29" spans="2:48" hidden="1">
      <c r="B29" s="23" t="s">
        <v>65</v>
      </c>
      <c r="C29" s="23" t="s">
        <v>70</v>
      </c>
      <c r="D29" s="24" t="s">
        <v>71</v>
      </c>
      <c r="E29" s="25">
        <v>0</v>
      </c>
      <c r="F29" s="25">
        <v>0</v>
      </c>
      <c r="G29" s="26">
        <v>0.72499999999999998</v>
      </c>
      <c r="H29" s="25">
        <v>0</v>
      </c>
      <c r="I29" s="25">
        <v>0</v>
      </c>
      <c r="J29" s="25">
        <v>0</v>
      </c>
      <c r="K29" s="25">
        <v>0</v>
      </c>
      <c r="L29" s="25">
        <v>0.35</v>
      </c>
      <c r="M29" s="25">
        <f t="shared" si="1"/>
        <v>0.32499999999999996</v>
      </c>
      <c r="N29" s="25">
        <v>0.25</v>
      </c>
      <c r="O29" s="25">
        <f t="shared" si="2"/>
        <v>0.2</v>
      </c>
      <c r="P29" s="25">
        <v>0</v>
      </c>
      <c r="Q29" s="25">
        <v>0</v>
      </c>
      <c r="R29" s="25">
        <v>0</v>
      </c>
      <c r="S29" s="25">
        <v>0</v>
      </c>
      <c r="T29" s="25">
        <v>0</v>
      </c>
      <c r="U29" s="25">
        <v>0</v>
      </c>
      <c r="V29" s="25">
        <v>0</v>
      </c>
      <c r="W29" s="25">
        <v>0</v>
      </c>
      <c r="X29" s="25">
        <v>0</v>
      </c>
      <c r="Y29" s="25">
        <v>0</v>
      </c>
      <c r="Z29" s="25">
        <v>0</v>
      </c>
      <c r="AA29" s="25">
        <v>0</v>
      </c>
      <c r="AB29" s="25">
        <v>0</v>
      </c>
      <c r="AC29" s="25">
        <v>0</v>
      </c>
      <c r="AD29" s="25">
        <v>0</v>
      </c>
      <c r="AE29" s="25">
        <v>0</v>
      </c>
      <c r="AF29" s="25">
        <v>0</v>
      </c>
      <c r="AG29" s="25">
        <v>0</v>
      </c>
      <c r="AH29" s="25">
        <v>0</v>
      </c>
      <c r="AI29" s="25">
        <v>0</v>
      </c>
      <c r="AJ29" s="25">
        <v>0</v>
      </c>
      <c r="AK29" s="25">
        <v>0</v>
      </c>
      <c r="AL29" s="25">
        <v>0</v>
      </c>
      <c r="AM29" s="25">
        <v>0</v>
      </c>
      <c r="AN29" s="25">
        <v>0</v>
      </c>
      <c r="AO29" s="25">
        <v>0.35</v>
      </c>
      <c r="AP29" s="25">
        <v>0</v>
      </c>
      <c r="AQ29" s="25">
        <v>0.35</v>
      </c>
      <c r="AR29" s="25">
        <v>0</v>
      </c>
      <c r="AS29" s="25">
        <v>0</v>
      </c>
      <c r="AT29" s="25">
        <v>0</v>
      </c>
      <c r="AU29" s="25">
        <v>0</v>
      </c>
      <c r="AV29" s="25">
        <v>0</v>
      </c>
    </row>
    <row r="30" spans="2:48" hidden="1">
      <c r="B30" s="23" t="s">
        <v>65</v>
      </c>
      <c r="C30" s="23" t="s">
        <v>70</v>
      </c>
      <c r="D30" s="24" t="s">
        <v>72</v>
      </c>
      <c r="E30" s="25">
        <v>0</v>
      </c>
      <c r="F30" s="25">
        <v>0</v>
      </c>
      <c r="G30" s="26">
        <v>0.72499999999999998</v>
      </c>
      <c r="H30" s="25">
        <v>0</v>
      </c>
      <c r="I30" s="25">
        <v>0</v>
      </c>
      <c r="J30" s="25">
        <v>0</v>
      </c>
      <c r="K30" s="25">
        <v>0</v>
      </c>
      <c r="L30" s="25">
        <v>0.35</v>
      </c>
      <c r="M30" s="25">
        <f t="shared" si="1"/>
        <v>0.32499999999999996</v>
      </c>
      <c r="N30" s="25">
        <v>0.25</v>
      </c>
      <c r="O30" s="25">
        <f t="shared" si="2"/>
        <v>0.2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25">
        <v>0</v>
      </c>
      <c r="X30" s="25">
        <v>0</v>
      </c>
      <c r="Y30" s="25">
        <v>0</v>
      </c>
      <c r="Z30" s="25">
        <v>0</v>
      </c>
      <c r="AA30" s="25">
        <v>0</v>
      </c>
      <c r="AB30" s="25">
        <v>0</v>
      </c>
      <c r="AC30" s="25">
        <v>0</v>
      </c>
      <c r="AD30" s="25">
        <v>0</v>
      </c>
      <c r="AE30" s="25">
        <v>0</v>
      </c>
      <c r="AF30" s="25">
        <v>0</v>
      </c>
      <c r="AG30" s="25">
        <v>0</v>
      </c>
      <c r="AH30" s="25">
        <v>0</v>
      </c>
      <c r="AI30" s="25">
        <v>0</v>
      </c>
      <c r="AJ30" s="25">
        <v>0</v>
      </c>
      <c r="AK30" s="25">
        <v>0</v>
      </c>
      <c r="AL30" s="25">
        <v>0</v>
      </c>
      <c r="AM30" s="25">
        <v>0</v>
      </c>
      <c r="AN30" s="25">
        <v>0</v>
      </c>
      <c r="AO30" s="25">
        <v>0.35</v>
      </c>
      <c r="AP30" s="25">
        <v>0</v>
      </c>
      <c r="AQ30" s="25">
        <v>0.35</v>
      </c>
      <c r="AR30" s="25">
        <v>0</v>
      </c>
      <c r="AS30" s="25">
        <v>0</v>
      </c>
      <c r="AT30" s="25">
        <v>0</v>
      </c>
      <c r="AU30" s="25">
        <v>0</v>
      </c>
      <c r="AV30" s="25">
        <v>0</v>
      </c>
    </row>
    <row r="31" spans="2:48" hidden="1">
      <c r="B31" s="23" t="s">
        <v>65</v>
      </c>
      <c r="C31" s="23" t="s">
        <v>73</v>
      </c>
      <c r="D31" s="24" t="s">
        <v>73</v>
      </c>
      <c r="E31" s="25">
        <v>0</v>
      </c>
      <c r="F31" s="25">
        <v>0</v>
      </c>
      <c r="G31" s="26">
        <v>0.65</v>
      </c>
      <c r="H31" s="25">
        <v>0</v>
      </c>
      <c r="I31" s="25">
        <v>0</v>
      </c>
      <c r="J31" s="25">
        <v>0</v>
      </c>
      <c r="K31" s="25">
        <v>0</v>
      </c>
      <c r="L31" s="25">
        <v>0.35</v>
      </c>
      <c r="M31" s="25">
        <f t="shared" si="1"/>
        <v>0.32499999999999996</v>
      </c>
      <c r="N31" s="25">
        <v>0.25</v>
      </c>
      <c r="O31" s="25">
        <f t="shared" si="2"/>
        <v>0.2</v>
      </c>
      <c r="P31" s="25">
        <v>0</v>
      </c>
      <c r="Q31" s="25">
        <v>0</v>
      </c>
      <c r="R31" s="25">
        <v>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25">
        <v>0</v>
      </c>
      <c r="Y31" s="25">
        <v>0</v>
      </c>
      <c r="Z31" s="25">
        <v>0</v>
      </c>
      <c r="AA31" s="25">
        <v>0</v>
      </c>
      <c r="AB31" s="25">
        <v>0</v>
      </c>
      <c r="AC31" s="25">
        <v>0</v>
      </c>
      <c r="AD31" s="25">
        <v>0</v>
      </c>
      <c r="AE31" s="25">
        <v>0</v>
      </c>
      <c r="AF31" s="25">
        <v>0</v>
      </c>
      <c r="AG31" s="25">
        <v>0</v>
      </c>
      <c r="AH31" s="25">
        <v>0</v>
      </c>
      <c r="AI31" s="25">
        <v>0</v>
      </c>
      <c r="AJ31" s="25">
        <v>0</v>
      </c>
      <c r="AK31" s="25">
        <v>0</v>
      </c>
      <c r="AL31" s="25">
        <v>0</v>
      </c>
      <c r="AM31" s="25">
        <v>0</v>
      </c>
      <c r="AN31" s="25">
        <v>0</v>
      </c>
      <c r="AO31" s="25">
        <v>0</v>
      </c>
      <c r="AP31" s="25">
        <v>0</v>
      </c>
      <c r="AQ31" s="25">
        <v>0</v>
      </c>
      <c r="AR31" s="25">
        <v>0</v>
      </c>
      <c r="AS31" s="25">
        <v>0</v>
      </c>
      <c r="AT31" s="25">
        <v>0</v>
      </c>
      <c r="AU31" s="25">
        <v>0</v>
      </c>
      <c r="AV31" s="25">
        <v>0</v>
      </c>
    </row>
    <row r="32" spans="2:48" hidden="1">
      <c r="B32" s="23" t="s">
        <v>65</v>
      </c>
      <c r="C32" s="23" t="s">
        <v>73</v>
      </c>
      <c r="D32" s="24" t="s">
        <v>74</v>
      </c>
      <c r="E32" s="25">
        <v>0</v>
      </c>
      <c r="F32" s="25">
        <v>0</v>
      </c>
      <c r="G32" s="26">
        <v>0.65</v>
      </c>
      <c r="H32" s="25">
        <v>0</v>
      </c>
      <c r="I32" s="25">
        <v>0</v>
      </c>
      <c r="J32" s="25">
        <v>0</v>
      </c>
      <c r="K32" s="25">
        <v>0</v>
      </c>
      <c r="L32" s="25">
        <v>0.35</v>
      </c>
      <c r="M32" s="25">
        <f t="shared" si="1"/>
        <v>0.32499999999999996</v>
      </c>
      <c r="N32" s="25">
        <v>0.25</v>
      </c>
      <c r="O32" s="25">
        <f t="shared" si="2"/>
        <v>0.2</v>
      </c>
      <c r="P32" s="25">
        <v>0</v>
      </c>
      <c r="Q32" s="25">
        <v>0</v>
      </c>
      <c r="R32" s="25">
        <v>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25">
        <v>0</v>
      </c>
      <c r="Y32" s="25">
        <v>0</v>
      </c>
      <c r="Z32" s="25">
        <v>0</v>
      </c>
      <c r="AA32" s="25">
        <v>0</v>
      </c>
      <c r="AB32" s="25">
        <v>0</v>
      </c>
      <c r="AC32" s="25">
        <v>0</v>
      </c>
      <c r="AD32" s="25">
        <v>0</v>
      </c>
      <c r="AE32" s="25">
        <v>0</v>
      </c>
      <c r="AF32" s="25">
        <v>0</v>
      </c>
      <c r="AG32" s="25">
        <v>0</v>
      </c>
      <c r="AH32" s="25">
        <v>0</v>
      </c>
      <c r="AI32" s="25">
        <v>0</v>
      </c>
      <c r="AJ32" s="25">
        <v>0</v>
      </c>
      <c r="AK32" s="25">
        <v>0</v>
      </c>
      <c r="AL32" s="25">
        <v>0</v>
      </c>
      <c r="AM32" s="25">
        <v>0</v>
      </c>
      <c r="AN32" s="25">
        <v>0</v>
      </c>
      <c r="AO32" s="25">
        <v>0</v>
      </c>
      <c r="AP32" s="25">
        <v>0</v>
      </c>
      <c r="AQ32" s="25">
        <v>0</v>
      </c>
      <c r="AR32" s="25">
        <v>0</v>
      </c>
      <c r="AS32" s="25">
        <v>0</v>
      </c>
      <c r="AT32" s="25">
        <v>0</v>
      </c>
      <c r="AU32" s="25">
        <v>0</v>
      </c>
      <c r="AV32" s="25">
        <v>0</v>
      </c>
    </row>
    <row r="33" spans="2:48" hidden="1">
      <c r="B33" s="23" t="s">
        <v>65</v>
      </c>
      <c r="C33" s="23" t="s">
        <v>73</v>
      </c>
      <c r="D33" s="24" t="s">
        <v>75</v>
      </c>
      <c r="E33" s="25">
        <v>0</v>
      </c>
      <c r="F33" s="25">
        <v>0</v>
      </c>
      <c r="G33" s="26">
        <v>0.65</v>
      </c>
      <c r="H33" s="25">
        <v>0</v>
      </c>
      <c r="I33" s="25">
        <v>0</v>
      </c>
      <c r="J33" s="25">
        <v>0</v>
      </c>
      <c r="K33" s="25">
        <v>0</v>
      </c>
      <c r="L33" s="25">
        <v>0.35</v>
      </c>
      <c r="M33" s="25">
        <f t="shared" si="1"/>
        <v>0.32499999999999996</v>
      </c>
      <c r="N33" s="25">
        <v>0.25</v>
      </c>
      <c r="O33" s="25">
        <f t="shared" si="2"/>
        <v>0.2</v>
      </c>
      <c r="P33" s="25">
        <v>0</v>
      </c>
      <c r="Q33" s="25">
        <v>0</v>
      </c>
      <c r="R33" s="25">
        <v>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25">
        <v>0</v>
      </c>
      <c r="AB33" s="25">
        <v>0</v>
      </c>
      <c r="AC33" s="25">
        <v>0</v>
      </c>
      <c r="AD33" s="25">
        <v>0</v>
      </c>
      <c r="AE33" s="25">
        <v>0</v>
      </c>
      <c r="AF33" s="25">
        <v>0</v>
      </c>
      <c r="AG33" s="25">
        <v>0</v>
      </c>
      <c r="AH33" s="25">
        <v>0</v>
      </c>
      <c r="AI33" s="25">
        <v>0</v>
      </c>
      <c r="AJ33" s="25">
        <v>0</v>
      </c>
      <c r="AK33" s="25">
        <v>0</v>
      </c>
      <c r="AL33" s="25">
        <v>0</v>
      </c>
      <c r="AM33" s="25">
        <v>0</v>
      </c>
      <c r="AN33" s="25">
        <v>0</v>
      </c>
      <c r="AO33" s="25">
        <v>0</v>
      </c>
      <c r="AP33" s="25">
        <v>0</v>
      </c>
      <c r="AQ33" s="25">
        <v>0</v>
      </c>
      <c r="AR33" s="25">
        <v>0</v>
      </c>
      <c r="AS33" s="25">
        <v>0</v>
      </c>
      <c r="AT33" s="25">
        <v>0</v>
      </c>
      <c r="AU33" s="25">
        <v>0</v>
      </c>
      <c r="AV33" s="25">
        <v>0</v>
      </c>
    </row>
    <row r="34" spans="2:48" hidden="1">
      <c r="B34" s="23" t="s">
        <v>65</v>
      </c>
      <c r="C34" s="23" t="s">
        <v>73</v>
      </c>
      <c r="D34" s="24" t="s">
        <v>76</v>
      </c>
      <c r="E34" s="25">
        <v>0</v>
      </c>
      <c r="F34" s="25">
        <v>0</v>
      </c>
      <c r="G34" s="26">
        <v>0.65</v>
      </c>
      <c r="H34" s="25">
        <v>0</v>
      </c>
      <c r="I34" s="25">
        <v>0</v>
      </c>
      <c r="J34" s="25">
        <v>0</v>
      </c>
      <c r="K34" s="25">
        <v>0</v>
      </c>
      <c r="L34" s="25">
        <v>0.35</v>
      </c>
      <c r="M34" s="25">
        <f t="shared" si="1"/>
        <v>0.32499999999999996</v>
      </c>
      <c r="N34" s="25">
        <v>0.25</v>
      </c>
      <c r="O34" s="25">
        <f t="shared" si="2"/>
        <v>0.2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0</v>
      </c>
      <c r="AH34" s="25">
        <v>0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</row>
    <row r="35" spans="2:48" hidden="1">
      <c r="B35" s="23" t="s">
        <v>65</v>
      </c>
      <c r="C35" s="24" t="s">
        <v>77</v>
      </c>
      <c r="D35" s="24" t="s">
        <v>77</v>
      </c>
      <c r="E35" s="25">
        <v>0</v>
      </c>
      <c r="F35" s="25">
        <v>0</v>
      </c>
      <c r="G35" s="26">
        <v>0.625</v>
      </c>
      <c r="H35" s="25">
        <v>0</v>
      </c>
      <c r="I35" s="25">
        <v>0</v>
      </c>
      <c r="J35" s="25">
        <v>0</v>
      </c>
      <c r="K35" s="25">
        <v>0</v>
      </c>
      <c r="L35" s="25">
        <v>0.4</v>
      </c>
      <c r="M35" s="25">
        <f t="shared" si="1"/>
        <v>0.375</v>
      </c>
      <c r="N35" s="25">
        <v>0.3</v>
      </c>
      <c r="O35" s="25">
        <f t="shared" si="2"/>
        <v>0.25</v>
      </c>
      <c r="P35" s="25">
        <v>0</v>
      </c>
      <c r="Q35" s="25">
        <v>0</v>
      </c>
      <c r="R35" s="25">
        <v>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25">
        <v>0</v>
      </c>
      <c r="Y35" s="25">
        <v>0</v>
      </c>
      <c r="Z35" s="25">
        <v>0</v>
      </c>
      <c r="AA35" s="25">
        <v>0</v>
      </c>
      <c r="AB35" s="25">
        <v>0</v>
      </c>
      <c r="AC35" s="25">
        <v>0</v>
      </c>
      <c r="AD35" s="25">
        <v>0</v>
      </c>
      <c r="AE35" s="25">
        <v>0</v>
      </c>
      <c r="AF35" s="25">
        <v>0</v>
      </c>
      <c r="AG35" s="25">
        <v>0</v>
      </c>
      <c r="AH35" s="25">
        <v>0</v>
      </c>
      <c r="AI35" s="25">
        <v>0</v>
      </c>
      <c r="AJ35" s="25">
        <v>0</v>
      </c>
      <c r="AK35" s="25">
        <v>0</v>
      </c>
      <c r="AL35" s="25">
        <v>0</v>
      </c>
      <c r="AM35" s="25">
        <v>0.15</v>
      </c>
      <c r="AN35" s="25">
        <v>0.1</v>
      </c>
      <c r="AO35" s="25">
        <v>0</v>
      </c>
      <c r="AP35" s="25">
        <v>0</v>
      </c>
      <c r="AQ35" s="25">
        <v>0</v>
      </c>
      <c r="AR35" s="25">
        <v>0</v>
      </c>
      <c r="AS35" s="25">
        <v>0</v>
      </c>
      <c r="AT35" s="25">
        <v>0</v>
      </c>
      <c r="AU35" s="25">
        <v>0</v>
      </c>
      <c r="AV35" s="25">
        <v>0</v>
      </c>
    </row>
    <row r="36" spans="2:48" hidden="1">
      <c r="B36" s="23" t="s">
        <v>65</v>
      </c>
      <c r="C36" s="24" t="s">
        <v>78</v>
      </c>
      <c r="D36" s="24" t="s">
        <v>78</v>
      </c>
      <c r="E36" s="25">
        <v>0</v>
      </c>
      <c r="F36" s="25">
        <v>0</v>
      </c>
      <c r="G36" s="26">
        <v>0.625</v>
      </c>
      <c r="H36" s="25">
        <v>0</v>
      </c>
      <c r="I36" s="25">
        <v>0</v>
      </c>
      <c r="J36" s="25">
        <v>0</v>
      </c>
      <c r="K36" s="25">
        <v>0</v>
      </c>
      <c r="L36" s="25">
        <v>0.4</v>
      </c>
      <c r="M36" s="25">
        <f t="shared" si="1"/>
        <v>0.375</v>
      </c>
      <c r="N36" s="25">
        <v>0.3</v>
      </c>
      <c r="O36" s="25">
        <f t="shared" si="2"/>
        <v>0.25</v>
      </c>
      <c r="P36" s="25">
        <v>0</v>
      </c>
      <c r="Q36" s="25">
        <v>0</v>
      </c>
      <c r="R36" s="25">
        <v>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25">
        <v>0</v>
      </c>
      <c r="AD36" s="25">
        <v>0</v>
      </c>
      <c r="AE36" s="25">
        <v>0</v>
      </c>
      <c r="AF36" s="25">
        <v>0</v>
      </c>
      <c r="AG36" s="25">
        <v>0</v>
      </c>
      <c r="AH36" s="25">
        <v>0</v>
      </c>
      <c r="AI36" s="25">
        <v>0</v>
      </c>
      <c r="AJ36" s="25">
        <v>0</v>
      </c>
      <c r="AK36" s="25">
        <v>0</v>
      </c>
      <c r="AL36" s="25">
        <v>0</v>
      </c>
      <c r="AM36" s="25">
        <v>0.15</v>
      </c>
      <c r="AN36" s="25">
        <v>0.1</v>
      </c>
      <c r="AO36" s="25">
        <v>0</v>
      </c>
      <c r="AP36" s="25">
        <v>0</v>
      </c>
      <c r="AQ36" s="25">
        <v>0</v>
      </c>
      <c r="AR36" s="25">
        <v>0</v>
      </c>
      <c r="AS36" s="25">
        <v>0</v>
      </c>
      <c r="AT36" s="25">
        <v>0</v>
      </c>
      <c r="AU36" s="25">
        <v>0</v>
      </c>
      <c r="AV36" s="25">
        <v>0</v>
      </c>
    </row>
    <row r="37" spans="2:48" hidden="1">
      <c r="B37" s="23" t="s">
        <v>65</v>
      </c>
      <c r="C37" s="23" t="s">
        <v>79</v>
      </c>
      <c r="D37" s="24" t="s">
        <v>79</v>
      </c>
      <c r="E37" s="25">
        <v>0</v>
      </c>
      <c r="F37" s="25">
        <v>0</v>
      </c>
      <c r="G37" s="26">
        <v>0.625</v>
      </c>
      <c r="H37" s="25">
        <v>0</v>
      </c>
      <c r="I37" s="25">
        <v>0</v>
      </c>
      <c r="J37" s="25">
        <v>0</v>
      </c>
      <c r="K37" s="25">
        <v>0</v>
      </c>
      <c r="L37" s="25">
        <v>0.375</v>
      </c>
      <c r="M37" s="25">
        <f t="shared" si="1"/>
        <v>0.35</v>
      </c>
      <c r="N37" s="25">
        <v>0.27500000000000002</v>
      </c>
      <c r="O37" s="25">
        <f t="shared" si="2"/>
        <v>0.22500000000000003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25">
        <v>0</v>
      </c>
      <c r="AM37" s="25">
        <v>0.15</v>
      </c>
      <c r="AN37" s="25">
        <v>0.1</v>
      </c>
      <c r="AO37" s="25">
        <v>0</v>
      </c>
      <c r="AP37" s="25">
        <v>0</v>
      </c>
      <c r="AQ37" s="25">
        <v>0</v>
      </c>
      <c r="AR37" s="25">
        <v>0</v>
      </c>
      <c r="AS37" s="25">
        <v>0</v>
      </c>
      <c r="AT37" s="25">
        <v>0</v>
      </c>
      <c r="AU37" s="25">
        <v>0</v>
      </c>
      <c r="AV37" s="25">
        <v>0</v>
      </c>
    </row>
    <row r="38" spans="2:48" hidden="1">
      <c r="B38" s="23" t="s">
        <v>65</v>
      </c>
      <c r="C38" s="23" t="s">
        <v>79</v>
      </c>
      <c r="D38" s="24" t="s">
        <v>80</v>
      </c>
      <c r="E38" s="25">
        <v>0</v>
      </c>
      <c r="F38" s="25">
        <v>0</v>
      </c>
      <c r="G38" s="26">
        <v>0.625</v>
      </c>
      <c r="H38" s="25">
        <v>0</v>
      </c>
      <c r="I38" s="25">
        <v>0</v>
      </c>
      <c r="J38" s="25">
        <v>0</v>
      </c>
      <c r="K38" s="25">
        <v>0</v>
      </c>
      <c r="L38" s="25">
        <v>0.35</v>
      </c>
      <c r="M38" s="25">
        <f t="shared" si="1"/>
        <v>0.32499999999999996</v>
      </c>
      <c r="N38" s="25">
        <v>0.25</v>
      </c>
      <c r="O38" s="25">
        <f t="shared" si="2"/>
        <v>0.2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  <c r="AA38" s="25">
        <v>0</v>
      </c>
      <c r="AB38" s="25">
        <v>0</v>
      </c>
      <c r="AC38" s="25">
        <v>0</v>
      </c>
      <c r="AD38" s="25">
        <v>0</v>
      </c>
      <c r="AE38" s="25">
        <v>0</v>
      </c>
      <c r="AF38" s="25">
        <v>0</v>
      </c>
      <c r="AG38" s="25">
        <v>0</v>
      </c>
      <c r="AH38" s="25">
        <v>0</v>
      </c>
      <c r="AI38" s="25">
        <v>0</v>
      </c>
      <c r="AJ38" s="25">
        <v>0</v>
      </c>
      <c r="AK38" s="25">
        <v>0</v>
      </c>
      <c r="AL38" s="25">
        <v>0</v>
      </c>
      <c r="AM38" s="25">
        <v>0.15</v>
      </c>
      <c r="AN38" s="25">
        <v>0.1</v>
      </c>
      <c r="AO38" s="25">
        <v>0</v>
      </c>
      <c r="AP38" s="25">
        <v>0</v>
      </c>
      <c r="AQ38" s="25">
        <v>0</v>
      </c>
      <c r="AR38" s="25">
        <v>0</v>
      </c>
      <c r="AS38" s="25">
        <v>0</v>
      </c>
      <c r="AT38" s="25">
        <v>0</v>
      </c>
      <c r="AU38" s="25">
        <v>0</v>
      </c>
      <c r="AV38" s="25">
        <v>0</v>
      </c>
    </row>
    <row r="39" spans="2:48" hidden="1">
      <c r="B39" s="23" t="s">
        <v>65</v>
      </c>
      <c r="C39" s="23" t="s">
        <v>79</v>
      </c>
      <c r="D39" s="24" t="s">
        <v>81</v>
      </c>
      <c r="E39" s="25">
        <v>0</v>
      </c>
      <c r="F39" s="25">
        <v>0</v>
      </c>
      <c r="G39" s="26">
        <v>0.625</v>
      </c>
      <c r="H39" s="25">
        <v>0</v>
      </c>
      <c r="I39" s="25">
        <v>0</v>
      </c>
      <c r="J39" s="25">
        <v>0</v>
      </c>
      <c r="K39" s="25">
        <v>0</v>
      </c>
      <c r="L39" s="25">
        <v>0.35</v>
      </c>
      <c r="M39" s="25">
        <f t="shared" si="1"/>
        <v>0.32499999999999996</v>
      </c>
      <c r="N39" s="25">
        <v>0.25</v>
      </c>
      <c r="O39" s="25">
        <f t="shared" si="2"/>
        <v>0.2</v>
      </c>
      <c r="P39" s="25">
        <v>0</v>
      </c>
      <c r="Q39" s="25">
        <v>0</v>
      </c>
      <c r="R39" s="25">
        <v>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0</v>
      </c>
      <c r="Y39" s="25">
        <v>0</v>
      </c>
      <c r="Z39" s="25">
        <v>0</v>
      </c>
      <c r="AA39" s="25">
        <v>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25">
        <v>0</v>
      </c>
      <c r="AH39" s="25">
        <v>0</v>
      </c>
      <c r="AI39" s="25">
        <v>0</v>
      </c>
      <c r="AJ39" s="25">
        <v>0</v>
      </c>
      <c r="AK39" s="25">
        <v>0</v>
      </c>
      <c r="AL39" s="25">
        <v>0</v>
      </c>
      <c r="AM39" s="25">
        <v>0.15</v>
      </c>
      <c r="AN39" s="25">
        <v>0.1</v>
      </c>
      <c r="AO39" s="25">
        <v>0</v>
      </c>
      <c r="AP39" s="25">
        <v>0</v>
      </c>
      <c r="AQ39" s="25">
        <v>0</v>
      </c>
      <c r="AR39" s="25">
        <v>0</v>
      </c>
      <c r="AS39" s="25">
        <v>0</v>
      </c>
      <c r="AT39" s="25">
        <v>0</v>
      </c>
      <c r="AU39" s="25">
        <v>0</v>
      </c>
      <c r="AV39" s="25">
        <v>0</v>
      </c>
    </row>
    <row r="40" spans="2:48" hidden="1">
      <c r="B40" s="23" t="s">
        <v>65</v>
      </c>
      <c r="C40" s="23" t="s">
        <v>79</v>
      </c>
      <c r="D40" s="24" t="s">
        <v>82</v>
      </c>
      <c r="E40" s="25">
        <v>0</v>
      </c>
      <c r="F40" s="25">
        <v>0</v>
      </c>
      <c r="G40" s="26">
        <v>0.625</v>
      </c>
      <c r="H40" s="25">
        <v>0</v>
      </c>
      <c r="I40" s="25">
        <v>0</v>
      </c>
      <c r="J40" s="25">
        <v>0</v>
      </c>
      <c r="K40" s="25">
        <v>0</v>
      </c>
      <c r="L40" s="25">
        <v>0.35</v>
      </c>
      <c r="M40" s="25">
        <f t="shared" si="1"/>
        <v>0.32499999999999996</v>
      </c>
      <c r="N40" s="25">
        <v>0.25</v>
      </c>
      <c r="O40" s="25">
        <f t="shared" si="2"/>
        <v>0.2</v>
      </c>
      <c r="P40" s="25">
        <v>0</v>
      </c>
      <c r="Q40" s="25">
        <v>0</v>
      </c>
      <c r="R40" s="25">
        <v>0</v>
      </c>
      <c r="S40" s="25">
        <v>0</v>
      </c>
      <c r="T40" s="25">
        <v>0</v>
      </c>
      <c r="U40" s="25">
        <v>0</v>
      </c>
      <c r="V40" s="25">
        <v>0</v>
      </c>
      <c r="W40" s="25">
        <v>0</v>
      </c>
      <c r="X40" s="25">
        <v>0</v>
      </c>
      <c r="Y40" s="25">
        <v>0</v>
      </c>
      <c r="Z40" s="25">
        <v>0</v>
      </c>
      <c r="AA40" s="25">
        <v>0</v>
      </c>
      <c r="AB40" s="25">
        <v>0</v>
      </c>
      <c r="AC40" s="25">
        <v>0</v>
      </c>
      <c r="AD40" s="25">
        <v>0</v>
      </c>
      <c r="AE40" s="25">
        <v>0</v>
      </c>
      <c r="AF40" s="25">
        <v>0</v>
      </c>
      <c r="AG40" s="25">
        <v>0</v>
      </c>
      <c r="AH40" s="25">
        <v>0</v>
      </c>
      <c r="AI40" s="25">
        <v>0</v>
      </c>
      <c r="AJ40" s="25">
        <v>0</v>
      </c>
      <c r="AK40" s="25">
        <v>0</v>
      </c>
      <c r="AL40" s="25">
        <v>0</v>
      </c>
      <c r="AM40" s="25">
        <v>0.15</v>
      </c>
      <c r="AN40" s="25">
        <v>0.1</v>
      </c>
      <c r="AO40" s="25">
        <v>0</v>
      </c>
      <c r="AP40" s="25">
        <v>0</v>
      </c>
      <c r="AQ40" s="25">
        <v>0</v>
      </c>
      <c r="AR40" s="25">
        <v>0</v>
      </c>
      <c r="AS40" s="25">
        <v>0</v>
      </c>
      <c r="AT40" s="25">
        <v>0</v>
      </c>
      <c r="AU40" s="25">
        <v>0</v>
      </c>
      <c r="AV40" s="25">
        <v>0</v>
      </c>
    </row>
    <row r="41" spans="2:48" hidden="1">
      <c r="B41" s="23" t="s">
        <v>83</v>
      </c>
      <c r="C41" s="24" t="s">
        <v>84</v>
      </c>
      <c r="D41" s="24" t="s">
        <v>84</v>
      </c>
      <c r="E41" s="25">
        <v>0.57499999999999996</v>
      </c>
      <c r="F41" s="25">
        <v>0.57499999999999996</v>
      </c>
      <c r="G41" s="25">
        <v>0.7</v>
      </c>
      <c r="H41" s="26">
        <v>0.375</v>
      </c>
      <c r="I41" s="25">
        <v>0.15</v>
      </c>
      <c r="J41" s="26">
        <v>0.375</v>
      </c>
      <c r="K41" s="26">
        <v>0.22500000000000001</v>
      </c>
      <c r="L41" s="26">
        <v>0.63</v>
      </c>
      <c r="M41" s="26">
        <v>0.63</v>
      </c>
      <c r="N41" s="25">
        <v>0.6</v>
      </c>
      <c r="O41" s="25">
        <v>0.57499999999999996</v>
      </c>
      <c r="P41" s="25">
        <v>0</v>
      </c>
      <c r="Q41" s="25">
        <v>0</v>
      </c>
      <c r="R41" s="25">
        <v>0</v>
      </c>
      <c r="S41" s="25">
        <v>0</v>
      </c>
      <c r="T41" s="25">
        <v>0</v>
      </c>
      <c r="U41" s="25">
        <v>0</v>
      </c>
      <c r="V41" s="34">
        <v>0.05</v>
      </c>
      <c r="W41" s="34">
        <v>0.3</v>
      </c>
      <c r="X41" s="25">
        <v>2.5000000000000001E-2</v>
      </c>
      <c r="Y41" s="25">
        <v>0.05</v>
      </c>
      <c r="Z41" s="25">
        <v>0</v>
      </c>
      <c r="AA41" s="25">
        <v>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>
        <v>0</v>
      </c>
      <c r="AH41" s="25">
        <v>0</v>
      </c>
      <c r="AI41" s="25">
        <v>0</v>
      </c>
      <c r="AJ41" s="25">
        <v>0</v>
      </c>
      <c r="AK41" s="25">
        <v>0</v>
      </c>
      <c r="AL41" s="25">
        <v>0</v>
      </c>
      <c r="AM41" s="25">
        <v>0</v>
      </c>
      <c r="AN41" s="25">
        <v>0</v>
      </c>
      <c r="AO41" s="25">
        <v>0</v>
      </c>
      <c r="AP41" s="25">
        <v>0</v>
      </c>
      <c r="AQ41" s="25">
        <v>0</v>
      </c>
      <c r="AR41" s="38">
        <v>0</v>
      </c>
      <c r="AS41" s="38">
        <v>0</v>
      </c>
      <c r="AT41" s="38">
        <v>0</v>
      </c>
      <c r="AU41" s="25">
        <v>0</v>
      </c>
      <c r="AV41" s="25">
        <v>0</v>
      </c>
    </row>
    <row r="42" spans="2:48" hidden="1">
      <c r="B42" s="23" t="s">
        <v>83</v>
      </c>
      <c r="C42" s="24" t="s">
        <v>85</v>
      </c>
      <c r="D42" s="24" t="s">
        <v>85</v>
      </c>
      <c r="E42" s="25">
        <v>0</v>
      </c>
      <c r="F42" s="25">
        <v>0</v>
      </c>
      <c r="G42" s="25">
        <v>0.7</v>
      </c>
      <c r="H42" s="25">
        <v>0.27500000000000002</v>
      </c>
      <c r="I42" s="25">
        <v>0.125</v>
      </c>
      <c r="J42" s="25">
        <v>0.27500000000000002</v>
      </c>
      <c r="K42" s="25">
        <v>0.125</v>
      </c>
      <c r="L42" s="25">
        <v>0.47499999999999998</v>
      </c>
      <c r="M42" s="25">
        <v>0.45</v>
      </c>
      <c r="N42" s="25">
        <v>0.375</v>
      </c>
      <c r="O42" s="25">
        <v>0.35</v>
      </c>
      <c r="P42" s="25">
        <v>0</v>
      </c>
      <c r="Q42" s="25">
        <v>0</v>
      </c>
      <c r="R42" s="25">
        <v>0</v>
      </c>
      <c r="S42" s="25">
        <v>0</v>
      </c>
      <c r="T42" s="25">
        <v>0.3</v>
      </c>
      <c r="U42" s="25">
        <v>0.3</v>
      </c>
      <c r="V42" s="34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v>0</v>
      </c>
      <c r="AE42" s="25">
        <v>0</v>
      </c>
      <c r="AF42" s="25">
        <v>0</v>
      </c>
      <c r="AG42" s="25">
        <v>0</v>
      </c>
      <c r="AH42" s="25">
        <v>0</v>
      </c>
      <c r="AI42" s="25">
        <v>0</v>
      </c>
      <c r="AJ42" s="25">
        <v>0</v>
      </c>
      <c r="AK42" s="25">
        <v>0</v>
      </c>
      <c r="AL42" s="25">
        <v>0</v>
      </c>
      <c r="AM42" s="25">
        <v>0</v>
      </c>
      <c r="AN42" s="25">
        <v>0</v>
      </c>
      <c r="AO42" s="25">
        <v>0</v>
      </c>
      <c r="AP42" s="25">
        <v>0</v>
      </c>
      <c r="AQ42" s="25">
        <v>0</v>
      </c>
      <c r="AR42" s="38">
        <v>0</v>
      </c>
      <c r="AS42" s="38">
        <v>0</v>
      </c>
      <c r="AT42" s="38">
        <v>0</v>
      </c>
      <c r="AU42" s="25">
        <v>0</v>
      </c>
      <c r="AV42" s="25">
        <v>0</v>
      </c>
    </row>
    <row r="43" spans="2:48" hidden="1">
      <c r="B43" s="23" t="s">
        <v>83</v>
      </c>
      <c r="C43" s="24" t="s">
        <v>86</v>
      </c>
      <c r="D43" s="24" t="s">
        <v>86</v>
      </c>
      <c r="E43" s="25">
        <v>0</v>
      </c>
      <c r="F43" s="25">
        <v>0</v>
      </c>
      <c r="G43" s="25">
        <v>0.7</v>
      </c>
      <c r="H43" s="25">
        <v>0.27500000000000002</v>
      </c>
      <c r="I43" s="25">
        <v>0.125</v>
      </c>
      <c r="J43" s="25">
        <v>0.27500000000000002</v>
      </c>
      <c r="K43" s="25">
        <v>0.125</v>
      </c>
      <c r="L43" s="25">
        <v>0.47499999999999998</v>
      </c>
      <c r="M43" s="25">
        <v>0.45</v>
      </c>
      <c r="N43" s="25">
        <v>0.375</v>
      </c>
      <c r="O43" s="25">
        <v>0.35</v>
      </c>
      <c r="P43" s="25">
        <v>0.4</v>
      </c>
      <c r="Q43" s="25">
        <v>0.4</v>
      </c>
      <c r="R43" s="25">
        <v>0</v>
      </c>
      <c r="S43" s="25">
        <v>0</v>
      </c>
      <c r="T43" s="25">
        <v>0.3</v>
      </c>
      <c r="U43" s="25">
        <v>0.3</v>
      </c>
      <c r="V43" s="34">
        <v>2.5000000000000001E-2</v>
      </c>
      <c r="W43" s="25">
        <v>0.25</v>
      </c>
      <c r="X43" s="25">
        <v>2.5000000000000001E-2</v>
      </c>
      <c r="Y43" s="25">
        <v>0.05</v>
      </c>
      <c r="Z43" s="25">
        <v>0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0</v>
      </c>
      <c r="AH43" s="25">
        <v>0</v>
      </c>
      <c r="AI43" s="25">
        <v>0</v>
      </c>
      <c r="AJ43" s="25">
        <v>0</v>
      </c>
      <c r="AK43" s="25">
        <v>0</v>
      </c>
      <c r="AL43" s="25">
        <v>0</v>
      </c>
      <c r="AM43" s="25">
        <v>0</v>
      </c>
      <c r="AN43" s="25">
        <v>0</v>
      </c>
      <c r="AO43" s="25">
        <v>0</v>
      </c>
      <c r="AP43" s="25">
        <v>0</v>
      </c>
      <c r="AQ43" s="25">
        <v>0.42499999999999999</v>
      </c>
      <c r="AR43" s="38">
        <v>0.15</v>
      </c>
      <c r="AS43" s="38">
        <v>0.15</v>
      </c>
      <c r="AT43" s="38">
        <v>0</v>
      </c>
      <c r="AU43" s="25">
        <v>0</v>
      </c>
      <c r="AV43" s="25">
        <v>0</v>
      </c>
    </row>
    <row r="44" spans="2:48" hidden="1">
      <c r="B44" s="23" t="s">
        <v>83</v>
      </c>
      <c r="C44" s="24" t="s">
        <v>86</v>
      </c>
      <c r="D44" s="24" t="s">
        <v>87</v>
      </c>
      <c r="E44" s="25">
        <v>0</v>
      </c>
      <c r="F44" s="25">
        <v>0</v>
      </c>
      <c r="G44" s="25">
        <v>0.7</v>
      </c>
      <c r="H44" s="25">
        <v>0.27500000000000002</v>
      </c>
      <c r="I44" s="25">
        <v>0.125</v>
      </c>
      <c r="J44" s="25">
        <v>0.27500000000000002</v>
      </c>
      <c r="K44" s="25">
        <v>0.125</v>
      </c>
      <c r="L44" s="25">
        <v>0.47499999999999998</v>
      </c>
      <c r="M44" s="25">
        <v>0.45</v>
      </c>
      <c r="N44" s="25">
        <v>0.375</v>
      </c>
      <c r="O44" s="25">
        <v>0.35</v>
      </c>
      <c r="P44" s="25">
        <v>0.4</v>
      </c>
      <c r="Q44" s="25">
        <v>0.4</v>
      </c>
      <c r="R44" s="25">
        <v>0</v>
      </c>
      <c r="S44" s="25">
        <v>0</v>
      </c>
      <c r="T44" s="25">
        <v>0.3</v>
      </c>
      <c r="U44" s="25">
        <v>0.3</v>
      </c>
      <c r="V44" s="34">
        <v>2.5000000000000001E-2</v>
      </c>
      <c r="W44" s="25">
        <v>0.25</v>
      </c>
      <c r="X44" s="25">
        <v>2.5000000000000001E-2</v>
      </c>
      <c r="Y44" s="25">
        <v>0.05</v>
      </c>
      <c r="Z44" s="25">
        <v>0</v>
      </c>
      <c r="AA44" s="25">
        <v>0</v>
      </c>
      <c r="AB44" s="25">
        <v>0</v>
      </c>
      <c r="AC44" s="25">
        <v>0</v>
      </c>
      <c r="AD44" s="25">
        <v>0</v>
      </c>
      <c r="AE44" s="25">
        <v>0</v>
      </c>
      <c r="AF44" s="25">
        <v>0</v>
      </c>
      <c r="AG44" s="25">
        <v>0</v>
      </c>
      <c r="AH44" s="25">
        <v>0</v>
      </c>
      <c r="AI44" s="25">
        <v>0</v>
      </c>
      <c r="AJ44" s="25">
        <v>0</v>
      </c>
      <c r="AK44" s="25">
        <v>0</v>
      </c>
      <c r="AL44" s="25">
        <v>0</v>
      </c>
      <c r="AM44" s="25">
        <v>0</v>
      </c>
      <c r="AN44" s="25">
        <v>0</v>
      </c>
      <c r="AO44" s="25">
        <v>0</v>
      </c>
      <c r="AP44" s="25">
        <v>0</v>
      </c>
      <c r="AQ44" s="25">
        <v>0.42499999999999999</v>
      </c>
      <c r="AR44" s="38">
        <v>0.15</v>
      </c>
      <c r="AS44" s="38">
        <v>0.15</v>
      </c>
      <c r="AT44" s="38">
        <v>0</v>
      </c>
      <c r="AU44" s="25">
        <v>0</v>
      </c>
      <c r="AV44" s="25">
        <v>0</v>
      </c>
    </row>
    <row r="45" spans="2:48" hidden="1">
      <c r="B45" s="23" t="s">
        <v>83</v>
      </c>
      <c r="C45" s="24" t="s">
        <v>86</v>
      </c>
      <c r="D45" s="24" t="s">
        <v>88</v>
      </c>
      <c r="E45" s="25">
        <v>0</v>
      </c>
      <c r="F45" s="25">
        <v>0</v>
      </c>
      <c r="G45" s="25">
        <v>0.7</v>
      </c>
      <c r="H45" s="25">
        <v>0.27500000000000002</v>
      </c>
      <c r="I45" s="25">
        <v>0.125</v>
      </c>
      <c r="J45" s="25">
        <v>0.27500000000000002</v>
      </c>
      <c r="K45" s="25">
        <v>0.125</v>
      </c>
      <c r="L45" s="25">
        <v>0.47499999999999998</v>
      </c>
      <c r="M45" s="25">
        <v>0.45</v>
      </c>
      <c r="N45" s="25">
        <v>0.375</v>
      </c>
      <c r="O45" s="25">
        <v>0.35</v>
      </c>
      <c r="P45" s="25">
        <v>0.4</v>
      </c>
      <c r="Q45" s="25">
        <v>0.4</v>
      </c>
      <c r="R45" s="25">
        <v>0</v>
      </c>
      <c r="S45" s="25">
        <v>0</v>
      </c>
      <c r="T45" s="25">
        <v>0.3</v>
      </c>
      <c r="U45" s="25">
        <v>0.3</v>
      </c>
      <c r="V45" s="34">
        <v>2.5000000000000001E-2</v>
      </c>
      <c r="W45" s="25">
        <v>0.25</v>
      </c>
      <c r="X45" s="25">
        <v>2.5000000000000001E-2</v>
      </c>
      <c r="Y45" s="25">
        <v>0.05</v>
      </c>
      <c r="Z45" s="25">
        <v>0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  <c r="AG45" s="25">
        <v>0</v>
      </c>
      <c r="AH45" s="25">
        <v>0</v>
      </c>
      <c r="AI45" s="25">
        <v>0</v>
      </c>
      <c r="AJ45" s="25">
        <v>0</v>
      </c>
      <c r="AK45" s="25">
        <v>0</v>
      </c>
      <c r="AL45" s="25">
        <v>0</v>
      </c>
      <c r="AM45" s="25">
        <v>0</v>
      </c>
      <c r="AN45" s="25">
        <v>0</v>
      </c>
      <c r="AO45" s="25">
        <v>0</v>
      </c>
      <c r="AP45" s="25">
        <v>0</v>
      </c>
      <c r="AQ45" s="25">
        <v>0.42499999999999999</v>
      </c>
      <c r="AR45" s="38">
        <v>0.15</v>
      </c>
      <c r="AS45" s="38">
        <v>0.15</v>
      </c>
      <c r="AT45" s="38">
        <v>0</v>
      </c>
      <c r="AU45" s="25">
        <v>0</v>
      </c>
      <c r="AV45" s="25">
        <v>0</v>
      </c>
    </row>
    <row r="46" spans="2:48" hidden="1">
      <c r="B46" s="23" t="s">
        <v>83</v>
      </c>
      <c r="C46" s="24" t="s">
        <v>86</v>
      </c>
      <c r="D46" s="24" t="s">
        <v>89</v>
      </c>
      <c r="E46" s="25">
        <v>0</v>
      </c>
      <c r="F46" s="25">
        <v>0</v>
      </c>
      <c r="G46" s="25">
        <v>0.7</v>
      </c>
      <c r="H46" s="25">
        <v>0.27500000000000002</v>
      </c>
      <c r="I46" s="25">
        <v>0.125</v>
      </c>
      <c r="J46" s="25">
        <v>0.27500000000000002</v>
      </c>
      <c r="K46" s="25">
        <v>0.125</v>
      </c>
      <c r="L46" s="25">
        <v>0.47499999999999998</v>
      </c>
      <c r="M46" s="25">
        <v>0.45</v>
      </c>
      <c r="N46" s="25">
        <v>0.375</v>
      </c>
      <c r="O46" s="25">
        <v>0.35</v>
      </c>
      <c r="P46" s="25">
        <v>0.4</v>
      </c>
      <c r="Q46" s="25">
        <v>0.4</v>
      </c>
      <c r="R46" s="25">
        <v>0</v>
      </c>
      <c r="S46" s="25">
        <v>0</v>
      </c>
      <c r="T46" s="25">
        <v>0.3</v>
      </c>
      <c r="U46" s="25">
        <v>0.3</v>
      </c>
      <c r="V46" s="34">
        <v>2.5000000000000001E-2</v>
      </c>
      <c r="W46" s="25">
        <v>0.25</v>
      </c>
      <c r="X46" s="25">
        <v>2.5000000000000001E-2</v>
      </c>
      <c r="Y46" s="25">
        <v>0.05</v>
      </c>
      <c r="Z46" s="25">
        <v>0</v>
      </c>
      <c r="AA46" s="25">
        <v>0</v>
      </c>
      <c r="AB46" s="25">
        <v>0</v>
      </c>
      <c r="AC46" s="25">
        <v>0</v>
      </c>
      <c r="AD46" s="25">
        <v>0</v>
      </c>
      <c r="AE46" s="25">
        <v>0</v>
      </c>
      <c r="AF46" s="25">
        <v>0</v>
      </c>
      <c r="AG46" s="25">
        <v>0</v>
      </c>
      <c r="AH46" s="25">
        <v>0</v>
      </c>
      <c r="AI46" s="25">
        <v>0</v>
      </c>
      <c r="AJ46" s="25">
        <v>0</v>
      </c>
      <c r="AK46" s="25">
        <v>0</v>
      </c>
      <c r="AL46" s="25">
        <v>0</v>
      </c>
      <c r="AM46" s="25">
        <v>0</v>
      </c>
      <c r="AN46" s="25">
        <v>0</v>
      </c>
      <c r="AO46" s="25">
        <v>0</v>
      </c>
      <c r="AP46" s="25">
        <v>0</v>
      </c>
      <c r="AQ46" s="25">
        <v>0.42499999999999999</v>
      </c>
      <c r="AR46" s="38">
        <v>0.15</v>
      </c>
      <c r="AS46" s="38">
        <v>0.15</v>
      </c>
      <c r="AT46" s="38">
        <v>0</v>
      </c>
      <c r="AU46" s="25">
        <v>0</v>
      </c>
      <c r="AV46" s="25">
        <v>0</v>
      </c>
    </row>
    <row r="47" spans="2:48" hidden="1">
      <c r="B47" s="23" t="s">
        <v>83</v>
      </c>
      <c r="C47" s="24" t="s">
        <v>86</v>
      </c>
      <c r="D47" s="24" t="s">
        <v>90</v>
      </c>
      <c r="E47" s="25">
        <v>0</v>
      </c>
      <c r="F47" s="25">
        <v>0</v>
      </c>
      <c r="G47" s="25">
        <v>0.7</v>
      </c>
      <c r="H47" s="25">
        <v>0.27500000000000002</v>
      </c>
      <c r="I47" s="25">
        <v>0.125</v>
      </c>
      <c r="J47" s="25">
        <v>0.27500000000000002</v>
      </c>
      <c r="K47" s="25">
        <v>0.125</v>
      </c>
      <c r="L47" s="25">
        <v>0.47499999999999998</v>
      </c>
      <c r="M47" s="25">
        <v>0.45</v>
      </c>
      <c r="N47" s="25">
        <v>0.375</v>
      </c>
      <c r="O47" s="25">
        <v>0.35</v>
      </c>
      <c r="P47" s="25">
        <v>0.4</v>
      </c>
      <c r="Q47" s="25">
        <v>0.4</v>
      </c>
      <c r="R47" s="25">
        <v>0</v>
      </c>
      <c r="S47" s="25">
        <v>0</v>
      </c>
      <c r="T47" s="25">
        <v>0.3</v>
      </c>
      <c r="U47" s="25">
        <v>0.3</v>
      </c>
      <c r="V47" s="34">
        <v>2.5000000000000001E-2</v>
      </c>
      <c r="W47" s="25">
        <v>0.25</v>
      </c>
      <c r="X47" s="25">
        <v>2.5000000000000001E-2</v>
      </c>
      <c r="Y47" s="25">
        <v>0.05</v>
      </c>
      <c r="Z47" s="25">
        <v>0</v>
      </c>
      <c r="AA47" s="25">
        <v>0</v>
      </c>
      <c r="AB47" s="25">
        <v>0</v>
      </c>
      <c r="AC47" s="25">
        <v>0</v>
      </c>
      <c r="AD47" s="25">
        <v>0</v>
      </c>
      <c r="AE47" s="25">
        <v>0</v>
      </c>
      <c r="AF47" s="25">
        <v>0</v>
      </c>
      <c r="AG47" s="25">
        <v>0</v>
      </c>
      <c r="AH47" s="25">
        <v>0</v>
      </c>
      <c r="AI47" s="25">
        <v>0</v>
      </c>
      <c r="AJ47" s="25">
        <v>0</v>
      </c>
      <c r="AK47" s="25">
        <v>0</v>
      </c>
      <c r="AL47" s="25">
        <v>0</v>
      </c>
      <c r="AM47" s="25">
        <v>0</v>
      </c>
      <c r="AN47" s="25">
        <v>0</v>
      </c>
      <c r="AO47" s="25">
        <v>0</v>
      </c>
      <c r="AP47" s="25">
        <v>0</v>
      </c>
      <c r="AQ47" s="25">
        <v>0.42499999999999999</v>
      </c>
      <c r="AR47" s="38">
        <v>0.15</v>
      </c>
      <c r="AS47" s="38">
        <v>0.15</v>
      </c>
      <c r="AT47" s="38">
        <v>0</v>
      </c>
      <c r="AU47" s="25">
        <v>0</v>
      </c>
      <c r="AV47" s="25">
        <v>0</v>
      </c>
    </row>
    <row r="48" spans="2:48" hidden="1">
      <c r="B48" s="23" t="s">
        <v>83</v>
      </c>
      <c r="C48" s="23" t="s">
        <v>91</v>
      </c>
      <c r="D48" s="24" t="s">
        <v>91</v>
      </c>
      <c r="E48" s="25">
        <v>0</v>
      </c>
      <c r="F48" s="25">
        <v>0</v>
      </c>
      <c r="G48" s="25">
        <v>0.7</v>
      </c>
      <c r="H48" s="25">
        <v>0.27500000000000002</v>
      </c>
      <c r="I48" s="25">
        <v>0.125</v>
      </c>
      <c r="J48" s="25">
        <v>0.27500000000000002</v>
      </c>
      <c r="K48" s="25">
        <v>0.125</v>
      </c>
      <c r="L48" s="25">
        <v>0.47499999999999998</v>
      </c>
      <c r="M48" s="25">
        <v>0.45</v>
      </c>
      <c r="N48" s="25">
        <v>0.375</v>
      </c>
      <c r="O48" s="25">
        <v>0.35</v>
      </c>
      <c r="P48" s="25">
        <v>0.42499999999999999</v>
      </c>
      <c r="Q48" s="25">
        <v>0.42499999999999999</v>
      </c>
      <c r="R48" s="25">
        <v>0</v>
      </c>
      <c r="S48" s="25">
        <v>0</v>
      </c>
      <c r="T48" s="25">
        <v>0</v>
      </c>
      <c r="U48" s="25">
        <v>0</v>
      </c>
      <c r="V48" s="34">
        <v>2.5000000000000001E-2</v>
      </c>
      <c r="W48" s="25">
        <v>0.3</v>
      </c>
      <c r="X48" s="25">
        <v>2.5000000000000001E-2</v>
      </c>
      <c r="Y48" s="25">
        <v>0.05</v>
      </c>
      <c r="Z48" s="25">
        <v>0</v>
      </c>
      <c r="AA48" s="25">
        <v>0</v>
      </c>
      <c r="AB48" s="25">
        <v>0</v>
      </c>
      <c r="AC48" s="25">
        <v>0</v>
      </c>
      <c r="AD48" s="25">
        <v>0</v>
      </c>
      <c r="AE48" s="25">
        <v>0</v>
      </c>
      <c r="AF48" s="25">
        <v>0</v>
      </c>
      <c r="AG48" s="25">
        <v>0</v>
      </c>
      <c r="AH48" s="25">
        <v>0</v>
      </c>
      <c r="AI48" s="25">
        <v>0</v>
      </c>
      <c r="AJ48" s="25">
        <v>0</v>
      </c>
      <c r="AK48" s="25">
        <v>0</v>
      </c>
      <c r="AL48" s="25">
        <v>0</v>
      </c>
      <c r="AM48" s="25">
        <v>0</v>
      </c>
      <c r="AN48" s="25">
        <v>0</v>
      </c>
      <c r="AO48" s="25">
        <v>0</v>
      </c>
      <c r="AP48" s="25">
        <v>0</v>
      </c>
      <c r="AQ48" s="38">
        <v>0.52500000000000002</v>
      </c>
      <c r="AR48" s="25">
        <v>0.2</v>
      </c>
      <c r="AS48" s="25">
        <v>0.2</v>
      </c>
      <c r="AT48" s="38">
        <v>0</v>
      </c>
      <c r="AU48" s="25">
        <v>0</v>
      </c>
      <c r="AV48" s="25">
        <v>0</v>
      </c>
    </row>
    <row r="49" spans="2:48" hidden="1">
      <c r="B49" s="23" t="s">
        <v>83</v>
      </c>
      <c r="C49" s="23" t="s">
        <v>91</v>
      </c>
      <c r="D49" s="24" t="s">
        <v>92</v>
      </c>
      <c r="E49" s="25">
        <v>0</v>
      </c>
      <c r="F49" s="25">
        <v>0</v>
      </c>
      <c r="G49" s="25">
        <v>0.7</v>
      </c>
      <c r="H49" s="25">
        <v>0.27500000000000002</v>
      </c>
      <c r="I49" s="25">
        <v>0.125</v>
      </c>
      <c r="J49" s="25">
        <v>0.27500000000000002</v>
      </c>
      <c r="K49" s="25">
        <v>0.125</v>
      </c>
      <c r="L49" s="25">
        <v>0.47499999999999998</v>
      </c>
      <c r="M49" s="25">
        <v>0.45</v>
      </c>
      <c r="N49" s="25">
        <v>0.375</v>
      </c>
      <c r="O49" s="25">
        <v>0.35</v>
      </c>
      <c r="P49" s="25">
        <v>0.42499999999999999</v>
      </c>
      <c r="Q49" s="25">
        <v>0.42499999999999999</v>
      </c>
      <c r="R49" s="25">
        <v>0</v>
      </c>
      <c r="S49" s="25">
        <v>0</v>
      </c>
      <c r="T49" s="25">
        <v>0</v>
      </c>
      <c r="U49" s="25">
        <v>0</v>
      </c>
      <c r="V49" s="34">
        <v>2.5000000000000001E-2</v>
      </c>
      <c r="W49" s="25">
        <v>0.3</v>
      </c>
      <c r="X49" s="25">
        <v>2.5000000000000001E-2</v>
      </c>
      <c r="Y49" s="25">
        <v>0.05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0</v>
      </c>
      <c r="AH49" s="25">
        <v>0</v>
      </c>
      <c r="AI49" s="25">
        <v>0</v>
      </c>
      <c r="AJ49" s="25">
        <v>0</v>
      </c>
      <c r="AK49" s="25">
        <v>0</v>
      </c>
      <c r="AL49" s="25">
        <v>0</v>
      </c>
      <c r="AM49" s="25">
        <v>0</v>
      </c>
      <c r="AN49" s="25">
        <v>0</v>
      </c>
      <c r="AO49" s="25">
        <v>0</v>
      </c>
      <c r="AP49" s="25">
        <v>0</v>
      </c>
      <c r="AQ49" s="38">
        <v>0.52500000000000002</v>
      </c>
      <c r="AR49" s="25">
        <v>0.2</v>
      </c>
      <c r="AS49" s="25">
        <v>0.2</v>
      </c>
      <c r="AT49" s="38">
        <v>0</v>
      </c>
      <c r="AU49" s="25">
        <v>0</v>
      </c>
      <c r="AV49" s="25">
        <v>0</v>
      </c>
    </row>
    <row r="50" spans="2:48" hidden="1">
      <c r="B50" s="23" t="s">
        <v>83</v>
      </c>
      <c r="C50" s="23" t="s">
        <v>91</v>
      </c>
      <c r="D50" s="24" t="s">
        <v>93</v>
      </c>
      <c r="E50" s="25">
        <v>0</v>
      </c>
      <c r="F50" s="25">
        <v>0</v>
      </c>
      <c r="G50" s="25">
        <v>0.7</v>
      </c>
      <c r="H50" s="25">
        <v>0.27500000000000002</v>
      </c>
      <c r="I50" s="25">
        <v>0.125</v>
      </c>
      <c r="J50" s="25">
        <v>0.27500000000000002</v>
      </c>
      <c r="K50" s="25">
        <v>0.125</v>
      </c>
      <c r="L50" s="25">
        <v>0.47499999999999998</v>
      </c>
      <c r="M50" s="25">
        <v>0.45</v>
      </c>
      <c r="N50" s="25">
        <v>0.375</v>
      </c>
      <c r="O50" s="25">
        <v>0.35</v>
      </c>
      <c r="P50" s="25">
        <v>0.42499999999999999</v>
      </c>
      <c r="Q50" s="25">
        <v>0.42499999999999999</v>
      </c>
      <c r="R50" s="25">
        <v>0</v>
      </c>
      <c r="S50" s="25">
        <v>0</v>
      </c>
      <c r="T50" s="25">
        <v>0</v>
      </c>
      <c r="U50" s="25">
        <v>0</v>
      </c>
      <c r="V50" s="34">
        <v>2.5000000000000001E-2</v>
      </c>
      <c r="W50" s="25">
        <v>0.3</v>
      </c>
      <c r="X50" s="25">
        <v>2.5000000000000001E-2</v>
      </c>
      <c r="Y50" s="25">
        <v>0.05</v>
      </c>
      <c r="Z50" s="25">
        <v>0</v>
      </c>
      <c r="AA50" s="25">
        <v>0</v>
      </c>
      <c r="AB50" s="25">
        <v>0</v>
      </c>
      <c r="AC50" s="25">
        <v>0</v>
      </c>
      <c r="AD50" s="25">
        <v>0</v>
      </c>
      <c r="AE50" s="25">
        <v>0</v>
      </c>
      <c r="AF50" s="25">
        <v>0</v>
      </c>
      <c r="AG50" s="25">
        <v>0</v>
      </c>
      <c r="AH50" s="25">
        <v>0</v>
      </c>
      <c r="AI50" s="25">
        <v>0</v>
      </c>
      <c r="AJ50" s="25">
        <v>0</v>
      </c>
      <c r="AK50" s="25">
        <v>0</v>
      </c>
      <c r="AL50" s="25">
        <v>0</v>
      </c>
      <c r="AM50" s="25">
        <v>0</v>
      </c>
      <c r="AN50" s="25">
        <v>0</v>
      </c>
      <c r="AO50" s="25">
        <v>0</v>
      </c>
      <c r="AP50" s="25">
        <v>0</v>
      </c>
      <c r="AQ50" s="38">
        <v>0.52500000000000002</v>
      </c>
      <c r="AR50" s="25">
        <v>0.2</v>
      </c>
      <c r="AS50" s="25">
        <v>0.2</v>
      </c>
      <c r="AT50" s="38">
        <v>0</v>
      </c>
      <c r="AU50" s="25">
        <v>0</v>
      </c>
      <c r="AV50" s="25">
        <v>0</v>
      </c>
    </row>
    <row r="51" spans="2:48" hidden="1">
      <c r="B51" s="28" t="s">
        <v>83</v>
      </c>
      <c r="C51" s="29" t="s">
        <v>94</v>
      </c>
      <c r="D51" s="29" t="s">
        <v>94</v>
      </c>
      <c r="E51" s="25">
        <v>0</v>
      </c>
      <c r="F51" s="25">
        <v>0</v>
      </c>
      <c r="G51" s="25">
        <v>0.6</v>
      </c>
      <c r="H51" s="25">
        <v>0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>
        <v>0</v>
      </c>
      <c r="R51" s="25">
        <v>0</v>
      </c>
      <c r="S51" s="25">
        <v>0</v>
      </c>
      <c r="T51" s="25"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0</v>
      </c>
      <c r="AH51" s="25">
        <v>0</v>
      </c>
      <c r="AI51" s="25">
        <v>0</v>
      </c>
      <c r="AJ51" s="25">
        <v>0</v>
      </c>
      <c r="AK51" s="25">
        <v>0</v>
      </c>
      <c r="AL51" s="25">
        <v>0</v>
      </c>
      <c r="AM51" s="25">
        <v>0</v>
      </c>
      <c r="AN51" s="25">
        <v>0</v>
      </c>
      <c r="AO51" s="25">
        <v>0</v>
      </c>
      <c r="AP51" s="25">
        <v>0</v>
      </c>
      <c r="AQ51" s="38">
        <v>0</v>
      </c>
      <c r="AR51" s="38">
        <v>0</v>
      </c>
      <c r="AS51" s="38">
        <v>0</v>
      </c>
      <c r="AT51" s="38">
        <v>0</v>
      </c>
      <c r="AU51" s="25">
        <v>0</v>
      </c>
      <c r="AV51" s="25">
        <v>0</v>
      </c>
    </row>
    <row r="52" spans="2:48" hidden="1">
      <c r="B52" s="28" t="s">
        <v>83</v>
      </c>
      <c r="C52" s="28" t="s">
        <v>95</v>
      </c>
      <c r="D52" s="29" t="s">
        <v>95</v>
      </c>
      <c r="E52" s="25">
        <v>0</v>
      </c>
      <c r="F52" s="25">
        <v>0</v>
      </c>
      <c r="G52" s="25">
        <v>0.68</v>
      </c>
      <c r="H52" s="25">
        <v>0</v>
      </c>
      <c r="I52" s="25">
        <v>0</v>
      </c>
      <c r="J52" s="25">
        <v>0</v>
      </c>
      <c r="K52" s="25">
        <v>0</v>
      </c>
      <c r="L52" s="25">
        <v>0</v>
      </c>
      <c r="M52" s="25">
        <v>0</v>
      </c>
      <c r="N52" s="25">
        <v>0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0</v>
      </c>
      <c r="W52" s="25">
        <v>0</v>
      </c>
      <c r="X52" s="25">
        <v>0</v>
      </c>
      <c r="Y52" s="25">
        <v>0</v>
      </c>
      <c r="Z52" s="25">
        <v>0</v>
      </c>
      <c r="AA52" s="25">
        <v>0</v>
      </c>
      <c r="AB52" s="25">
        <v>0</v>
      </c>
      <c r="AC52" s="25">
        <v>0</v>
      </c>
      <c r="AD52" s="25">
        <v>0</v>
      </c>
      <c r="AE52" s="25">
        <v>0</v>
      </c>
      <c r="AF52" s="25">
        <v>0</v>
      </c>
      <c r="AG52" s="25">
        <v>0</v>
      </c>
      <c r="AH52" s="25">
        <v>0</v>
      </c>
      <c r="AI52" s="25">
        <v>0</v>
      </c>
      <c r="AJ52" s="25">
        <v>0</v>
      </c>
      <c r="AK52" s="25">
        <v>0</v>
      </c>
      <c r="AL52" s="25">
        <v>0</v>
      </c>
      <c r="AM52" s="25">
        <v>0</v>
      </c>
      <c r="AN52" s="25">
        <v>0</v>
      </c>
      <c r="AO52" s="25">
        <v>0</v>
      </c>
      <c r="AP52" s="25">
        <v>0</v>
      </c>
      <c r="AQ52" s="38">
        <v>0</v>
      </c>
      <c r="AR52" s="38">
        <v>0</v>
      </c>
      <c r="AS52" s="38">
        <v>0</v>
      </c>
      <c r="AT52" s="38">
        <v>0</v>
      </c>
      <c r="AU52" s="25">
        <v>0</v>
      </c>
      <c r="AV52" s="25">
        <v>0</v>
      </c>
    </row>
    <row r="53" spans="2:48" hidden="1">
      <c r="B53" s="28" t="s">
        <v>83</v>
      </c>
      <c r="C53" s="28" t="s">
        <v>95</v>
      </c>
      <c r="D53" s="29" t="s">
        <v>96</v>
      </c>
      <c r="E53" s="25">
        <v>0</v>
      </c>
      <c r="F53" s="25">
        <v>0</v>
      </c>
      <c r="G53" s="25">
        <v>0.68</v>
      </c>
      <c r="H53" s="25">
        <v>0</v>
      </c>
      <c r="I53" s="25">
        <v>0</v>
      </c>
      <c r="J53" s="25">
        <v>0</v>
      </c>
      <c r="K53" s="25">
        <v>0</v>
      </c>
      <c r="L53" s="25">
        <v>0</v>
      </c>
      <c r="M53" s="25">
        <v>0</v>
      </c>
      <c r="N53" s="25">
        <v>0</v>
      </c>
      <c r="O53" s="25">
        <v>0</v>
      </c>
      <c r="P53" s="25">
        <v>0</v>
      </c>
      <c r="Q53" s="25">
        <v>0</v>
      </c>
      <c r="R53" s="25">
        <v>0</v>
      </c>
      <c r="S53" s="25">
        <v>0</v>
      </c>
      <c r="T53" s="25">
        <v>0</v>
      </c>
      <c r="U53" s="25">
        <v>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25">
        <v>0</v>
      </c>
      <c r="AC53" s="25">
        <v>0</v>
      </c>
      <c r="AD53" s="25">
        <v>0</v>
      </c>
      <c r="AE53" s="25">
        <v>0</v>
      </c>
      <c r="AF53" s="25">
        <v>0</v>
      </c>
      <c r="AG53" s="25">
        <v>0</v>
      </c>
      <c r="AH53" s="25">
        <v>0</v>
      </c>
      <c r="AI53" s="25">
        <v>0</v>
      </c>
      <c r="AJ53" s="25">
        <v>0</v>
      </c>
      <c r="AK53" s="25">
        <v>0</v>
      </c>
      <c r="AL53" s="25">
        <v>0</v>
      </c>
      <c r="AM53" s="25">
        <v>0</v>
      </c>
      <c r="AN53" s="25">
        <v>0</v>
      </c>
      <c r="AO53" s="25">
        <v>0</v>
      </c>
      <c r="AP53" s="25">
        <v>0</v>
      </c>
      <c r="AQ53" s="38">
        <v>0</v>
      </c>
      <c r="AR53" s="38">
        <v>0</v>
      </c>
      <c r="AS53" s="38">
        <v>0</v>
      </c>
      <c r="AT53" s="38">
        <v>0</v>
      </c>
      <c r="AU53" s="25">
        <v>0</v>
      </c>
      <c r="AV53" s="25">
        <v>0</v>
      </c>
    </row>
    <row r="54" spans="2:48" hidden="1">
      <c r="B54" s="23" t="s">
        <v>83</v>
      </c>
      <c r="C54" s="24" t="s">
        <v>97</v>
      </c>
      <c r="D54" s="24" t="s">
        <v>98</v>
      </c>
      <c r="E54" s="25">
        <v>0</v>
      </c>
      <c r="F54" s="25">
        <v>0</v>
      </c>
      <c r="G54" s="25">
        <v>0.68</v>
      </c>
      <c r="H54" s="25">
        <v>0</v>
      </c>
      <c r="I54" s="25">
        <v>0</v>
      </c>
      <c r="J54" s="25">
        <v>0</v>
      </c>
      <c r="K54" s="25">
        <v>0</v>
      </c>
      <c r="L54" s="25">
        <v>0</v>
      </c>
      <c r="M54" s="25">
        <v>0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5">
        <v>0</v>
      </c>
      <c r="U54" s="25">
        <v>0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5">
        <v>0</v>
      </c>
      <c r="AE54" s="25">
        <v>0</v>
      </c>
      <c r="AF54" s="25">
        <v>0</v>
      </c>
      <c r="AG54" s="25">
        <v>0</v>
      </c>
      <c r="AH54" s="25">
        <v>0</v>
      </c>
      <c r="AI54" s="25">
        <v>0</v>
      </c>
      <c r="AJ54" s="25">
        <v>0</v>
      </c>
      <c r="AK54" s="25">
        <v>0</v>
      </c>
      <c r="AL54" s="25">
        <v>0</v>
      </c>
      <c r="AM54" s="25">
        <v>0</v>
      </c>
      <c r="AN54" s="25">
        <v>0</v>
      </c>
      <c r="AO54" s="25">
        <v>0</v>
      </c>
      <c r="AP54" s="25">
        <v>0</v>
      </c>
      <c r="AQ54" s="38">
        <v>0</v>
      </c>
      <c r="AR54" s="38">
        <v>0</v>
      </c>
      <c r="AS54" s="38">
        <v>0</v>
      </c>
      <c r="AT54" s="38">
        <v>0</v>
      </c>
      <c r="AU54" s="25">
        <v>0</v>
      </c>
      <c r="AV54" s="25">
        <v>0</v>
      </c>
    </row>
    <row r="55" spans="2:48" hidden="1">
      <c r="B55" s="23" t="s">
        <v>83</v>
      </c>
      <c r="C55" s="30" t="s">
        <v>99</v>
      </c>
      <c r="D55" s="24" t="s">
        <v>100</v>
      </c>
      <c r="E55" s="25">
        <v>0</v>
      </c>
      <c r="F55" s="25">
        <v>0</v>
      </c>
      <c r="G55" s="25">
        <v>0.68</v>
      </c>
      <c r="H55" s="25">
        <v>0</v>
      </c>
      <c r="I55" s="25">
        <v>0</v>
      </c>
      <c r="J55" s="25">
        <v>0</v>
      </c>
      <c r="K55" s="25">
        <v>0</v>
      </c>
      <c r="L55" s="25">
        <v>0</v>
      </c>
      <c r="M55" s="25">
        <v>0</v>
      </c>
      <c r="N55" s="25">
        <v>0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  <c r="AG55" s="25">
        <v>0</v>
      </c>
      <c r="AH55" s="25">
        <v>0</v>
      </c>
      <c r="AI55" s="25">
        <v>0</v>
      </c>
      <c r="AJ55" s="25">
        <v>0</v>
      </c>
      <c r="AK55" s="25">
        <v>0</v>
      </c>
      <c r="AL55" s="25">
        <v>0</v>
      </c>
      <c r="AM55" s="25">
        <v>0</v>
      </c>
      <c r="AN55" s="25">
        <v>0</v>
      </c>
      <c r="AO55" s="25">
        <v>0</v>
      </c>
      <c r="AP55" s="25">
        <v>0</v>
      </c>
      <c r="AQ55" s="38">
        <v>0</v>
      </c>
      <c r="AR55" s="38">
        <v>0</v>
      </c>
      <c r="AS55" s="38">
        <v>0</v>
      </c>
      <c r="AT55" s="38">
        <v>0</v>
      </c>
      <c r="AU55" s="25">
        <v>0</v>
      </c>
      <c r="AV55" s="25">
        <v>0</v>
      </c>
    </row>
    <row r="56" spans="2:48" hidden="1">
      <c r="B56" s="28" t="s">
        <v>83</v>
      </c>
      <c r="C56" s="31" t="s">
        <v>101</v>
      </c>
      <c r="D56" s="29" t="s">
        <v>102</v>
      </c>
      <c r="E56" s="25">
        <v>0</v>
      </c>
      <c r="F56" s="25">
        <v>0</v>
      </c>
      <c r="G56" s="25">
        <v>0.68</v>
      </c>
      <c r="H56" s="25">
        <v>0</v>
      </c>
      <c r="I56" s="25">
        <v>0</v>
      </c>
      <c r="J56" s="25">
        <v>0</v>
      </c>
      <c r="K56" s="25">
        <v>0</v>
      </c>
      <c r="L56" s="25">
        <v>0</v>
      </c>
      <c r="M56" s="25">
        <v>0</v>
      </c>
      <c r="N56" s="25">
        <v>0</v>
      </c>
      <c r="O56" s="25">
        <v>0</v>
      </c>
      <c r="P56" s="25">
        <v>0</v>
      </c>
      <c r="Q56" s="25">
        <v>0</v>
      </c>
      <c r="R56" s="25">
        <v>0</v>
      </c>
      <c r="S56" s="25">
        <v>0</v>
      </c>
      <c r="T56" s="25">
        <v>0</v>
      </c>
      <c r="U56" s="25">
        <v>0</v>
      </c>
      <c r="V56" s="25">
        <v>0</v>
      </c>
      <c r="W56" s="25">
        <v>0</v>
      </c>
      <c r="X56" s="25">
        <v>0</v>
      </c>
      <c r="Y56" s="25">
        <v>0</v>
      </c>
      <c r="Z56" s="25">
        <v>0</v>
      </c>
      <c r="AA56" s="25">
        <v>0</v>
      </c>
      <c r="AB56" s="25">
        <v>0</v>
      </c>
      <c r="AC56" s="25">
        <v>0</v>
      </c>
      <c r="AD56" s="25">
        <v>0</v>
      </c>
      <c r="AE56" s="25">
        <v>0</v>
      </c>
      <c r="AF56" s="25">
        <v>0</v>
      </c>
      <c r="AG56" s="25">
        <v>0</v>
      </c>
      <c r="AH56" s="25">
        <v>0</v>
      </c>
      <c r="AI56" s="25">
        <v>0</v>
      </c>
      <c r="AJ56" s="25">
        <v>0</v>
      </c>
      <c r="AK56" s="25">
        <v>0</v>
      </c>
      <c r="AL56" s="25">
        <v>0</v>
      </c>
      <c r="AM56" s="25">
        <v>0</v>
      </c>
      <c r="AN56" s="25">
        <v>0</v>
      </c>
      <c r="AO56" s="25">
        <v>0</v>
      </c>
      <c r="AP56" s="25">
        <v>0</v>
      </c>
      <c r="AQ56" s="38">
        <v>0</v>
      </c>
      <c r="AR56" s="38">
        <v>0</v>
      </c>
      <c r="AS56" s="38">
        <v>0</v>
      </c>
      <c r="AT56" s="38">
        <v>0</v>
      </c>
      <c r="AU56" s="25">
        <v>0</v>
      </c>
      <c r="AV56" s="25">
        <v>0</v>
      </c>
    </row>
    <row r="57" spans="2:48" hidden="1">
      <c r="B57" s="28" t="s">
        <v>83</v>
      </c>
      <c r="C57" s="31" t="s">
        <v>101</v>
      </c>
      <c r="D57" s="29" t="s">
        <v>103</v>
      </c>
      <c r="E57" s="25">
        <v>0</v>
      </c>
      <c r="F57" s="25">
        <v>0</v>
      </c>
      <c r="G57" s="25">
        <v>0.68</v>
      </c>
      <c r="H57" s="25">
        <v>0</v>
      </c>
      <c r="I57" s="25">
        <v>0</v>
      </c>
      <c r="J57" s="25">
        <v>0</v>
      </c>
      <c r="K57" s="25">
        <v>0</v>
      </c>
      <c r="L57" s="25">
        <v>0</v>
      </c>
      <c r="M57" s="25">
        <v>0</v>
      </c>
      <c r="N57" s="25">
        <v>0</v>
      </c>
      <c r="O57" s="25">
        <v>0</v>
      </c>
      <c r="P57" s="25">
        <v>0</v>
      </c>
      <c r="Q57" s="25">
        <v>0</v>
      </c>
      <c r="R57" s="25">
        <v>0</v>
      </c>
      <c r="S57" s="25">
        <v>0</v>
      </c>
      <c r="T57" s="25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5">
        <v>0</v>
      </c>
      <c r="AE57" s="25">
        <v>0</v>
      </c>
      <c r="AF57" s="25">
        <v>0</v>
      </c>
      <c r="AG57" s="25">
        <v>0</v>
      </c>
      <c r="AH57" s="25">
        <v>0</v>
      </c>
      <c r="AI57" s="25">
        <v>0</v>
      </c>
      <c r="AJ57" s="25">
        <v>0</v>
      </c>
      <c r="AK57" s="25">
        <v>0</v>
      </c>
      <c r="AL57" s="25">
        <v>0</v>
      </c>
      <c r="AM57" s="25">
        <v>0</v>
      </c>
      <c r="AN57" s="25">
        <v>0</v>
      </c>
      <c r="AO57" s="25">
        <v>0</v>
      </c>
      <c r="AP57" s="25">
        <v>0</v>
      </c>
      <c r="AQ57" s="38">
        <v>0</v>
      </c>
      <c r="AR57" s="38">
        <v>0</v>
      </c>
      <c r="AS57" s="38">
        <v>0</v>
      </c>
      <c r="AT57" s="38">
        <v>0</v>
      </c>
      <c r="AU57" s="25">
        <v>0</v>
      </c>
      <c r="AV57" s="25">
        <v>0</v>
      </c>
    </row>
    <row r="58" spans="2:48" hidden="1">
      <c r="B58" s="23" t="s">
        <v>83</v>
      </c>
      <c r="C58" s="30" t="s">
        <v>99</v>
      </c>
      <c r="D58" s="24" t="s">
        <v>104</v>
      </c>
      <c r="E58" s="25">
        <v>0</v>
      </c>
      <c r="F58" s="25">
        <v>0</v>
      </c>
      <c r="G58" s="25">
        <v>0.68</v>
      </c>
      <c r="H58" s="25">
        <v>0</v>
      </c>
      <c r="I58" s="25">
        <v>0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5">
        <v>0</v>
      </c>
      <c r="V58" s="25">
        <v>0</v>
      </c>
      <c r="W58" s="25">
        <v>0</v>
      </c>
      <c r="X58" s="25">
        <v>0</v>
      </c>
      <c r="Y58" s="25">
        <v>0</v>
      </c>
      <c r="Z58" s="25">
        <v>0</v>
      </c>
      <c r="AA58" s="25">
        <v>0</v>
      </c>
      <c r="AB58" s="25">
        <v>0</v>
      </c>
      <c r="AC58" s="25">
        <v>0</v>
      </c>
      <c r="AD58" s="25">
        <v>0</v>
      </c>
      <c r="AE58" s="25">
        <v>0</v>
      </c>
      <c r="AF58" s="25">
        <v>0</v>
      </c>
      <c r="AG58" s="25">
        <v>0</v>
      </c>
      <c r="AH58" s="25">
        <v>0</v>
      </c>
      <c r="AI58" s="25">
        <v>0</v>
      </c>
      <c r="AJ58" s="25">
        <v>0</v>
      </c>
      <c r="AK58" s="25">
        <v>0</v>
      </c>
      <c r="AL58" s="25">
        <v>0</v>
      </c>
      <c r="AM58" s="25">
        <v>0</v>
      </c>
      <c r="AN58" s="25">
        <v>0</v>
      </c>
      <c r="AO58" s="25">
        <v>0</v>
      </c>
      <c r="AP58" s="25">
        <v>0</v>
      </c>
      <c r="AQ58" s="38">
        <v>0</v>
      </c>
      <c r="AR58" s="38">
        <v>0</v>
      </c>
      <c r="AS58" s="38">
        <v>0</v>
      </c>
      <c r="AT58" s="38">
        <v>0</v>
      </c>
      <c r="AU58" s="25">
        <v>0</v>
      </c>
      <c r="AV58" s="25">
        <v>0</v>
      </c>
    </row>
    <row r="59" spans="2:48" hidden="1">
      <c r="B59" s="23" t="s">
        <v>83</v>
      </c>
      <c r="C59" s="24" t="s">
        <v>97</v>
      </c>
      <c r="D59" s="24" t="s">
        <v>97</v>
      </c>
      <c r="E59" s="25">
        <v>0</v>
      </c>
      <c r="F59" s="25">
        <v>0</v>
      </c>
      <c r="G59" s="25">
        <v>0.68</v>
      </c>
      <c r="H59" s="25">
        <v>0</v>
      </c>
      <c r="I59" s="25">
        <v>0</v>
      </c>
      <c r="J59" s="25">
        <v>0</v>
      </c>
      <c r="K59" s="25">
        <v>0</v>
      </c>
      <c r="L59" s="25">
        <v>0</v>
      </c>
      <c r="M59" s="25">
        <v>0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  <c r="AA59" s="25">
        <v>0</v>
      </c>
      <c r="AB59" s="25">
        <v>0</v>
      </c>
      <c r="AC59" s="25">
        <v>0</v>
      </c>
      <c r="AD59" s="25">
        <v>0</v>
      </c>
      <c r="AE59" s="25">
        <v>0</v>
      </c>
      <c r="AF59" s="25">
        <v>0</v>
      </c>
      <c r="AG59" s="25">
        <v>0</v>
      </c>
      <c r="AH59" s="25">
        <v>0</v>
      </c>
      <c r="AI59" s="25">
        <v>0</v>
      </c>
      <c r="AJ59" s="25">
        <v>0</v>
      </c>
      <c r="AK59" s="25">
        <v>0</v>
      </c>
      <c r="AL59" s="25">
        <v>0</v>
      </c>
      <c r="AM59" s="25">
        <v>0</v>
      </c>
      <c r="AN59" s="25">
        <v>0</v>
      </c>
      <c r="AO59" s="25">
        <v>0</v>
      </c>
      <c r="AP59" s="25">
        <v>0</v>
      </c>
      <c r="AQ59" s="38">
        <v>0</v>
      </c>
      <c r="AR59" s="38">
        <v>0</v>
      </c>
      <c r="AS59" s="38">
        <v>0</v>
      </c>
      <c r="AT59" s="38">
        <v>0</v>
      </c>
      <c r="AU59" s="25">
        <v>0</v>
      </c>
      <c r="AV59" s="25">
        <v>0</v>
      </c>
    </row>
    <row r="60" spans="2:48" hidden="1">
      <c r="B60" s="23" t="s">
        <v>105</v>
      </c>
      <c r="C60" s="23" t="s">
        <v>106</v>
      </c>
      <c r="D60" s="24" t="s">
        <v>107</v>
      </c>
      <c r="E60" s="25">
        <v>0.45</v>
      </c>
      <c r="F60" s="25">
        <v>0.45</v>
      </c>
      <c r="G60" s="25">
        <v>0.65</v>
      </c>
      <c r="H60" s="26">
        <v>0.42499999999999999</v>
      </c>
      <c r="I60" s="26">
        <v>0.375</v>
      </c>
      <c r="J60" s="26">
        <v>0.42499999999999999</v>
      </c>
      <c r="K60" s="26">
        <v>0.27500000000000002</v>
      </c>
      <c r="L60" s="25">
        <v>0.52500000000000002</v>
      </c>
      <c r="M60" s="25">
        <v>0.5</v>
      </c>
      <c r="N60" s="25">
        <v>0.42499999999999999</v>
      </c>
      <c r="O60" s="25">
        <v>0.375</v>
      </c>
      <c r="P60" s="25">
        <v>0</v>
      </c>
      <c r="Q60" s="25">
        <v>0</v>
      </c>
      <c r="R60" s="25">
        <v>0</v>
      </c>
      <c r="S60" s="25">
        <v>0</v>
      </c>
      <c r="T60" s="25">
        <v>0</v>
      </c>
      <c r="U60" s="25">
        <v>0</v>
      </c>
      <c r="V60" s="34">
        <v>0</v>
      </c>
      <c r="W60" s="34">
        <v>0</v>
      </c>
      <c r="X60" s="25">
        <v>0.05</v>
      </c>
      <c r="Y60" s="25">
        <v>0.15</v>
      </c>
      <c r="Z60" s="25">
        <v>0</v>
      </c>
      <c r="AA60" s="25">
        <v>0</v>
      </c>
      <c r="AB60" s="25">
        <v>0</v>
      </c>
      <c r="AC60" s="25">
        <v>0</v>
      </c>
      <c r="AD60" s="25">
        <v>0</v>
      </c>
      <c r="AE60" s="25">
        <v>0</v>
      </c>
      <c r="AF60" s="25">
        <v>0</v>
      </c>
      <c r="AG60" s="25">
        <v>0</v>
      </c>
      <c r="AH60" s="25">
        <v>0</v>
      </c>
      <c r="AI60" s="25">
        <v>0</v>
      </c>
      <c r="AJ60" s="25">
        <v>0</v>
      </c>
      <c r="AK60" s="25">
        <v>0</v>
      </c>
      <c r="AL60" s="25">
        <v>0</v>
      </c>
      <c r="AM60" s="25">
        <v>0</v>
      </c>
      <c r="AN60" s="25">
        <v>0</v>
      </c>
      <c r="AO60" s="25">
        <v>0.45</v>
      </c>
      <c r="AP60" s="25">
        <v>0</v>
      </c>
      <c r="AQ60" s="25">
        <v>0.52500000000000002</v>
      </c>
      <c r="AR60" s="25">
        <v>0.42499999999999999</v>
      </c>
      <c r="AS60" s="25">
        <v>0.375</v>
      </c>
      <c r="AT60" s="38">
        <v>0</v>
      </c>
      <c r="AU60" s="25">
        <v>0</v>
      </c>
      <c r="AV60" s="25">
        <v>0</v>
      </c>
    </row>
    <row r="61" spans="2:48" hidden="1">
      <c r="B61" s="23" t="s">
        <v>105</v>
      </c>
      <c r="C61" s="23" t="s">
        <v>106</v>
      </c>
      <c r="D61" s="24" t="s">
        <v>106</v>
      </c>
      <c r="E61" s="25">
        <v>0.45</v>
      </c>
      <c r="F61" s="25">
        <v>0.45</v>
      </c>
      <c r="G61" s="25">
        <v>0.65</v>
      </c>
      <c r="H61" s="26">
        <v>0.375</v>
      </c>
      <c r="I61" s="26">
        <v>0.32500000000000001</v>
      </c>
      <c r="J61" s="26">
        <v>0.375</v>
      </c>
      <c r="K61" s="26">
        <v>0.22500000000000001</v>
      </c>
      <c r="L61" s="25">
        <v>0.52500000000000002</v>
      </c>
      <c r="M61" s="25">
        <v>0.5</v>
      </c>
      <c r="N61" s="25">
        <v>0.42499999999999999</v>
      </c>
      <c r="O61" s="25">
        <v>0.375</v>
      </c>
      <c r="P61" s="25">
        <v>0</v>
      </c>
      <c r="Q61" s="25">
        <v>0</v>
      </c>
      <c r="R61" s="25">
        <v>0</v>
      </c>
      <c r="S61" s="25">
        <v>0</v>
      </c>
      <c r="T61" s="25">
        <v>0</v>
      </c>
      <c r="U61" s="25">
        <v>0</v>
      </c>
      <c r="V61" s="34">
        <v>0</v>
      </c>
      <c r="W61" s="34">
        <v>0</v>
      </c>
      <c r="X61" s="34">
        <v>0</v>
      </c>
      <c r="Y61" s="34">
        <v>0</v>
      </c>
      <c r="Z61" s="25">
        <v>0</v>
      </c>
      <c r="AA61" s="25">
        <v>0</v>
      </c>
      <c r="AB61" s="25">
        <v>0</v>
      </c>
      <c r="AC61" s="25">
        <v>0</v>
      </c>
      <c r="AD61" s="25">
        <v>0</v>
      </c>
      <c r="AE61" s="25">
        <v>0</v>
      </c>
      <c r="AF61" s="25">
        <v>0</v>
      </c>
      <c r="AG61" s="25">
        <v>0</v>
      </c>
      <c r="AH61" s="25">
        <v>0</v>
      </c>
      <c r="AI61" s="25">
        <v>0</v>
      </c>
      <c r="AJ61" s="25">
        <v>0</v>
      </c>
      <c r="AK61" s="25">
        <v>0</v>
      </c>
      <c r="AL61" s="25">
        <v>0</v>
      </c>
      <c r="AM61" s="25">
        <v>0</v>
      </c>
      <c r="AN61" s="25">
        <v>0</v>
      </c>
      <c r="AO61" s="25">
        <v>0.45</v>
      </c>
      <c r="AP61" s="25">
        <v>0</v>
      </c>
      <c r="AQ61" s="25">
        <v>0.52500000000000002</v>
      </c>
      <c r="AR61" s="25">
        <v>0.42499999999999999</v>
      </c>
      <c r="AS61" s="25">
        <v>0.375</v>
      </c>
      <c r="AT61" s="38">
        <v>0</v>
      </c>
      <c r="AU61" s="25">
        <v>0</v>
      </c>
      <c r="AV61" s="25">
        <v>0</v>
      </c>
    </row>
    <row r="62" spans="2:48" hidden="1">
      <c r="B62" s="23" t="s">
        <v>105</v>
      </c>
      <c r="C62" s="23" t="s">
        <v>108</v>
      </c>
      <c r="D62" s="24" t="s">
        <v>109</v>
      </c>
      <c r="E62" s="25">
        <v>0</v>
      </c>
      <c r="F62" s="25">
        <v>0</v>
      </c>
      <c r="G62" s="25">
        <v>0.65</v>
      </c>
      <c r="H62" s="26">
        <v>0.375</v>
      </c>
      <c r="I62" s="26">
        <v>0.32500000000000001</v>
      </c>
      <c r="J62" s="26">
        <v>0.375</v>
      </c>
      <c r="K62" s="26">
        <v>0.22500000000000001</v>
      </c>
      <c r="L62" s="25">
        <v>0.2</v>
      </c>
      <c r="M62" s="25">
        <v>0.17499999999999999</v>
      </c>
      <c r="N62" s="25">
        <v>0.1</v>
      </c>
      <c r="O62" s="25">
        <v>0.05</v>
      </c>
      <c r="P62" s="25">
        <v>0</v>
      </c>
      <c r="Q62" s="25">
        <v>0</v>
      </c>
      <c r="R62" s="25">
        <v>0</v>
      </c>
      <c r="S62" s="25">
        <v>0</v>
      </c>
      <c r="T62" s="25">
        <v>0</v>
      </c>
      <c r="U62" s="25">
        <v>0</v>
      </c>
      <c r="V62" s="34">
        <v>0</v>
      </c>
      <c r="W62" s="34">
        <v>0</v>
      </c>
      <c r="X62" s="25">
        <v>2.5000000000000001E-2</v>
      </c>
      <c r="Y62" s="25">
        <v>0.15</v>
      </c>
      <c r="Z62" s="25">
        <v>0</v>
      </c>
      <c r="AA62" s="25">
        <v>0</v>
      </c>
      <c r="AB62" s="25">
        <v>0</v>
      </c>
      <c r="AC62" s="25">
        <v>0</v>
      </c>
      <c r="AD62" s="25">
        <v>0</v>
      </c>
      <c r="AE62" s="25">
        <v>0</v>
      </c>
      <c r="AF62" s="25">
        <v>0</v>
      </c>
      <c r="AG62" s="25">
        <v>0</v>
      </c>
      <c r="AH62" s="25">
        <v>0</v>
      </c>
      <c r="AI62" s="25">
        <v>0</v>
      </c>
      <c r="AJ62" s="25">
        <v>0</v>
      </c>
      <c r="AK62" s="25">
        <v>0</v>
      </c>
      <c r="AL62" s="25">
        <v>0</v>
      </c>
      <c r="AM62" s="25">
        <v>0</v>
      </c>
      <c r="AN62" s="25">
        <v>0</v>
      </c>
      <c r="AO62" s="25">
        <v>0.45</v>
      </c>
      <c r="AP62" s="25">
        <v>0</v>
      </c>
      <c r="AQ62" s="25">
        <v>0.25</v>
      </c>
      <c r="AR62" s="25">
        <v>0.45</v>
      </c>
      <c r="AS62" s="25">
        <v>0.4</v>
      </c>
      <c r="AT62" s="38">
        <v>0</v>
      </c>
      <c r="AU62" s="25">
        <v>0</v>
      </c>
      <c r="AV62" s="25">
        <v>0</v>
      </c>
    </row>
    <row r="63" spans="2:48" hidden="1">
      <c r="B63" s="23" t="s">
        <v>105</v>
      </c>
      <c r="C63" s="23" t="s">
        <v>108</v>
      </c>
      <c r="D63" s="24" t="s">
        <v>110</v>
      </c>
      <c r="E63" s="25">
        <v>0</v>
      </c>
      <c r="F63" s="25">
        <v>0</v>
      </c>
      <c r="G63" s="25">
        <v>0.65</v>
      </c>
      <c r="H63" s="26">
        <v>0.375</v>
      </c>
      <c r="I63" s="26">
        <v>0.32500000000000001</v>
      </c>
      <c r="J63" s="26">
        <v>0.375</v>
      </c>
      <c r="K63" s="26">
        <v>0.22500000000000001</v>
      </c>
      <c r="L63" s="25">
        <v>0.2</v>
      </c>
      <c r="M63" s="25">
        <v>0.17499999999999999</v>
      </c>
      <c r="N63" s="25">
        <v>0.1</v>
      </c>
      <c r="O63" s="25">
        <v>0.05</v>
      </c>
      <c r="P63" s="25">
        <v>0</v>
      </c>
      <c r="Q63" s="25">
        <v>0</v>
      </c>
      <c r="R63" s="25">
        <v>0</v>
      </c>
      <c r="S63" s="25">
        <v>0</v>
      </c>
      <c r="T63" s="25">
        <v>0</v>
      </c>
      <c r="U63" s="25">
        <v>0</v>
      </c>
      <c r="V63" s="34">
        <v>0</v>
      </c>
      <c r="W63" s="34">
        <v>0</v>
      </c>
      <c r="X63" s="25">
        <v>2.5000000000000001E-2</v>
      </c>
      <c r="Y63" s="25">
        <v>0.15</v>
      </c>
      <c r="Z63" s="25">
        <v>0</v>
      </c>
      <c r="AA63" s="25">
        <v>0</v>
      </c>
      <c r="AB63" s="25">
        <v>0</v>
      </c>
      <c r="AC63" s="25">
        <v>0</v>
      </c>
      <c r="AD63" s="25">
        <v>0</v>
      </c>
      <c r="AE63" s="25">
        <v>0</v>
      </c>
      <c r="AF63" s="25">
        <v>0</v>
      </c>
      <c r="AG63" s="25">
        <v>0</v>
      </c>
      <c r="AH63" s="25">
        <v>0</v>
      </c>
      <c r="AI63" s="25">
        <v>0</v>
      </c>
      <c r="AJ63" s="25">
        <v>0</v>
      </c>
      <c r="AK63" s="25">
        <v>0</v>
      </c>
      <c r="AL63" s="25">
        <v>0</v>
      </c>
      <c r="AM63" s="25">
        <v>0</v>
      </c>
      <c r="AN63" s="25">
        <v>0</v>
      </c>
      <c r="AO63" s="25">
        <v>0.45</v>
      </c>
      <c r="AP63" s="25">
        <v>0</v>
      </c>
      <c r="AQ63" s="25">
        <v>0.25</v>
      </c>
      <c r="AR63" s="25">
        <v>0.45</v>
      </c>
      <c r="AS63" s="25">
        <v>0.4</v>
      </c>
      <c r="AT63" s="38">
        <v>0</v>
      </c>
      <c r="AU63" s="25">
        <v>0</v>
      </c>
      <c r="AV63" s="25">
        <v>0</v>
      </c>
    </row>
    <row r="64" spans="2:48" hidden="1">
      <c r="B64" s="23" t="s">
        <v>105</v>
      </c>
      <c r="C64" s="23" t="s">
        <v>108</v>
      </c>
      <c r="D64" s="24" t="s">
        <v>108</v>
      </c>
      <c r="E64" s="25">
        <v>0</v>
      </c>
      <c r="F64" s="25">
        <v>0</v>
      </c>
      <c r="G64" s="25">
        <v>0.65</v>
      </c>
      <c r="H64" s="26">
        <v>0.375</v>
      </c>
      <c r="I64" s="26">
        <v>0.32500000000000001</v>
      </c>
      <c r="J64" s="26">
        <v>0.375</v>
      </c>
      <c r="K64" s="26">
        <v>0.22500000000000001</v>
      </c>
      <c r="L64" s="25">
        <v>0.2</v>
      </c>
      <c r="M64" s="25">
        <v>0.17499999999999999</v>
      </c>
      <c r="N64" s="25">
        <v>0.1</v>
      </c>
      <c r="O64" s="25">
        <v>0.05</v>
      </c>
      <c r="P64" s="25">
        <v>0</v>
      </c>
      <c r="Q64" s="25">
        <v>0</v>
      </c>
      <c r="R64" s="25">
        <v>0</v>
      </c>
      <c r="S64" s="25">
        <v>0</v>
      </c>
      <c r="T64" s="25">
        <v>0</v>
      </c>
      <c r="U64" s="25">
        <v>0</v>
      </c>
      <c r="V64" s="34">
        <v>0</v>
      </c>
      <c r="W64" s="34">
        <v>0</v>
      </c>
      <c r="X64" s="25">
        <v>2.5000000000000001E-2</v>
      </c>
      <c r="Y64" s="25">
        <v>0.15</v>
      </c>
      <c r="Z64" s="25">
        <v>0</v>
      </c>
      <c r="AA64" s="25">
        <v>0</v>
      </c>
      <c r="AB64" s="25">
        <v>0</v>
      </c>
      <c r="AC64" s="25">
        <v>0</v>
      </c>
      <c r="AD64" s="25">
        <v>0</v>
      </c>
      <c r="AE64" s="25">
        <v>0</v>
      </c>
      <c r="AF64" s="25">
        <v>0</v>
      </c>
      <c r="AG64" s="25">
        <v>0</v>
      </c>
      <c r="AH64" s="25">
        <v>0</v>
      </c>
      <c r="AI64" s="25">
        <v>0</v>
      </c>
      <c r="AJ64" s="25">
        <v>0</v>
      </c>
      <c r="AK64" s="25">
        <v>0</v>
      </c>
      <c r="AL64" s="25">
        <v>0</v>
      </c>
      <c r="AM64" s="25">
        <v>0</v>
      </c>
      <c r="AN64" s="25">
        <v>0</v>
      </c>
      <c r="AO64" s="25">
        <v>0.45</v>
      </c>
      <c r="AP64" s="25">
        <v>0</v>
      </c>
      <c r="AQ64" s="25">
        <v>0.25</v>
      </c>
      <c r="AR64" s="25">
        <v>0.45</v>
      </c>
      <c r="AS64" s="25">
        <v>0.4</v>
      </c>
      <c r="AT64" s="38">
        <v>0</v>
      </c>
      <c r="AU64" s="25">
        <v>0</v>
      </c>
      <c r="AV64" s="25">
        <v>0</v>
      </c>
    </row>
    <row r="65" spans="2:48" hidden="1">
      <c r="B65" s="23" t="s">
        <v>105</v>
      </c>
      <c r="C65" s="24" t="s">
        <v>111</v>
      </c>
      <c r="D65" s="24" t="s">
        <v>111</v>
      </c>
      <c r="E65" s="25">
        <v>0</v>
      </c>
      <c r="F65" s="25">
        <v>0</v>
      </c>
      <c r="G65" s="25">
        <v>0.625</v>
      </c>
      <c r="H65" s="26">
        <v>0.42499999999999999</v>
      </c>
      <c r="I65" s="26">
        <v>0.375</v>
      </c>
      <c r="J65" s="26">
        <v>0.42499999999999999</v>
      </c>
      <c r="K65" s="26">
        <v>0.27500000000000002</v>
      </c>
      <c r="L65" s="25">
        <v>0</v>
      </c>
      <c r="M65" s="25">
        <v>0</v>
      </c>
      <c r="N65" s="25">
        <v>0</v>
      </c>
      <c r="O65" s="25">
        <v>0</v>
      </c>
      <c r="P65" s="25">
        <v>0</v>
      </c>
      <c r="Q65" s="25">
        <v>0</v>
      </c>
      <c r="R65" s="25">
        <v>0</v>
      </c>
      <c r="S65" s="25">
        <v>0</v>
      </c>
      <c r="T65" s="25">
        <v>0</v>
      </c>
      <c r="U65" s="25">
        <v>0</v>
      </c>
      <c r="V65" s="34">
        <v>0</v>
      </c>
      <c r="W65" s="34">
        <v>0</v>
      </c>
      <c r="X65" s="25">
        <v>0</v>
      </c>
      <c r="Y65" s="25">
        <v>0</v>
      </c>
      <c r="Z65" s="25">
        <v>0</v>
      </c>
      <c r="AA65" s="25">
        <v>0</v>
      </c>
      <c r="AB65" s="25">
        <v>0</v>
      </c>
      <c r="AC65" s="25">
        <v>0</v>
      </c>
      <c r="AD65" s="25">
        <v>0</v>
      </c>
      <c r="AE65" s="25">
        <v>0</v>
      </c>
      <c r="AF65" s="25">
        <v>0</v>
      </c>
      <c r="AG65" s="25">
        <v>0</v>
      </c>
      <c r="AH65" s="25">
        <v>0</v>
      </c>
      <c r="AI65" s="25">
        <v>0</v>
      </c>
      <c r="AJ65" s="25">
        <v>0</v>
      </c>
      <c r="AK65" s="25">
        <v>0</v>
      </c>
      <c r="AL65" s="25">
        <v>0</v>
      </c>
      <c r="AM65" s="25">
        <v>0</v>
      </c>
      <c r="AN65" s="25">
        <v>0</v>
      </c>
      <c r="AO65" s="25">
        <v>0.35</v>
      </c>
      <c r="AP65" s="25">
        <v>0</v>
      </c>
      <c r="AQ65" s="25">
        <v>0</v>
      </c>
      <c r="AR65" s="25">
        <v>0</v>
      </c>
      <c r="AS65" s="38">
        <v>0</v>
      </c>
      <c r="AT65" s="38">
        <v>0</v>
      </c>
      <c r="AU65" s="25">
        <v>0</v>
      </c>
      <c r="AV65" s="25">
        <v>0</v>
      </c>
    </row>
    <row r="66" spans="2:48" hidden="1">
      <c r="B66" s="23" t="s">
        <v>105</v>
      </c>
      <c r="C66" s="23" t="s">
        <v>112</v>
      </c>
      <c r="D66" s="24" t="s">
        <v>113</v>
      </c>
      <c r="E66" s="25">
        <v>0</v>
      </c>
      <c r="F66" s="25">
        <v>0</v>
      </c>
      <c r="G66" s="25">
        <v>0.625</v>
      </c>
      <c r="H66" s="26">
        <v>0.42499999999999999</v>
      </c>
      <c r="I66" s="26">
        <v>0.375</v>
      </c>
      <c r="J66" s="26">
        <v>0.42499999999999999</v>
      </c>
      <c r="K66" s="26">
        <v>0.27500000000000002</v>
      </c>
      <c r="L66" s="25">
        <v>0</v>
      </c>
      <c r="M66" s="25">
        <v>0</v>
      </c>
      <c r="N66" s="25">
        <v>0</v>
      </c>
      <c r="O66" s="25">
        <v>0</v>
      </c>
      <c r="P66" s="25">
        <v>0</v>
      </c>
      <c r="Q66" s="25">
        <v>0</v>
      </c>
      <c r="R66" s="25">
        <v>0</v>
      </c>
      <c r="S66" s="25">
        <v>0</v>
      </c>
      <c r="T66" s="25">
        <v>0</v>
      </c>
      <c r="U66" s="25">
        <v>0</v>
      </c>
      <c r="V66" s="34">
        <v>0</v>
      </c>
      <c r="W66" s="34">
        <v>0</v>
      </c>
      <c r="X66" s="25">
        <v>0</v>
      </c>
      <c r="Y66" s="25">
        <v>0</v>
      </c>
      <c r="Z66" s="25">
        <v>0</v>
      </c>
      <c r="AA66" s="25">
        <v>0</v>
      </c>
      <c r="AB66" s="25">
        <v>0</v>
      </c>
      <c r="AC66" s="25">
        <v>0</v>
      </c>
      <c r="AD66" s="25">
        <v>0</v>
      </c>
      <c r="AE66" s="25">
        <v>0</v>
      </c>
      <c r="AF66" s="25">
        <v>0</v>
      </c>
      <c r="AG66" s="25">
        <v>0</v>
      </c>
      <c r="AH66" s="25">
        <v>0</v>
      </c>
      <c r="AI66" s="25">
        <v>0</v>
      </c>
      <c r="AJ66" s="25">
        <v>0</v>
      </c>
      <c r="AK66" s="25">
        <v>0</v>
      </c>
      <c r="AL66" s="25">
        <v>0</v>
      </c>
      <c r="AM66" s="25">
        <v>0</v>
      </c>
      <c r="AN66" s="25">
        <v>0</v>
      </c>
      <c r="AO66" s="25">
        <v>0.35</v>
      </c>
      <c r="AP66" s="25">
        <v>0</v>
      </c>
      <c r="AQ66" s="25">
        <v>0</v>
      </c>
      <c r="AR66" s="25">
        <v>0</v>
      </c>
      <c r="AS66" s="38">
        <v>0</v>
      </c>
      <c r="AT66" s="38">
        <v>0</v>
      </c>
      <c r="AU66" s="25">
        <v>0</v>
      </c>
      <c r="AV66" s="25">
        <v>0</v>
      </c>
    </row>
    <row r="67" spans="2:48" hidden="1">
      <c r="B67" s="23" t="s">
        <v>105</v>
      </c>
      <c r="C67" s="23" t="s">
        <v>112</v>
      </c>
      <c r="D67" s="24" t="s">
        <v>114</v>
      </c>
      <c r="E67" s="25">
        <v>0</v>
      </c>
      <c r="F67" s="25">
        <v>0</v>
      </c>
      <c r="G67" s="25">
        <v>0.625</v>
      </c>
      <c r="H67" s="26">
        <v>0.375</v>
      </c>
      <c r="I67" s="26">
        <v>0.375</v>
      </c>
      <c r="J67" s="26">
        <v>0.375</v>
      </c>
      <c r="K67" s="26">
        <v>0.22500000000000001</v>
      </c>
      <c r="L67" s="25">
        <v>0</v>
      </c>
      <c r="M67" s="25">
        <v>0</v>
      </c>
      <c r="N67" s="25">
        <v>0</v>
      </c>
      <c r="O67" s="25">
        <v>0</v>
      </c>
      <c r="P67" s="25">
        <v>0</v>
      </c>
      <c r="Q67" s="25">
        <v>0</v>
      </c>
      <c r="R67" s="25">
        <v>0</v>
      </c>
      <c r="S67" s="25">
        <v>0</v>
      </c>
      <c r="T67" s="25">
        <v>0</v>
      </c>
      <c r="U67" s="25">
        <v>0</v>
      </c>
      <c r="V67" s="34">
        <v>0</v>
      </c>
      <c r="W67" s="34">
        <v>0</v>
      </c>
      <c r="X67" s="25">
        <v>0</v>
      </c>
      <c r="Y67" s="25">
        <v>0</v>
      </c>
      <c r="Z67" s="25">
        <v>0</v>
      </c>
      <c r="AA67" s="25">
        <v>0</v>
      </c>
      <c r="AB67" s="25">
        <v>0</v>
      </c>
      <c r="AC67" s="25">
        <v>0</v>
      </c>
      <c r="AD67" s="25">
        <v>0</v>
      </c>
      <c r="AE67" s="25">
        <v>0</v>
      </c>
      <c r="AF67" s="25">
        <v>0</v>
      </c>
      <c r="AG67" s="25">
        <v>0</v>
      </c>
      <c r="AH67" s="25">
        <v>0</v>
      </c>
      <c r="AI67" s="25">
        <v>0</v>
      </c>
      <c r="AJ67" s="25">
        <v>0</v>
      </c>
      <c r="AK67" s="25">
        <v>0</v>
      </c>
      <c r="AL67" s="25">
        <v>0</v>
      </c>
      <c r="AM67" s="25">
        <v>0</v>
      </c>
      <c r="AN67" s="25">
        <v>0</v>
      </c>
      <c r="AO67" s="25">
        <v>0.35</v>
      </c>
      <c r="AP67" s="25">
        <v>0</v>
      </c>
      <c r="AQ67" s="25">
        <v>0</v>
      </c>
      <c r="AR67" s="25">
        <v>0</v>
      </c>
      <c r="AS67" s="38">
        <v>0</v>
      </c>
      <c r="AT67" s="38">
        <v>0</v>
      </c>
      <c r="AU67" s="25">
        <v>0</v>
      </c>
      <c r="AV67" s="25">
        <v>0</v>
      </c>
    </row>
    <row r="68" spans="2:48" hidden="1">
      <c r="B68" s="23" t="s">
        <v>105</v>
      </c>
      <c r="C68" s="23" t="s">
        <v>112</v>
      </c>
      <c r="D68" s="24" t="s">
        <v>112</v>
      </c>
      <c r="E68" s="25">
        <v>0</v>
      </c>
      <c r="F68" s="25">
        <v>0</v>
      </c>
      <c r="G68" s="25">
        <v>0.625</v>
      </c>
      <c r="H68" s="26">
        <v>0.375</v>
      </c>
      <c r="I68" s="26">
        <v>0.32500000000000001</v>
      </c>
      <c r="J68" s="26">
        <v>0.375</v>
      </c>
      <c r="K68" s="26">
        <v>0.22500000000000001</v>
      </c>
      <c r="L68" s="25">
        <v>0</v>
      </c>
      <c r="M68" s="25">
        <v>0</v>
      </c>
      <c r="N68" s="25">
        <v>0</v>
      </c>
      <c r="O68" s="25">
        <v>0</v>
      </c>
      <c r="P68" s="25">
        <v>0</v>
      </c>
      <c r="Q68" s="25">
        <v>0</v>
      </c>
      <c r="R68" s="25">
        <v>0</v>
      </c>
      <c r="S68" s="25">
        <v>0</v>
      </c>
      <c r="T68" s="25">
        <v>0</v>
      </c>
      <c r="U68" s="25">
        <v>0</v>
      </c>
      <c r="V68" s="34">
        <v>0</v>
      </c>
      <c r="W68" s="34">
        <v>0</v>
      </c>
      <c r="X68" s="25">
        <v>0</v>
      </c>
      <c r="Y68" s="25">
        <v>0</v>
      </c>
      <c r="Z68" s="25">
        <v>0</v>
      </c>
      <c r="AA68" s="25">
        <v>0</v>
      </c>
      <c r="AB68" s="25">
        <v>0</v>
      </c>
      <c r="AC68" s="25">
        <v>0</v>
      </c>
      <c r="AD68" s="25">
        <v>0</v>
      </c>
      <c r="AE68" s="25">
        <v>0</v>
      </c>
      <c r="AF68" s="25">
        <v>0</v>
      </c>
      <c r="AG68" s="25">
        <v>0</v>
      </c>
      <c r="AH68" s="25">
        <v>0</v>
      </c>
      <c r="AI68" s="25">
        <v>0</v>
      </c>
      <c r="AJ68" s="25">
        <v>0</v>
      </c>
      <c r="AK68" s="25">
        <v>0</v>
      </c>
      <c r="AL68" s="25">
        <v>0</v>
      </c>
      <c r="AM68" s="25">
        <v>0</v>
      </c>
      <c r="AN68" s="25">
        <v>0</v>
      </c>
      <c r="AO68" s="25">
        <v>0.35</v>
      </c>
      <c r="AP68" s="25">
        <v>0</v>
      </c>
      <c r="AQ68" s="25">
        <v>0</v>
      </c>
      <c r="AR68" s="25">
        <v>0</v>
      </c>
      <c r="AS68" s="38">
        <v>0</v>
      </c>
      <c r="AT68" s="38">
        <v>0</v>
      </c>
      <c r="AU68" s="25">
        <v>0</v>
      </c>
      <c r="AV68" s="25">
        <v>0</v>
      </c>
    </row>
    <row r="69" spans="2:48" hidden="1">
      <c r="B69" s="23" t="s">
        <v>105</v>
      </c>
      <c r="C69" s="24" t="s">
        <v>115</v>
      </c>
      <c r="D69" s="24" t="s">
        <v>115</v>
      </c>
      <c r="E69" s="25">
        <v>0</v>
      </c>
      <c r="F69" s="25">
        <v>0</v>
      </c>
      <c r="G69" s="25">
        <v>0.625</v>
      </c>
      <c r="H69" s="26">
        <v>0.375</v>
      </c>
      <c r="I69" s="26">
        <v>0.32500000000000001</v>
      </c>
      <c r="J69" s="26">
        <v>0.375</v>
      </c>
      <c r="K69" s="26">
        <v>0.22500000000000001</v>
      </c>
      <c r="L69" s="25">
        <v>0</v>
      </c>
      <c r="M69" s="25">
        <v>0</v>
      </c>
      <c r="N69" s="25">
        <v>0</v>
      </c>
      <c r="O69" s="25">
        <v>0</v>
      </c>
      <c r="P69" s="25">
        <v>0</v>
      </c>
      <c r="Q69" s="25">
        <v>0</v>
      </c>
      <c r="R69" s="25">
        <v>0</v>
      </c>
      <c r="S69" s="25">
        <v>0</v>
      </c>
      <c r="T69" s="25">
        <v>0</v>
      </c>
      <c r="U69" s="25">
        <v>0</v>
      </c>
      <c r="V69" s="34">
        <v>0</v>
      </c>
      <c r="W69" s="34">
        <v>0</v>
      </c>
      <c r="X69" s="25">
        <v>0</v>
      </c>
      <c r="Y69" s="25">
        <v>0</v>
      </c>
      <c r="Z69" s="25">
        <v>0</v>
      </c>
      <c r="AA69" s="25">
        <v>0</v>
      </c>
      <c r="AB69" s="25">
        <v>0</v>
      </c>
      <c r="AC69" s="25">
        <v>0</v>
      </c>
      <c r="AD69" s="25">
        <v>0</v>
      </c>
      <c r="AE69" s="25">
        <v>0</v>
      </c>
      <c r="AF69" s="25">
        <v>0</v>
      </c>
      <c r="AG69" s="25">
        <v>0</v>
      </c>
      <c r="AH69" s="25">
        <v>0</v>
      </c>
      <c r="AI69" s="25">
        <v>0</v>
      </c>
      <c r="AJ69" s="25">
        <v>0</v>
      </c>
      <c r="AK69" s="25">
        <v>0</v>
      </c>
      <c r="AL69" s="25">
        <v>0</v>
      </c>
      <c r="AM69" s="25">
        <v>0</v>
      </c>
      <c r="AN69" s="25">
        <v>0</v>
      </c>
      <c r="AO69" s="25">
        <v>0.35</v>
      </c>
      <c r="AP69" s="25">
        <v>0</v>
      </c>
      <c r="AQ69" s="25">
        <v>0</v>
      </c>
      <c r="AR69" s="25">
        <v>0</v>
      </c>
      <c r="AS69" s="38">
        <v>0</v>
      </c>
      <c r="AT69" s="38">
        <v>0</v>
      </c>
      <c r="AU69" s="25">
        <v>0</v>
      </c>
      <c r="AV69" s="25">
        <v>0</v>
      </c>
    </row>
    <row r="70" spans="2:48" hidden="1">
      <c r="B70" s="23" t="s">
        <v>105</v>
      </c>
      <c r="C70" s="24" t="s">
        <v>116</v>
      </c>
      <c r="D70" s="24" t="s">
        <v>116</v>
      </c>
      <c r="E70" s="25">
        <v>0.57499999999999996</v>
      </c>
      <c r="F70" s="25">
        <v>0.57499999999999996</v>
      </c>
      <c r="G70" s="25">
        <v>0.65</v>
      </c>
      <c r="H70" s="26">
        <v>0.52500000000000002</v>
      </c>
      <c r="I70" s="26">
        <v>0.52500000000000002</v>
      </c>
      <c r="J70" s="26">
        <v>0.57499999999999996</v>
      </c>
      <c r="K70" s="26">
        <v>0.375</v>
      </c>
      <c r="L70" s="25">
        <v>0.55000000000000004</v>
      </c>
      <c r="M70" s="25">
        <v>0.52500000000000002</v>
      </c>
      <c r="N70" s="25">
        <v>0.45</v>
      </c>
      <c r="O70" s="25">
        <v>0.4</v>
      </c>
      <c r="P70" s="25">
        <v>0</v>
      </c>
      <c r="Q70" s="25">
        <v>0</v>
      </c>
      <c r="R70" s="25">
        <v>0</v>
      </c>
      <c r="S70" s="25">
        <v>0</v>
      </c>
      <c r="T70" s="25">
        <v>0</v>
      </c>
      <c r="U70" s="25">
        <v>0</v>
      </c>
      <c r="V70" s="34">
        <v>0.1</v>
      </c>
      <c r="W70" s="34">
        <v>0.35</v>
      </c>
      <c r="X70" s="25">
        <v>0.05</v>
      </c>
      <c r="Y70" s="25">
        <v>0.15</v>
      </c>
      <c r="Z70" s="25">
        <v>0</v>
      </c>
      <c r="AA70" s="25">
        <v>0</v>
      </c>
      <c r="AB70" s="25">
        <v>0</v>
      </c>
      <c r="AC70" s="25">
        <v>0</v>
      </c>
      <c r="AD70" s="25">
        <v>0</v>
      </c>
      <c r="AE70" s="25">
        <v>0</v>
      </c>
      <c r="AF70" s="25">
        <v>0</v>
      </c>
      <c r="AG70" s="25">
        <v>0</v>
      </c>
      <c r="AH70" s="25">
        <v>0</v>
      </c>
      <c r="AI70" s="25">
        <v>0</v>
      </c>
      <c r="AJ70" s="25">
        <v>0</v>
      </c>
      <c r="AK70" s="25">
        <v>0</v>
      </c>
      <c r="AL70" s="25">
        <v>0</v>
      </c>
      <c r="AM70" s="25">
        <v>0</v>
      </c>
      <c r="AN70" s="25">
        <v>0</v>
      </c>
      <c r="AO70" s="25">
        <v>0.45</v>
      </c>
      <c r="AP70" s="25">
        <v>0</v>
      </c>
      <c r="AQ70" s="25">
        <v>0</v>
      </c>
      <c r="AR70" s="25">
        <v>0</v>
      </c>
      <c r="AS70" s="38">
        <v>0</v>
      </c>
      <c r="AT70" s="38">
        <v>0</v>
      </c>
      <c r="AU70" s="25">
        <v>0</v>
      </c>
      <c r="AV70" s="25">
        <v>0</v>
      </c>
    </row>
    <row r="71" spans="2:48" hidden="1">
      <c r="B71" s="23" t="s">
        <v>105</v>
      </c>
      <c r="C71" s="23" t="s">
        <v>117</v>
      </c>
      <c r="D71" s="24" t="s">
        <v>118</v>
      </c>
      <c r="E71" s="25">
        <v>0.57499999999999996</v>
      </c>
      <c r="F71" s="25">
        <v>0.57499999999999996</v>
      </c>
      <c r="G71" s="25">
        <v>0.65</v>
      </c>
      <c r="H71" s="26">
        <v>0.42499999999999999</v>
      </c>
      <c r="I71" s="26">
        <v>0.3</v>
      </c>
      <c r="J71" s="26">
        <v>0.42499999999999999</v>
      </c>
      <c r="K71" s="26">
        <v>0.27500000000000002</v>
      </c>
      <c r="L71" s="25">
        <v>0.35</v>
      </c>
      <c r="M71" s="25">
        <v>0.32500000000000001</v>
      </c>
      <c r="N71" s="25">
        <v>0.25</v>
      </c>
      <c r="O71" s="25">
        <v>0.2</v>
      </c>
      <c r="P71" s="25">
        <v>0</v>
      </c>
      <c r="Q71" s="25">
        <v>0</v>
      </c>
      <c r="R71" s="25">
        <v>0</v>
      </c>
      <c r="S71" s="25">
        <v>0</v>
      </c>
      <c r="T71" s="25">
        <v>0</v>
      </c>
      <c r="U71" s="25">
        <v>0</v>
      </c>
      <c r="V71" s="34">
        <v>0</v>
      </c>
      <c r="W71" s="34">
        <v>0</v>
      </c>
      <c r="X71" s="25">
        <v>0.05</v>
      </c>
      <c r="Y71" s="25">
        <v>0.15</v>
      </c>
      <c r="Z71" s="25">
        <v>0</v>
      </c>
      <c r="AA71" s="25">
        <v>0</v>
      </c>
      <c r="AB71" s="25">
        <v>0</v>
      </c>
      <c r="AC71" s="25">
        <v>0</v>
      </c>
      <c r="AD71" s="25">
        <v>0</v>
      </c>
      <c r="AE71" s="25">
        <v>0</v>
      </c>
      <c r="AF71" s="25">
        <v>0</v>
      </c>
      <c r="AG71" s="25">
        <v>0</v>
      </c>
      <c r="AH71" s="25">
        <v>0</v>
      </c>
      <c r="AI71" s="25">
        <v>0</v>
      </c>
      <c r="AJ71" s="25">
        <v>0</v>
      </c>
      <c r="AK71" s="25">
        <v>0</v>
      </c>
      <c r="AL71" s="25">
        <v>0</v>
      </c>
      <c r="AM71" s="25">
        <v>0</v>
      </c>
      <c r="AN71" s="25">
        <v>0</v>
      </c>
      <c r="AO71" s="25">
        <v>0.45</v>
      </c>
      <c r="AP71" s="25">
        <v>0</v>
      </c>
      <c r="AQ71" s="25">
        <v>0</v>
      </c>
      <c r="AR71" s="25">
        <v>0</v>
      </c>
      <c r="AS71" s="38">
        <v>0</v>
      </c>
      <c r="AT71" s="38">
        <v>0</v>
      </c>
      <c r="AU71" s="25">
        <v>0</v>
      </c>
      <c r="AV71" s="25">
        <v>0</v>
      </c>
    </row>
    <row r="72" spans="2:48" hidden="1">
      <c r="B72" s="23" t="s">
        <v>105</v>
      </c>
      <c r="C72" s="23" t="s">
        <v>117</v>
      </c>
      <c r="D72" s="24" t="s">
        <v>117</v>
      </c>
      <c r="E72" s="25">
        <v>0.57499999999999996</v>
      </c>
      <c r="F72" s="25">
        <v>0.57499999999999996</v>
      </c>
      <c r="G72" s="25">
        <v>0.65</v>
      </c>
      <c r="H72" s="26">
        <v>0.42499999999999999</v>
      </c>
      <c r="I72" s="26">
        <v>0.3</v>
      </c>
      <c r="J72" s="26">
        <v>0.42499999999999999</v>
      </c>
      <c r="K72" s="26">
        <v>0.27500000000000002</v>
      </c>
      <c r="L72" s="25">
        <v>0.35</v>
      </c>
      <c r="M72" s="25">
        <v>0.32500000000000001</v>
      </c>
      <c r="N72" s="25">
        <v>0.25</v>
      </c>
      <c r="O72" s="25">
        <v>0.2</v>
      </c>
      <c r="P72" s="25">
        <v>0</v>
      </c>
      <c r="Q72" s="25">
        <v>0</v>
      </c>
      <c r="R72" s="25">
        <v>0</v>
      </c>
      <c r="S72" s="25">
        <v>0</v>
      </c>
      <c r="T72" s="25">
        <v>0</v>
      </c>
      <c r="U72" s="25">
        <v>0</v>
      </c>
      <c r="V72" s="34">
        <v>0</v>
      </c>
      <c r="W72" s="34">
        <v>0</v>
      </c>
      <c r="X72" s="25">
        <v>0.05</v>
      </c>
      <c r="Y72" s="25">
        <v>0.15</v>
      </c>
      <c r="Z72" s="25">
        <v>0</v>
      </c>
      <c r="AA72" s="25">
        <v>0</v>
      </c>
      <c r="AB72" s="25">
        <v>0</v>
      </c>
      <c r="AC72" s="25">
        <v>0</v>
      </c>
      <c r="AD72" s="25">
        <v>0</v>
      </c>
      <c r="AE72" s="25">
        <v>0</v>
      </c>
      <c r="AF72" s="25">
        <v>0</v>
      </c>
      <c r="AG72" s="25">
        <v>0</v>
      </c>
      <c r="AH72" s="25">
        <v>0</v>
      </c>
      <c r="AI72" s="25">
        <v>0</v>
      </c>
      <c r="AJ72" s="25">
        <v>0</v>
      </c>
      <c r="AK72" s="25">
        <v>0</v>
      </c>
      <c r="AL72" s="25">
        <v>0</v>
      </c>
      <c r="AM72" s="25">
        <v>0</v>
      </c>
      <c r="AN72" s="25">
        <v>0</v>
      </c>
      <c r="AO72" s="25">
        <v>0.45</v>
      </c>
      <c r="AP72" s="25">
        <v>0</v>
      </c>
      <c r="AQ72" s="25">
        <v>0</v>
      </c>
      <c r="AR72" s="25">
        <v>0</v>
      </c>
      <c r="AS72" s="38">
        <v>0</v>
      </c>
      <c r="AT72" s="38">
        <v>0</v>
      </c>
      <c r="AU72" s="25">
        <v>0</v>
      </c>
      <c r="AV72" s="25">
        <v>0</v>
      </c>
    </row>
    <row r="73" spans="2:48" hidden="1">
      <c r="B73" s="23" t="s">
        <v>105</v>
      </c>
      <c r="C73" s="23" t="s">
        <v>119</v>
      </c>
      <c r="D73" s="24" t="s">
        <v>120</v>
      </c>
      <c r="E73" s="25">
        <v>0</v>
      </c>
      <c r="F73" s="25">
        <v>0</v>
      </c>
      <c r="G73" s="25">
        <v>0.625</v>
      </c>
      <c r="H73" s="26">
        <v>0.42499999999999999</v>
      </c>
      <c r="I73" s="26">
        <v>0.21299999999999999</v>
      </c>
      <c r="J73" s="26">
        <v>0.42499999999999999</v>
      </c>
      <c r="K73" s="26">
        <v>0.27500000000000002</v>
      </c>
      <c r="L73" s="25">
        <v>0.15</v>
      </c>
      <c r="M73" s="25">
        <v>0.125</v>
      </c>
      <c r="N73" s="25">
        <v>0.05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25">
        <v>0</v>
      </c>
      <c r="U73" s="25">
        <v>0</v>
      </c>
      <c r="V73" s="34">
        <v>0.1</v>
      </c>
      <c r="W73" s="34">
        <v>0.4</v>
      </c>
      <c r="X73" s="25">
        <v>0.05</v>
      </c>
      <c r="Y73" s="25">
        <v>0.15</v>
      </c>
      <c r="Z73" s="25">
        <v>0</v>
      </c>
      <c r="AA73" s="25">
        <v>0</v>
      </c>
      <c r="AB73" s="25">
        <v>0</v>
      </c>
      <c r="AC73" s="25">
        <v>0</v>
      </c>
      <c r="AD73" s="25">
        <v>0</v>
      </c>
      <c r="AE73" s="25">
        <v>0</v>
      </c>
      <c r="AF73" s="25">
        <v>0</v>
      </c>
      <c r="AG73" s="25">
        <v>0</v>
      </c>
      <c r="AH73" s="25">
        <v>0</v>
      </c>
      <c r="AI73" s="25">
        <v>0</v>
      </c>
      <c r="AJ73" s="25">
        <v>0</v>
      </c>
      <c r="AK73" s="25">
        <v>0</v>
      </c>
      <c r="AL73" s="25">
        <v>0</v>
      </c>
      <c r="AM73" s="25">
        <v>0</v>
      </c>
      <c r="AN73" s="25">
        <v>0</v>
      </c>
      <c r="AO73" s="25">
        <v>0</v>
      </c>
      <c r="AP73" s="25">
        <v>0</v>
      </c>
      <c r="AQ73" s="25">
        <v>0</v>
      </c>
      <c r="AR73" s="25">
        <v>0</v>
      </c>
      <c r="AS73" s="38">
        <v>0</v>
      </c>
      <c r="AT73" s="38">
        <v>0</v>
      </c>
      <c r="AU73" s="25">
        <v>0</v>
      </c>
      <c r="AV73" s="25">
        <v>0</v>
      </c>
    </row>
    <row r="74" spans="2:48" hidden="1">
      <c r="B74" s="23" t="s">
        <v>105</v>
      </c>
      <c r="C74" s="23" t="s">
        <v>119</v>
      </c>
      <c r="D74" s="24" t="s">
        <v>121</v>
      </c>
      <c r="E74" s="25">
        <v>0</v>
      </c>
      <c r="F74" s="25">
        <v>0</v>
      </c>
      <c r="G74" s="25">
        <v>0.625</v>
      </c>
      <c r="H74" s="26">
        <v>0.42499999999999999</v>
      </c>
      <c r="I74" s="26">
        <v>0.21299999999999999</v>
      </c>
      <c r="J74" s="26">
        <v>0.42499999999999999</v>
      </c>
      <c r="K74" s="26">
        <v>0.27500000000000002</v>
      </c>
      <c r="L74" s="25">
        <v>0.15</v>
      </c>
      <c r="M74" s="25">
        <v>0.125</v>
      </c>
      <c r="N74" s="25">
        <v>0.05</v>
      </c>
      <c r="O74" s="25">
        <v>0</v>
      </c>
      <c r="P74" s="25">
        <v>0</v>
      </c>
      <c r="Q74" s="25">
        <v>0</v>
      </c>
      <c r="R74" s="25">
        <v>0</v>
      </c>
      <c r="S74" s="25">
        <v>0</v>
      </c>
      <c r="T74" s="25">
        <v>0</v>
      </c>
      <c r="U74" s="25">
        <v>0</v>
      </c>
      <c r="V74" s="34">
        <v>0.1</v>
      </c>
      <c r="W74" s="34">
        <v>0.4</v>
      </c>
      <c r="X74" s="25">
        <v>0.05</v>
      </c>
      <c r="Y74" s="25">
        <v>0.15</v>
      </c>
      <c r="Z74" s="25">
        <v>0</v>
      </c>
      <c r="AA74" s="25">
        <v>0</v>
      </c>
      <c r="AB74" s="25">
        <v>0</v>
      </c>
      <c r="AC74" s="25">
        <v>0</v>
      </c>
      <c r="AD74" s="25">
        <v>0</v>
      </c>
      <c r="AE74" s="25">
        <v>0</v>
      </c>
      <c r="AF74" s="25">
        <v>0</v>
      </c>
      <c r="AG74" s="25">
        <v>0</v>
      </c>
      <c r="AH74" s="25">
        <v>0</v>
      </c>
      <c r="AI74" s="25">
        <v>0</v>
      </c>
      <c r="AJ74" s="25">
        <v>0</v>
      </c>
      <c r="AK74" s="25">
        <v>0</v>
      </c>
      <c r="AL74" s="25">
        <v>0</v>
      </c>
      <c r="AM74" s="25">
        <v>0</v>
      </c>
      <c r="AN74" s="25">
        <v>0</v>
      </c>
      <c r="AO74" s="25">
        <v>0</v>
      </c>
      <c r="AP74" s="25">
        <v>0</v>
      </c>
      <c r="AQ74" s="25">
        <v>0</v>
      </c>
      <c r="AR74" s="25">
        <v>0</v>
      </c>
      <c r="AS74" s="38">
        <v>0</v>
      </c>
      <c r="AT74" s="38">
        <v>0</v>
      </c>
      <c r="AU74" s="25">
        <v>0</v>
      </c>
      <c r="AV74" s="25">
        <v>0</v>
      </c>
    </row>
    <row r="75" spans="2:48" hidden="1">
      <c r="B75" s="23" t="s">
        <v>105</v>
      </c>
      <c r="C75" s="23" t="s">
        <v>119</v>
      </c>
      <c r="D75" s="24" t="s">
        <v>122</v>
      </c>
      <c r="E75" s="25">
        <v>0</v>
      </c>
      <c r="F75" s="25">
        <v>0</v>
      </c>
      <c r="G75" s="25">
        <v>0.625</v>
      </c>
      <c r="H75" s="26">
        <v>0.42499999999999999</v>
      </c>
      <c r="I75" s="26">
        <v>0.21299999999999999</v>
      </c>
      <c r="J75" s="26">
        <v>0.42499999999999999</v>
      </c>
      <c r="K75" s="26">
        <v>0.27500000000000002</v>
      </c>
      <c r="L75" s="25">
        <v>0.15</v>
      </c>
      <c r="M75" s="25">
        <v>0.125</v>
      </c>
      <c r="N75" s="25">
        <v>0.05</v>
      </c>
      <c r="O75" s="25">
        <v>0</v>
      </c>
      <c r="P75" s="25">
        <v>0</v>
      </c>
      <c r="Q75" s="25">
        <v>0</v>
      </c>
      <c r="R75" s="25">
        <v>0</v>
      </c>
      <c r="S75" s="25">
        <v>0</v>
      </c>
      <c r="T75" s="25">
        <v>0</v>
      </c>
      <c r="U75" s="25">
        <v>0</v>
      </c>
      <c r="V75" s="34">
        <v>0.1</v>
      </c>
      <c r="W75" s="34">
        <v>0.4</v>
      </c>
      <c r="X75" s="25">
        <v>0.05</v>
      </c>
      <c r="Y75" s="25">
        <v>0.15</v>
      </c>
      <c r="Z75" s="25">
        <v>0</v>
      </c>
      <c r="AA75" s="25">
        <v>0</v>
      </c>
      <c r="AB75" s="25">
        <v>0</v>
      </c>
      <c r="AC75" s="25">
        <v>0</v>
      </c>
      <c r="AD75" s="25">
        <v>0</v>
      </c>
      <c r="AE75" s="25">
        <v>0</v>
      </c>
      <c r="AF75" s="25">
        <v>0</v>
      </c>
      <c r="AG75" s="25">
        <v>0</v>
      </c>
      <c r="AH75" s="25">
        <v>0</v>
      </c>
      <c r="AI75" s="25">
        <v>0</v>
      </c>
      <c r="AJ75" s="25">
        <v>0</v>
      </c>
      <c r="AK75" s="25">
        <v>0</v>
      </c>
      <c r="AL75" s="25">
        <v>0</v>
      </c>
      <c r="AM75" s="25">
        <v>0</v>
      </c>
      <c r="AN75" s="25">
        <v>0</v>
      </c>
      <c r="AO75" s="25">
        <v>0</v>
      </c>
      <c r="AP75" s="25">
        <v>0</v>
      </c>
      <c r="AQ75" s="25">
        <v>0</v>
      </c>
      <c r="AR75" s="25">
        <v>0</v>
      </c>
      <c r="AS75" s="38">
        <v>0</v>
      </c>
      <c r="AT75" s="38">
        <v>0</v>
      </c>
      <c r="AU75" s="25">
        <v>0</v>
      </c>
      <c r="AV75" s="25">
        <v>0</v>
      </c>
    </row>
    <row r="76" spans="2:48" hidden="1">
      <c r="B76" s="23" t="s">
        <v>105</v>
      </c>
      <c r="C76" s="23" t="s">
        <v>119</v>
      </c>
      <c r="D76" s="24" t="s">
        <v>119</v>
      </c>
      <c r="E76" s="25">
        <v>0</v>
      </c>
      <c r="F76" s="25">
        <v>0</v>
      </c>
      <c r="G76" s="25">
        <v>0.625</v>
      </c>
      <c r="H76" s="26">
        <v>0.42499999999999999</v>
      </c>
      <c r="I76" s="26">
        <v>0.21299999999999999</v>
      </c>
      <c r="J76" s="26">
        <v>0.42499999999999999</v>
      </c>
      <c r="K76" s="26">
        <v>0.27500000000000002</v>
      </c>
      <c r="L76" s="25">
        <v>0.15</v>
      </c>
      <c r="M76" s="25">
        <v>0.125</v>
      </c>
      <c r="N76" s="25">
        <v>0.05</v>
      </c>
      <c r="O76" s="25">
        <v>0</v>
      </c>
      <c r="P76" s="25">
        <v>0</v>
      </c>
      <c r="Q76" s="25">
        <v>0</v>
      </c>
      <c r="R76" s="25">
        <v>0</v>
      </c>
      <c r="S76" s="25">
        <v>0</v>
      </c>
      <c r="T76" s="25">
        <v>0</v>
      </c>
      <c r="U76" s="25">
        <v>0</v>
      </c>
      <c r="V76" s="34">
        <v>0.1</v>
      </c>
      <c r="W76" s="34">
        <v>0.4</v>
      </c>
      <c r="X76" s="25">
        <v>0.05</v>
      </c>
      <c r="Y76" s="25">
        <v>0.15</v>
      </c>
      <c r="Z76" s="25">
        <v>0</v>
      </c>
      <c r="AA76" s="25">
        <v>0</v>
      </c>
      <c r="AB76" s="25">
        <v>0</v>
      </c>
      <c r="AC76" s="25">
        <v>0</v>
      </c>
      <c r="AD76" s="25">
        <v>0</v>
      </c>
      <c r="AE76" s="25">
        <v>0</v>
      </c>
      <c r="AF76" s="25">
        <v>0</v>
      </c>
      <c r="AG76" s="25">
        <v>0</v>
      </c>
      <c r="AH76" s="25">
        <v>0</v>
      </c>
      <c r="AI76" s="25">
        <v>0</v>
      </c>
      <c r="AJ76" s="25">
        <v>0</v>
      </c>
      <c r="AK76" s="25">
        <v>0</v>
      </c>
      <c r="AL76" s="25">
        <v>0</v>
      </c>
      <c r="AM76" s="25">
        <v>0</v>
      </c>
      <c r="AN76" s="25">
        <v>0</v>
      </c>
      <c r="AO76" s="25">
        <v>0</v>
      </c>
      <c r="AP76" s="25">
        <v>0</v>
      </c>
      <c r="AQ76" s="25">
        <v>0</v>
      </c>
      <c r="AR76" s="25">
        <v>0</v>
      </c>
      <c r="AS76" s="38">
        <v>0</v>
      </c>
      <c r="AT76" s="38">
        <v>0</v>
      </c>
      <c r="AU76" s="25">
        <v>0</v>
      </c>
      <c r="AV76" s="25">
        <v>0</v>
      </c>
    </row>
    <row r="77" spans="2:48">
      <c r="B77" s="40"/>
      <c r="C77" s="40"/>
      <c r="D77" s="41"/>
      <c r="E77" s="42"/>
      <c r="F77" s="42"/>
      <c r="AD77" s="42"/>
      <c r="AE77" s="42"/>
      <c r="AF77" s="42"/>
      <c r="AG77" s="42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</row>
    <row r="80" spans="2:48" ht="38.25" customHeight="1"/>
    <row r="81" spans="2:46" ht="38.25" customHeight="1"/>
    <row r="82" spans="2:46">
      <c r="D82" s="43"/>
    </row>
    <row r="83" spans="2:46">
      <c r="B83" s="44"/>
      <c r="C83" s="44"/>
      <c r="D83" s="43"/>
    </row>
    <row r="84" spans="2:46" s="9" customFormat="1">
      <c r="B84" s="11"/>
      <c r="C84" s="11"/>
      <c r="D84" s="4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</row>
    <row r="85" spans="2:46" s="9" customFormat="1">
      <c r="B85" s="11"/>
      <c r="C85" s="11"/>
      <c r="D85" s="4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</row>
    <row r="86" spans="2:46" s="9" customFormat="1">
      <c r="B86" s="11"/>
      <c r="C86" s="11"/>
      <c r="D86" s="4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</row>
    <row r="87" spans="2:46" s="9" customFormat="1">
      <c r="B87" s="11"/>
      <c r="C87" s="11"/>
      <c r="D87" s="4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</row>
    <row r="88" spans="2:46" s="9" customFormat="1">
      <c r="B88" s="11"/>
      <c r="C88" s="11"/>
      <c r="D88" s="4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</row>
  </sheetData>
  <autoFilter ref="B4:AV76" xr:uid="{00000000-0001-0000-0000-000000000000}">
    <filterColumn colId="0">
      <filters>
        <filter val="South"/>
      </filters>
    </filterColumn>
    <filterColumn colId="1">
      <filters>
        <filter val="ANDHRA PRADESH"/>
        <filter val="HYDERABAD"/>
        <filter val="TELANGANA"/>
      </filters>
    </filterColumn>
  </autoFilter>
  <mergeCells count="40">
    <mergeCell ref="B1:D1"/>
    <mergeCell ref="E1:F1"/>
    <mergeCell ref="H1:J1"/>
    <mergeCell ref="L1:M1"/>
    <mergeCell ref="N1:O1"/>
    <mergeCell ref="AO1:AP1"/>
    <mergeCell ref="AQ1:AT1"/>
    <mergeCell ref="B2:D2"/>
    <mergeCell ref="L2:M2"/>
    <mergeCell ref="N2:O2"/>
    <mergeCell ref="AO2:AP2"/>
    <mergeCell ref="AB1:AC1"/>
    <mergeCell ref="AD1:AE1"/>
    <mergeCell ref="AF1:AG1"/>
    <mergeCell ref="AH1:AI1"/>
    <mergeCell ref="AM1:AN1"/>
    <mergeCell ref="P1:Q1"/>
    <mergeCell ref="R1:S1"/>
    <mergeCell ref="T1:U1"/>
    <mergeCell ref="V1:W1"/>
    <mergeCell ref="X1:Y1"/>
    <mergeCell ref="E3:F3"/>
    <mergeCell ref="H3:J3"/>
    <mergeCell ref="L3:M3"/>
    <mergeCell ref="N3:O3"/>
    <mergeCell ref="P3:Q3"/>
    <mergeCell ref="R3:S3"/>
    <mergeCell ref="T3:U3"/>
    <mergeCell ref="V3:W3"/>
    <mergeCell ref="X3:Y3"/>
    <mergeCell ref="Z3:AA3"/>
    <mergeCell ref="AM3:AN3"/>
    <mergeCell ref="AO3:AP3"/>
    <mergeCell ref="AQ3:AT3"/>
    <mergeCell ref="AU3:AV3"/>
    <mergeCell ref="AB3:AC3"/>
    <mergeCell ref="AD3:AE3"/>
    <mergeCell ref="AF3:AG3"/>
    <mergeCell ref="AH3:AI3"/>
    <mergeCell ref="AJ3:AK3"/>
  </mergeCells>
  <conditionalFormatting sqref="E5:AV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8"/>
  <sheetViews>
    <sheetView workbookViewId="0">
      <selection activeCell="O15" sqref="O15"/>
    </sheetView>
  </sheetViews>
  <sheetFormatPr defaultColWidth="9.1796875" defaultRowHeight="14.5"/>
  <sheetData>
    <row r="18" spans="1:1">
      <c r="A18" s="7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K25" sqref="K25:K27"/>
    </sheetView>
  </sheetViews>
  <sheetFormatPr defaultColWidth="9.1796875" defaultRowHeight="14.5"/>
  <sheetData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64" workbookViewId="0">
      <selection activeCell="R74" sqref="R74"/>
    </sheetView>
  </sheetViews>
  <sheetFormatPr defaultColWidth="9.1796875" defaultRowHeight="14.5"/>
  <sheetData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R33"/>
  <sheetViews>
    <sheetView topLeftCell="A10" workbookViewId="0">
      <selection activeCell="A48" sqref="A48:XFD48"/>
    </sheetView>
  </sheetViews>
  <sheetFormatPr defaultColWidth="9.1796875" defaultRowHeight="14.5"/>
  <cols>
    <col min="2" max="2" width="49.54296875" customWidth="1"/>
  </cols>
  <sheetData>
    <row r="2" spans="1:18" ht="15.5">
      <c r="A2" s="68" t="s">
        <v>123</v>
      </c>
      <c r="B2" s="69"/>
      <c r="C2" s="69"/>
      <c r="D2" s="70"/>
    </row>
    <row r="3" spans="1:18" ht="15.5">
      <c r="A3" s="65" t="s">
        <v>124</v>
      </c>
      <c r="B3" s="65"/>
      <c r="C3" s="65" t="s">
        <v>125</v>
      </c>
      <c r="D3" s="65"/>
    </row>
    <row r="4" spans="1:18" ht="15.5">
      <c r="A4" s="58" t="s">
        <v>126</v>
      </c>
      <c r="B4" s="58"/>
      <c r="C4" s="62" t="s">
        <v>127</v>
      </c>
      <c r="D4" s="63"/>
    </row>
    <row r="5" spans="1:18" ht="15.5">
      <c r="A5" s="58" t="s">
        <v>128</v>
      </c>
      <c r="B5" s="58"/>
      <c r="C5" s="62" t="s">
        <v>129</v>
      </c>
      <c r="D5" s="63"/>
    </row>
    <row r="6" spans="1:18" ht="15.5">
      <c r="A6" s="58" t="s">
        <v>130</v>
      </c>
      <c r="B6" s="58"/>
      <c r="C6" s="62" t="s">
        <v>131</v>
      </c>
      <c r="D6" s="63"/>
    </row>
    <row r="7" spans="1:18" ht="15.5">
      <c r="A7" s="58" t="s">
        <v>132</v>
      </c>
      <c r="B7" s="58"/>
      <c r="C7" s="62" t="s">
        <v>133</v>
      </c>
      <c r="D7" s="63"/>
    </row>
    <row r="8" spans="1:18" ht="15.5">
      <c r="A8" s="58" t="s">
        <v>134</v>
      </c>
      <c r="B8" s="58"/>
      <c r="C8" s="62" t="s">
        <v>135</v>
      </c>
      <c r="D8" s="63"/>
    </row>
    <row r="10" spans="1:18" ht="15.5">
      <c r="A10" s="74" t="s">
        <v>136</v>
      </c>
      <c r="B10" s="74"/>
      <c r="C10" s="1"/>
      <c r="D10" s="1"/>
      <c r="E10" s="1"/>
      <c r="F10" s="1"/>
      <c r="G10" s="1"/>
    </row>
    <row r="11" spans="1:18" ht="15.5">
      <c r="A11" s="75" t="s">
        <v>137</v>
      </c>
      <c r="B11" s="76"/>
      <c r="C11" s="76"/>
      <c r="D11" s="76"/>
      <c r="E11" s="76"/>
      <c r="F11" s="76"/>
      <c r="G11" s="76"/>
    </row>
    <row r="12" spans="1:18" ht="15.5">
      <c r="A12" s="66" t="s">
        <v>138</v>
      </c>
      <c r="B12" s="67"/>
      <c r="C12" s="67"/>
      <c r="D12" s="67"/>
      <c r="E12" s="67"/>
      <c r="F12" s="67"/>
      <c r="G12" s="67"/>
    </row>
    <row r="13" spans="1:18" ht="15.5">
      <c r="A13" s="66" t="s">
        <v>139</v>
      </c>
      <c r="B13" s="67"/>
      <c r="C13" s="67"/>
      <c r="D13" s="67"/>
      <c r="E13" s="67"/>
      <c r="F13" s="67"/>
      <c r="G13" s="67"/>
    </row>
    <row r="14" spans="1:18" ht="15.5">
      <c r="A14" s="46" t="s">
        <v>140</v>
      </c>
      <c r="B14" s="3"/>
      <c r="C14" s="3"/>
      <c r="D14" s="3"/>
      <c r="E14" s="3"/>
      <c r="F14" s="3"/>
      <c r="G14" s="4"/>
    </row>
    <row r="16" spans="1:18" ht="15.5">
      <c r="A16" s="5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5.5">
      <c r="A17" s="68" t="s">
        <v>141</v>
      </c>
      <c r="B17" s="69"/>
      <c r="C17" s="69"/>
      <c r="D17" s="70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5.5">
      <c r="A18" s="65" t="s">
        <v>7</v>
      </c>
      <c r="B18" s="65"/>
      <c r="C18" s="65" t="s">
        <v>125</v>
      </c>
      <c r="D18" s="6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5.5">
      <c r="A19" s="71" t="s">
        <v>142</v>
      </c>
      <c r="B19" s="71"/>
      <c r="C19" s="72" t="s">
        <v>135</v>
      </c>
      <c r="D19" s="7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5.5">
      <c r="A20" s="61" t="s">
        <v>143</v>
      </c>
      <c r="B20" s="61"/>
      <c r="C20" s="62" t="s">
        <v>135</v>
      </c>
      <c r="D20" s="6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5.5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5.5">
      <c r="A22" s="2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5.5">
      <c r="A23" s="2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5.5">
      <c r="A24" s="2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5.5">
      <c r="A25" s="2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5.5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5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5.5">
      <c r="A28" s="64" t="s">
        <v>144</v>
      </c>
      <c r="B28" s="64"/>
      <c r="C28" s="64"/>
      <c r="D28" s="6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5.5">
      <c r="A29" s="65" t="s">
        <v>145</v>
      </c>
      <c r="B29" s="65"/>
      <c r="C29" s="65" t="s">
        <v>125</v>
      </c>
      <c r="D29" s="65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5.5">
      <c r="A30" s="58" t="s">
        <v>146</v>
      </c>
      <c r="B30" s="58"/>
      <c r="C30" s="59">
        <v>0.4</v>
      </c>
      <c r="D30" s="60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5.5">
      <c r="A31" s="58" t="s">
        <v>147</v>
      </c>
      <c r="B31" s="58"/>
      <c r="C31" s="59">
        <v>0.4</v>
      </c>
      <c r="D31" s="60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5.5">
      <c r="A32" s="58" t="s">
        <v>148</v>
      </c>
      <c r="B32" s="58"/>
      <c r="C32" s="59">
        <v>0.4</v>
      </c>
      <c r="D32" s="60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5.5">
      <c r="A33" s="1"/>
      <c r="B33" s="1"/>
      <c r="C33" s="6"/>
      <c r="D33" s="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</sheetData>
  <mergeCells count="33">
    <mergeCell ref="A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10:B10"/>
    <mergeCell ref="A11:G11"/>
    <mergeCell ref="A12:G12"/>
    <mergeCell ref="A13:G13"/>
    <mergeCell ref="A17:D17"/>
    <mergeCell ref="A18:B18"/>
    <mergeCell ref="C18:D18"/>
    <mergeCell ref="A19:B19"/>
    <mergeCell ref="C19:D19"/>
    <mergeCell ref="A20:B20"/>
    <mergeCell ref="C20:D20"/>
    <mergeCell ref="A28:D28"/>
    <mergeCell ref="A29:B29"/>
    <mergeCell ref="C29:D29"/>
    <mergeCell ref="A30:B30"/>
    <mergeCell ref="C30:D30"/>
    <mergeCell ref="A31:B31"/>
    <mergeCell ref="C31:D31"/>
    <mergeCell ref="A32:B32"/>
    <mergeCell ref="C32:D3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C23" sqref="C23"/>
    </sheetView>
  </sheetViews>
  <sheetFormatPr defaultColWidth="9.1796875" defaultRowHeight="14.5"/>
  <sheetData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F9"/>
  <sheetViews>
    <sheetView workbookViewId="0">
      <selection activeCell="H5" sqref="H5"/>
    </sheetView>
  </sheetViews>
  <sheetFormatPr defaultColWidth="9" defaultRowHeight="14.5"/>
  <cols>
    <col min="6" max="6" width="46.453125" customWidth="1"/>
  </cols>
  <sheetData>
    <row r="2" spans="3:6" ht="15.5">
      <c r="C2" s="64" t="s">
        <v>149</v>
      </c>
      <c r="D2" s="64"/>
      <c r="E2" s="64"/>
      <c r="F2" s="64"/>
    </row>
    <row r="3" spans="3:6">
      <c r="C3" s="77" t="s">
        <v>150</v>
      </c>
      <c r="D3" s="78"/>
      <c r="E3" s="78"/>
      <c r="F3" s="78"/>
    </row>
    <row r="4" spans="3:6">
      <c r="C4" s="79" t="s">
        <v>151</v>
      </c>
      <c r="D4" s="80"/>
      <c r="E4" s="80"/>
      <c r="F4" s="80"/>
    </row>
    <row r="5" spans="3:6">
      <c r="C5" s="77" t="s">
        <v>152</v>
      </c>
      <c r="D5" s="78"/>
      <c r="E5" s="78"/>
      <c r="F5" s="78"/>
    </row>
    <row r="6" spans="3:6">
      <c r="C6" s="77" t="s">
        <v>153</v>
      </c>
      <c r="D6" s="78"/>
      <c r="E6" s="78"/>
      <c r="F6" s="78"/>
    </row>
    <row r="7" spans="3:6">
      <c r="C7" s="77" t="s">
        <v>154</v>
      </c>
      <c r="D7" s="78"/>
      <c r="E7" s="78"/>
      <c r="F7" s="78"/>
    </row>
    <row r="8" spans="3:6">
      <c r="C8" s="77" t="s">
        <v>155</v>
      </c>
      <c r="D8" s="78"/>
      <c r="E8" s="78"/>
      <c r="F8" s="78"/>
    </row>
    <row r="9" spans="3:6">
      <c r="C9" s="77" t="s">
        <v>156</v>
      </c>
      <c r="D9" s="78"/>
      <c r="E9" s="78"/>
      <c r="F9" s="78"/>
    </row>
  </sheetData>
  <mergeCells count="8">
    <mergeCell ref="C7:F7"/>
    <mergeCell ref="C8:F8"/>
    <mergeCell ref="C9:F9"/>
    <mergeCell ref="C2:F2"/>
    <mergeCell ref="C3:F3"/>
    <mergeCell ref="C4:F4"/>
    <mergeCell ref="C5:F5"/>
    <mergeCell ref="C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JAN 26</vt:lpstr>
      <vt:lpstr>TW Scooter</vt:lpstr>
      <vt:lpstr>Private car</vt:lpstr>
      <vt:lpstr>Short terem taxi</vt:lpstr>
      <vt:lpstr>Guidelines</vt:lpstr>
      <vt:lpstr>Contest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 Ganesan/RGI/Strategy Group</dc:creator>
  <cp:lastModifiedBy>SS 1</cp:lastModifiedBy>
  <dcterms:created xsi:type="dcterms:W3CDTF">2024-04-28T10:30:00Z</dcterms:created>
  <dcterms:modified xsi:type="dcterms:W3CDTF">2026-01-03T09:41:45Z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C8DD0ADE1FBA4D0D8EB8B2ACFEFBDF11_13</vt:lpwstr>
  </property>
  <property fmtid="{D5CDD505-2E9C-101B-9397-08002B2CF9AE}" pid="3" name="KSOProductBuildVer">
    <vt:lpwstr>1033-12.2.0.17119</vt:lpwstr>
  </property>
</Properties>
</file>