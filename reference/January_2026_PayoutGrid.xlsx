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1_Payout/"/>
    </mc:Choice>
  </mc:AlternateContent>
  <xr:revisionPtr revIDLastSave="6890" documentId="13_ncr:1_{38DDA79D-E58F-4C97-8142-6432D8EC16D4}" xr6:coauthVersionLast="47" xr6:coauthVersionMax="47" xr10:uidLastSave="{BE0101ED-0C46-4791-B905-12234245AC9B}"/>
  <bookViews>
    <workbookView xWindow="-110" yWindow="-110" windowWidth="19420" windowHeight="10300" tabRatio="996" firstSheet="2" activeTab="4" xr2:uid="{00000000-000D-0000-FFFF-FFFF00000000}"/>
  </bookViews>
  <sheets>
    <sheet name="TN_Retail" sheetId="60" r:id="rId1"/>
    <sheet name="TN_SuperConsolidator" sheetId="59" r:id="rId2"/>
    <sheet name="KL_Retail" sheetId="10" r:id="rId3"/>
    <sheet name="KL_SuperConsolidator" sheetId="51" r:id="rId4"/>
    <sheet name="KA_Retail" sheetId="2" r:id="rId5"/>
    <sheet name="AP &amp;&amp; TS_Retail" sheetId="31" r:id="rId6"/>
    <sheet name="IFFCO_Retail" sheetId="25" r:id="rId7"/>
    <sheet name="IFFCO_SuperConsolidator" sheetId="53" r:id="rId8"/>
    <sheet name="NewIndia - Retail" sheetId="7" r:id="rId9"/>
    <sheet name="NewIndia - SuperConsolidtor" sheetId="54" r:id="rId10"/>
    <sheet name="NationalInsurance - Retail" sheetId="18" r:id="rId11"/>
    <sheet name="NationalInsurance - SuperConsol" sheetId="55" r:id="rId12"/>
    <sheet name="OrientalInsurance - Retail" sheetId="57" r:id="rId13"/>
    <sheet name="OrientalInsurance - SuperConsol" sheetId="58" r:id="rId14"/>
    <sheet name="UnitedIndia - TN&amp;&amp;KL Retail" sheetId="39" r:id="rId15"/>
    <sheet name="UnitedIndia - TN&amp;&amp;KL SuperConso" sheetId="56" r:id="rId16"/>
    <sheet name="UnitedIndia - Otherthan KL&amp;&amp;TN" sheetId="48" r:id="rId17"/>
  </sheets>
  <definedNames>
    <definedName name="_xlnm._FilterDatabase" localSheetId="5" hidden="1">'AP &amp;&amp; TS_Retail'!$A$5:$F$1330</definedName>
    <definedName name="_xlnm._FilterDatabase" localSheetId="6" hidden="1">IFFCO_Retail!$A$89:$G$117</definedName>
    <definedName name="_xlnm._FilterDatabase" localSheetId="7" hidden="1">IFFCO_SuperConsolidator!#REF!</definedName>
    <definedName name="_xlnm._FilterDatabase" localSheetId="4" hidden="1">KA_Retail!$A$5:$F$603</definedName>
    <definedName name="_xlnm._FilterDatabase" localSheetId="2" hidden="1">KL_Retail!$A$5:$F$387</definedName>
    <definedName name="_xlnm._FilterDatabase" localSheetId="3" hidden="1">KL_SuperConsolidator!$A$5:$G$387</definedName>
    <definedName name="_xlnm._FilterDatabase" localSheetId="10" hidden="1">'NationalInsurance - Retail'!$A$5:$G$177</definedName>
    <definedName name="_xlnm._FilterDatabase" localSheetId="11" hidden="1">'NationalInsurance - SuperConsol'!$A$5:$G$177</definedName>
    <definedName name="_xlnm._FilterDatabase" localSheetId="8" hidden="1">'NewIndia - Retail'!$A$4:$G$41</definedName>
    <definedName name="_xlnm._FilterDatabase" localSheetId="9" hidden="1">'NewIndia - SuperConsolidtor'!$A$4:$G$41</definedName>
    <definedName name="_xlnm._FilterDatabase" localSheetId="12" hidden="1">'OrientalInsurance - Retail'!$A$4:$G$57</definedName>
    <definedName name="_xlnm._FilterDatabase" localSheetId="13" hidden="1">'OrientalInsurance - SuperConsol'!$A$4:$G$57</definedName>
    <definedName name="_xlnm._FilterDatabase" localSheetId="0" hidden="1">TN_Retail!$A$5:$F$887</definedName>
    <definedName name="_xlnm._FilterDatabase" localSheetId="1" hidden="1">TN_SuperConsolidator!$A$5:$G$917</definedName>
    <definedName name="_xlnm._FilterDatabase" localSheetId="16" hidden="1">'UnitedIndia - Otherthan KL&amp;&amp;TN'!$A$5:$G$105</definedName>
    <definedName name="_xlnm._FilterDatabase" localSheetId="14" hidden="1">'UnitedIndia - TN&amp;&amp;KL Retail'!$A$5:$G$105</definedName>
    <definedName name="_xlnm._FilterDatabase" localSheetId="15" hidden="1">'UnitedIndia - TN&amp;&amp;KL SuperConso'!$A$5:$G$105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7" i="60" l="1"/>
  <c r="D915" i="60"/>
  <c r="D914" i="60"/>
  <c r="E914" i="60" s="1"/>
  <c r="F914" i="60" s="1"/>
  <c r="D913" i="60"/>
  <c r="D912" i="60"/>
  <c r="D911" i="60"/>
  <c r="E911" i="60" s="1"/>
  <c r="D910" i="60"/>
  <c r="D909" i="60"/>
  <c r="D908" i="60"/>
  <c r="E908" i="60" s="1"/>
  <c r="D907" i="60"/>
  <c r="D906" i="60"/>
  <c r="E906" i="60" s="1"/>
  <c r="D905" i="60"/>
  <c r="E905" i="60" s="1"/>
  <c r="F905" i="60" s="1"/>
  <c r="D904" i="60"/>
  <c r="D903" i="60"/>
  <c r="E903" i="60" s="1"/>
  <c r="D902" i="60"/>
  <c r="D901" i="60"/>
  <c r="E901" i="60" s="1"/>
  <c r="D900" i="60"/>
  <c r="E900" i="60" s="1"/>
  <c r="D899" i="60"/>
  <c r="D898" i="60"/>
  <c r="E898" i="60" s="1"/>
  <c r="F898" i="60" s="1"/>
  <c r="D897" i="60"/>
  <c r="E897" i="60" s="1"/>
  <c r="F897" i="60" s="1"/>
  <c r="D894" i="60"/>
  <c r="D893" i="60"/>
  <c r="E893" i="60" s="1"/>
  <c r="F893" i="60" s="1"/>
  <c r="D891" i="60"/>
  <c r="D890" i="60"/>
  <c r="E890" i="60" s="1"/>
  <c r="D889" i="60"/>
  <c r="D888" i="60"/>
  <c r="D887" i="60"/>
  <c r="E887" i="60" s="1"/>
  <c r="F887" i="60" s="1"/>
  <c r="D886" i="60"/>
  <c r="E886" i="60" s="1"/>
  <c r="F886" i="60" s="1"/>
  <c r="D885" i="60"/>
  <c r="D884" i="60"/>
  <c r="E884" i="60" s="1"/>
  <c r="F884" i="60" s="1"/>
  <c r="D883" i="60"/>
  <c r="D882" i="60"/>
  <c r="D881" i="60"/>
  <c r="D880" i="60"/>
  <c r="D879" i="60"/>
  <c r="E879" i="60" s="1"/>
  <c r="F879" i="60" s="1"/>
  <c r="D878" i="60"/>
  <c r="E878" i="60" s="1"/>
  <c r="F878" i="60" s="1"/>
  <c r="D877" i="60"/>
  <c r="D876" i="60"/>
  <c r="E876" i="60" s="1"/>
  <c r="F876" i="60" s="1"/>
  <c r="D875" i="60"/>
  <c r="D874" i="60"/>
  <c r="D873" i="60"/>
  <c r="E873" i="60" s="1"/>
  <c r="D872" i="60"/>
  <c r="D871" i="60"/>
  <c r="E871" i="60" s="1"/>
  <c r="F871" i="60" s="1"/>
  <c r="D870" i="60"/>
  <c r="E870" i="60" s="1"/>
  <c r="F870" i="60" s="1"/>
  <c r="D869" i="60"/>
  <c r="D868" i="60"/>
  <c r="E868" i="60" s="1"/>
  <c r="D867" i="60"/>
  <c r="D865" i="60"/>
  <c r="D864" i="60"/>
  <c r="D862" i="60"/>
  <c r="D861" i="60"/>
  <c r="D860" i="60"/>
  <c r="D859" i="60"/>
  <c r="D858" i="60"/>
  <c r="E858" i="60" s="1"/>
  <c r="D857" i="60"/>
  <c r="D856" i="60"/>
  <c r="E856" i="60" s="1"/>
  <c r="D855" i="60"/>
  <c r="E855" i="60" s="1"/>
  <c r="D854" i="60"/>
  <c r="D853" i="60"/>
  <c r="D852" i="60"/>
  <c r="E852" i="60" s="1"/>
  <c r="F852" i="60" s="1"/>
  <c r="D851" i="60"/>
  <c r="D850" i="60"/>
  <c r="E850" i="60" s="1"/>
  <c r="F850" i="60" s="1"/>
  <c r="D849" i="60"/>
  <c r="D848" i="60"/>
  <c r="E848" i="60" s="1"/>
  <c r="D847" i="60"/>
  <c r="D845" i="60"/>
  <c r="D844" i="60"/>
  <c r="E844" i="60" s="1"/>
  <c r="D842" i="60"/>
  <c r="D839" i="60"/>
  <c r="D838" i="60"/>
  <c r="E838" i="60" s="1"/>
  <c r="F838" i="60" s="1"/>
  <c r="D837" i="60"/>
  <c r="D836" i="60"/>
  <c r="E836" i="60" s="1"/>
  <c r="D835" i="60"/>
  <c r="D834" i="60"/>
  <c r="D833" i="60"/>
  <c r="E833" i="60" s="1"/>
  <c r="F833" i="60" s="1"/>
  <c r="D832" i="60"/>
  <c r="D831" i="60"/>
  <c r="D830" i="60"/>
  <c r="E830" i="60" s="1"/>
  <c r="F830" i="60" s="1"/>
  <c r="D829" i="60"/>
  <c r="D828" i="60"/>
  <c r="E828" i="60" s="1"/>
  <c r="D827" i="60"/>
  <c r="D825" i="60"/>
  <c r="D824" i="60"/>
  <c r="E824" i="60" s="1"/>
  <c r="F824" i="60" s="1"/>
  <c r="D823" i="60"/>
  <c r="D822" i="60"/>
  <c r="D821" i="60"/>
  <c r="E821" i="60" s="1"/>
  <c r="F821" i="60" s="1"/>
  <c r="D820" i="60"/>
  <c r="E820" i="60" s="1"/>
  <c r="F820" i="60" s="1"/>
  <c r="D819" i="60"/>
  <c r="D818" i="60"/>
  <c r="D814" i="60"/>
  <c r="D813" i="60"/>
  <c r="E813" i="60" s="1"/>
  <c r="F813" i="60" s="1"/>
  <c r="D809" i="60"/>
  <c r="D808" i="60"/>
  <c r="D806" i="60"/>
  <c r="E806" i="60" s="1"/>
  <c r="F806" i="60" s="1"/>
  <c r="D805" i="60"/>
  <c r="D804" i="60"/>
  <c r="D801" i="60"/>
  <c r="D800" i="60"/>
  <c r="D798" i="60"/>
  <c r="E798" i="60" s="1"/>
  <c r="F798" i="60" s="1"/>
  <c r="D796" i="60"/>
  <c r="D794" i="60"/>
  <c r="D793" i="60"/>
  <c r="E793" i="60" s="1"/>
  <c r="F793" i="60" s="1"/>
  <c r="D792" i="60"/>
  <c r="D791" i="60"/>
  <c r="D790" i="60"/>
  <c r="D789" i="60"/>
  <c r="D788" i="60"/>
  <c r="E788" i="60" s="1"/>
  <c r="F788" i="60" s="1"/>
  <c r="D787" i="60"/>
  <c r="D786" i="60"/>
  <c r="D785" i="60"/>
  <c r="E785" i="60" s="1"/>
  <c r="F785" i="60" s="1"/>
  <c r="D784" i="60"/>
  <c r="D783" i="60"/>
  <c r="D782" i="60"/>
  <c r="D781" i="60"/>
  <c r="D780" i="60"/>
  <c r="E780" i="60" s="1"/>
  <c r="F780" i="60" s="1"/>
  <c r="D779" i="60"/>
  <c r="D778" i="60"/>
  <c r="D777" i="60"/>
  <c r="E777" i="60" s="1"/>
  <c r="F777" i="60" s="1"/>
  <c r="D776" i="60"/>
  <c r="D775" i="60"/>
  <c r="D774" i="60"/>
  <c r="D773" i="60"/>
  <c r="D772" i="60"/>
  <c r="E772" i="60" s="1"/>
  <c r="F772" i="60" s="1"/>
  <c r="D771" i="60"/>
  <c r="D770" i="60"/>
  <c r="D769" i="60"/>
  <c r="E769" i="60" s="1"/>
  <c r="F769" i="60" s="1"/>
  <c r="D768" i="60"/>
  <c r="D767" i="60"/>
  <c r="D766" i="60"/>
  <c r="D765" i="60"/>
  <c r="E765" i="60" s="1"/>
  <c r="D764" i="60"/>
  <c r="E764" i="60" s="1"/>
  <c r="F764" i="60" s="1"/>
  <c r="D763" i="60"/>
  <c r="E763" i="60" s="1"/>
  <c r="F763" i="60" s="1"/>
  <c r="D762" i="60"/>
  <c r="D761" i="60"/>
  <c r="E761" i="60" s="1"/>
  <c r="D760" i="60"/>
  <c r="D759" i="60"/>
  <c r="D758" i="60"/>
  <c r="D757" i="60"/>
  <c r="D756" i="60"/>
  <c r="E756" i="60" s="1"/>
  <c r="F756" i="60" s="1"/>
  <c r="D755" i="60"/>
  <c r="E755" i="60" s="1"/>
  <c r="F755" i="60" s="1"/>
  <c r="D754" i="60"/>
  <c r="D753" i="60"/>
  <c r="E753" i="60" s="1"/>
  <c r="F753" i="60" s="1"/>
  <c r="D752" i="60"/>
  <c r="D751" i="60"/>
  <c r="D750" i="60"/>
  <c r="E750" i="60" s="1"/>
  <c r="D749" i="60"/>
  <c r="D748" i="60"/>
  <c r="D747" i="60"/>
  <c r="E747" i="60" s="1"/>
  <c r="F747" i="60" s="1"/>
  <c r="D746" i="60"/>
  <c r="D745" i="60"/>
  <c r="E745" i="60" s="1"/>
  <c r="D744" i="60"/>
  <c r="D743" i="60"/>
  <c r="E743" i="60" s="1"/>
  <c r="D742" i="60"/>
  <c r="E742" i="60" s="1"/>
  <c r="D741" i="60"/>
  <c r="E741" i="60" s="1"/>
  <c r="D739" i="60"/>
  <c r="E739" i="60" s="1"/>
  <c r="F739" i="60" s="1"/>
  <c r="D738" i="60"/>
  <c r="E738" i="60" s="1"/>
  <c r="F738" i="60" s="1"/>
  <c r="D737" i="60"/>
  <c r="D736" i="60"/>
  <c r="E736" i="60" s="1"/>
  <c r="D735" i="60"/>
  <c r="D734" i="60"/>
  <c r="D733" i="60"/>
  <c r="D732" i="60"/>
  <c r="D731" i="60"/>
  <c r="E731" i="60" s="1"/>
  <c r="F731" i="60" s="1"/>
  <c r="D730" i="60"/>
  <c r="E730" i="60" s="1"/>
  <c r="F730" i="60" s="1"/>
  <c r="D729" i="60"/>
  <c r="D727" i="60"/>
  <c r="D726" i="60"/>
  <c r="D724" i="60"/>
  <c r="D723" i="60"/>
  <c r="E723" i="60" s="1"/>
  <c r="D722" i="60"/>
  <c r="E722" i="60" s="1"/>
  <c r="D721" i="60"/>
  <c r="E721" i="60" s="1"/>
  <c r="F721" i="60" s="1"/>
  <c r="D720" i="60"/>
  <c r="E720" i="60" s="1"/>
  <c r="F720" i="60" s="1"/>
  <c r="D719" i="60"/>
  <c r="D718" i="60"/>
  <c r="E718" i="60" s="1"/>
  <c r="D717" i="60"/>
  <c r="D716" i="60"/>
  <c r="D715" i="60"/>
  <c r="D714" i="60"/>
  <c r="D713" i="60"/>
  <c r="E713" i="60" s="1"/>
  <c r="D712" i="60"/>
  <c r="E712" i="60" s="1"/>
  <c r="F712" i="60" s="1"/>
  <c r="D711" i="60"/>
  <c r="D710" i="60"/>
  <c r="E710" i="60" s="1"/>
  <c r="D709" i="60"/>
  <c r="D708" i="60"/>
  <c r="E708" i="60" s="1"/>
  <c r="D704" i="60"/>
  <c r="E704" i="60" s="1"/>
  <c r="D703" i="60"/>
  <c r="E703" i="60" s="1"/>
  <c r="F703" i="60" s="1"/>
  <c r="D702" i="60"/>
  <c r="E702" i="60" s="1"/>
  <c r="F702" i="60" s="1"/>
  <c r="D701" i="60"/>
  <c r="E701" i="60" s="1"/>
  <c r="F701" i="60" s="1"/>
  <c r="D700" i="60"/>
  <c r="D699" i="60"/>
  <c r="E699" i="60" s="1"/>
  <c r="D698" i="60"/>
  <c r="D697" i="60"/>
  <c r="D696" i="60"/>
  <c r="E696" i="60" s="1"/>
  <c r="F696" i="60" s="1"/>
  <c r="D695" i="60"/>
  <c r="E695" i="60" s="1"/>
  <c r="F695" i="60" s="1"/>
  <c r="D694" i="60"/>
  <c r="E694" i="60" s="1"/>
  <c r="F694" i="60" s="1"/>
  <c r="D693" i="60"/>
  <c r="E693" i="60" s="1"/>
  <c r="F693" i="60" s="1"/>
  <c r="D692" i="60"/>
  <c r="D691" i="60"/>
  <c r="D690" i="60"/>
  <c r="D689" i="60"/>
  <c r="D687" i="60"/>
  <c r="E687" i="60" s="1"/>
  <c r="F687" i="60" s="1"/>
  <c r="D686" i="60"/>
  <c r="E686" i="60" s="1"/>
  <c r="F686" i="60" s="1"/>
  <c r="D685" i="60"/>
  <c r="E685" i="60" s="1"/>
  <c r="F685" i="60" s="1"/>
  <c r="D684" i="60"/>
  <c r="E684" i="60" s="1"/>
  <c r="F684" i="60" s="1"/>
  <c r="D683" i="60"/>
  <c r="D682" i="60"/>
  <c r="E682" i="60" s="1"/>
  <c r="D681" i="60"/>
  <c r="D680" i="60"/>
  <c r="D679" i="60"/>
  <c r="E679" i="60" s="1"/>
  <c r="F679" i="60" s="1"/>
  <c r="D678" i="60"/>
  <c r="E678" i="60" s="1"/>
  <c r="F678" i="60" s="1"/>
  <c r="D677" i="60"/>
  <c r="E677" i="60" s="1"/>
  <c r="F677" i="60" s="1"/>
  <c r="D676" i="60"/>
  <c r="E676" i="60" s="1"/>
  <c r="F676" i="60" s="1"/>
  <c r="D675" i="60"/>
  <c r="D674" i="60"/>
  <c r="E674" i="60" s="1"/>
  <c r="D673" i="60"/>
  <c r="D672" i="60"/>
  <c r="E672" i="60" s="1"/>
  <c r="D671" i="60"/>
  <c r="E671" i="60" s="1"/>
  <c r="F671" i="60" s="1"/>
  <c r="D670" i="60"/>
  <c r="E670" i="60" s="1"/>
  <c r="F670" i="60" s="1"/>
  <c r="D669" i="60"/>
  <c r="E669" i="60" s="1"/>
  <c r="F669" i="60" s="1"/>
  <c r="D668" i="60"/>
  <c r="E668" i="60" s="1"/>
  <c r="F668" i="60" s="1"/>
  <c r="D667" i="60"/>
  <c r="D666" i="60"/>
  <c r="D665" i="60"/>
  <c r="D664" i="60"/>
  <c r="D663" i="60"/>
  <c r="E663" i="60" s="1"/>
  <c r="F663" i="60" s="1"/>
  <c r="D662" i="60"/>
  <c r="E662" i="60" s="1"/>
  <c r="F662" i="60" s="1"/>
  <c r="D661" i="60"/>
  <c r="E661" i="60" s="1"/>
  <c r="F661" i="60" s="1"/>
  <c r="D659" i="60"/>
  <c r="E659" i="60" s="1"/>
  <c r="F659" i="60" s="1"/>
  <c r="D658" i="60"/>
  <c r="D656" i="60"/>
  <c r="E656" i="60" s="1"/>
  <c r="D655" i="60"/>
  <c r="D653" i="60"/>
  <c r="D652" i="60"/>
  <c r="E652" i="60" s="1"/>
  <c r="F652" i="60" s="1"/>
  <c r="D650" i="60"/>
  <c r="E650" i="60" s="1"/>
  <c r="F650" i="60" s="1"/>
  <c r="D649" i="60"/>
  <c r="E649" i="60" s="1"/>
  <c r="F649" i="60" s="1"/>
  <c r="D648" i="60"/>
  <c r="E648" i="60" s="1"/>
  <c r="F648" i="60" s="1"/>
  <c r="D647" i="60"/>
  <c r="D646" i="60"/>
  <c r="E646" i="60" s="1"/>
  <c r="F646" i="60" s="1"/>
  <c r="D645" i="60"/>
  <c r="D644" i="60"/>
  <c r="D643" i="60"/>
  <c r="E643" i="60" s="1"/>
  <c r="F643" i="60" s="1"/>
  <c r="D642" i="60"/>
  <c r="E642" i="60" s="1"/>
  <c r="F642" i="60" s="1"/>
  <c r="D641" i="60"/>
  <c r="D640" i="60"/>
  <c r="E640" i="60" s="1"/>
  <c r="F640" i="60" s="1"/>
  <c r="D639" i="60"/>
  <c r="D638" i="60"/>
  <c r="E638" i="60" s="1"/>
  <c r="D637" i="60"/>
  <c r="D636" i="60"/>
  <c r="E636" i="60" s="1"/>
  <c r="D635" i="60"/>
  <c r="E635" i="60" s="1"/>
  <c r="F635" i="60" s="1"/>
  <c r="D632" i="60"/>
  <c r="E632" i="60" s="1"/>
  <c r="F632" i="60" s="1"/>
  <c r="D631" i="60"/>
  <c r="E631" i="60" s="1"/>
  <c r="F631" i="60" s="1"/>
  <c r="D630" i="60"/>
  <c r="E630" i="60" s="1"/>
  <c r="F630" i="60" s="1"/>
  <c r="D629" i="60"/>
  <c r="D628" i="60"/>
  <c r="E628" i="60" s="1"/>
  <c r="D627" i="60"/>
  <c r="D625" i="60"/>
  <c r="D624" i="60"/>
  <c r="E624" i="60" s="1"/>
  <c r="F624" i="60" s="1"/>
  <c r="D623" i="60"/>
  <c r="E623" i="60" s="1"/>
  <c r="F623" i="60" s="1"/>
  <c r="D622" i="60"/>
  <c r="E622" i="60" s="1"/>
  <c r="F622" i="60" s="1"/>
  <c r="D621" i="60"/>
  <c r="D620" i="60"/>
  <c r="D619" i="60"/>
  <c r="E619" i="60" s="1"/>
  <c r="D618" i="60"/>
  <c r="D617" i="60"/>
  <c r="D616" i="60"/>
  <c r="E616" i="60" s="1"/>
  <c r="F616" i="60" s="1"/>
  <c r="D615" i="60"/>
  <c r="E615" i="60" s="1"/>
  <c r="F615" i="60" s="1"/>
  <c r="D614" i="60"/>
  <c r="E614" i="60" s="1"/>
  <c r="F614" i="60" s="1"/>
  <c r="D613" i="60"/>
  <c r="D612" i="60"/>
  <c r="D611" i="60"/>
  <c r="E611" i="60" s="1"/>
  <c r="F611" i="60" s="1"/>
  <c r="D610" i="60"/>
  <c r="D609" i="60"/>
  <c r="D608" i="60"/>
  <c r="E608" i="60" s="1"/>
  <c r="F608" i="60" s="1"/>
  <c r="D605" i="60"/>
  <c r="E605" i="60" s="1"/>
  <c r="F605" i="60" s="1"/>
  <c r="D604" i="60"/>
  <c r="E604" i="60" s="1"/>
  <c r="D602" i="60"/>
  <c r="E602" i="60" s="1"/>
  <c r="F602" i="60" s="1"/>
  <c r="D601" i="60"/>
  <c r="D600" i="60"/>
  <c r="E600" i="60" s="1"/>
  <c r="D599" i="60"/>
  <c r="D598" i="60"/>
  <c r="E598" i="60" s="1"/>
  <c r="D597" i="60"/>
  <c r="E597" i="60" s="1"/>
  <c r="F597" i="60" s="1"/>
  <c r="D596" i="60"/>
  <c r="E596" i="60" s="1"/>
  <c r="F596" i="60" s="1"/>
  <c r="D594" i="60"/>
  <c r="E594" i="60" s="1"/>
  <c r="F594" i="60" s="1"/>
  <c r="D593" i="60"/>
  <c r="E593" i="60" s="1"/>
  <c r="F593" i="60" s="1"/>
  <c r="D592" i="60"/>
  <c r="D591" i="60"/>
  <c r="D590" i="60"/>
  <c r="D589" i="60"/>
  <c r="D588" i="60"/>
  <c r="E588" i="60" s="1"/>
  <c r="F588" i="60" s="1"/>
  <c r="D587" i="60"/>
  <c r="E587" i="60" s="1"/>
  <c r="F587" i="60" s="1"/>
  <c r="D586" i="60"/>
  <c r="E586" i="60" s="1"/>
  <c r="F586" i="60" s="1"/>
  <c r="D585" i="60"/>
  <c r="E585" i="60" s="1"/>
  <c r="F585" i="60" s="1"/>
  <c r="D584" i="60"/>
  <c r="D582" i="60"/>
  <c r="E582" i="60" s="1"/>
  <c r="D581" i="60"/>
  <c r="D580" i="60"/>
  <c r="D579" i="60"/>
  <c r="E579" i="60" s="1"/>
  <c r="F579" i="60" s="1"/>
  <c r="D578" i="60"/>
  <c r="E578" i="60" s="1"/>
  <c r="F578" i="60" s="1"/>
  <c r="D577" i="60"/>
  <c r="E577" i="60" s="1"/>
  <c r="F577" i="60" s="1"/>
  <c r="D576" i="60"/>
  <c r="E576" i="60" s="1"/>
  <c r="F576" i="60" s="1"/>
  <c r="D575" i="60"/>
  <c r="D574" i="60"/>
  <c r="D573" i="60"/>
  <c r="D572" i="60"/>
  <c r="D570" i="60"/>
  <c r="E570" i="60" s="1"/>
  <c r="F570" i="60" s="1"/>
  <c r="D569" i="60"/>
  <c r="E569" i="60" s="1"/>
  <c r="F569" i="60" s="1"/>
  <c r="D567" i="60"/>
  <c r="E567" i="60" s="1"/>
  <c r="D566" i="60"/>
  <c r="E566" i="60" s="1"/>
  <c r="F566" i="60" s="1"/>
  <c r="D565" i="60"/>
  <c r="D564" i="60"/>
  <c r="E564" i="60" s="1"/>
  <c r="D563" i="60"/>
  <c r="D562" i="60"/>
  <c r="E562" i="60" s="1"/>
  <c r="D561" i="60"/>
  <c r="E561" i="60" s="1"/>
  <c r="F561" i="60" s="1"/>
  <c r="D560" i="60"/>
  <c r="E560" i="60" s="1"/>
  <c r="F560" i="60" s="1"/>
  <c r="D559" i="60"/>
  <c r="E559" i="60" s="1"/>
  <c r="F559" i="60" s="1"/>
  <c r="D558" i="60"/>
  <c r="E558" i="60" s="1"/>
  <c r="F558" i="60" s="1"/>
  <c r="D557" i="60"/>
  <c r="D556" i="60"/>
  <c r="E556" i="60" s="1"/>
  <c r="D555" i="60"/>
  <c r="D554" i="60"/>
  <c r="D553" i="60"/>
  <c r="E553" i="60" s="1"/>
  <c r="F553" i="60" s="1"/>
  <c r="D552" i="60"/>
  <c r="E552" i="60" s="1"/>
  <c r="F552" i="60" s="1"/>
  <c r="D551" i="60"/>
  <c r="E551" i="60" s="1"/>
  <c r="F551" i="60" s="1"/>
  <c r="D550" i="60"/>
  <c r="E550" i="60" s="1"/>
  <c r="F550" i="60" s="1"/>
  <c r="D548" i="60"/>
  <c r="D547" i="60"/>
  <c r="D544" i="60"/>
  <c r="D543" i="60"/>
  <c r="D542" i="60"/>
  <c r="E542" i="60" s="1"/>
  <c r="F542" i="60" s="1"/>
  <c r="D541" i="60"/>
  <c r="E541" i="60" s="1"/>
  <c r="F541" i="60" s="1"/>
  <c r="D540" i="60"/>
  <c r="E540" i="60" s="1"/>
  <c r="F540" i="60" s="1"/>
  <c r="D539" i="60"/>
  <c r="E539" i="60" s="1"/>
  <c r="F539" i="60" s="1"/>
  <c r="D538" i="60"/>
  <c r="D537" i="60"/>
  <c r="E537" i="60" s="1"/>
  <c r="D536" i="60"/>
  <c r="D535" i="60"/>
  <c r="E535" i="60" s="1"/>
  <c r="D534" i="60"/>
  <c r="E534" i="60" s="1"/>
  <c r="F534" i="60" s="1"/>
  <c r="D533" i="60"/>
  <c r="E533" i="60" s="1"/>
  <c r="F533" i="60" s="1"/>
  <c r="D532" i="60"/>
  <c r="D531" i="60"/>
  <c r="E531" i="60" s="1"/>
  <c r="D530" i="60"/>
  <c r="D529" i="60"/>
  <c r="E529" i="60" s="1"/>
  <c r="D528" i="60"/>
  <c r="E528" i="60" s="1"/>
  <c r="D527" i="60"/>
  <c r="D526" i="60"/>
  <c r="E526" i="60" s="1"/>
  <c r="F526" i="60" s="1"/>
  <c r="D525" i="60"/>
  <c r="D524" i="60"/>
  <c r="E524" i="60" s="1"/>
  <c r="D523" i="60"/>
  <c r="D522" i="60"/>
  <c r="D521" i="60"/>
  <c r="E521" i="60" s="1"/>
  <c r="F521" i="60" s="1"/>
  <c r="D520" i="60"/>
  <c r="E520" i="60" s="1"/>
  <c r="D519" i="60"/>
  <c r="D518" i="60"/>
  <c r="E518" i="60" s="1"/>
  <c r="F518" i="60" s="1"/>
  <c r="D516" i="60"/>
  <c r="D515" i="60"/>
  <c r="D514" i="60"/>
  <c r="D513" i="60"/>
  <c r="D511" i="60"/>
  <c r="E511" i="60" s="1"/>
  <c r="F511" i="60" s="1"/>
  <c r="D510" i="60"/>
  <c r="D509" i="60"/>
  <c r="D508" i="60"/>
  <c r="D507" i="60"/>
  <c r="D506" i="60"/>
  <c r="D505" i="60"/>
  <c r="D503" i="60"/>
  <c r="D502" i="60"/>
  <c r="D501" i="60"/>
  <c r="D500" i="60"/>
  <c r="D499" i="60"/>
  <c r="E499" i="60" s="1"/>
  <c r="D498" i="60"/>
  <c r="D497" i="60"/>
  <c r="D496" i="60"/>
  <c r="D495" i="60"/>
  <c r="E495" i="60" s="1"/>
  <c r="D494" i="60"/>
  <c r="E494" i="60" s="1"/>
  <c r="F494" i="60" s="1"/>
  <c r="D493" i="60"/>
  <c r="D492" i="60"/>
  <c r="D491" i="60"/>
  <c r="E491" i="60" s="1"/>
  <c r="F491" i="60" s="1"/>
  <c r="D490" i="60"/>
  <c r="D489" i="60"/>
  <c r="E489" i="60" s="1"/>
  <c r="D488" i="60"/>
  <c r="E488" i="60" s="1"/>
  <c r="F488" i="60" s="1"/>
  <c r="D487" i="60"/>
  <c r="E487" i="60" s="1"/>
  <c r="D486" i="60"/>
  <c r="E486" i="60" s="1"/>
  <c r="F486" i="60" s="1"/>
  <c r="D484" i="60"/>
  <c r="D483" i="60"/>
  <c r="D482" i="60"/>
  <c r="D481" i="60"/>
  <c r="D480" i="60"/>
  <c r="E480" i="60" s="1"/>
  <c r="D478" i="60"/>
  <c r="E478" i="60" s="1"/>
  <c r="F478" i="60" s="1"/>
  <c r="D476" i="60"/>
  <c r="D475" i="60"/>
  <c r="D474" i="60"/>
  <c r="D473" i="60"/>
  <c r="D471" i="60"/>
  <c r="D470" i="60"/>
  <c r="D469" i="60"/>
  <c r="D468" i="60"/>
  <c r="E468" i="60" s="1"/>
  <c r="F468" i="60" s="1"/>
  <c r="D467" i="60"/>
  <c r="D466" i="60"/>
  <c r="E466" i="60" s="1"/>
  <c r="F466" i="60" s="1"/>
  <c r="D465" i="60"/>
  <c r="D464" i="60"/>
  <c r="D463" i="60"/>
  <c r="D462" i="60"/>
  <c r="D461" i="60"/>
  <c r="D460" i="60"/>
  <c r="E460" i="60" s="1"/>
  <c r="F460" i="60" s="1"/>
  <c r="D459" i="60"/>
  <c r="E459" i="60" s="1"/>
  <c r="D458" i="60"/>
  <c r="E458" i="60" s="1"/>
  <c r="F458" i="60" s="1"/>
  <c r="D457" i="60"/>
  <c r="E457" i="60" s="1"/>
  <c r="D456" i="60"/>
  <c r="D455" i="60"/>
  <c r="D454" i="60"/>
  <c r="D453" i="60"/>
  <c r="E453" i="60" s="1"/>
  <c r="D452" i="60"/>
  <c r="E452" i="60" s="1"/>
  <c r="F452" i="60" s="1"/>
  <c r="D451" i="60"/>
  <c r="D450" i="60"/>
  <c r="E450" i="60" s="1"/>
  <c r="F450" i="60" s="1"/>
  <c r="D449" i="60"/>
  <c r="D448" i="60"/>
  <c r="D447" i="60"/>
  <c r="E447" i="60" s="1"/>
  <c r="D446" i="60"/>
  <c r="D445" i="60"/>
  <c r="D444" i="60"/>
  <c r="E444" i="60" s="1"/>
  <c r="F444" i="60" s="1"/>
  <c r="D443" i="60"/>
  <c r="D442" i="60"/>
  <c r="D441" i="60"/>
  <c r="D440" i="60"/>
  <c r="D439" i="60"/>
  <c r="D438" i="60"/>
  <c r="D437" i="60"/>
  <c r="D436" i="60"/>
  <c r="E436" i="60" s="1"/>
  <c r="F436" i="60" s="1"/>
  <c r="D435" i="60"/>
  <c r="E435" i="60" s="1"/>
  <c r="F435" i="60" s="1"/>
  <c r="D434" i="60"/>
  <c r="D433" i="60"/>
  <c r="D432" i="60"/>
  <c r="D431" i="60"/>
  <c r="E431" i="60" s="1"/>
  <c r="D430" i="60"/>
  <c r="D429" i="60"/>
  <c r="E429" i="60" s="1"/>
  <c r="D428" i="60"/>
  <c r="E428" i="60" s="1"/>
  <c r="F428" i="60" s="1"/>
  <c r="D427" i="60"/>
  <c r="E427" i="60" s="1"/>
  <c r="F427" i="60" s="1"/>
  <c r="D426" i="60"/>
  <c r="E426" i="60" s="1"/>
  <c r="F426" i="60" s="1"/>
  <c r="D425" i="60"/>
  <c r="D424" i="60"/>
  <c r="D423" i="60"/>
  <c r="E423" i="60" s="1"/>
  <c r="D422" i="60"/>
  <c r="D421" i="60"/>
  <c r="D420" i="60"/>
  <c r="E420" i="60" s="1"/>
  <c r="F420" i="60" s="1"/>
  <c r="D419" i="60"/>
  <c r="E419" i="60" s="1"/>
  <c r="F419" i="60" s="1"/>
  <c r="D418" i="60"/>
  <c r="E418" i="60" s="1"/>
  <c r="F418" i="60" s="1"/>
  <c r="D417" i="60"/>
  <c r="D416" i="60"/>
  <c r="D415" i="60"/>
  <c r="E415" i="60" s="1"/>
  <c r="D414" i="60"/>
  <c r="D413" i="60"/>
  <c r="D412" i="60"/>
  <c r="E412" i="60" s="1"/>
  <c r="F412" i="60" s="1"/>
  <c r="D411" i="60"/>
  <c r="E411" i="60" s="1"/>
  <c r="F411" i="60" s="1"/>
  <c r="D410" i="60"/>
  <c r="E410" i="60" s="1"/>
  <c r="F410" i="60" s="1"/>
  <c r="D409" i="60"/>
  <c r="D408" i="60"/>
  <c r="D407" i="60"/>
  <c r="D406" i="60"/>
  <c r="D405" i="60"/>
  <c r="D404" i="60"/>
  <c r="E404" i="60" s="1"/>
  <c r="D403" i="60"/>
  <c r="E403" i="60" s="1"/>
  <c r="F403" i="60" s="1"/>
  <c r="D402" i="60"/>
  <c r="E402" i="60" s="1"/>
  <c r="F402" i="60" s="1"/>
  <c r="D400" i="60"/>
  <c r="D399" i="60"/>
  <c r="D398" i="60"/>
  <c r="D397" i="60"/>
  <c r="D396" i="60"/>
  <c r="D395" i="60"/>
  <c r="D394" i="60"/>
  <c r="E394" i="60" s="1"/>
  <c r="F394" i="60" s="1"/>
  <c r="D393" i="60"/>
  <c r="E393" i="60" s="1"/>
  <c r="D392" i="60"/>
  <c r="D391" i="60"/>
  <c r="D390" i="60"/>
  <c r="E390" i="60" s="1"/>
  <c r="D389" i="60"/>
  <c r="D388" i="60"/>
  <c r="D387" i="60"/>
  <c r="E387" i="60" s="1"/>
  <c r="D386" i="60"/>
  <c r="E386" i="60" s="1"/>
  <c r="F386" i="60" s="1"/>
  <c r="D385" i="60"/>
  <c r="E385" i="60" s="1"/>
  <c r="F385" i="60" s="1"/>
  <c r="D384" i="60"/>
  <c r="D383" i="60"/>
  <c r="D379" i="60"/>
  <c r="E379" i="60" s="1"/>
  <c r="D378" i="60"/>
  <c r="D375" i="60"/>
  <c r="D373" i="60"/>
  <c r="D372" i="60"/>
  <c r="E372" i="60" s="1"/>
  <c r="F372" i="60" s="1"/>
  <c r="D368" i="60"/>
  <c r="E368" i="60" s="1"/>
  <c r="D363" i="60"/>
  <c r="E363" i="60" s="1"/>
  <c r="F363" i="60" s="1"/>
  <c r="D362" i="60"/>
  <c r="D361" i="60"/>
  <c r="D360" i="60"/>
  <c r="D359" i="60"/>
  <c r="D358" i="60"/>
  <c r="E358" i="60" s="1"/>
  <c r="F358" i="60" s="1"/>
  <c r="D357" i="60"/>
  <c r="E357" i="60" s="1"/>
  <c r="F357" i="60" s="1"/>
  <c r="D356" i="60"/>
  <c r="E356" i="60" s="1"/>
  <c r="D355" i="60"/>
  <c r="E355" i="60" s="1"/>
  <c r="F355" i="60" s="1"/>
  <c r="D354" i="60"/>
  <c r="D353" i="60"/>
  <c r="E353" i="60" s="1"/>
  <c r="F353" i="60" s="1"/>
  <c r="D352" i="60"/>
  <c r="D351" i="60"/>
  <c r="D350" i="60"/>
  <c r="D349" i="60"/>
  <c r="E349" i="60" s="1"/>
  <c r="F349" i="60" s="1"/>
  <c r="D348" i="60"/>
  <c r="E348" i="60" s="1"/>
  <c r="D346" i="60"/>
  <c r="E346" i="60" s="1"/>
  <c r="F346" i="60" s="1"/>
  <c r="D343" i="60"/>
  <c r="D342" i="60"/>
  <c r="D340" i="60"/>
  <c r="D339" i="60"/>
  <c r="D338" i="60"/>
  <c r="D337" i="60"/>
  <c r="E337" i="60" s="1"/>
  <c r="F337" i="60" s="1"/>
  <c r="D336" i="60"/>
  <c r="D335" i="60"/>
  <c r="E335" i="60" s="1"/>
  <c r="F335" i="60" s="1"/>
  <c r="D333" i="60"/>
  <c r="D332" i="60"/>
  <c r="E332" i="60" s="1"/>
  <c r="F332" i="60" s="1"/>
  <c r="D330" i="60"/>
  <c r="D329" i="60"/>
  <c r="D327" i="60"/>
  <c r="E327" i="60" s="1"/>
  <c r="D326" i="60"/>
  <c r="E326" i="60" s="1"/>
  <c r="F326" i="60" s="1"/>
  <c r="D325" i="60"/>
  <c r="E325" i="60" s="1"/>
  <c r="F325" i="60" s="1"/>
  <c r="D324" i="60"/>
  <c r="E324" i="60" s="1"/>
  <c r="F324" i="60" s="1"/>
  <c r="D323" i="60"/>
  <c r="D322" i="60"/>
  <c r="E322" i="60" s="1"/>
  <c r="D321" i="60"/>
  <c r="D320" i="60"/>
  <c r="D319" i="60"/>
  <c r="D318" i="60"/>
  <c r="E318" i="60" s="1"/>
  <c r="F318" i="60" s="1"/>
  <c r="D317" i="60"/>
  <c r="E317" i="60" s="1"/>
  <c r="F317" i="60" s="1"/>
  <c r="D316" i="60"/>
  <c r="E316" i="60" s="1"/>
  <c r="F316" i="60" s="1"/>
  <c r="D315" i="60"/>
  <c r="D314" i="60"/>
  <c r="E314" i="60" s="1"/>
  <c r="D313" i="60"/>
  <c r="D312" i="60"/>
  <c r="D311" i="60"/>
  <c r="D310" i="60"/>
  <c r="E310" i="60" s="1"/>
  <c r="F310" i="60" s="1"/>
  <c r="D309" i="60"/>
  <c r="D307" i="60"/>
  <c r="E307" i="60" s="1"/>
  <c r="F307" i="60" s="1"/>
  <c r="D306" i="60"/>
  <c r="D305" i="60"/>
  <c r="E305" i="60" s="1"/>
  <c r="D303" i="60"/>
  <c r="D302" i="60"/>
  <c r="D301" i="60"/>
  <c r="E301" i="60" s="1"/>
  <c r="F301" i="60" s="1"/>
  <c r="D300" i="60"/>
  <c r="E300" i="60" s="1"/>
  <c r="F300" i="60" s="1"/>
  <c r="D299" i="60"/>
  <c r="E299" i="60" s="1"/>
  <c r="D298" i="60"/>
  <c r="E298" i="60" s="1"/>
  <c r="F298" i="60" s="1"/>
  <c r="D297" i="60"/>
  <c r="D296" i="60"/>
  <c r="E296" i="60" s="1"/>
  <c r="D295" i="60"/>
  <c r="D293" i="60"/>
  <c r="D292" i="60"/>
  <c r="D291" i="60"/>
  <c r="E291" i="60" s="1"/>
  <c r="F291" i="60" s="1"/>
  <c r="D289" i="60"/>
  <c r="D288" i="60"/>
  <c r="E288" i="60" s="1"/>
  <c r="F288" i="60" s="1"/>
  <c r="D287" i="60"/>
  <c r="D286" i="60"/>
  <c r="E286" i="60" s="1"/>
  <c r="F286" i="60" s="1"/>
  <c r="D285" i="60"/>
  <c r="D284" i="60"/>
  <c r="E284" i="60" s="1"/>
  <c r="D282" i="60"/>
  <c r="D281" i="60"/>
  <c r="E281" i="60" s="1"/>
  <c r="F281" i="60" s="1"/>
  <c r="D280" i="60"/>
  <c r="E280" i="60" s="1"/>
  <c r="F280" i="60" s="1"/>
  <c r="D279" i="60"/>
  <c r="E279" i="60" s="1"/>
  <c r="F279" i="60" s="1"/>
  <c r="D278" i="60"/>
  <c r="D277" i="60"/>
  <c r="D276" i="60"/>
  <c r="D274" i="60"/>
  <c r="E274" i="60" s="1"/>
  <c r="D271" i="60"/>
  <c r="D270" i="60"/>
  <c r="E270" i="60" s="1"/>
  <c r="F270" i="60" s="1"/>
  <c r="D267" i="60"/>
  <c r="E267" i="60" s="1"/>
  <c r="F267" i="60" s="1"/>
  <c r="D266" i="60"/>
  <c r="E266" i="60" s="1"/>
  <c r="F266" i="60" s="1"/>
  <c r="D264" i="60"/>
  <c r="D263" i="60"/>
  <c r="E263" i="60" s="1"/>
  <c r="F263" i="60" s="1"/>
  <c r="D261" i="60"/>
  <c r="D260" i="60"/>
  <c r="E260" i="60" s="1"/>
  <c r="D259" i="60"/>
  <c r="D258" i="60"/>
  <c r="D257" i="60"/>
  <c r="E257" i="60" s="1"/>
  <c r="F257" i="60" s="1"/>
  <c r="D255" i="60"/>
  <c r="E255" i="60" s="1"/>
  <c r="F255" i="60" s="1"/>
  <c r="D254" i="60"/>
  <c r="D253" i="60"/>
  <c r="E253" i="60" s="1"/>
  <c r="D251" i="60"/>
  <c r="D250" i="60"/>
  <c r="D249" i="60"/>
  <c r="D248" i="60"/>
  <c r="D246" i="60"/>
  <c r="E246" i="60" s="1"/>
  <c r="F246" i="60" s="1"/>
  <c r="D245" i="60"/>
  <c r="E245" i="60" s="1"/>
  <c r="F245" i="60" s="1"/>
  <c r="D244" i="60"/>
  <c r="D243" i="60"/>
  <c r="E243" i="60" s="1"/>
  <c r="F243" i="60" s="1"/>
  <c r="D240" i="60"/>
  <c r="E240" i="60" s="1"/>
  <c r="F240" i="60" s="1"/>
  <c r="D238" i="60"/>
  <c r="E238" i="60" s="1"/>
  <c r="D237" i="60"/>
  <c r="D236" i="60"/>
  <c r="D235" i="60"/>
  <c r="E235" i="60" s="1"/>
  <c r="F235" i="60" s="1"/>
  <c r="D232" i="60"/>
  <c r="E232" i="60" s="1"/>
  <c r="F232" i="60" s="1"/>
  <c r="D229" i="60"/>
  <c r="D226" i="60"/>
  <c r="D225" i="60"/>
  <c r="E225" i="60" s="1"/>
  <c r="F225" i="60" s="1"/>
  <c r="D224" i="60"/>
  <c r="D223" i="60"/>
  <c r="D221" i="60"/>
  <c r="D220" i="60"/>
  <c r="E220" i="60" s="1"/>
  <c r="F220" i="60" s="1"/>
  <c r="D219" i="60"/>
  <c r="E219" i="60" s="1"/>
  <c r="F219" i="60" s="1"/>
  <c r="D218" i="60"/>
  <c r="D217" i="60"/>
  <c r="D215" i="60"/>
  <c r="E215" i="60" s="1"/>
  <c r="F215" i="60" s="1"/>
  <c r="D214" i="60"/>
  <c r="D213" i="60"/>
  <c r="D212" i="60"/>
  <c r="E212" i="60" s="1"/>
  <c r="D211" i="60"/>
  <c r="D210" i="60"/>
  <c r="E210" i="60" s="1"/>
  <c r="F210" i="60" s="1"/>
  <c r="D209" i="60"/>
  <c r="D206" i="60"/>
  <c r="D204" i="60"/>
  <c r="E204" i="60" s="1"/>
  <c r="D203" i="60"/>
  <c r="E203" i="60" s="1"/>
  <c r="D202" i="60"/>
  <c r="E202" i="60" s="1"/>
  <c r="D201" i="60"/>
  <c r="E201" i="60" s="1"/>
  <c r="D200" i="60"/>
  <c r="E200" i="60" s="1"/>
  <c r="F200" i="60" s="1"/>
  <c r="D199" i="60"/>
  <c r="D198" i="60"/>
  <c r="D197" i="60"/>
  <c r="D196" i="60"/>
  <c r="D195" i="60"/>
  <c r="D193" i="60"/>
  <c r="E193" i="60" s="1"/>
  <c r="D192" i="60"/>
  <c r="D191" i="60"/>
  <c r="E191" i="60" s="1"/>
  <c r="F191" i="60" s="1"/>
  <c r="D190" i="60"/>
  <c r="E190" i="60" s="1"/>
  <c r="F190" i="60" s="1"/>
  <c r="D189" i="60"/>
  <c r="D188" i="60"/>
  <c r="D187" i="60"/>
  <c r="D186" i="60"/>
  <c r="D185" i="60"/>
  <c r="D184" i="60"/>
  <c r="D183" i="60"/>
  <c r="E183" i="60" s="1"/>
  <c r="F183" i="60" s="1"/>
  <c r="D182" i="60"/>
  <c r="D181" i="60"/>
  <c r="D180" i="60"/>
  <c r="D179" i="60"/>
  <c r="D178" i="60"/>
  <c r="D177" i="60"/>
  <c r="E177" i="60" s="1"/>
  <c r="D175" i="60"/>
  <c r="D174" i="60"/>
  <c r="E174" i="60" s="1"/>
  <c r="F174" i="60" s="1"/>
  <c r="D173" i="60"/>
  <c r="D172" i="60"/>
  <c r="D171" i="60"/>
  <c r="D170" i="60"/>
  <c r="E170" i="60" s="1"/>
  <c r="D169" i="60"/>
  <c r="D168" i="60"/>
  <c r="D167" i="60"/>
  <c r="D166" i="60"/>
  <c r="E166" i="60" s="1"/>
  <c r="F166" i="60" s="1"/>
  <c r="D165" i="60"/>
  <c r="E165" i="60" s="1"/>
  <c r="D164" i="60"/>
  <c r="D163" i="60"/>
  <c r="D162" i="60"/>
  <c r="E162" i="60" s="1"/>
  <c r="F162" i="60" s="1"/>
  <c r="D161" i="60"/>
  <c r="D160" i="60"/>
  <c r="E160" i="60" s="1"/>
  <c r="D159" i="60"/>
  <c r="D158" i="60"/>
  <c r="E158" i="60" s="1"/>
  <c r="F158" i="60" s="1"/>
  <c r="D157" i="60"/>
  <c r="E157" i="60" s="1"/>
  <c r="F157" i="60" s="1"/>
  <c r="D156" i="60"/>
  <c r="D155" i="60"/>
  <c r="D154" i="60"/>
  <c r="E154" i="60" s="1"/>
  <c r="D153" i="60"/>
  <c r="D152" i="60"/>
  <c r="D151" i="60"/>
  <c r="D150" i="60"/>
  <c r="E150" i="60" s="1"/>
  <c r="F150" i="60" s="1"/>
  <c r="D149" i="60"/>
  <c r="E149" i="60" s="1"/>
  <c r="D148" i="60"/>
  <c r="D147" i="60"/>
  <c r="D146" i="60"/>
  <c r="D145" i="60"/>
  <c r="D144" i="60"/>
  <c r="E144" i="60" s="1"/>
  <c r="D143" i="60"/>
  <c r="D142" i="60"/>
  <c r="E142" i="60" s="1"/>
  <c r="F142" i="60" s="1"/>
  <c r="D141" i="60"/>
  <c r="E141" i="60" s="1"/>
  <c r="D140" i="60"/>
  <c r="D139" i="60"/>
  <c r="D138" i="60"/>
  <c r="D137" i="60"/>
  <c r="D136" i="60"/>
  <c r="D135" i="60"/>
  <c r="D134" i="60"/>
  <c r="E134" i="60" s="1"/>
  <c r="F134" i="60" s="1"/>
  <c r="D133" i="60"/>
  <c r="E133" i="60" s="1"/>
  <c r="F133" i="60" s="1"/>
  <c r="D132" i="60"/>
  <c r="D131" i="60"/>
  <c r="D130" i="60"/>
  <c r="E130" i="60" s="1"/>
  <c r="D129" i="60"/>
  <c r="D128" i="60"/>
  <c r="E128" i="60" s="1"/>
  <c r="D127" i="60"/>
  <c r="D126" i="60"/>
  <c r="E126" i="60" s="1"/>
  <c r="F126" i="60" s="1"/>
  <c r="D125" i="60"/>
  <c r="E125" i="60" s="1"/>
  <c r="F125" i="60" s="1"/>
  <c r="D124" i="60"/>
  <c r="D123" i="60"/>
  <c r="D122" i="60"/>
  <c r="E122" i="60" s="1"/>
  <c r="F122" i="60" s="1"/>
  <c r="D121" i="60"/>
  <c r="D120" i="60"/>
  <c r="E120" i="60" s="1"/>
  <c r="D119" i="60"/>
  <c r="D118" i="60"/>
  <c r="E118" i="60" s="1"/>
  <c r="F118" i="60" s="1"/>
  <c r="D117" i="60"/>
  <c r="E117" i="60" s="1"/>
  <c r="F117" i="60" s="1"/>
  <c r="D116" i="60"/>
  <c r="D115" i="60"/>
  <c r="D113" i="60"/>
  <c r="E113" i="60" s="1"/>
  <c r="D112" i="60"/>
  <c r="D111" i="60"/>
  <c r="D110" i="60"/>
  <c r="D109" i="60"/>
  <c r="E109" i="60" s="1"/>
  <c r="F109" i="60" s="1"/>
  <c r="D108" i="60"/>
  <c r="D107" i="60"/>
  <c r="D106" i="60"/>
  <c r="D105" i="60"/>
  <c r="E105" i="60" s="1"/>
  <c r="D104" i="60"/>
  <c r="D103" i="60"/>
  <c r="E103" i="60" s="1"/>
  <c r="D102" i="60"/>
  <c r="D101" i="60"/>
  <c r="E101" i="60" s="1"/>
  <c r="F101" i="60" s="1"/>
  <c r="D100" i="60"/>
  <c r="E100" i="60" s="1"/>
  <c r="F100" i="60" s="1"/>
  <c r="D99" i="60"/>
  <c r="D98" i="60"/>
  <c r="D97" i="60"/>
  <c r="D96" i="60"/>
  <c r="D95" i="60"/>
  <c r="E95" i="60" s="1"/>
  <c r="D94" i="60"/>
  <c r="E94" i="60" s="1"/>
  <c r="F94" i="60" s="1"/>
  <c r="D93" i="60"/>
  <c r="E93" i="60" s="1"/>
  <c r="F93" i="60" s="1"/>
  <c r="D92" i="60"/>
  <c r="E92" i="60" s="1"/>
  <c r="F92" i="60" s="1"/>
  <c r="D91" i="60"/>
  <c r="D90" i="60"/>
  <c r="D89" i="60"/>
  <c r="E89" i="60" s="1"/>
  <c r="D88" i="60"/>
  <c r="D87" i="60"/>
  <c r="D86" i="60"/>
  <c r="E86" i="60" s="1"/>
  <c r="F86" i="60" s="1"/>
  <c r="D85" i="60"/>
  <c r="E85" i="60" s="1"/>
  <c r="F85" i="60" s="1"/>
  <c r="D84" i="60"/>
  <c r="D83" i="60"/>
  <c r="D82" i="60"/>
  <c r="D81" i="60"/>
  <c r="E81" i="60" s="1"/>
  <c r="F81" i="60" s="1"/>
  <c r="D80" i="60"/>
  <c r="D79" i="60"/>
  <c r="E79" i="60" s="1"/>
  <c r="D78" i="60"/>
  <c r="E78" i="60" s="1"/>
  <c r="F78" i="60" s="1"/>
  <c r="D77" i="60"/>
  <c r="E77" i="60" s="1"/>
  <c r="F77" i="60" s="1"/>
  <c r="D76" i="60"/>
  <c r="E76" i="60" s="1"/>
  <c r="F76" i="60" s="1"/>
  <c r="D75" i="60"/>
  <c r="D74" i="60"/>
  <c r="D73" i="60"/>
  <c r="D72" i="60"/>
  <c r="D71" i="60"/>
  <c r="E71" i="60" s="1"/>
  <c r="D70" i="60"/>
  <c r="E70" i="60" s="1"/>
  <c r="F70" i="60" s="1"/>
  <c r="D69" i="60"/>
  <c r="E69" i="60" s="1"/>
  <c r="F69" i="60" s="1"/>
  <c r="D68" i="60"/>
  <c r="E68" i="60" s="1"/>
  <c r="F68" i="60" s="1"/>
  <c r="D67" i="60"/>
  <c r="D66" i="60"/>
  <c r="D65" i="60"/>
  <c r="D64" i="60"/>
  <c r="D63" i="60"/>
  <c r="E63" i="60" s="1"/>
  <c r="D62" i="60"/>
  <c r="E62" i="60" s="1"/>
  <c r="F62" i="60" s="1"/>
  <c r="D61" i="60"/>
  <c r="E61" i="60" s="1"/>
  <c r="F61" i="60" s="1"/>
  <c r="D60" i="60"/>
  <c r="E60" i="60" s="1"/>
  <c r="F60" i="60" s="1"/>
  <c r="D59" i="60"/>
  <c r="D58" i="60"/>
  <c r="D56" i="60"/>
  <c r="D55" i="60"/>
  <c r="D53" i="60"/>
  <c r="E53" i="60" s="1"/>
  <c r="D52" i="60"/>
  <c r="E52" i="60" s="1"/>
  <c r="F52" i="60" s="1"/>
  <c r="D51" i="60"/>
  <c r="E51" i="60" s="1"/>
  <c r="F51" i="60" s="1"/>
  <c r="D50" i="60"/>
  <c r="E50" i="60" s="1"/>
  <c r="F50" i="60" s="1"/>
  <c r="D48" i="60"/>
  <c r="D46" i="60"/>
  <c r="D45" i="60"/>
  <c r="D44" i="60"/>
  <c r="D43" i="60"/>
  <c r="D42" i="60"/>
  <c r="E42" i="60" s="1"/>
  <c r="F42" i="60" s="1"/>
  <c r="D41" i="60"/>
  <c r="E41" i="60" s="1"/>
  <c r="F41" i="60" s="1"/>
  <c r="D40" i="60"/>
  <c r="E40" i="60" s="1"/>
  <c r="F40" i="60" s="1"/>
  <c r="D39" i="60"/>
  <c r="D38" i="60"/>
  <c r="D37" i="60"/>
  <c r="E37" i="60" s="1"/>
  <c r="D35" i="60"/>
  <c r="D34" i="60"/>
  <c r="E34" i="60" s="1"/>
  <c r="D33" i="60"/>
  <c r="E33" i="60" s="1"/>
  <c r="F33" i="60" s="1"/>
  <c r="D32" i="60"/>
  <c r="E32" i="60" s="1"/>
  <c r="F32" i="60" s="1"/>
  <c r="D31" i="60"/>
  <c r="E31" i="60" s="1"/>
  <c r="F31" i="60" s="1"/>
  <c r="D28" i="60"/>
  <c r="D27" i="60"/>
  <c r="D25" i="60"/>
  <c r="D24" i="60"/>
  <c r="D21" i="60"/>
  <c r="D20" i="60"/>
  <c r="E20" i="60" s="1"/>
  <c r="F20" i="60" s="1"/>
  <c r="D19" i="60"/>
  <c r="E19" i="60" s="1"/>
  <c r="F19" i="60" s="1"/>
  <c r="D18" i="60"/>
  <c r="D17" i="60"/>
  <c r="D14" i="60"/>
  <c r="D13" i="60"/>
  <c r="E13" i="60" s="1"/>
  <c r="F13" i="60" s="1"/>
  <c r="D12" i="60"/>
  <c r="D11" i="60"/>
  <c r="E11" i="60" s="1"/>
  <c r="D10" i="60"/>
  <c r="E10" i="60" s="1"/>
  <c r="F10" i="60" s="1"/>
  <c r="D9" i="60"/>
  <c r="E9" i="60" s="1"/>
  <c r="F9" i="60" s="1"/>
  <c r="D8" i="60"/>
  <c r="E8" i="60" s="1"/>
  <c r="F8" i="60" s="1"/>
  <c r="D7" i="60"/>
  <c r="D6" i="60"/>
  <c r="E342" i="60" l="1"/>
  <c r="F342" i="60" s="1"/>
  <c r="F903" i="60"/>
  <c r="F699" i="60"/>
  <c r="F387" i="60"/>
  <c r="F718" i="60"/>
  <c r="F415" i="60"/>
  <c r="E350" i="60"/>
  <c r="F350" i="60" s="1"/>
  <c r="F356" i="60"/>
  <c r="F582" i="60"/>
  <c r="E289" i="60"/>
  <c r="F289" i="60" s="1"/>
  <c r="F499" i="60"/>
  <c r="F628" i="60"/>
  <c r="F682" i="60"/>
  <c r="F868" i="60"/>
  <c r="F113" i="60"/>
  <c r="E138" i="60"/>
  <c r="F138" i="60" s="1"/>
  <c r="E187" i="60"/>
  <c r="F187" i="60" s="1"/>
  <c r="E206" i="60"/>
  <c r="F206" i="60" s="1"/>
  <c r="E319" i="60"/>
  <c r="F319" i="60" s="1"/>
  <c r="E853" i="60"/>
  <c r="F853" i="60" s="1"/>
  <c r="E108" i="60"/>
  <c r="F108" i="60" s="1"/>
  <c r="E182" i="60"/>
  <c r="F182" i="60" s="1"/>
  <c r="F170" i="60"/>
  <c r="E449" i="60"/>
  <c r="F449" i="60" s="1"/>
  <c r="F165" i="60"/>
  <c r="E373" i="60"/>
  <c r="F373" i="60" s="1"/>
  <c r="F141" i="60"/>
  <c r="E196" i="60"/>
  <c r="F196" i="60" s="1"/>
  <c r="F404" i="60"/>
  <c r="F604" i="60"/>
  <c r="F710" i="60"/>
  <c r="E733" i="60"/>
  <c r="F733" i="60" s="1"/>
  <c r="E73" i="60"/>
  <c r="F73" i="60" s="1"/>
  <c r="E311" i="60"/>
  <c r="F311" i="60" s="1"/>
  <c r="E748" i="60"/>
  <c r="F748" i="60" s="1"/>
  <c r="F911" i="60"/>
  <c r="F431" i="60"/>
  <c r="E475" i="60"/>
  <c r="F475" i="60" s="1"/>
  <c r="F674" i="60"/>
  <c r="F713" i="60"/>
  <c r="E65" i="60"/>
  <c r="F65" i="60" s="1"/>
  <c r="E97" i="60"/>
  <c r="F97" i="60" s="1"/>
  <c r="F149" i="60"/>
  <c r="E199" i="60"/>
  <c r="F199" i="60" s="1"/>
  <c r="F202" i="60"/>
  <c r="E258" i="60"/>
  <c r="F258" i="60" s="1"/>
  <c r="F322" i="60"/>
  <c r="F327" i="60"/>
  <c r="E336" i="60"/>
  <c r="F336" i="60" s="1"/>
  <c r="F393" i="60"/>
  <c r="E439" i="60"/>
  <c r="F439" i="60" s="1"/>
  <c r="F537" i="60"/>
  <c r="E574" i="60"/>
  <c r="F574" i="60" s="1"/>
  <c r="E714" i="60"/>
  <c r="F714" i="60" s="1"/>
  <c r="E221" i="60"/>
  <c r="F221" i="60" s="1"/>
  <c r="E398" i="60"/>
  <c r="F398" i="60" s="1"/>
  <c r="E455" i="60"/>
  <c r="F455" i="60" s="1"/>
  <c r="E493" i="60"/>
  <c r="F493" i="60" s="1"/>
  <c r="F619" i="60"/>
  <c r="F638" i="60"/>
  <c r="E45" i="60"/>
  <c r="F45" i="60" s="1"/>
  <c r="F299" i="60"/>
  <c r="F844" i="60"/>
  <c r="E25" i="60"/>
  <c r="F25" i="60" s="1"/>
  <c r="F296" i="60"/>
  <c r="F314" i="60"/>
  <c r="E361" i="60"/>
  <c r="F361" i="60" s="1"/>
  <c r="F423" i="60"/>
  <c r="F447" i="60"/>
  <c r="E451" i="60"/>
  <c r="F451" i="60" s="1"/>
  <c r="E463" i="60"/>
  <c r="F463" i="60" s="1"/>
  <c r="E476" i="60"/>
  <c r="F476" i="60" s="1"/>
  <c r="E484" i="60"/>
  <c r="F484" i="60" s="1"/>
  <c r="E501" i="60"/>
  <c r="F501" i="60" s="1"/>
  <c r="E508" i="60"/>
  <c r="F508" i="60" s="1"/>
  <c r="F567" i="60"/>
  <c r="E641" i="60"/>
  <c r="F641" i="60" s="1"/>
  <c r="E715" i="60"/>
  <c r="F715" i="60" s="1"/>
  <c r="F736" i="60"/>
  <c r="E757" i="60"/>
  <c r="F757" i="60" s="1"/>
  <c r="E513" i="60"/>
  <c r="F513" i="60" s="1"/>
  <c r="E749" i="60"/>
  <c r="F749" i="60" s="1"/>
  <c r="F906" i="60"/>
  <c r="E56" i="60"/>
  <c r="F56" i="60" s="1"/>
  <c r="E236" i="60"/>
  <c r="F236" i="60" s="1"/>
  <c r="F253" i="60"/>
  <c r="E277" i="60"/>
  <c r="F277" i="60" s="1"/>
  <c r="E395" i="60"/>
  <c r="F395" i="60" s="1"/>
  <c r="E434" i="60"/>
  <c r="F434" i="60" s="1"/>
  <c r="E547" i="60"/>
  <c r="F547" i="60" s="1"/>
  <c r="F656" i="60"/>
  <c r="E758" i="60"/>
  <c r="F758" i="60" s="1"/>
  <c r="E443" i="60"/>
  <c r="F443" i="60" s="1"/>
  <c r="E84" i="60"/>
  <c r="F84" i="60" s="1"/>
  <c r="F154" i="60"/>
  <c r="E467" i="60"/>
  <c r="F467" i="60" s="1"/>
  <c r="E217" i="60"/>
  <c r="F217" i="60" s="1"/>
  <c r="E727" i="60"/>
  <c r="F727" i="60" s="1"/>
  <c r="E18" i="60"/>
  <c r="F18" i="60" s="1"/>
  <c r="E173" i="60"/>
  <c r="F173" i="60" s="1"/>
  <c r="E226" i="60"/>
  <c r="F226" i="60" s="1"/>
  <c r="E309" i="60"/>
  <c r="F309" i="60" s="1"/>
  <c r="F390" i="60"/>
  <c r="E407" i="60"/>
  <c r="F407" i="60" s="1"/>
  <c r="E471" i="60"/>
  <c r="F471" i="60" s="1"/>
  <c r="E502" i="60"/>
  <c r="F502" i="60" s="1"/>
  <c r="E522" i="60"/>
  <c r="F522" i="60" s="1"/>
  <c r="F723" i="60"/>
  <c r="E881" i="60"/>
  <c r="F881" i="60" s="1"/>
  <c r="E146" i="60"/>
  <c r="F146" i="60" s="1"/>
  <c r="E482" i="60"/>
  <c r="F482" i="60" s="1"/>
  <c r="F305" i="60"/>
  <c r="F600" i="60"/>
  <c r="F742" i="60"/>
  <c r="F37" i="60"/>
  <c r="F105" i="60"/>
  <c r="F130" i="60"/>
  <c r="E179" i="60"/>
  <c r="F179" i="60" s="1"/>
  <c r="E338" i="60"/>
  <c r="F338" i="60" s="1"/>
  <c r="F348" i="60"/>
  <c r="F368" i="60"/>
  <c r="F379" i="60"/>
  <c r="E442" i="60"/>
  <c r="F442" i="60" s="1"/>
  <c r="F459" i="60"/>
  <c r="E465" i="60"/>
  <c r="F465" i="60" s="1"/>
  <c r="F487" i="60"/>
  <c r="E503" i="60"/>
  <c r="F503" i="60" s="1"/>
  <c r="F529" i="60"/>
  <c r="F556" i="60"/>
  <c r="E591" i="60"/>
  <c r="F591" i="60" s="1"/>
  <c r="E666" i="60"/>
  <c r="F666" i="60" s="1"/>
  <c r="E691" i="60"/>
  <c r="F691" i="60" s="1"/>
  <c r="E732" i="60"/>
  <c r="F732" i="60" s="1"/>
  <c r="E823" i="60"/>
  <c r="F823" i="60" s="1"/>
  <c r="F855" i="60"/>
  <c r="E861" i="60"/>
  <c r="F861" i="60" s="1"/>
  <c r="F457" i="60"/>
  <c r="F520" i="60"/>
  <c r="F765" i="60"/>
  <c r="E889" i="60"/>
  <c r="F889" i="60" s="1"/>
  <c r="F908" i="60"/>
  <c r="F201" i="60"/>
  <c r="F858" i="60"/>
  <c r="F89" i="60"/>
  <c r="E248" i="60"/>
  <c r="F248" i="60" s="1"/>
  <c r="E474" i="60"/>
  <c r="F474" i="60" s="1"/>
  <c r="F495" i="60"/>
  <c r="E510" i="60"/>
  <c r="F510" i="60" s="1"/>
  <c r="F564" i="60"/>
  <c r="F704" i="60"/>
  <c r="F722" i="60"/>
  <c r="F741" i="60"/>
  <c r="F745" i="60"/>
  <c r="F750" i="60"/>
  <c r="F761" i="60"/>
  <c r="E766" i="60"/>
  <c r="F766" i="60" s="1"/>
  <c r="F873" i="60"/>
  <c r="F900" i="60"/>
  <c r="E461" i="60"/>
  <c r="F461" i="60" s="1"/>
  <c r="E584" i="60"/>
  <c r="F584" i="60" s="1"/>
  <c r="F34" i="60"/>
  <c r="F95" i="60"/>
  <c r="E139" i="60"/>
  <c r="F139" i="60" s="1"/>
  <c r="F144" i="60"/>
  <c r="E171" i="60"/>
  <c r="F171" i="60" s="1"/>
  <c r="F177" i="60"/>
  <c r="F212" i="60"/>
  <c r="E448" i="60"/>
  <c r="F448" i="60" s="1"/>
  <c r="E519" i="60"/>
  <c r="F519" i="60" s="1"/>
  <c r="E180" i="60"/>
  <c r="F180" i="60" s="1"/>
  <c r="E14" i="60"/>
  <c r="F14" i="60" s="1"/>
  <c r="E82" i="60"/>
  <c r="F82" i="60" s="1"/>
  <c r="F260" i="60"/>
  <c r="E456" i="60"/>
  <c r="F456" i="60" s="1"/>
  <c r="E115" i="60"/>
  <c r="F115" i="60" s="1"/>
  <c r="E58" i="60"/>
  <c r="F58" i="60" s="1"/>
  <c r="E66" i="60"/>
  <c r="F66" i="60" s="1"/>
  <c r="E74" i="60"/>
  <c r="F74" i="60" s="1"/>
  <c r="E106" i="60"/>
  <c r="F106" i="60" s="1"/>
  <c r="E131" i="60"/>
  <c r="F131" i="60" s="1"/>
  <c r="E163" i="60"/>
  <c r="F163" i="60" s="1"/>
  <c r="E197" i="60"/>
  <c r="F197" i="60" s="1"/>
  <c r="E804" i="60"/>
  <c r="F804" i="60" s="1"/>
  <c r="E229" i="60"/>
  <c r="F229" i="60" s="1"/>
  <c r="E527" i="60"/>
  <c r="F527" i="60" s="1"/>
  <c r="E43" i="60"/>
  <c r="F43" i="60" s="1"/>
  <c r="F120" i="60"/>
  <c r="E6" i="60"/>
  <c r="F6" i="60" s="1"/>
  <c r="E21" i="60"/>
  <c r="F21" i="60" s="1"/>
  <c r="E46" i="60"/>
  <c r="F46" i="60" s="1"/>
  <c r="E87" i="60"/>
  <c r="F87" i="60" s="1"/>
  <c r="E111" i="60"/>
  <c r="F111" i="60" s="1"/>
  <c r="E136" i="60"/>
  <c r="F136" i="60" s="1"/>
  <c r="E168" i="60"/>
  <c r="F168" i="60" s="1"/>
  <c r="E421" i="60"/>
  <c r="F421" i="60" s="1"/>
  <c r="E27" i="60"/>
  <c r="F27" i="60" s="1"/>
  <c r="E90" i="60"/>
  <c r="F90" i="60" s="1"/>
  <c r="E185" i="60"/>
  <c r="F185" i="60" s="1"/>
  <c r="F11" i="60"/>
  <c r="F53" i="60"/>
  <c r="F63" i="60"/>
  <c r="F71" i="60"/>
  <c r="F79" i="60"/>
  <c r="E123" i="60"/>
  <c r="F123" i="60" s="1"/>
  <c r="F128" i="60"/>
  <c r="E155" i="60"/>
  <c r="F155" i="60" s="1"/>
  <c r="F160" i="60"/>
  <c r="E188" i="60"/>
  <c r="F188" i="60" s="1"/>
  <c r="F193" i="60"/>
  <c r="E209" i="60"/>
  <c r="F209" i="60" s="1"/>
  <c r="E244" i="60"/>
  <c r="F244" i="60" s="1"/>
  <c r="E250" i="60"/>
  <c r="F250" i="60" s="1"/>
  <c r="E416" i="60"/>
  <c r="F416" i="60" s="1"/>
  <c r="E469" i="60"/>
  <c r="F469" i="60" s="1"/>
  <c r="E729" i="60"/>
  <c r="F729" i="60" s="1"/>
  <c r="E734" i="60"/>
  <c r="F734" i="60" s="1"/>
  <c r="E147" i="60"/>
  <c r="F147" i="60" s="1"/>
  <c r="E589" i="60"/>
  <c r="F589" i="60" s="1"/>
  <c r="E152" i="60"/>
  <c r="F152" i="60" s="1"/>
  <c r="E38" i="60"/>
  <c r="F38" i="60" s="1"/>
  <c r="E98" i="60"/>
  <c r="F98" i="60" s="1"/>
  <c r="F103" i="60"/>
  <c r="F203" i="60"/>
  <c r="E213" i="60"/>
  <c r="F213" i="60" s="1"/>
  <c r="E218" i="60"/>
  <c r="F218" i="60" s="1"/>
  <c r="E223" i="60"/>
  <c r="F223" i="60" s="1"/>
  <c r="F238" i="60"/>
  <c r="F453" i="60"/>
  <c r="E509" i="60"/>
  <c r="F509" i="60" s="1"/>
  <c r="F524" i="60"/>
  <c r="E538" i="60"/>
  <c r="F538" i="60" s="1"/>
  <c r="E620" i="60"/>
  <c r="F620" i="60" s="1"/>
  <c r="E625" i="60"/>
  <c r="F625" i="60" s="1"/>
  <c r="E762" i="60"/>
  <c r="F762" i="60" s="1"/>
  <c r="E767" i="60"/>
  <c r="F767" i="60" s="1"/>
  <c r="E912" i="60"/>
  <c r="F912" i="60" s="1"/>
  <c r="E297" i="60"/>
  <c r="F297" i="60" s="1"/>
  <c r="E306" i="60"/>
  <c r="F306" i="60" s="1"/>
  <c r="E315" i="60"/>
  <c r="F315" i="60" s="1"/>
  <c r="E323" i="60"/>
  <c r="F323" i="60" s="1"/>
  <c r="E333" i="60"/>
  <c r="F333" i="60" s="1"/>
  <c r="E343" i="60"/>
  <c r="F343" i="60" s="1"/>
  <c r="E354" i="60"/>
  <c r="F354" i="60" s="1"/>
  <c r="E362" i="60"/>
  <c r="F362" i="60" s="1"/>
  <c r="E383" i="60"/>
  <c r="F383" i="60" s="1"/>
  <c r="E391" i="60"/>
  <c r="F391" i="60" s="1"/>
  <c r="E399" i="60"/>
  <c r="F399" i="60" s="1"/>
  <c r="E408" i="60"/>
  <c r="F408" i="60" s="1"/>
  <c r="E440" i="60"/>
  <c r="F440" i="60" s="1"/>
  <c r="E500" i="60"/>
  <c r="F500" i="60" s="1"/>
  <c r="E12" i="60"/>
  <c r="F12" i="60" s="1"/>
  <c r="E24" i="60"/>
  <c r="F24" i="60" s="1"/>
  <c r="E35" i="60"/>
  <c r="F35" i="60" s="1"/>
  <c r="E44" i="60"/>
  <c r="F44" i="60" s="1"/>
  <c r="E55" i="60"/>
  <c r="F55" i="60" s="1"/>
  <c r="E64" i="60"/>
  <c r="F64" i="60" s="1"/>
  <c r="E72" i="60"/>
  <c r="F72" i="60" s="1"/>
  <c r="E80" i="60"/>
  <c r="F80" i="60" s="1"/>
  <c r="E88" i="60"/>
  <c r="F88" i="60" s="1"/>
  <c r="E96" i="60"/>
  <c r="F96" i="60" s="1"/>
  <c r="E104" i="60"/>
  <c r="F104" i="60" s="1"/>
  <c r="E112" i="60"/>
  <c r="F112" i="60" s="1"/>
  <c r="E121" i="60"/>
  <c r="F121" i="60" s="1"/>
  <c r="E129" i="60"/>
  <c r="F129" i="60" s="1"/>
  <c r="E137" i="60"/>
  <c r="F137" i="60" s="1"/>
  <c r="E145" i="60"/>
  <c r="F145" i="60" s="1"/>
  <c r="E153" i="60"/>
  <c r="F153" i="60" s="1"/>
  <c r="E161" i="60"/>
  <c r="F161" i="60" s="1"/>
  <c r="E169" i="60"/>
  <c r="F169" i="60" s="1"/>
  <c r="E178" i="60"/>
  <c r="F178" i="60" s="1"/>
  <c r="E186" i="60"/>
  <c r="F186" i="60" s="1"/>
  <c r="E195" i="60"/>
  <c r="F195" i="60" s="1"/>
  <c r="E214" i="60"/>
  <c r="F214" i="60" s="1"/>
  <c r="E224" i="60"/>
  <c r="F224" i="60" s="1"/>
  <c r="E287" i="60"/>
  <c r="F287" i="60" s="1"/>
  <c r="E413" i="60"/>
  <c r="F413" i="60" s="1"/>
  <c r="E445" i="60"/>
  <c r="F445" i="60" s="1"/>
  <c r="E492" i="60"/>
  <c r="F492" i="60" s="1"/>
  <c r="E515" i="60"/>
  <c r="F515" i="60" s="1"/>
  <c r="E658" i="60"/>
  <c r="F658" i="60" s="1"/>
  <c r="E664" i="60"/>
  <c r="F664" i="60" s="1"/>
  <c r="E7" i="60"/>
  <c r="F7" i="60" s="1"/>
  <c r="E17" i="60"/>
  <c r="F17" i="60" s="1"/>
  <c r="E28" i="60"/>
  <c r="F28" i="60" s="1"/>
  <c r="E39" i="60"/>
  <c r="F39" i="60" s="1"/>
  <c r="E48" i="60"/>
  <c r="F48" i="60" s="1"/>
  <c r="E59" i="60"/>
  <c r="F59" i="60" s="1"/>
  <c r="E67" i="60"/>
  <c r="F67" i="60" s="1"/>
  <c r="E75" i="60"/>
  <c r="F75" i="60" s="1"/>
  <c r="E83" i="60"/>
  <c r="F83" i="60" s="1"/>
  <c r="E91" i="60"/>
  <c r="F91" i="60" s="1"/>
  <c r="E99" i="60"/>
  <c r="F99" i="60" s="1"/>
  <c r="E107" i="60"/>
  <c r="F107" i="60" s="1"/>
  <c r="E116" i="60"/>
  <c r="F116" i="60" s="1"/>
  <c r="E124" i="60"/>
  <c r="F124" i="60" s="1"/>
  <c r="E132" i="60"/>
  <c r="F132" i="60" s="1"/>
  <c r="E140" i="60"/>
  <c r="F140" i="60" s="1"/>
  <c r="E148" i="60"/>
  <c r="F148" i="60" s="1"/>
  <c r="E156" i="60"/>
  <c r="F156" i="60" s="1"/>
  <c r="E164" i="60"/>
  <c r="F164" i="60" s="1"/>
  <c r="E172" i="60"/>
  <c r="F172" i="60" s="1"/>
  <c r="E181" i="60"/>
  <c r="F181" i="60" s="1"/>
  <c r="E189" i="60"/>
  <c r="F189" i="60" s="1"/>
  <c r="E198" i="60"/>
  <c r="F198" i="60" s="1"/>
  <c r="F204" i="60"/>
  <c r="E278" i="60"/>
  <c r="F278" i="60" s="1"/>
  <c r="E432" i="60"/>
  <c r="F432" i="60" s="1"/>
  <c r="E483" i="60"/>
  <c r="F483" i="60" s="1"/>
  <c r="E506" i="60"/>
  <c r="F506" i="60" s="1"/>
  <c r="E783" i="60"/>
  <c r="F783" i="60" s="1"/>
  <c r="E102" i="60"/>
  <c r="F102" i="60" s="1"/>
  <c r="E110" i="60"/>
  <c r="F110" i="60" s="1"/>
  <c r="E119" i="60"/>
  <c r="F119" i="60" s="1"/>
  <c r="E127" i="60"/>
  <c r="F127" i="60" s="1"/>
  <c r="E135" i="60"/>
  <c r="F135" i="60" s="1"/>
  <c r="E143" i="60"/>
  <c r="F143" i="60" s="1"/>
  <c r="E151" i="60"/>
  <c r="F151" i="60" s="1"/>
  <c r="E159" i="60"/>
  <c r="F159" i="60" s="1"/>
  <c r="E167" i="60"/>
  <c r="F167" i="60" s="1"/>
  <c r="E175" i="60"/>
  <c r="F175" i="60" s="1"/>
  <c r="E184" i="60"/>
  <c r="F184" i="60" s="1"/>
  <c r="E192" i="60"/>
  <c r="F192" i="60" s="1"/>
  <c r="E211" i="60"/>
  <c r="F211" i="60" s="1"/>
  <c r="E264" i="60"/>
  <c r="F264" i="60" s="1"/>
  <c r="F284" i="60"/>
  <c r="E293" i="60"/>
  <c r="F293" i="60" s="1"/>
  <c r="E302" i="60"/>
  <c r="F302" i="60" s="1"/>
  <c r="E312" i="60"/>
  <c r="F312" i="60" s="1"/>
  <c r="E320" i="60"/>
  <c r="F320" i="60" s="1"/>
  <c r="E329" i="60"/>
  <c r="F329" i="60" s="1"/>
  <c r="E339" i="60"/>
  <c r="F339" i="60" s="1"/>
  <c r="E351" i="60"/>
  <c r="F351" i="60" s="1"/>
  <c r="E359" i="60"/>
  <c r="F359" i="60" s="1"/>
  <c r="E375" i="60"/>
  <c r="F375" i="60" s="1"/>
  <c r="E388" i="60"/>
  <c r="F388" i="60" s="1"/>
  <c r="E396" i="60"/>
  <c r="F396" i="60" s="1"/>
  <c r="E405" i="60"/>
  <c r="F405" i="60" s="1"/>
  <c r="E437" i="60"/>
  <c r="F437" i="60" s="1"/>
  <c r="E473" i="60"/>
  <c r="F473" i="60" s="1"/>
  <c r="F489" i="60"/>
  <c r="E497" i="60"/>
  <c r="F497" i="60" s="1"/>
  <c r="E530" i="60"/>
  <c r="F530" i="60" s="1"/>
  <c r="E548" i="60"/>
  <c r="F548" i="60" s="1"/>
  <c r="E554" i="60"/>
  <c r="F554" i="60" s="1"/>
  <c r="E692" i="60"/>
  <c r="F692" i="60" s="1"/>
  <c r="E697" i="60"/>
  <c r="F697" i="60" s="1"/>
  <c r="E254" i="60"/>
  <c r="F254" i="60" s="1"/>
  <c r="F274" i="60"/>
  <c r="E424" i="60"/>
  <c r="F424" i="60" s="1"/>
  <c r="F429" i="60"/>
  <c r="E464" i="60"/>
  <c r="F464" i="60" s="1"/>
  <c r="F480" i="60"/>
  <c r="E869" i="60"/>
  <c r="F869" i="60" s="1"/>
  <c r="E874" i="60"/>
  <c r="F874" i="60" s="1"/>
  <c r="E575" i="60"/>
  <c r="F575" i="60" s="1"/>
  <c r="E612" i="60"/>
  <c r="F612" i="60" s="1"/>
  <c r="E647" i="60"/>
  <c r="F647" i="60" s="1"/>
  <c r="E683" i="60"/>
  <c r="F683" i="60" s="1"/>
  <c r="E719" i="60"/>
  <c r="F719" i="60" s="1"/>
  <c r="E754" i="60"/>
  <c r="F754" i="60" s="1"/>
  <c r="E778" i="60"/>
  <c r="F778" i="60" s="1"/>
  <c r="E794" i="60"/>
  <c r="F794" i="60" s="1"/>
  <c r="E822" i="60"/>
  <c r="F822" i="60" s="1"/>
  <c r="F828" i="60"/>
  <c r="F848" i="60"/>
  <c r="E885" i="60"/>
  <c r="F885" i="60" s="1"/>
  <c r="F890" i="60"/>
  <c r="E839" i="60"/>
  <c r="F839" i="60" s="1"/>
  <c r="E251" i="60"/>
  <c r="F251" i="60" s="1"/>
  <c r="E261" i="60"/>
  <c r="F261" i="60" s="1"/>
  <c r="E276" i="60"/>
  <c r="F276" i="60" s="1"/>
  <c r="E285" i="60"/>
  <c r="F285" i="60" s="1"/>
  <c r="E295" i="60"/>
  <c r="F295" i="60" s="1"/>
  <c r="E303" i="60"/>
  <c r="F303" i="60" s="1"/>
  <c r="E313" i="60"/>
  <c r="F313" i="60" s="1"/>
  <c r="E321" i="60"/>
  <c r="F321" i="60" s="1"/>
  <c r="E330" i="60"/>
  <c r="F330" i="60" s="1"/>
  <c r="E340" i="60"/>
  <c r="F340" i="60" s="1"/>
  <c r="E352" i="60"/>
  <c r="F352" i="60" s="1"/>
  <c r="E360" i="60"/>
  <c r="F360" i="60" s="1"/>
  <c r="E378" i="60"/>
  <c r="F378" i="60" s="1"/>
  <c r="E389" i="60"/>
  <c r="F389" i="60" s="1"/>
  <c r="E397" i="60"/>
  <c r="F397" i="60" s="1"/>
  <c r="E406" i="60"/>
  <c r="F406" i="60" s="1"/>
  <c r="E414" i="60"/>
  <c r="F414" i="60" s="1"/>
  <c r="E422" i="60"/>
  <c r="F422" i="60" s="1"/>
  <c r="E430" i="60"/>
  <c r="F430" i="60" s="1"/>
  <c r="E438" i="60"/>
  <c r="F438" i="60" s="1"/>
  <c r="E446" i="60"/>
  <c r="F446" i="60" s="1"/>
  <c r="E454" i="60"/>
  <c r="F454" i="60" s="1"/>
  <c r="E462" i="60"/>
  <c r="F462" i="60" s="1"/>
  <c r="E470" i="60"/>
  <c r="F470" i="60" s="1"/>
  <c r="E481" i="60"/>
  <c r="F481" i="60" s="1"/>
  <c r="E490" i="60"/>
  <c r="F490" i="60" s="1"/>
  <c r="E498" i="60"/>
  <c r="F498" i="60" s="1"/>
  <c r="E507" i="60"/>
  <c r="F507" i="60" s="1"/>
  <c r="E516" i="60"/>
  <c r="F516" i="60" s="1"/>
  <c r="E525" i="60"/>
  <c r="F525" i="60" s="1"/>
  <c r="F528" i="60"/>
  <c r="F531" i="60"/>
  <c r="F535" i="60"/>
  <c r="E543" i="60"/>
  <c r="F543" i="60" s="1"/>
  <c r="E565" i="60"/>
  <c r="F565" i="60" s="1"/>
  <c r="E580" i="60"/>
  <c r="F580" i="60" s="1"/>
  <c r="E601" i="60"/>
  <c r="F601" i="60" s="1"/>
  <c r="E617" i="60"/>
  <c r="F617" i="60" s="1"/>
  <c r="E639" i="60"/>
  <c r="F639" i="60" s="1"/>
  <c r="E653" i="60"/>
  <c r="F653" i="60" s="1"/>
  <c r="E675" i="60"/>
  <c r="F675" i="60" s="1"/>
  <c r="E689" i="60"/>
  <c r="F689" i="60" s="1"/>
  <c r="E711" i="60"/>
  <c r="F711" i="60" s="1"/>
  <c r="E724" i="60"/>
  <c r="F724" i="60" s="1"/>
  <c r="E746" i="60"/>
  <c r="F746" i="60" s="1"/>
  <c r="E759" i="60"/>
  <c r="F759" i="60" s="1"/>
  <c r="E859" i="60"/>
  <c r="F859" i="60" s="1"/>
  <c r="E865" i="60"/>
  <c r="F865" i="60" s="1"/>
  <c r="E904" i="60"/>
  <c r="F904" i="60" s="1"/>
  <c r="E384" i="60"/>
  <c r="F384" i="60" s="1"/>
  <c r="E392" i="60"/>
  <c r="F392" i="60" s="1"/>
  <c r="E400" i="60"/>
  <c r="F400" i="60" s="1"/>
  <c r="E409" i="60"/>
  <c r="F409" i="60" s="1"/>
  <c r="E417" i="60"/>
  <c r="F417" i="60" s="1"/>
  <c r="E425" i="60"/>
  <c r="F425" i="60" s="1"/>
  <c r="E433" i="60"/>
  <c r="F433" i="60" s="1"/>
  <c r="E441" i="60"/>
  <c r="F441" i="60" s="1"/>
  <c r="E877" i="60"/>
  <c r="F877" i="60" s="1"/>
  <c r="E909" i="60"/>
  <c r="F909" i="60" s="1"/>
  <c r="E237" i="60"/>
  <c r="F237" i="60" s="1"/>
  <c r="E249" i="60"/>
  <c r="F249" i="60" s="1"/>
  <c r="E259" i="60"/>
  <c r="F259" i="60" s="1"/>
  <c r="E271" i="60"/>
  <c r="F271" i="60" s="1"/>
  <c r="E282" i="60"/>
  <c r="F282" i="60" s="1"/>
  <c r="E292" i="60"/>
  <c r="F292" i="60" s="1"/>
  <c r="E496" i="60"/>
  <c r="F496" i="60" s="1"/>
  <c r="E505" i="60"/>
  <c r="F505" i="60" s="1"/>
  <c r="E514" i="60"/>
  <c r="F514" i="60" s="1"/>
  <c r="E523" i="60"/>
  <c r="F523" i="60" s="1"/>
  <c r="E532" i="60"/>
  <c r="F532" i="60" s="1"/>
  <c r="E536" i="60"/>
  <c r="F536" i="60" s="1"/>
  <c r="E557" i="60"/>
  <c r="F557" i="60" s="1"/>
  <c r="E572" i="60"/>
  <c r="F572" i="60" s="1"/>
  <c r="E592" i="60"/>
  <c r="F592" i="60" s="1"/>
  <c r="E609" i="60"/>
  <c r="F609" i="60" s="1"/>
  <c r="E629" i="60"/>
  <c r="F629" i="60" s="1"/>
  <c r="E644" i="60"/>
  <c r="F644" i="60" s="1"/>
  <c r="E667" i="60"/>
  <c r="F667" i="60" s="1"/>
  <c r="E680" i="60"/>
  <c r="F680" i="60" s="1"/>
  <c r="E700" i="60"/>
  <c r="F700" i="60" s="1"/>
  <c r="E716" i="60"/>
  <c r="F716" i="60" s="1"/>
  <c r="E737" i="60"/>
  <c r="F737" i="60" s="1"/>
  <c r="E751" i="60"/>
  <c r="F751" i="60" s="1"/>
  <c r="E770" i="60"/>
  <c r="F770" i="60" s="1"/>
  <c r="E775" i="60"/>
  <c r="F775" i="60" s="1"/>
  <c r="E786" i="60"/>
  <c r="F786" i="60" s="1"/>
  <c r="E791" i="60"/>
  <c r="F791" i="60" s="1"/>
  <c r="E808" i="60"/>
  <c r="F808" i="60" s="1"/>
  <c r="E819" i="60"/>
  <c r="F819" i="60" s="1"/>
  <c r="F836" i="60"/>
  <c r="E882" i="60"/>
  <c r="F882" i="60" s="1"/>
  <c r="F562" i="60"/>
  <c r="F598" i="60"/>
  <c r="F636" i="60"/>
  <c r="F672" i="60"/>
  <c r="F708" i="60"/>
  <c r="F743" i="60"/>
  <c r="E831" i="60"/>
  <c r="F831" i="60" s="1"/>
  <c r="E851" i="60"/>
  <c r="F851" i="60" s="1"/>
  <c r="F856" i="60"/>
  <c r="E894" i="60"/>
  <c r="F894" i="60" s="1"/>
  <c r="F901" i="60"/>
  <c r="E773" i="60"/>
  <c r="F773" i="60" s="1"/>
  <c r="E781" i="60"/>
  <c r="F781" i="60" s="1"/>
  <c r="E789" i="60"/>
  <c r="F789" i="60" s="1"/>
  <c r="E800" i="60"/>
  <c r="F800" i="60" s="1"/>
  <c r="E814" i="60"/>
  <c r="F814" i="60" s="1"/>
  <c r="E825" i="60"/>
  <c r="F825" i="60" s="1"/>
  <c r="E834" i="60"/>
  <c r="F834" i="60" s="1"/>
  <c r="E845" i="60"/>
  <c r="F845" i="60" s="1"/>
  <c r="E854" i="60"/>
  <c r="F854" i="60" s="1"/>
  <c r="E862" i="60"/>
  <c r="F862" i="60" s="1"/>
  <c r="E872" i="60"/>
  <c r="F872" i="60" s="1"/>
  <c r="E880" i="60"/>
  <c r="F880" i="60" s="1"/>
  <c r="E888" i="60"/>
  <c r="F888" i="60" s="1"/>
  <c r="E899" i="60"/>
  <c r="F899" i="60" s="1"/>
  <c r="E907" i="60"/>
  <c r="F907" i="60" s="1"/>
  <c r="E915" i="60"/>
  <c r="F915" i="60" s="1"/>
  <c r="E544" i="60"/>
  <c r="F544" i="60" s="1"/>
  <c r="E555" i="60"/>
  <c r="F555" i="60" s="1"/>
  <c r="E563" i="60"/>
  <c r="F563" i="60" s="1"/>
  <c r="E573" i="60"/>
  <c r="F573" i="60" s="1"/>
  <c r="E581" i="60"/>
  <c r="F581" i="60" s="1"/>
  <c r="E590" i="60"/>
  <c r="F590" i="60" s="1"/>
  <c r="E599" i="60"/>
  <c r="F599" i="60" s="1"/>
  <c r="E610" i="60"/>
  <c r="F610" i="60" s="1"/>
  <c r="E618" i="60"/>
  <c r="F618" i="60" s="1"/>
  <c r="E627" i="60"/>
  <c r="F627" i="60" s="1"/>
  <c r="E637" i="60"/>
  <c r="F637" i="60" s="1"/>
  <c r="E645" i="60"/>
  <c r="F645" i="60" s="1"/>
  <c r="E655" i="60"/>
  <c r="F655" i="60" s="1"/>
  <c r="E665" i="60"/>
  <c r="F665" i="60" s="1"/>
  <c r="E673" i="60"/>
  <c r="F673" i="60" s="1"/>
  <c r="E681" i="60"/>
  <c r="F681" i="60" s="1"/>
  <c r="E690" i="60"/>
  <c r="F690" i="60" s="1"/>
  <c r="E698" i="60"/>
  <c r="F698" i="60" s="1"/>
  <c r="E709" i="60"/>
  <c r="F709" i="60" s="1"/>
  <c r="E717" i="60"/>
  <c r="F717" i="60" s="1"/>
  <c r="E726" i="60"/>
  <c r="F726" i="60" s="1"/>
  <c r="E735" i="60"/>
  <c r="F735" i="60" s="1"/>
  <c r="E744" i="60"/>
  <c r="F744" i="60" s="1"/>
  <c r="E752" i="60"/>
  <c r="F752" i="60" s="1"/>
  <c r="E760" i="60"/>
  <c r="F760" i="60" s="1"/>
  <c r="E768" i="60"/>
  <c r="F768" i="60" s="1"/>
  <c r="E776" i="60"/>
  <c r="F776" i="60" s="1"/>
  <c r="E784" i="60"/>
  <c r="F784" i="60" s="1"/>
  <c r="E792" i="60"/>
  <c r="F792" i="60" s="1"/>
  <c r="E805" i="60"/>
  <c r="F805" i="60" s="1"/>
  <c r="E829" i="60"/>
  <c r="F829" i="60" s="1"/>
  <c r="E837" i="60"/>
  <c r="F837" i="60" s="1"/>
  <c r="E849" i="60"/>
  <c r="F849" i="60" s="1"/>
  <c r="E857" i="60"/>
  <c r="F857" i="60" s="1"/>
  <c r="E867" i="60"/>
  <c r="F867" i="60" s="1"/>
  <c r="E875" i="60"/>
  <c r="F875" i="60" s="1"/>
  <c r="E883" i="60"/>
  <c r="F883" i="60" s="1"/>
  <c r="E891" i="60"/>
  <c r="F891" i="60" s="1"/>
  <c r="E902" i="60"/>
  <c r="F902" i="60" s="1"/>
  <c r="E910" i="60"/>
  <c r="F910" i="60" s="1"/>
  <c r="E613" i="60"/>
  <c r="F613" i="60" s="1"/>
  <c r="E621" i="60"/>
  <c r="F621" i="60" s="1"/>
  <c r="E771" i="60"/>
  <c r="F771" i="60" s="1"/>
  <c r="E779" i="60"/>
  <c r="F779" i="60" s="1"/>
  <c r="E787" i="60"/>
  <c r="F787" i="60" s="1"/>
  <c r="E796" i="60"/>
  <c r="F796" i="60" s="1"/>
  <c r="E809" i="60"/>
  <c r="F809" i="60" s="1"/>
  <c r="E832" i="60"/>
  <c r="F832" i="60" s="1"/>
  <c r="E842" i="60"/>
  <c r="F842" i="60" s="1"/>
  <c r="E860" i="60"/>
  <c r="F860" i="60" s="1"/>
  <c r="E913" i="60"/>
  <c r="F913" i="60" s="1"/>
  <c r="E774" i="60"/>
  <c r="F774" i="60" s="1"/>
  <c r="E782" i="60"/>
  <c r="F782" i="60" s="1"/>
  <c r="E790" i="60"/>
  <c r="F790" i="60" s="1"/>
  <c r="E801" i="60"/>
  <c r="F801" i="60" s="1"/>
  <c r="E818" i="60"/>
  <c r="F818" i="60" s="1"/>
  <c r="E827" i="60"/>
  <c r="F827" i="60" s="1"/>
  <c r="E835" i="60"/>
  <c r="F835" i="60" s="1"/>
  <c r="E847" i="60"/>
  <c r="F847" i="60" s="1"/>
  <c r="E864" i="60"/>
  <c r="F864" i="60" s="1"/>
  <c r="E917" i="60"/>
  <c r="F917" i="60" s="1"/>
  <c r="D7" i="59"/>
  <c r="E7" i="59" s="1"/>
  <c r="D8" i="59"/>
  <c r="E8" i="59" s="1"/>
  <c r="F8" i="59" s="1"/>
  <c r="D9" i="59"/>
  <c r="E9" i="59" s="1"/>
  <c r="D10" i="59"/>
  <c r="E10" i="59" s="1"/>
  <c r="F10" i="59" s="1"/>
  <c r="D11" i="59"/>
  <c r="E11" i="59" s="1"/>
  <c r="D12" i="59"/>
  <c r="E12" i="59" s="1"/>
  <c r="F12" i="59" s="1"/>
  <c r="D13" i="59"/>
  <c r="E13" i="59" s="1"/>
  <c r="D14" i="59"/>
  <c r="E14" i="59" s="1"/>
  <c r="F14" i="59" s="1"/>
  <c r="D17" i="59"/>
  <c r="E17" i="59" s="1"/>
  <c r="D18" i="59"/>
  <c r="E18" i="59" s="1"/>
  <c r="F18" i="59" s="1"/>
  <c r="D19" i="59"/>
  <c r="E19" i="59" s="1"/>
  <c r="D20" i="59"/>
  <c r="E20" i="59" s="1"/>
  <c r="F20" i="59" s="1"/>
  <c r="D21" i="59"/>
  <c r="E21" i="59" s="1"/>
  <c r="D23" i="59"/>
  <c r="E23" i="59" s="1"/>
  <c r="D24" i="59"/>
  <c r="E24" i="59" s="1"/>
  <c r="F24" i="59" s="1"/>
  <c r="D25" i="59"/>
  <c r="E25" i="59" s="1"/>
  <c r="D27" i="59"/>
  <c r="E27" i="59" s="1"/>
  <c r="D28" i="59"/>
  <c r="E28" i="59" s="1"/>
  <c r="F28" i="59" s="1"/>
  <c r="D31" i="59"/>
  <c r="E31" i="59" s="1"/>
  <c r="D32" i="59"/>
  <c r="E32" i="59" s="1"/>
  <c r="F32" i="59" s="1"/>
  <c r="D33" i="59"/>
  <c r="E33" i="59" s="1"/>
  <c r="D34" i="59"/>
  <c r="E34" i="59" s="1"/>
  <c r="F34" i="59" s="1"/>
  <c r="D35" i="59"/>
  <c r="E35" i="59" s="1"/>
  <c r="D37" i="59"/>
  <c r="E37" i="59" s="1"/>
  <c r="D38" i="59"/>
  <c r="E38" i="59" s="1"/>
  <c r="D39" i="59"/>
  <c r="E39" i="59" s="1"/>
  <c r="D40" i="59"/>
  <c r="E40" i="59" s="1"/>
  <c r="F40" i="59" s="1"/>
  <c r="D41" i="59"/>
  <c r="E41" i="59" s="1"/>
  <c r="D42" i="59"/>
  <c r="E42" i="59" s="1"/>
  <c r="F42" i="59" s="1"/>
  <c r="D43" i="59"/>
  <c r="E43" i="59" s="1"/>
  <c r="D44" i="59"/>
  <c r="E44" i="59" s="1"/>
  <c r="F44" i="59" s="1"/>
  <c r="D45" i="59"/>
  <c r="E45" i="59" s="1"/>
  <c r="D46" i="59"/>
  <c r="E46" i="59" s="1"/>
  <c r="F46" i="59" s="1"/>
  <c r="D48" i="59"/>
  <c r="E48" i="59" s="1"/>
  <c r="F48" i="59" s="1"/>
  <c r="D50" i="59"/>
  <c r="E50" i="59" s="1"/>
  <c r="F50" i="59" s="1"/>
  <c r="D51" i="59"/>
  <c r="E51" i="59" s="1"/>
  <c r="D52" i="59"/>
  <c r="E52" i="59" s="1"/>
  <c r="F52" i="59" s="1"/>
  <c r="D53" i="59"/>
  <c r="E53" i="59" s="1"/>
  <c r="D55" i="59"/>
  <c r="E55" i="59" s="1"/>
  <c r="D56" i="59"/>
  <c r="E56" i="59" s="1"/>
  <c r="F56" i="59" s="1"/>
  <c r="D58" i="59"/>
  <c r="E58" i="59" s="1"/>
  <c r="F58" i="59" s="1"/>
  <c r="D59" i="59"/>
  <c r="E59" i="59" s="1"/>
  <c r="D60" i="59"/>
  <c r="E60" i="59" s="1"/>
  <c r="F60" i="59" s="1"/>
  <c r="D61" i="59"/>
  <c r="E61" i="59" s="1"/>
  <c r="D62" i="59"/>
  <c r="E62" i="59" s="1"/>
  <c r="F62" i="59" s="1"/>
  <c r="D63" i="59"/>
  <c r="E63" i="59" s="1"/>
  <c r="D64" i="59"/>
  <c r="E64" i="59" s="1"/>
  <c r="F64" i="59" s="1"/>
  <c r="D65" i="59"/>
  <c r="E65" i="59" s="1"/>
  <c r="D66" i="59"/>
  <c r="E66" i="59" s="1"/>
  <c r="F66" i="59" s="1"/>
  <c r="D67" i="59"/>
  <c r="E67" i="59" s="1"/>
  <c r="D68" i="59"/>
  <c r="E68" i="59" s="1"/>
  <c r="D69" i="59"/>
  <c r="E69" i="59" s="1"/>
  <c r="D70" i="59"/>
  <c r="E70" i="59" s="1"/>
  <c r="D71" i="59"/>
  <c r="E71" i="59" s="1"/>
  <c r="D72" i="59"/>
  <c r="E72" i="59" s="1"/>
  <c r="D73" i="59"/>
  <c r="E73" i="59" s="1"/>
  <c r="D74" i="59"/>
  <c r="E74" i="59" s="1"/>
  <c r="F74" i="59" s="1"/>
  <c r="D75" i="59"/>
  <c r="E75" i="59" s="1"/>
  <c r="D76" i="59"/>
  <c r="E76" i="59" s="1"/>
  <c r="F76" i="59" s="1"/>
  <c r="D77" i="59"/>
  <c r="E77" i="59" s="1"/>
  <c r="D78" i="59"/>
  <c r="E78" i="59" s="1"/>
  <c r="F78" i="59" s="1"/>
  <c r="D79" i="59"/>
  <c r="E79" i="59" s="1"/>
  <c r="D80" i="59"/>
  <c r="E80" i="59" s="1"/>
  <c r="F80" i="59" s="1"/>
  <c r="D81" i="59"/>
  <c r="E81" i="59" s="1"/>
  <c r="D82" i="59"/>
  <c r="E82" i="59" s="1"/>
  <c r="F82" i="59" s="1"/>
  <c r="D83" i="59"/>
  <c r="E83" i="59" s="1"/>
  <c r="D84" i="59"/>
  <c r="E84" i="59" s="1"/>
  <c r="D85" i="59"/>
  <c r="E85" i="59" s="1"/>
  <c r="D86" i="59"/>
  <c r="E86" i="59" s="1"/>
  <c r="D87" i="59"/>
  <c r="E87" i="59" s="1"/>
  <c r="D88" i="59"/>
  <c r="E88" i="59" s="1"/>
  <c r="F88" i="59" s="1"/>
  <c r="D89" i="59"/>
  <c r="E89" i="59" s="1"/>
  <c r="D90" i="59"/>
  <c r="E90" i="59" s="1"/>
  <c r="F90" i="59" s="1"/>
  <c r="D91" i="59"/>
  <c r="E91" i="59" s="1"/>
  <c r="D92" i="59"/>
  <c r="E92" i="59" s="1"/>
  <c r="F92" i="59" s="1"/>
  <c r="D93" i="59"/>
  <c r="E93" i="59" s="1"/>
  <c r="D94" i="59"/>
  <c r="E94" i="59" s="1"/>
  <c r="F94" i="59" s="1"/>
  <c r="D95" i="59"/>
  <c r="E95" i="59" s="1"/>
  <c r="D96" i="59"/>
  <c r="E96" i="59" s="1"/>
  <c r="F96" i="59" s="1"/>
  <c r="D97" i="59"/>
  <c r="E97" i="59" s="1"/>
  <c r="D98" i="59"/>
  <c r="E98" i="59" s="1"/>
  <c r="F98" i="59" s="1"/>
  <c r="D99" i="59"/>
  <c r="E99" i="59" s="1"/>
  <c r="D100" i="59"/>
  <c r="E100" i="59" s="1"/>
  <c r="D101" i="59"/>
  <c r="E101" i="59" s="1"/>
  <c r="D102" i="59"/>
  <c r="E102" i="59" s="1"/>
  <c r="D103" i="59"/>
  <c r="E103" i="59" s="1"/>
  <c r="D104" i="59"/>
  <c r="E104" i="59" s="1"/>
  <c r="F104" i="59" s="1"/>
  <c r="D105" i="59"/>
  <c r="E105" i="59" s="1"/>
  <c r="D106" i="59"/>
  <c r="E106" i="59" s="1"/>
  <c r="F106" i="59" s="1"/>
  <c r="D107" i="59"/>
  <c r="E107" i="59" s="1"/>
  <c r="D108" i="59"/>
  <c r="E108" i="59" s="1"/>
  <c r="F108" i="59" s="1"/>
  <c r="D109" i="59"/>
  <c r="E109" i="59" s="1"/>
  <c r="D110" i="59"/>
  <c r="E110" i="59" s="1"/>
  <c r="F110" i="59" s="1"/>
  <c r="D111" i="59"/>
  <c r="E111" i="59" s="1"/>
  <c r="D112" i="59"/>
  <c r="E112" i="59" s="1"/>
  <c r="F112" i="59" s="1"/>
  <c r="D113" i="59"/>
  <c r="E113" i="59" s="1"/>
  <c r="D115" i="59"/>
  <c r="E115" i="59" s="1"/>
  <c r="D116" i="59"/>
  <c r="E116" i="59" s="1"/>
  <c r="D117" i="59"/>
  <c r="E117" i="59" s="1"/>
  <c r="D118" i="59"/>
  <c r="E118" i="59" s="1"/>
  <c r="D119" i="59"/>
  <c r="E119" i="59" s="1"/>
  <c r="D120" i="59"/>
  <c r="E120" i="59" s="1"/>
  <c r="F120" i="59" s="1"/>
  <c r="D121" i="59"/>
  <c r="E121" i="59" s="1"/>
  <c r="D122" i="59"/>
  <c r="E122" i="59" s="1"/>
  <c r="F122" i="59" s="1"/>
  <c r="D123" i="59"/>
  <c r="E123" i="59" s="1"/>
  <c r="D124" i="59"/>
  <c r="E124" i="59" s="1"/>
  <c r="F124" i="59" s="1"/>
  <c r="D125" i="59"/>
  <c r="E125" i="59" s="1"/>
  <c r="D126" i="59"/>
  <c r="E126" i="59" s="1"/>
  <c r="F126" i="59" s="1"/>
  <c r="D127" i="59"/>
  <c r="E127" i="59" s="1"/>
  <c r="D128" i="59"/>
  <c r="E128" i="59" s="1"/>
  <c r="F128" i="59" s="1"/>
  <c r="D129" i="59"/>
  <c r="E129" i="59" s="1"/>
  <c r="D130" i="59"/>
  <c r="E130" i="59" s="1"/>
  <c r="F130" i="59" s="1"/>
  <c r="D131" i="59"/>
  <c r="E131" i="59" s="1"/>
  <c r="D132" i="59"/>
  <c r="E132" i="59" s="1"/>
  <c r="D133" i="59"/>
  <c r="E133" i="59" s="1"/>
  <c r="D134" i="59"/>
  <c r="E134" i="59" s="1"/>
  <c r="D135" i="59"/>
  <c r="E135" i="59" s="1"/>
  <c r="D136" i="59"/>
  <c r="E136" i="59" s="1"/>
  <c r="F136" i="59" s="1"/>
  <c r="D137" i="59"/>
  <c r="E137" i="59" s="1"/>
  <c r="D138" i="59"/>
  <c r="E138" i="59" s="1"/>
  <c r="F138" i="59" s="1"/>
  <c r="D139" i="59"/>
  <c r="E139" i="59" s="1"/>
  <c r="D140" i="59"/>
  <c r="E140" i="59" s="1"/>
  <c r="F140" i="59" s="1"/>
  <c r="D141" i="59"/>
  <c r="E141" i="59" s="1"/>
  <c r="D142" i="59"/>
  <c r="E142" i="59" s="1"/>
  <c r="F142" i="59" s="1"/>
  <c r="D143" i="59"/>
  <c r="E143" i="59" s="1"/>
  <c r="D144" i="59"/>
  <c r="E144" i="59" s="1"/>
  <c r="F144" i="59" s="1"/>
  <c r="D145" i="59"/>
  <c r="E145" i="59" s="1"/>
  <c r="D146" i="59"/>
  <c r="E146" i="59" s="1"/>
  <c r="F146" i="59" s="1"/>
  <c r="D147" i="59"/>
  <c r="E147" i="59" s="1"/>
  <c r="D148" i="59"/>
  <c r="E148" i="59" s="1"/>
  <c r="D149" i="59"/>
  <c r="E149" i="59" s="1"/>
  <c r="D150" i="59"/>
  <c r="E150" i="59" s="1"/>
  <c r="D151" i="59"/>
  <c r="E151" i="59" s="1"/>
  <c r="D152" i="59"/>
  <c r="E152" i="59" s="1"/>
  <c r="F152" i="59" s="1"/>
  <c r="D153" i="59"/>
  <c r="E153" i="59" s="1"/>
  <c r="D154" i="59"/>
  <c r="E154" i="59" s="1"/>
  <c r="F154" i="59" s="1"/>
  <c r="D155" i="59"/>
  <c r="E155" i="59" s="1"/>
  <c r="D156" i="59"/>
  <c r="E156" i="59" s="1"/>
  <c r="F156" i="59" s="1"/>
  <c r="D157" i="59"/>
  <c r="E157" i="59" s="1"/>
  <c r="D158" i="59"/>
  <c r="E158" i="59" s="1"/>
  <c r="F158" i="59" s="1"/>
  <c r="D159" i="59"/>
  <c r="E159" i="59" s="1"/>
  <c r="D160" i="59"/>
  <c r="E160" i="59" s="1"/>
  <c r="F160" i="59" s="1"/>
  <c r="D161" i="59"/>
  <c r="E161" i="59" s="1"/>
  <c r="D162" i="59"/>
  <c r="E162" i="59" s="1"/>
  <c r="F162" i="59" s="1"/>
  <c r="D163" i="59"/>
  <c r="E163" i="59" s="1"/>
  <c r="D164" i="59"/>
  <c r="E164" i="59" s="1"/>
  <c r="D165" i="59"/>
  <c r="E165" i="59" s="1"/>
  <c r="D166" i="59"/>
  <c r="E166" i="59" s="1"/>
  <c r="D167" i="59"/>
  <c r="E167" i="59" s="1"/>
  <c r="D168" i="59"/>
  <c r="E168" i="59" s="1"/>
  <c r="F168" i="59" s="1"/>
  <c r="D169" i="59"/>
  <c r="E169" i="59" s="1"/>
  <c r="D170" i="59"/>
  <c r="E170" i="59" s="1"/>
  <c r="F170" i="59" s="1"/>
  <c r="D171" i="59"/>
  <c r="E171" i="59" s="1"/>
  <c r="D172" i="59"/>
  <c r="E172" i="59" s="1"/>
  <c r="F172" i="59" s="1"/>
  <c r="D173" i="59"/>
  <c r="E173" i="59" s="1"/>
  <c r="D174" i="59"/>
  <c r="E174" i="59" s="1"/>
  <c r="F174" i="59" s="1"/>
  <c r="D175" i="59"/>
  <c r="E175" i="59" s="1"/>
  <c r="D177" i="59"/>
  <c r="E177" i="59" s="1"/>
  <c r="F177" i="59" s="1"/>
  <c r="D178" i="59"/>
  <c r="E178" i="59" s="1"/>
  <c r="F178" i="59" s="1"/>
  <c r="D179" i="59"/>
  <c r="E179" i="59" s="1"/>
  <c r="F179" i="59" s="1"/>
  <c r="D180" i="59"/>
  <c r="E180" i="59" s="1"/>
  <c r="F180" i="59" s="1"/>
  <c r="D181" i="59"/>
  <c r="E181" i="59" s="1"/>
  <c r="F181" i="59" s="1"/>
  <c r="G181" i="59" s="1"/>
  <c r="D182" i="59"/>
  <c r="E182" i="59" s="1"/>
  <c r="F182" i="59" s="1"/>
  <c r="D183" i="59"/>
  <c r="E183" i="59" s="1"/>
  <c r="D184" i="59"/>
  <c r="E184" i="59" s="1"/>
  <c r="F184" i="59" s="1"/>
  <c r="D185" i="59"/>
  <c r="E185" i="59" s="1"/>
  <c r="D186" i="59"/>
  <c r="E186" i="59" s="1"/>
  <c r="F186" i="59" s="1"/>
  <c r="D187" i="59"/>
  <c r="E187" i="59" s="1"/>
  <c r="F187" i="59" s="1"/>
  <c r="D188" i="59"/>
  <c r="E188" i="59" s="1"/>
  <c r="F188" i="59" s="1"/>
  <c r="D189" i="59"/>
  <c r="E189" i="59" s="1"/>
  <c r="F189" i="59" s="1"/>
  <c r="G189" i="59" s="1"/>
  <c r="D190" i="59"/>
  <c r="E190" i="59" s="1"/>
  <c r="F190" i="59" s="1"/>
  <c r="D191" i="59"/>
  <c r="E191" i="59" s="1"/>
  <c r="D192" i="59"/>
  <c r="E192" i="59" s="1"/>
  <c r="F192" i="59" s="1"/>
  <c r="D193" i="59"/>
  <c r="E193" i="59" s="1"/>
  <c r="D195" i="59"/>
  <c r="E195" i="59" s="1"/>
  <c r="F195" i="59" s="1"/>
  <c r="D196" i="59"/>
  <c r="E196" i="59" s="1"/>
  <c r="F196" i="59" s="1"/>
  <c r="D197" i="59"/>
  <c r="E197" i="59" s="1"/>
  <c r="F197" i="59" s="1"/>
  <c r="G197" i="59" s="1"/>
  <c r="D198" i="59"/>
  <c r="E198" i="59" s="1"/>
  <c r="F198" i="59" s="1"/>
  <c r="D199" i="59"/>
  <c r="E199" i="59" s="1"/>
  <c r="F199" i="59" s="1"/>
  <c r="D200" i="59"/>
  <c r="E200" i="59" s="1"/>
  <c r="F200" i="59" s="1"/>
  <c r="D201" i="59"/>
  <c r="E201" i="59" s="1"/>
  <c r="D202" i="59"/>
  <c r="E202" i="59" s="1"/>
  <c r="D203" i="59"/>
  <c r="E203" i="59" s="1"/>
  <c r="F203" i="59" s="1"/>
  <c r="D204" i="59"/>
  <c r="E204" i="59" s="1"/>
  <c r="F204" i="59" s="1"/>
  <c r="D206" i="59"/>
  <c r="E206" i="59" s="1"/>
  <c r="F206" i="59" s="1"/>
  <c r="D207" i="59"/>
  <c r="E207" i="59" s="1"/>
  <c r="F207" i="59" s="1"/>
  <c r="D209" i="59"/>
  <c r="E209" i="59" s="1"/>
  <c r="D210" i="59"/>
  <c r="E210" i="59" s="1"/>
  <c r="F210" i="59" s="1"/>
  <c r="D211" i="59"/>
  <c r="E211" i="59" s="1"/>
  <c r="D212" i="59"/>
  <c r="E212" i="59" s="1"/>
  <c r="F212" i="59" s="1"/>
  <c r="D213" i="59"/>
  <c r="E213" i="59" s="1"/>
  <c r="F213" i="59" s="1"/>
  <c r="D214" i="59"/>
  <c r="E214" i="59" s="1"/>
  <c r="F214" i="59" s="1"/>
  <c r="D215" i="59"/>
  <c r="E215" i="59" s="1"/>
  <c r="F215" i="59" s="1"/>
  <c r="G215" i="59" s="1"/>
  <c r="D217" i="59"/>
  <c r="E217" i="59" s="1"/>
  <c r="F217" i="59" s="1"/>
  <c r="D218" i="59"/>
  <c r="E218" i="59" s="1"/>
  <c r="D219" i="59"/>
  <c r="E219" i="59" s="1"/>
  <c r="F219" i="59" s="1"/>
  <c r="D220" i="59"/>
  <c r="E220" i="59" s="1"/>
  <c r="F220" i="59" s="1"/>
  <c r="D221" i="59"/>
  <c r="E221" i="59" s="1"/>
  <c r="F221" i="59" s="1"/>
  <c r="D223" i="59"/>
  <c r="E223" i="59" s="1"/>
  <c r="D224" i="59"/>
  <c r="E224" i="59" s="1"/>
  <c r="F224" i="59" s="1"/>
  <c r="G224" i="59" s="1"/>
  <c r="D225" i="59"/>
  <c r="E225" i="59" s="1"/>
  <c r="F225" i="59" s="1"/>
  <c r="G225" i="59" s="1"/>
  <c r="D226" i="59"/>
  <c r="E226" i="59" s="1"/>
  <c r="F226" i="59" s="1"/>
  <c r="D229" i="59"/>
  <c r="E229" i="59" s="1"/>
  <c r="F229" i="59" s="1"/>
  <c r="D232" i="59"/>
  <c r="E232" i="59" s="1"/>
  <c r="F232" i="59" s="1"/>
  <c r="G232" i="59" s="1"/>
  <c r="D235" i="59"/>
  <c r="E235" i="59" s="1"/>
  <c r="D236" i="59"/>
  <c r="E236" i="59" s="1"/>
  <c r="F236" i="59" s="1"/>
  <c r="D237" i="59"/>
  <c r="E237" i="59" s="1"/>
  <c r="F237" i="59" s="1"/>
  <c r="D238" i="59"/>
  <c r="E238" i="59" s="1"/>
  <c r="F238" i="59" s="1"/>
  <c r="G238" i="59" s="1"/>
  <c r="D240" i="59"/>
  <c r="E240" i="59" s="1"/>
  <c r="D243" i="59"/>
  <c r="E243" i="59" s="1"/>
  <c r="D244" i="59"/>
  <c r="E244" i="59" s="1"/>
  <c r="F244" i="59" s="1"/>
  <c r="D245" i="59"/>
  <c r="E245" i="59" s="1"/>
  <c r="F245" i="59" s="1"/>
  <c r="D246" i="59"/>
  <c r="E246" i="59" s="1"/>
  <c r="F246" i="59" s="1"/>
  <c r="D248" i="59"/>
  <c r="E248" i="59" s="1"/>
  <c r="F248" i="59" s="1"/>
  <c r="G248" i="59" s="1"/>
  <c r="D249" i="59"/>
  <c r="E249" i="59" s="1"/>
  <c r="D250" i="59"/>
  <c r="E250" i="59" s="1"/>
  <c r="D251" i="59"/>
  <c r="E251" i="59" s="1"/>
  <c r="D252" i="59"/>
  <c r="E252" i="59" s="1"/>
  <c r="F252" i="59" s="1"/>
  <c r="D253" i="59"/>
  <c r="E253" i="59" s="1"/>
  <c r="F253" i="59" s="1"/>
  <c r="D254" i="59"/>
  <c r="E254" i="59" s="1"/>
  <c r="F254" i="59" s="1"/>
  <c r="G254" i="59" s="1"/>
  <c r="D255" i="59"/>
  <c r="E255" i="59" s="1"/>
  <c r="D256" i="59"/>
  <c r="E256" i="59" s="1"/>
  <c r="F256" i="59" s="1"/>
  <c r="D257" i="59"/>
  <c r="E257" i="59" s="1"/>
  <c r="F257" i="59" s="1"/>
  <c r="G257" i="59" s="1"/>
  <c r="D258" i="59"/>
  <c r="E258" i="59" s="1"/>
  <c r="D259" i="59"/>
  <c r="E259" i="59" s="1"/>
  <c r="D260" i="59"/>
  <c r="E260" i="59" s="1"/>
  <c r="D261" i="59"/>
  <c r="E261" i="59" s="1"/>
  <c r="F261" i="59" s="1"/>
  <c r="D263" i="59"/>
  <c r="E263" i="59" s="1"/>
  <c r="F263" i="59" s="1"/>
  <c r="G263" i="59" s="1"/>
  <c r="D264" i="59"/>
  <c r="E264" i="59" s="1"/>
  <c r="F264" i="59" s="1"/>
  <c r="G264" i="59" s="1"/>
  <c r="D266" i="59"/>
  <c r="E266" i="59" s="1"/>
  <c r="F266" i="59" s="1"/>
  <c r="D267" i="59"/>
  <c r="E267" i="59" s="1"/>
  <c r="D270" i="59"/>
  <c r="E270" i="59" s="1"/>
  <c r="F270" i="59" s="1"/>
  <c r="G270" i="59" s="1"/>
  <c r="D271" i="59"/>
  <c r="E271" i="59" s="1"/>
  <c r="F271" i="59" s="1"/>
  <c r="D274" i="59"/>
  <c r="E274" i="59" s="1"/>
  <c r="F274" i="59" s="1"/>
  <c r="D276" i="59"/>
  <c r="E276" i="59" s="1"/>
  <c r="D277" i="59"/>
  <c r="E277" i="59" s="1"/>
  <c r="F277" i="59" s="1"/>
  <c r="D278" i="59"/>
  <c r="E278" i="59" s="1"/>
  <c r="F278" i="59" s="1"/>
  <c r="D279" i="59"/>
  <c r="E279" i="59" s="1"/>
  <c r="F279" i="59" s="1"/>
  <c r="G279" i="59" s="1"/>
  <c r="D280" i="59"/>
  <c r="E280" i="59" s="1"/>
  <c r="F280" i="59" s="1"/>
  <c r="G280" i="59" s="1"/>
  <c r="D281" i="59"/>
  <c r="E281" i="59" s="1"/>
  <c r="D282" i="59"/>
  <c r="E282" i="59" s="1"/>
  <c r="F282" i="59" s="1"/>
  <c r="D284" i="59"/>
  <c r="E284" i="59" s="1"/>
  <c r="F284" i="59" s="1"/>
  <c r="D285" i="59"/>
  <c r="E285" i="59" s="1"/>
  <c r="D286" i="59"/>
  <c r="E286" i="59" s="1"/>
  <c r="F286" i="59" s="1"/>
  <c r="G286" i="59" s="1"/>
  <c r="D287" i="59"/>
  <c r="E287" i="59" s="1"/>
  <c r="F287" i="59" s="1"/>
  <c r="D288" i="59"/>
  <c r="E288" i="59" s="1"/>
  <c r="D289" i="59"/>
  <c r="E289" i="59" s="1"/>
  <c r="D291" i="59"/>
  <c r="E291" i="59" s="1"/>
  <c r="D292" i="59"/>
  <c r="E292" i="59" s="1"/>
  <c r="D293" i="59"/>
  <c r="E293" i="59" s="1"/>
  <c r="D295" i="59"/>
  <c r="E295" i="59" s="1"/>
  <c r="F295" i="59" s="1"/>
  <c r="G295" i="59" s="1"/>
  <c r="D296" i="59"/>
  <c r="E296" i="59" s="1"/>
  <c r="F296" i="59" s="1"/>
  <c r="G296" i="59" s="1"/>
  <c r="D297" i="59"/>
  <c r="E297" i="59" s="1"/>
  <c r="D298" i="59"/>
  <c r="E298" i="59" s="1"/>
  <c r="D299" i="59"/>
  <c r="E299" i="59" s="1"/>
  <c r="F299" i="59" s="1"/>
  <c r="D300" i="59"/>
  <c r="E300" i="59" s="1"/>
  <c r="F300" i="59" s="1"/>
  <c r="G300" i="59" s="1"/>
  <c r="D301" i="59"/>
  <c r="E301" i="59" s="1"/>
  <c r="F301" i="59" s="1"/>
  <c r="D302" i="59"/>
  <c r="E302" i="59" s="1"/>
  <c r="D303" i="59"/>
  <c r="E303" i="59" s="1"/>
  <c r="D304" i="59"/>
  <c r="E304" i="59" s="1"/>
  <c r="F304" i="59" s="1"/>
  <c r="G304" i="59" s="1"/>
  <c r="D305" i="59"/>
  <c r="E305" i="59" s="1"/>
  <c r="F305" i="59" s="1"/>
  <c r="D306" i="59"/>
  <c r="E306" i="59" s="1"/>
  <c r="F306" i="59" s="1"/>
  <c r="D307" i="59"/>
  <c r="E307" i="59" s="1"/>
  <c r="D308" i="59"/>
  <c r="E308" i="59" s="1"/>
  <c r="F308" i="59" s="1"/>
  <c r="D309" i="59"/>
  <c r="E309" i="59" s="1"/>
  <c r="F309" i="59" s="1"/>
  <c r="D310" i="59"/>
  <c r="E310" i="59" s="1"/>
  <c r="D311" i="59"/>
  <c r="E311" i="59" s="1"/>
  <c r="F311" i="59" s="1"/>
  <c r="D312" i="59"/>
  <c r="E312" i="59" s="1"/>
  <c r="F312" i="59" s="1"/>
  <c r="D313" i="59"/>
  <c r="E313" i="59" s="1"/>
  <c r="D314" i="59"/>
  <c r="E314" i="59" s="1"/>
  <c r="F314" i="59" s="1"/>
  <c r="D315" i="59"/>
  <c r="E315" i="59" s="1"/>
  <c r="F315" i="59" s="1"/>
  <c r="G315" i="59" s="1"/>
  <c r="D316" i="59"/>
  <c r="E316" i="59" s="1"/>
  <c r="F316" i="59" s="1"/>
  <c r="D317" i="59"/>
  <c r="E317" i="59" s="1"/>
  <c r="D318" i="59"/>
  <c r="E318" i="59" s="1"/>
  <c r="F318" i="59" s="1"/>
  <c r="D319" i="59"/>
  <c r="E319" i="59" s="1"/>
  <c r="F319" i="59" s="1"/>
  <c r="D320" i="59"/>
  <c r="E320" i="59" s="1"/>
  <c r="F320" i="59" s="1"/>
  <c r="D321" i="59"/>
  <c r="E321" i="59" s="1"/>
  <c r="D322" i="59"/>
  <c r="E322" i="59" s="1"/>
  <c r="F322" i="59" s="1"/>
  <c r="D323" i="59"/>
  <c r="E323" i="59" s="1"/>
  <c r="F323" i="59" s="1"/>
  <c r="D324" i="59"/>
  <c r="E324" i="59" s="1"/>
  <c r="F324" i="59" s="1"/>
  <c r="G324" i="59" s="1"/>
  <c r="D325" i="59"/>
  <c r="E325" i="59" s="1"/>
  <c r="F325" i="59" s="1"/>
  <c r="G325" i="59" s="1"/>
  <c r="D326" i="59"/>
  <c r="E326" i="59" s="1"/>
  <c r="F326" i="59" s="1"/>
  <c r="D327" i="59"/>
  <c r="E327" i="59" s="1"/>
  <c r="D329" i="59"/>
  <c r="E329" i="59" s="1"/>
  <c r="F329" i="59" s="1"/>
  <c r="D330" i="59"/>
  <c r="E330" i="59" s="1"/>
  <c r="D332" i="59"/>
  <c r="E332" i="59" s="1"/>
  <c r="F332" i="59" s="1"/>
  <c r="D333" i="59"/>
  <c r="E333" i="59" s="1"/>
  <c r="D334" i="59"/>
  <c r="E334" i="59" s="1"/>
  <c r="F334" i="59" s="1"/>
  <c r="D335" i="59"/>
  <c r="E335" i="59" s="1"/>
  <c r="D336" i="59"/>
  <c r="E336" i="59" s="1"/>
  <c r="F336" i="59" s="1"/>
  <c r="D337" i="59"/>
  <c r="E337" i="59" s="1"/>
  <c r="D338" i="59"/>
  <c r="E338" i="59" s="1"/>
  <c r="F338" i="59" s="1"/>
  <c r="D339" i="59"/>
  <c r="E339" i="59" s="1"/>
  <c r="D340" i="59"/>
  <c r="E340" i="59" s="1"/>
  <c r="F340" i="59" s="1"/>
  <c r="D342" i="59"/>
  <c r="E342" i="59" s="1"/>
  <c r="F342" i="59" s="1"/>
  <c r="D343" i="59"/>
  <c r="E343" i="59" s="1"/>
  <c r="F343" i="59" s="1"/>
  <c r="D346" i="59"/>
  <c r="E346" i="59" s="1"/>
  <c r="F346" i="59" s="1"/>
  <c r="D348" i="59"/>
  <c r="E348" i="59" s="1"/>
  <c r="D349" i="59"/>
  <c r="E349" i="59" s="1"/>
  <c r="F349" i="59" s="1"/>
  <c r="D350" i="59"/>
  <c r="E350" i="59" s="1"/>
  <c r="D351" i="59"/>
  <c r="E351" i="59" s="1"/>
  <c r="F351" i="59" s="1"/>
  <c r="D352" i="59"/>
  <c r="E352" i="59" s="1"/>
  <c r="D353" i="59"/>
  <c r="E353" i="59" s="1"/>
  <c r="D354" i="59"/>
  <c r="E354" i="59" s="1"/>
  <c r="D355" i="59"/>
  <c r="E355" i="59" s="1"/>
  <c r="F355" i="59" s="1"/>
  <c r="D356" i="59"/>
  <c r="E356" i="59" s="1"/>
  <c r="D357" i="59"/>
  <c r="E357" i="59" s="1"/>
  <c r="F357" i="59" s="1"/>
  <c r="G357" i="59" s="1"/>
  <c r="D358" i="59"/>
  <c r="E358" i="59" s="1"/>
  <c r="D359" i="59"/>
  <c r="E359" i="59" s="1"/>
  <c r="F359" i="59" s="1"/>
  <c r="D360" i="59"/>
  <c r="E360" i="59" s="1"/>
  <c r="F360" i="59" s="1"/>
  <c r="D361" i="59"/>
  <c r="E361" i="59" s="1"/>
  <c r="F361" i="59" s="1"/>
  <c r="D362" i="59"/>
  <c r="E362" i="59" s="1"/>
  <c r="D363" i="59"/>
  <c r="E363" i="59" s="1"/>
  <c r="F363" i="59" s="1"/>
  <c r="D368" i="59"/>
  <c r="E368" i="59" s="1"/>
  <c r="D372" i="59"/>
  <c r="E372" i="59" s="1"/>
  <c r="D373" i="59"/>
  <c r="E373" i="59" s="1"/>
  <c r="F373" i="59" s="1"/>
  <c r="D375" i="59"/>
  <c r="E375" i="59" s="1"/>
  <c r="F375" i="59" s="1"/>
  <c r="D378" i="59"/>
  <c r="E378" i="59" s="1"/>
  <c r="D379" i="59"/>
  <c r="E379" i="59" s="1"/>
  <c r="F379" i="59" s="1"/>
  <c r="D383" i="59"/>
  <c r="E383" i="59" s="1"/>
  <c r="F383" i="59" s="1"/>
  <c r="D384" i="59"/>
  <c r="E384" i="59" s="1"/>
  <c r="F384" i="59" s="1"/>
  <c r="D385" i="59"/>
  <c r="E385" i="59" s="1"/>
  <c r="D386" i="59"/>
  <c r="E386" i="59" s="1"/>
  <c r="D387" i="59"/>
  <c r="E387" i="59" s="1"/>
  <c r="F387" i="59" s="1"/>
  <c r="D388" i="59"/>
  <c r="E388" i="59" s="1"/>
  <c r="D389" i="59"/>
  <c r="E389" i="59" s="1"/>
  <c r="F389" i="59" s="1"/>
  <c r="D390" i="59"/>
  <c r="E390" i="59" s="1"/>
  <c r="F390" i="59" s="1"/>
  <c r="D391" i="59"/>
  <c r="E391" i="59" s="1"/>
  <c r="F391" i="59" s="1"/>
  <c r="G391" i="59" s="1"/>
  <c r="D392" i="59"/>
  <c r="E392" i="59" s="1"/>
  <c r="F392" i="59" s="1"/>
  <c r="D393" i="59"/>
  <c r="E393" i="59" s="1"/>
  <c r="F393" i="59" s="1"/>
  <c r="D394" i="59"/>
  <c r="E394" i="59" s="1"/>
  <c r="D395" i="59"/>
  <c r="E395" i="59" s="1"/>
  <c r="F395" i="59" s="1"/>
  <c r="D396" i="59"/>
  <c r="E396" i="59" s="1"/>
  <c r="F396" i="59" s="1"/>
  <c r="D397" i="59"/>
  <c r="E397" i="59" s="1"/>
  <c r="F397" i="59" s="1"/>
  <c r="D398" i="59"/>
  <c r="E398" i="59" s="1"/>
  <c r="D399" i="59"/>
  <c r="E399" i="59" s="1"/>
  <c r="F399" i="59" s="1"/>
  <c r="D400" i="59"/>
  <c r="E400" i="59" s="1"/>
  <c r="F400" i="59" s="1"/>
  <c r="D402" i="59"/>
  <c r="E402" i="59" s="1"/>
  <c r="F402" i="59" s="1"/>
  <c r="D403" i="59"/>
  <c r="E403" i="59" s="1"/>
  <c r="F403" i="59" s="1"/>
  <c r="D404" i="59"/>
  <c r="E404" i="59" s="1"/>
  <c r="D405" i="59"/>
  <c r="E405" i="59" s="1"/>
  <c r="F405" i="59" s="1"/>
  <c r="D406" i="59"/>
  <c r="E406" i="59" s="1"/>
  <c r="D407" i="59"/>
  <c r="E407" i="59" s="1"/>
  <c r="F407" i="59" s="1"/>
  <c r="D408" i="59"/>
  <c r="E408" i="59" s="1"/>
  <c r="F408" i="59" s="1"/>
  <c r="D409" i="59"/>
  <c r="E409" i="59" s="1"/>
  <c r="F409" i="59" s="1"/>
  <c r="D410" i="59"/>
  <c r="E410" i="59" s="1"/>
  <c r="F410" i="59" s="1"/>
  <c r="D411" i="59"/>
  <c r="E411" i="59" s="1"/>
  <c r="F411" i="59" s="1"/>
  <c r="D412" i="59"/>
  <c r="E412" i="59" s="1"/>
  <c r="D413" i="59"/>
  <c r="E413" i="59" s="1"/>
  <c r="F413" i="59" s="1"/>
  <c r="D414" i="59"/>
  <c r="E414" i="59" s="1"/>
  <c r="D415" i="59"/>
  <c r="E415" i="59" s="1"/>
  <c r="F415" i="59" s="1"/>
  <c r="D416" i="59"/>
  <c r="E416" i="59" s="1"/>
  <c r="D417" i="59"/>
  <c r="E417" i="59" s="1"/>
  <c r="D418" i="59"/>
  <c r="E418" i="59" s="1"/>
  <c r="F418" i="59" s="1"/>
  <c r="D419" i="59"/>
  <c r="E419" i="59" s="1"/>
  <c r="F419" i="59" s="1"/>
  <c r="D420" i="59"/>
  <c r="E420" i="59" s="1"/>
  <c r="D421" i="59"/>
  <c r="E421" i="59" s="1"/>
  <c r="F421" i="59" s="1"/>
  <c r="D422" i="59"/>
  <c r="E422" i="59" s="1"/>
  <c r="D423" i="59"/>
  <c r="E423" i="59" s="1"/>
  <c r="F423" i="59" s="1"/>
  <c r="D424" i="59"/>
  <c r="E424" i="59" s="1"/>
  <c r="F424" i="59" s="1"/>
  <c r="D425" i="59"/>
  <c r="E425" i="59" s="1"/>
  <c r="D426" i="59"/>
  <c r="E426" i="59" s="1"/>
  <c r="D427" i="59"/>
  <c r="E427" i="59" s="1"/>
  <c r="F427" i="59" s="1"/>
  <c r="D428" i="59"/>
  <c r="E428" i="59" s="1"/>
  <c r="D429" i="59"/>
  <c r="E429" i="59" s="1"/>
  <c r="F429" i="59" s="1"/>
  <c r="D430" i="59"/>
  <c r="E430" i="59" s="1"/>
  <c r="D431" i="59"/>
  <c r="E431" i="59" s="1"/>
  <c r="F431" i="59" s="1"/>
  <c r="D432" i="59"/>
  <c r="E432" i="59" s="1"/>
  <c r="D433" i="59"/>
  <c r="E433" i="59" s="1"/>
  <c r="D434" i="59"/>
  <c r="E434" i="59" s="1"/>
  <c r="F434" i="59" s="1"/>
  <c r="D435" i="59"/>
  <c r="E435" i="59" s="1"/>
  <c r="D436" i="59"/>
  <c r="E436" i="59" s="1"/>
  <c r="D437" i="59"/>
  <c r="E437" i="59" s="1"/>
  <c r="F437" i="59" s="1"/>
  <c r="D438" i="59"/>
  <c r="E438" i="59" s="1"/>
  <c r="D439" i="59"/>
  <c r="E439" i="59" s="1"/>
  <c r="F439" i="59" s="1"/>
  <c r="D440" i="59"/>
  <c r="E440" i="59" s="1"/>
  <c r="D441" i="59"/>
  <c r="E441" i="59" s="1"/>
  <c r="F441" i="59" s="1"/>
  <c r="D442" i="59"/>
  <c r="E442" i="59" s="1"/>
  <c r="D443" i="59"/>
  <c r="E443" i="59" s="1"/>
  <c r="F443" i="59" s="1"/>
  <c r="D444" i="59"/>
  <c r="E444" i="59" s="1"/>
  <c r="F444" i="59" s="1"/>
  <c r="D445" i="59"/>
  <c r="E445" i="59" s="1"/>
  <c r="F445" i="59" s="1"/>
  <c r="D446" i="59"/>
  <c r="E446" i="59" s="1"/>
  <c r="D447" i="59"/>
  <c r="E447" i="59" s="1"/>
  <c r="F447" i="59" s="1"/>
  <c r="D448" i="59"/>
  <c r="E448" i="59" s="1"/>
  <c r="F448" i="59" s="1"/>
  <c r="D449" i="59"/>
  <c r="E449" i="59" s="1"/>
  <c r="D450" i="59"/>
  <c r="E450" i="59" s="1"/>
  <c r="F450" i="59" s="1"/>
  <c r="D451" i="59"/>
  <c r="E451" i="59" s="1"/>
  <c r="F451" i="59" s="1"/>
  <c r="G451" i="59" s="1"/>
  <c r="D452" i="59"/>
  <c r="E452" i="59" s="1"/>
  <c r="D453" i="59"/>
  <c r="E453" i="59" s="1"/>
  <c r="F453" i="59" s="1"/>
  <c r="D454" i="59"/>
  <c r="E454" i="59" s="1"/>
  <c r="F454" i="59" s="1"/>
  <c r="D455" i="59"/>
  <c r="E455" i="59" s="1"/>
  <c r="F455" i="59" s="1"/>
  <c r="D456" i="59"/>
  <c r="E456" i="59" s="1"/>
  <c r="D457" i="59"/>
  <c r="E457" i="59" s="1"/>
  <c r="F457" i="59" s="1"/>
  <c r="D458" i="59"/>
  <c r="E458" i="59" s="1"/>
  <c r="D459" i="59"/>
  <c r="E459" i="59" s="1"/>
  <c r="F459" i="59" s="1"/>
  <c r="D460" i="59"/>
  <c r="E460" i="59" s="1"/>
  <c r="D461" i="59"/>
  <c r="E461" i="59" s="1"/>
  <c r="F461" i="59" s="1"/>
  <c r="D462" i="59"/>
  <c r="E462" i="59" s="1"/>
  <c r="D463" i="59"/>
  <c r="E463" i="59" s="1"/>
  <c r="F463" i="59" s="1"/>
  <c r="D464" i="59"/>
  <c r="E464" i="59" s="1"/>
  <c r="F464" i="59" s="1"/>
  <c r="D465" i="59"/>
  <c r="E465" i="59" s="1"/>
  <c r="D466" i="59"/>
  <c r="E466" i="59" s="1"/>
  <c r="D467" i="59"/>
  <c r="E467" i="59" s="1"/>
  <c r="F467" i="59" s="1"/>
  <c r="D468" i="59"/>
  <c r="E468" i="59" s="1"/>
  <c r="D469" i="59"/>
  <c r="E469" i="59" s="1"/>
  <c r="D470" i="59"/>
  <c r="E470" i="59" s="1"/>
  <c r="D471" i="59"/>
  <c r="E471" i="59" s="1"/>
  <c r="F471" i="59" s="1"/>
  <c r="D473" i="59"/>
  <c r="E473" i="59" s="1"/>
  <c r="D474" i="59"/>
  <c r="E474" i="59" s="1"/>
  <c r="F474" i="59" s="1"/>
  <c r="D475" i="59"/>
  <c r="E475" i="59" s="1"/>
  <c r="F475" i="59" s="1"/>
  <c r="D476" i="59"/>
  <c r="E476" i="59" s="1"/>
  <c r="D478" i="59"/>
  <c r="E478" i="59" s="1"/>
  <c r="D479" i="59"/>
  <c r="E479" i="59" s="1"/>
  <c r="F479" i="59" s="1"/>
  <c r="D480" i="59"/>
  <c r="E480" i="59" s="1"/>
  <c r="F480" i="59" s="1"/>
  <c r="D481" i="59"/>
  <c r="E481" i="59" s="1"/>
  <c r="D482" i="59"/>
  <c r="E482" i="59" s="1"/>
  <c r="F482" i="59" s="1"/>
  <c r="D483" i="59"/>
  <c r="E483" i="59" s="1"/>
  <c r="F483" i="59" s="1"/>
  <c r="D484" i="59"/>
  <c r="E484" i="59" s="1"/>
  <c r="D486" i="59"/>
  <c r="E486" i="59" s="1"/>
  <c r="F486" i="59" s="1"/>
  <c r="D487" i="59"/>
  <c r="E487" i="59" s="1"/>
  <c r="D488" i="59"/>
  <c r="E488" i="59" s="1"/>
  <c r="D489" i="59"/>
  <c r="E489" i="59" s="1"/>
  <c r="F489" i="59" s="1"/>
  <c r="D490" i="59"/>
  <c r="E490" i="59" s="1"/>
  <c r="F490" i="59" s="1"/>
  <c r="D491" i="59"/>
  <c r="E491" i="59" s="1"/>
  <c r="F491" i="59" s="1"/>
  <c r="D492" i="59"/>
  <c r="E492" i="59" s="1"/>
  <c r="D493" i="59"/>
  <c r="E493" i="59" s="1"/>
  <c r="F493" i="59" s="1"/>
  <c r="D494" i="59"/>
  <c r="E494" i="59" s="1"/>
  <c r="D495" i="59"/>
  <c r="E495" i="59" s="1"/>
  <c r="D496" i="59"/>
  <c r="E496" i="59" s="1"/>
  <c r="D497" i="59"/>
  <c r="E497" i="59" s="1"/>
  <c r="D498" i="59"/>
  <c r="E498" i="59" s="1"/>
  <c r="F498" i="59" s="1"/>
  <c r="D499" i="59"/>
  <c r="E499" i="59" s="1"/>
  <c r="F499" i="59" s="1"/>
  <c r="D500" i="59"/>
  <c r="E500" i="59" s="1"/>
  <c r="D501" i="59"/>
  <c r="E501" i="59" s="1"/>
  <c r="F501" i="59" s="1"/>
  <c r="G501" i="59" s="1"/>
  <c r="D502" i="59"/>
  <c r="E502" i="59" s="1"/>
  <c r="D503" i="59"/>
  <c r="E503" i="59" s="1"/>
  <c r="D505" i="59"/>
  <c r="E505" i="59" s="1"/>
  <c r="F505" i="59" s="1"/>
  <c r="D506" i="59"/>
  <c r="E506" i="59" s="1"/>
  <c r="D507" i="59"/>
  <c r="E507" i="59" s="1"/>
  <c r="F507" i="59" s="1"/>
  <c r="G507" i="59" s="1"/>
  <c r="D508" i="59"/>
  <c r="E508" i="59" s="1"/>
  <c r="D509" i="59"/>
  <c r="E509" i="59" s="1"/>
  <c r="F509" i="59" s="1"/>
  <c r="G509" i="59" s="1"/>
  <c r="D510" i="59"/>
  <c r="E510" i="59" s="1"/>
  <c r="F510" i="59" s="1"/>
  <c r="D511" i="59"/>
  <c r="E511" i="59" s="1"/>
  <c r="D513" i="59"/>
  <c r="E513" i="59" s="1"/>
  <c r="F513" i="59" s="1"/>
  <c r="D514" i="59"/>
  <c r="E514" i="59" s="1"/>
  <c r="F514" i="59" s="1"/>
  <c r="D515" i="59"/>
  <c r="E515" i="59" s="1"/>
  <c r="F515" i="59" s="1"/>
  <c r="G515" i="59" s="1"/>
  <c r="D516" i="59"/>
  <c r="E516" i="59" s="1"/>
  <c r="D518" i="59"/>
  <c r="E518" i="59" s="1"/>
  <c r="F518" i="59" s="1"/>
  <c r="D519" i="59"/>
  <c r="E519" i="59" s="1"/>
  <c r="D520" i="59"/>
  <c r="E520" i="59" s="1"/>
  <c r="D521" i="59"/>
  <c r="E521" i="59" s="1"/>
  <c r="F521" i="59" s="1"/>
  <c r="D522" i="59"/>
  <c r="E522" i="59" s="1"/>
  <c r="D523" i="59"/>
  <c r="E523" i="59" s="1"/>
  <c r="F523" i="59" s="1"/>
  <c r="D524" i="59"/>
  <c r="E524" i="59" s="1"/>
  <c r="F524" i="59" s="1"/>
  <c r="D525" i="59"/>
  <c r="E525" i="59" s="1"/>
  <c r="F525" i="59" s="1"/>
  <c r="D526" i="59"/>
  <c r="E526" i="59" s="1"/>
  <c r="D527" i="59"/>
  <c r="E527" i="59" s="1"/>
  <c r="D528" i="59"/>
  <c r="E528" i="59" s="1"/>
  <c r="D529" i="59"/>
  <c r="E529" i="59" s="1"/>
  <c r="D530" i="59"/>
  <c r="E530" i="59" s="1"/>
  <c r="D531" i="59"/>
  <c r="E531" i="59" s="1"/>
  <c r="F531" i="59" s="1"/>
  <c r="G531" i="59" s="1"/>
  <c r="D532" i="59"/>
  <c r="E532" i="59" s="1"/>
  <c r="F532" i="59" s="1"/>
  <c r="D533" i="59"/>
  <c r="E533" i="59" s="1"/>
  <c r="D534" i="59"/>
  <c r="E534" i="59" s="1"/>
  <c r="D535" i="59"/>
  <c r="E535" i="59" s="1"/>
  <c r="D536" i="59"/>
  <c r="E536" i="59" s="1"/>
  <c r="F536" i="59" s="1"/>
  <c r="G536" i="59" s="1"/>
  <c r="D537" i="59"/>
  <c r="E537" i="59" s="1"/>
  <c r="F537" i="59" s="1"/>
  <c r="D538" i="59"/>
  <c r="E538" i="59" s="1"/>
  <c r="D539" i="59"/>
  <c r="E539" i="59" s="1"/>
  <c r="F539" i="59" s="1"/>
  <c r="D540" i="59"/>
  <c r="E540" i="59" s="1"/>
  <c r="D541" i="59"/>
  <c r="E541" i="59" s="1"/>
  <c r="F541" i="59" s="1"/>
  <c r="G541" i="59" s="1"/>
  <c r="D542" i="59"/>
  <c r="E542" i="59" s="1"/>
  <c r="F542" i="59" s="1"/>
  <c r="D543" i="59"/>
  <c r="E543" i="59" s="1"/>
  <c r="D544" i="59"/>
  <c r="E544" i="59" s="1"/>
  <c r="D547" i="59"/>
  <c r="E547" i="59" s="1"/>
  <c r="D548" i="59"/>
  <c r="E548" i="59" s="1"/>
  <c r="F548" i="59" s="1"/>
  <c r="D550" i="59"/>
  <c r="E550" i="59" s="1"/>
  <c r="F550" i="59" s="1"/>
  <c r="D551" i="59"/>
  <c r="E551" i="59" s="1"/>
  <c r="D552" i="59"/>
  <c r="E552" i="59" s="1"/>
  <c r="F552" i="59" s="1"/>
  <c r="G552" i="59" s="1"/>
  <c r="D553" i="59"/>
  <c r="E553" i="59" s="1"/>
  <c r="F553" i="59" s="1"/>
  <c r="D554" i="59"/>
  <c r="E554" i="59" s="1"/>
  <c r="D555" i="59"/>
  <c r="E555" i="59" s="1"/>
  <c r="F555" i="59" s="1"/>
  <c r="D556" i="59"/>
  <c r="E556" i="59" s="1"/>
  <c r="F556" i="59" s="1"/>
  <c r="D557" i="59"/>
  <c r="E557" i="59" s="1"/>
  <c r="F557" i="59" s="1"/>
  <c r="G557" i="59" s="1"/>
  <c r="D558" i="59"/>
  <c r="E558" i="59" s="1"/>
  <c r="F558" i="59" s="1"/>
  <c r="D559" i="59"/>
  <c r="E559" i="59" s="1"/>
  <c r="D560" i="59"/>
  <c r="E560" i="59" s="1"/>
  <c r="D561" i="59"/>
  <c r="E561" i="59" s="1"/>
  <c r="F561" i="59" s="1"/>
  <c r="G561" i="59" s="1"/>
  <c r="D562" i="59"/>
  <c r="E562" i="59" s="1"/>
  <c r="D563" i="59"/>
  <c r="E563" i="59" s="1"/>
  <c r="F563" i="59" s="1"/>
  <c r="D564" i="59"/>
  <c r="E564" i="59" s="1"/>
  <c r="D565" i="59"/>
  <c r="E565" i="59" s="1"/>
  <c r="F565" i="59" s="1"/>
  <c r="D566" i="59"/>
  <c r="E566" i="59" s="1"/>
  <c r="D567" i="59"/>
  <c r="E567" i="59" s="1"/>
  <c r="D569" i="59"/>
  <c r="E569" i="59" s="1"/>
  <c r="F569" i="59" s="1"/>
  <c r="D570" i="59"/>
  <c r="E570" i="59" s="1"/>
  <c r="F570" i="59" s="1"/>
  <c r="D572" i="59"/>
  <c r="E572" i="59" s="1"/>
  <c r="D573" i="59"/>
  <c r="E573" i="59" s="1"/>
  <c r="F573" i="59" s="1"/>
  <c r="D574" i="59"/>
  <c r="E574" i="59" s="1"/>
  <c r="D575" i="59"/>
  <c r="E575" i="59" s="1"/>
  <c r="D576" i="59"/>
  <c r="E576" i="59" s="1"/>
  <c r="D577" i="59"/>
  <c r="E577" i="59" s="1"/>
  <c r="F577" i="59" s="1"/>
  <c r="D578" i="59"/>
  <c r="E578" i="59" s="1"/>
  <c r="D579" i="59"/>
  <c r="D580" i="59"/>
  <c r="D581" i="59"/>
  <c r="D582" i="59"/>
  <c r="E582" i="59" s="1"/>
  <c r="D584" i="59"/>
  <c r="E584" i="59" s="1"/>
  <c r="D585" i="59"/>
  <c r="E585" i="59" s="1"/>
  <c r="D586" i="59"/>
  <c r="E586" i="59" s="1"/>
  <c r="D587" i="59"/>
  <c r="E587" i="59" s="1"/>
  <c r="F587" i="59" s="1"/>
  <c r="D588" i="59"/>
  <c r="E588" i="59" s="1"/>
  <c r="F588" i="59" s="1"/>
  <c r="D589" i="59"/>
  <c r="E589" i="59" s="1"/>
  <c r="F589" i="59" s="1"/>
  <c r="D590" i="59"/>
  <c r="E590" i="59" s="1"/>
  <c r="F590" i="59" s="1"/>
  <c r="D591" i="59"/>
  <c r="E591" i="59" s="1"/>
  <c r="D592" i="59"/>
  <c r="E592" i="59" s="1"/>
  <c r="D593" i="59"/>
  <c r="E593" i="59" s="1"/>
  <c r="D594" i="59"/>
  <c r="E594" i="59" s="1"/>
  <c r="D596" i="59"/>
  <c r="E596" i="59" s="1"/>
  <c r="F596" i="59" s="1"/>
  <c r="D597" i="59"/>
  <c r="E597" i="59" s="1"/>
  <c r="D598" i="59"/>
  <c r="E598" i="59" s="1"/>
  <c r="D599" i="59"/>
  <c r="E599" i="59" s="1"/>
  <c r="D600" i="59"/>
  <c r="E600" i="59" s="1"/>
  <c r="F600" i="59" s="1"/>
  <c r="D601" i="59"/>
  <c r="E601" i="59" s="1"/>
  <c r="F601" i="59" s="1"/>
  <c r="D602" i="59"/>
  <c r="E602" i="59" s="1"/>
  <c r="D604" i="59"/>
  <c r="E604" i="59" s="1"/>
  <c r="F604" i="59" s="1"/>
  <c r="D605" i="59"/>
  <c r="E605" i="59" s="1"/>
  <c r="F605" i="59" s="1"/>
  <c r="D608" i="59"/>
  <c r="E608" i="59" s="1"/>
  <c r="D609" i="59"/>
  <c r="E609" i="59" s="1"/>
  <c r="D610" i="59"/>
  <c r="E610" i="59" s="1"/>
  <c r="D611" i="59"/>
  <c r="E611" i="59" s="1"/>
  <c r="F611" i="59" s="1"/>
  <c r="D612" i="59"/>
  <c r="E612" i="59" s="1"/>
  <c r="F612" i="59" s="1"/>
  <c r="D613" i="59"/>
  <c r="E613" i="59" s="1"/>
  <c r="F613" i="59" s="1"/>
  <c r="D614" i="59"/>
  <c r="E614" i="59" s="1"/>
  <c r="F614" i="59" s="1"/>
  <c r="D615" i="59"/>
  <c r="E615" i="59" s="1"/>
  <c r="D616" i="59"/>
  <c r="E616" i="59" s="1"/>
  <c r="F616" i="59" s="1"/>
  <c r="D617" i="59"/>
  <c r="E617" i="59" s="1"/>
  <c r="F617" i="59" s="1"/>
  <c r="D618" i="59"/>
  <c r="E618" i="59" s="1"/>
  <c r="D619" i="59"/>
  <c r="E619" i="59" s="1"/>
  <c r="F619" i="59" s="1"/>
  <c r="D620" i="59"/>
  <c r="E620" i="59" s="1"/>
  <c r="F620" i="59" s="1"/>
  <c r="G620" i="59" s="1"/>
  <c r="D621" i="59"/>
  <c r="E621" i="59" s="1"/>
  <c r="D622" i="59"/>
  <c r="E622" i="59" s="1"/>
  <c r="F622" i="59" s="1"/>
  <c r="D623" i="59"/>
  <c r="E623" i="59" s="1"/>
  <c r="D624" i="59"/>
  <c r="E624" i="59" s="1"/>
  <c r="D625" i="59"/>
  <c r="E625" i="59" s="1"/>
  <c r="F625" i="59" s="1"/>
  <c r="D627" i="59"/>
  <c r="E627" i="59" s="1"/>
  <c r="D628" i="59"/>
  <c r="E628" i="59" s="1"/>
  <c r="D629" i="59"/>
  <c r="E629" i="59" s="1"/>
  <c r="F629" i="59" s="1"/>
  <c r="G629" i="59" s="1"/>
  <c r="D630" i="59"/>
  <c r="E630" i="59" s="1"/>
  <c r="F630" i="59" s="1"/>
  <c r="D631" i="59"/>
  <c r="E631" i="59" s="1"/>
  <c r="D632" i="59"/>
  <c r="E632" i="59" s="1"/>
  <c r="D635" i="59"/>
  <c r="E635" i="59" s="1"/>
  <c r="D636" i="59"/>
  <c r="E636" i="59" s="1"/>
  <c r="F636" i="59" s="1"/>
  <c r="D637" i="59"/>
  <c r="E637" i="59" s="1"/>
  <c r="F637" i="59" s="1"/>
  <c r="D638" i="59"/>
  <c r="E638" i="59" s="1"/>
  <c r="F638" i="59" s="1"/>
  <c r="D639" i="59"/>
  <c r="E639" i="59" s="1"/>
  <c r="F639" i="59" s="1"/>
  <c r="D640" i="59"/>
  <c r="E640" i="59" s="1"/>
  <c r="D641" i="59"/>
  <c r="E641" i="59" s="1"/>
  <c r="F641" i="59" s="1"/>
  <c r="D642" i="59"/>
  <c r="E642" i="59" s="1"/>
  <c r="F642" i="59" s="1"/>
  <c r="D643" i="59"/>
  <c r="E643" i="59" s="1"/>
  <c r="D644" i="59"/>
  <c r="E644" i="59" s="1"/>
  <c r="D645" i="59"/>
  <c r="E645" i="59" s="1"/>
  <c r="F645" i="59" s="1"/>
  <c r="D646" i="59"/>
  <c r="E646" i="59" s="1"/>
  <c r="F646" i="59" s="1"/>
  <c r="D647" i="59"/>
  <c r="E647" i="59" s="1"/>
  <c r="D648" i="59"/>
  <c r="E648" i="59" s="1"/>
  <c r="D649" i="59"/>
  <c r="E649" i="59" s="1"/>
  <c r="D650" i="59"/>
  <c r="E650" i="59" s="1"/>
  <c r="F650" i="59" s="1"/>
  <c r="D652" i="59"/>
  <c r="E652" i="59" s="1"/>
  <c r="F652" i="59" s="1"/>
  <c r="D653" i="59"/>
  <c r="E653" i="59" s="1"/>
  <c r="D655" i="59"/>
  <c r="E655" i="59" s="1"/>
  <c r="F655" i="59" s="1"/>
  <c r="D656" i="59"/>
  <c r="E656" i="59" s="1"/>
  <c r="D658" i="59"/>
  <c r="E658" i="59" s="1"/>
  <c r="F658" i="59" s="1"/>
  <c r="D659" i="59"/>
  <c r="E659" i="59" s="1"/>
  <c r="F659" i="59" s="1"/>
  <c r="D661" i="59"/>
  <c r="E661" i="59" s="1"/>
  <c r="D662" i="59"/>
  <c r="E662" i="59" s="1"/>
  <c r="D663" i="59"/>
  <c r="E663" i="59" s="1"/>
  <c r="F663" i="59" s="1"/>
  <c r="D664" i="59"/>
  <c r="E664" i="59" s="1"/>
  <c r="F664" i="59" s="1"/>
  <c r="D665" i="59"/>
  <c r="E665" i="59" s="1"/>
  <c r="F665" i="59" s="1"/>
  <c r="D666" i="59"/>
  <c r="E666" i="59" s="1"/>
  <c r="F666" i="59" s="1"/>
  <c r="D667" i="59"/>
  <c r="E667" i="59" s="1"/>
  <c r="F667" i="59" s="1"/>
  <c r="D668" i="59"/>
  <c r="E668" i="59" s="1"/>
  <c r="F668" i="59" s="1"/>
  <c r="D669" i="59"/>
  <c r="E669" i="59" s="1"/>
  <c r="F669" i="59" s="1"/>
  <c r="D670" i="59"/>
  <c r="E670" i="59" s="1"/>
  <c r="D671" i="59"/>
  <c r="E671" i="59" s="1"/>
  <c r="F671" i="59" s="1"/>
  <c r="D672" i="59"/>
  <c r="E672" i="59" s="1"/>
  <c r="F672" i="59" s="1"/>
  <c r="D673" i="59"/>
  <c r="E673" i="59" s="1"/>
  <c r="D674" i="59"/>
  <c r="E674" i="59" s="1"/>
  <c r="F674" i="59" s="1"/>
  <c r="D675" i="59"/>
  <c r="E675" i="59" s="1"/>
  <c r="F675" i="59" s="1"/>
  <c r="D676" i="59"/>
  <c r="E676" i="59" s="1"/>
  <c r="F676" i="59" s="1"/>
  <c r="D677" i="59"/>
  <c r="E677" i="59" s="1"/>
  <c r="D678" i="59"/>
  <c r="E678" i="59" s="1"/>
  <c r="D679" i="59"/>
  <c r="E679" i="59" s="1"/>
  <c r="F679" i="59" s="1"/>
  <c r="D680" i="59"/>
  <c r="E680" i="59" s="1"/>
  <c r="F680" i="59" s="1"/>
  <c r="D681" i="59"/>
  <c r="E681" i="59" s="1"/>
  <c r="D682" i="59"/>
  <c r="E682" i="59" s="1"/>
  <c r="F682" i="59" s="1"/>
  <c r="D683" i="59"/>
  <c r="E683" i="59" s="1"/>
  <c r="D684" i="59"/>
  <c r="E684" i="59" s="1"/>
  <c r="F684" i="59" s="1"/>
  <c r="D685" i="59"/>
  <c r="E685" i="59" s="1"/>
  <c r="D686" i="59"/>
  <c r="E686" i="59" s="1"/>
  <c r="D687" i="59"/>
  <c r="E687" i="59" s="1"/>
  <c r="F687" i="59" s="1"/>
  <c r="D689" i="59"/>
  <c r="E689" i="59" s="1"/>
  <c r="D690" i="59"/>
  <c r="E690" i="59" s="1"/>
  <c r="F690" i="59" s="1"/>
  <c r="D691" i="59"/>
  <c r="E691" i="59" s="1"/>
  <c r="F691" i="59" s="1"/>
  <c r="G691" i="59" s="1"/>
  <c r="D692" i="59"/>
  <c r="E692" i="59" s="1"/>
  <c r="F692" i="59" s="1"/>
  <c r="D693" i="59"/>
  <c r="E693" i="59" s="1"/>
  <c r="D694" i="59"/>
  <c r="E694" i="59" s="1"/>
  <c r="D695" i="59"/>
  <c r="E695" i="59" s="1"/>
  <c r="F695" i="59" s="1"/>
  <c r="D696" i="59"/>
  <c r="E696" i="59" s="1"/>
  <c r="F696" i="59" s="1"/>
  <c r="D697" i="59"/>
  <c r="E697" i="59" s="1"/>
  <c r="D698" i="59"/>
  <c r="E698" i="59" s="1"/>
  <c r="F698" i="59" s="1"/>
  <c r="D699" i="59"/>
  <c r="E699" i="59" s="1"/>
  <c r="F699" i="59" s="1"/>
  <c r="D700" i="59"/>
  <c r="E700" i="59" s="1"/>
  <c r="F700" i="59" s="1"/>
  <c r="D701" i="59"/>
  <c r="E701" i="59" s="1"/>
  <c r="F701" i="59" s="1"/>
  <c r="D702" i="59"/>
  <c r="E702" i="59" s="1"/>
  <c r="D703" i="59"/>
  <c r="E703" i="59" s="1"/>
  <c r="F703" i="59" s="1"/>
  <c r="D704" i="59"/>
  <c r="E704" i="59" s="1"/>
  <c r="F704" i="59" s="1"/>
  <c r="D708" i="59"/>
  <c r="E708" i="59" s="1"/>
  <c r="F708" i="59" s="1"/>
  <c r="D709" i="59"/>
  <c r="E709" i="59" s="1"/>
  <c r="F709" i="59" s="1"/>
  <c r="D710" i="59"/>
  <c r="E710" i="59" s="1"/>
  <c r="D711" i="59"/>
  <c r="E711" i="59" s="1"/>
  <c r="F711" i="59" s="1"/>
  <c r="D712" i="59"/>
  <c r="E712" i="59" s="1"/>
  <c r="F712" i="59" s="1"/>
  <c r="D713" i="59"/>
  <c r="E713" i="59" s="1"/>
  <c r="F713" i="59" s="1"/>
  <c r="D714" i="59"/>
  <c r="E714" i="59" s="1"/>
  <c r="F714" i="59" s="1"/>
  <c r="D715" i="59"/>
  <c r="E715" i="59" s="1"/>
  <c r="D716" i="59"/>
  <c r="E716" i="59" s="1"/>
  <c r="F716" i="59" s="1"/>
  <c r="D717" i="59"/>
  <c r="E717" i="59" s="1"/>
  <c r="D718" i="59"/>
  <c r="E718" i="59" s="1"/>
  <c r="D719" i="59"/>
  <c r="E719" i="59" s="1"/>
  <c r="F719" i="59" s="1"/>
  <c r="D720" i="59"/>
  <c r="E720" i="59" s="1"/>
  <c r="F720" i="59" s="1"/>
  <c r="D721" i="59"/>
  <c r="E721" i="59" s="1"/>
  <c r="D722" i="59"/>
  <c r="E722" i="59" s="1"/>
  <c r="F722" i="59" s="1"/>
  <c r="D723" i="59"/>
  <c r="E723" i="59" s="1"/>
  <c r="D724" i="59"/>
  <c r="E724" i="59" s="1"/>
  <c r="F724" i="59" s="1"/>
  <c r="D726" i="59"/>
  <c r="E726" i="59" s="1"/>
  <c r="D727" i="59"/>
  <c r="E727" i="59" s="1"/>
  <c r="F727" i="59" s="1"/>
  <c r="D729" i="59"/>
  <c r="E729" i="59" s="1"/>
  <c r="D730" i="59"/>
  <c r="E730" i="59" s="1"/>
  <c r="F730" i="59" s="1"/>
  <c r="D731" i="59"/>
  <c r="E731" i="59" s="1"/>
  <c r="D732" i="59"/>
  <c r="E732" i="59" s="1"/>
  <c r="F732" i="59" s="1"/>
  <c r="D733" i="59"/>
  <c r="E733" i="59" s="1"/>
  <c r="D734" i="59"/>
  <c r="E734" i="59" s="1"/>
  <c r="D735" i="59"/>
  <c r="E735" i="59" s="1"/>
  <c r="F735" i="59" s="1"/>
  <c r="D736" i="59"/>
  <c r="E736" i="59" s="1"/>
  <c r="F736" i="59" s="1"/>
  <c r="D737" i="59"/>
  <c r="E737" i="59" s="1"/>
  <c r="D738" i="59"/>
  <c r="E738" i="59" s="1"/>
  <c r="F738" i="59" s="1"/>
  <c r="D739" i="59"/>
  <c r="E739" i="59" s="1"/>
  <c r="D740" i="59"/>
  <c r="E740" i="59" s="1"/>
  <c r="F740" i="59" s="1"/>
  <c r="D741" i="59"/>
  <c r="E741" i="59" s="1"/>
  <c r="D742" i="59"/>
  <c r="E742" i="59" s="1"/>
  <c r="D743" i="59"/>
  <c r="E743" i="59" s="1"/>
  <c r="F743" i="59" s="1"/>
  <c r="D744" i="59"/>
  <c r="E744" i="59" s="1"/>
  <c r="F744" i="59" s="1"/>
  <c r="D745" i="59"/>
  <c r="E745" i="59" s="1"/>
  <c r="F745" i="59" s="1"/>
  <c r="D746" i="59"/>
  <c r="E746" i="59" s="1"/>
  <c r="F746" i="59" s="1"/>
  <c r="D747" i="59"/>
  <c r="E747" i="59" s="1"/>
  <c r="D748" i="59"/>
  <c r="E748" i="59" s="1"/>
  <c r="F748" i="59" s="1"/>
  <c r="D749" i="59"/>
  <c r="E749" i="59" s="1"/>
  <c r="D750" i="59"/>
  <c r="E750" i="59" s="1"/>
  <c r="D751" i="59"/>
  <c r="E751" i="59" s="1"/>
  <c r="F751" i="59" s="1"/>
  <c r="D752" i="59"/>
  <c r="E752" i="59" s="1"/>
  <c r="F752" i="59" s="1"/>
  <c r="D753" i="59"/>
  <c r="E753" i="59" s="1"/>
  <c r="D754" i="59"/>
  <c r="E754" i="59" s="1"/>
  <c r="F754" i="59" s="1"/>
  <c r="D755" i="59"/>
  <c r="E755" i="59" s="1"/>
  <c r="D756" i="59"/>
  <c r="E756" i="59" s="1"/>
  <c r="F756" i="59" s="1"/>
  <c r="D757" i="59"/>
  <c r="E757" i="59" s="1"/>
  <c r="F757" i="59" s="1"/>
  <c r="D758" i="59"/>
  <c r="E758" i="59" s="1"/>
  <c r="D759" i="59"/>
  <c r="E759" i="59" s="1"/>
  <c r="F759" i="59" s="1"/>
  <c r="D760" i="59"/>
  <c r="E760" i="59" s="1"/>
  <c r="F760" i="59" s="1"/>
  <c r="D761" i="59"/>
  <c r="E761" i="59" s="1"/>
  <c r="D762" i="59"/>
  <c r="E762" i="59" s="1"/>
  <c r="F762" i="59" s="1"/>
  <c r="D763" i="59"/>
  <c r="E763" i="59" s="1"/>
  <c r="D764" i="59"/>
  <c r="E764" i="59" s="1"/>
  <c r="F764" i="59" s="1"/>
  <c r="D765" i="59"/>
  <c r="E765" i="59" s="1"/>
  <c r="D766" i="59"/>
  <c r="E766" i="59" s="1"/>
  <c r="D767" i="59"/>
  <c r="E767" i="59" s="1"/>
  <c r="F767" i="59" s="1"/>
  <c r="D768" i="59"/>
  <c r="E768" i="59" s="1"/>
  <c r="F768" i="59" s="1"/>
  <c r="D769" i="59"/>
  <c r="E769" i="59" s="1"/>
  <c r="F769" i="59" s="1"/>
  <c r="D770" i="59"/>
  <c r="E770" i="59" s="1"/>
  <c r="F770" i="59" s="1"/>
  <c r="D771" i="59"/>
  <c r="E771" i="59" s="1"/>
  <c r="D772" i="59"/>
  <c r="E772" i="59" s="1"/>
  <c r="F772" i="59" s="1"/>
  <c r="D773" i="59"/>
  <c r="E773" i="59" s="1"/>
  <c r="D774" i="59"/>
  <c r="E774" i="59" s="1"/>
  <c r="D775" i="59"/>
  <c r="E775" i="59" s="1"/>
  <c r="F775" i="59" s="1"/>
  <c r="D776" i="59"/>
  <c r="E776" i="59" s="1"/>
  <c r="F776" i="59" s="1"/>
  <c r="D777" i="59"/>
  <c r="E777" i="59" s="1"/>
  <c r="F777" i="59" s="1"/>
  <c r="D778" i="59"/>
  <c r="E778" i="59" s="1"/>
  <c r="F778" i="59" s="1"/>
  <c r="D779" i="59"/>
  <c r="E779" i="59" s="1"/>
  <c r="D780" i="59"/>
  <c r="E780" i="59" s="1"/>
  <c r="F780" i="59" s="1"/>
  <c r="D781" i="59"/>
  <c r="E781" i="59" s="1"/>
  <c r="D782" i="59"/>
  <c r="E782" i="59" s="1"/>
  <c r="D783" i="59"/>
  <c r="E783" i="59" s="1"/>
  <c r="F783" i="59" s="1"/>
  <c r="D784" i="59"/>
  <c r="E784" i="59" s="1"/>
  <c r="F784" i="59" s="1"/>
  <c r="D785" i="59"/>
  <c r="E785" i="59" s="1"/>
  <c r="D786" i="59"/>
  <c r="E786" i="59" s="1"/>
  <c r="F786" i="59" s="1"/>
  <c r="D787" i="59"/>
  <c r="E787" i="59" s="1"/>
  <c r="D788" i="59"/>
  <c r="E788" i="59" s="1"/>
  <c r="F788" i="59" s="1"/>
  <c r="D789" i="59"/>
  <c r="E789" i="59" s="1"/>
  <c r="D790" i="59"/>
  <c r="E790" i="59" s="1"/>
  <c r="D791" i="59"/>
  <c r="E791" i="59" s="1"/>
  <c r="F791" i="59" s="1"/>
  <c r="D792" i="59"/>
  <c r="E792" i="59" s="1"/>
  <c r="F792" i="59" s="1"/>
  <c r="D793" i="59"/>
  <c r="E793" i="59" s="1"/>
  <c r="D794" i="59"/>
  <c r="E794" i="59" s="1"/>
  <c r="F794" i="59" s="1"/>
  <c r="D796" i="59"/>
  <c r="E796" i="59" s="1"/>
  <c r="F796" i="59" s="1"/>
  <c r="D798" i="59"/>
  <c r="E798" i="59" s="1"/>
  <c r="D799" i="59"/>
  <c r="E799" i="59" s="1"/>
  <c r="F799" i="59" s="1"/>
  <c r="D800" i="59"/>
  <c r="E800" i="59" s="1"/>
  <c r="F800" i="59" s="1"/>
  <c r="D801" i="59"/>
  <c r="E801" i="59" s="1"/>
  <c r="F801" i="59" s="1"/>
  <c r="D803" i="59"/>
  <c r="E803" i="59" s="1"/>
  <c r="F803" i="59" s="1"/>
  <c r="D804" i="59"/>
  <c r="E804" i="59" s="1"/>
  <c r="F804" i="59" s="1"/>
  <c r="D805" i="59"/>
  <c r="E805" i="59" s="1"/>
  <c r="D806" i="59"/>
  <c r="E806" i="59" s="1"/>
  <c r="D808" i="59"/>
  <c r="E808" i="59" s="1"/>
  <c r="F808" i="59" s="1"/>
  <c r="D809" i="59"/>
  <c r="E809" i="59" s="1"/>
  <c r="D813" i="59"/>
  <c r="E813" i="59" s="1"/>
  <c r="D814" i="59"/>
  <c r="E814" i="59" s="1"/>
  <c r="D818" i="59"/>
  <c r="E818" i="59" s="1"/>
  <c r="F818" i="59" s="1"/>
  <c r="D819" i="59"/>
  <c r="E819" i="59" s="1"/>
  <c r="F819" i="59" s="1"/>
  <c r="D820" i="59"/>
  <c r="E820" i="59" s="1"/>
  <c r="F820" i="59" s="1"/>
  <c r="D821" i="59"/>
  <c r="E821" i="59" s="1"/>
  <c r="D822" i="59"/>
  <c r="E822" i="59" s="1"/>
  <c r="D823" i="59"/>
  <c r="E823" i="59" s="1"/>
  <c r="F823" i="59" s="1"/>
  <c r="D824" i="59"/>
  <c r="E824" i="59" s="1"/>
  <c r="F824" i="59" s="1"/>
  <c r="D825" i="59"/>
  <c r="E825" i="59" s="1"/>
  <c r="F825" i="59" s="1"/>
  <c r="D827" i="59"/>
  <c r="E827" i="59" s="1"/>
  <c r="F827" i="59" s="1"/>
  <c r="D828" i="59"/>
  <c r="E828" i="59" s="1"/>
  <c r="F828" i="59" s="1"/>
  <c r="D829" i="59"/>
  <c r="E829" i="59" s="1"/>
  <c r="D830" i="59"/>
  <c r="E830" i="59" s="1"/>
  <c r="D831" i="59"/>
  <c r="E831" i="59" s="1"/>
  <c r="F831" i="59" s="1"/>
  <c r="D832" i="59"/>
  <c r="E832" i="59" s="1"/>
  <c r="F832" i="59" s="1"/>
  <c r="D833" i="59"/>
  <c r="E833" i="59" s="1"/>
  <c r="D834" i="59"/>
  <c r="E834" i="59" s="1"/>
  <c r="F834" i="59" s="1"/>
  <c r="D835" i="59"/>
  <c r="E835" i="59" s="1"/>
  <c r="D836" i="59"/>
  <c r="E836" i="59" s="1"/>
  <c r="F836" i="59" s="1"/>
  <c r="D837" i="59"/>
  <c r="E837" i="59" s="1"/>
  <c r="D838" i="59"/>
  <c r="E838" i="59" s="1"/>
  <c r="D839" i="59"/>
  <c r="E839" i="59" s="1"/>
  <c r="F839" i="59" s="1"/>
  <c r="D842" i="59"/>
  <c r="E842" i="59" s="1"/>
  <c r="F842" i="59" s="1"/>
  <c r="D844" i="59"/>
  <c r="E844" i="59" s="1"/>
  <c r="F844" i="59" s="1"/>
  <c r="D845" i="59"/>
  <c r="E845" i="59" s="1"/>
  <c r="D847" i="59"/>
  <c r="E847" i="59" s="1"/>
  <c r="F847" i="59" s="1"/>
  <c r="D848" i="59"/>
  <c r="E848" i="59" s="1"/>
  <c r="F848" i="59" s="1"/>
  <c r="D849" i="59"/>
  <c r="E849" i="59" s="1"/>
  <c r="D850" i="59"/>
  <c r="E850" i="59" s="1"/>
  <c r="F850" i="59" s="1"/>
  <c r="D851" i="59"/>
  <c r="E851" i="59" s="1"/>
  <c r="F851" i="59" s="1"/>
  <c r="D852" i="59"/>
  <c r="E852" i="59" s="1"/>
  <c r="F852" i="59" s="1"/>
  <c r="D853" i="59"/>
  <c r="E853" i="59" s="1"/>
  <c r="D854" i="59"/>
  <c r="E854" i="59" s="1"/>
  <c r="D855" i="59"/>
  <c r="E855" i="59" s="1"/>
  <c r="F855" i="59" s="1"/>
  <c r="D856" i="59"/>
  <c r="E856" i="59" s="1"/>
  <c r="F856" i="59" s="1"/>
  <c r="D857" i="59"/>
  <c r="E857" i="59" s="1"/>
  <c r="F857" i="59" s="1"/>
  <c r="D858" i="59"/>
  <c r="E858" i="59" s="1"/>
  <c r="F858" i="59" s="1"/>
  <c r="D859" i="59"/>
  <c r="E859" i="59" s="1"/>
  <c r="D860" i="59"/>
  <c r="E860" i="59" s="1"/>
  <c r="F860" i="59" s="1"/>
  <c r="D861" i="59"/>
  <c r="E861" i="59" s="1"/>
  <c r="D862" i="59"/>
  <c r="E862" i="59" s="1"/>
  <c r="D863" i="59"/>
  <c r="E863" i="59" s="1"/>
  <c r="F863" i="59" s="1"/>
  <c r="D864" i="59"/>
  <c r="E864" i="59" s="1"/>
  <c r="F864" i="59" s="1"/>
  <c r="D865" i="59"/>
  <c r="E865" i="59" s="1"/>
  <c r="D866" i="59"/>
  <c r="E866" i="59" s="1"/>
  <c r="F866" i="59" s="1"/>
  <c r="D867" i="59"/>
  <c r="E867" i="59" s="1"/>
  <c r="D868" i="59"/>
  <c r="E868" i="59" s="1"/>
  <c r="F868" i="59" s="1"/>
  <c r="D869" i="59"/>
  <c r="E869" i="59" s="1"/>
  <c r="D870" i="59"/>
  <c r="E870" i="59" s="1"/>
  <c r="D871" i="59"/>
  <c r="E871" i="59" s="1"/>
  <c r="F871" i="59" s="1"/>
  <c r="D872" i="59"/>
  <c r="E872" i="59" s="1"/>
  <c r="F872" i="59" s="1"/>
  <c r="D873" i="59"/>
  <c r="E873" i="59" s="1"/>
  <c r="D874" i="59"/>
  <c r="E874" i="59" s="1"/>
  <c r="F874" i="59" s="1"/>
  <c r="D875" i="59"/>
  <c r="E875" i="59" s="1"/>
  <c r="F875" i="59" s="1"/>
  <c r="D876" i="59"/>
  <c r="E876" i="59" s="1"/>
  <c r="F876" i="59" s="1"/>
  <c r="D877" i="59"/>
  <c r="E877" i="59" s="1"/>
  <c r="D878" i="59"/>
  <c r="E878" i="59" s="1"/>
  <c r="D879" i="59"/>
  <c r="E879" i="59" s="1"/>
  <c r="F879" i="59" s="1"/>
  <c r="D880" i="59"/>
  <c r="E880" i="59" s="1"/>
  <c r="D881" i="59"/>
  <c r="E881" i="59" s="1"/>
  <c r="D882" i="59"/>
  <c r="E882" i="59" s="1"/>
  <c r="F882" i="59" s="1"/>
  <c r="D883" i="59"/>
  <c r="E883" i="59" s="1"/>
  <c r="F883" i="59" s="1"/>
  <c r="D884" i="59"/>
  <c r="E884" i="59" s="1"/>
  <c r="F884" i="59" s="1"/>
  <c r="D885" i="59"/>
  <c r="E885" i="59" s="1"/>
  <c r="D886" i="59"/>
  <c r="E886" i="59" s="1"/>
  <c r="D887" i="59"/>
  <c r="E887" i="59" s="1"/>
  <c r="F887" i="59" s="1"/>
  <c r="D888" i="59"/>
  <c r="E888" i="59" s="1"/>
  <c r="F888" i="59" s="1"/>
  <c r="D889" i="59"/>
  <c r="E889" i="59" s="1"/>
  <c r="F889" i="59" s="1"/>
  <c r="D890" i="59"/>
  <c r="E890" i="59" s="1"/>
  <c r="F890" i="59" s="1"/>
  <c r="D891" i="59"/>
  <c r="E891" i="59" s="1"/>
  <c r="F891" i="59" s="1"/>
  <c r="D893" i="59"/>
  <c r="E893" i="59" s="1"/>
  <c r="F893" i="59" s="1"/>
  <c r="D894" i="59"/>
  <c r="E894" i="59" s="1"/>
  <c r="F894" i="59" s="1"/>
  <c r="D897" i="59"/>
  <c r="E897" i="59" s="1"/>
  <c r="F897" i="59" s="1"/>
  <c r="D898" i="59"/>
  <c r="E898" i="59" s="1"/>
  <c r="F898" i="59" s="1"/>
  <c r="D899" i="59"/>
  <c r="E899" i="59" s="1"/>
  <c r="F899" i="59" s="1"/>
  <c r="D900" i="59"/>
  <c r="E900" i="59" s="1"/>
  <c r="F900" i="59" s="1"/>
  <c r="D901" i="59"/>
  <c r="E901" i="59" s="1"/>
  <c r="F901" i="59" s="1"/>
  <c r="D902" i="59"/>
  <c r="E902" i="59" s="1"/>
  <c r="F902" i="59" s="1"/>
  <c r="D903" i="59"/>
  <c r="E903" i="59" s="1"/>
  <c r="F903" i="59" s="1"/>
  <c r="D904" i="59"/>
  <c r="E904" i="59" s="1"/>
  <c r="F904" i="59" s="1"/>
  <c r="D905" i="59"/>
  <c r="E905" i="59" s="1"/>
  <c r="F905" i="59" s="1"/>
  <c r="D906" i="59"/>
  <c r="E906" i="59" s="1"/>
  <c r="F906" i="59" s="1"/>
  <c r="D907" i="59"/>
  <c r="E907" i="59" s="1"/>
  <c r="F907" i="59" s="1"/>
  <c r="D908" i="59"/>
  <c r="E908" i="59" s="1"/>
  <c r="F908" i="59" s="1"/>
  <c r="D909" i="59"/>
  <c r="E909" i="59" s="1"/>
  <c r="F909" i="59" s="1"/>
  <c r="D910" i="59"/>
  <c r="E910" i="59" s="1"/>
  <c r="F910" i="59" s="1"/>
  <c r="D911" i="59"/>
  <c r="E911" i="59" s="1"/>
  <c r="F911" i="59" s="1"/>
  <c r="D912" i="59"/>
  <c r="E912" i="59" s="1"/>
  <c r="F912" i="59" s="1"/>
  <c r="D913" i="59"/>
  <c r="E913" i="59" s="1"/>
  <c r="F913" i="59" s="1"/>
  <c r="D914" i="59"/>
  <c r="E914" i="59" s="1"/>
  <c r="F914" i="59" s="1"/>
  <c r="D915" i="59"/>
  <c r="E915" i="59" s="1"/>
  <c r="F915" i="59" s="1"/>
  <c r="D917" i="59"/>
  <c r="E917" i="59" s="1"/>
  <c r="F917" i="59" s="1"/>
  <c r="D6" i="59"/>
  <c r="E6" i="59" s="1"/>
  <c r="D367" i="51"/>
  <c r="E367" i="51" s="1"/>
  <c r="D368" i="51"/>
  <c r="E368" i="51" s="1"/>
  <c r="D314" i="51"/>
  <c r="E314" i="51" s="1"/>
  <c r="D315" i="51"/>
  <c r="E315" i="51" s="1"/>
  <c r="D316" i="51"/>
  <c r="E316" i="51" s="1"/>
  <c r="D284" i="51"/>
  <c r="E284" i="51" s="1"/>
  <c r="F284" i="51" s="1"/>
  <c r="D285" i="51"/>
  <c r="E285" i="51" s="1"/>
  <c r="D368" i="10"/>
  <c r="D367" i="10"/>
  <c r="D314" i="10"/>
  <c r="E314" i="10" s="1"/>
  <c r="F314" i="10" s="1"/>
  <c r="D315" i="10"/>
  <c r="E315" i="10" s="1"/>
  <c r="D316" i="10"/>
  <c r="E316" i="10" s="1"/>
  <c r="D285" i="10"/>
  <c r="E285" i="10" s="1"/>
  <c r="F285" i="10" s="1"/>
  <c r="D284" i="10"/>
  <c r="E284" i="10" s="1"/>
  <c r="F284" i="10" s="1"/>
  <c r="F585" i="59" l="1"/>
  <c r="G585" i="59" s="1"/>
  <c r="E581" i="59"/>
  <c r="E580" i="59"/>
  <c r="F580" i="59" s="1"/>
  <c r="G580" i="59" s="1"/>
  <c r="F586" i="59"/>
  <c r="G586" i="59" s="1"/>
  <c r="E579" i="59"/>
  <c r="F579" i="59" s="1"/>
  <c r="G579" i="59" s="1"/>
  <c r="G361" i="59"/>
  <c r="G314" i="59"/>
  <c r="G437" i="59"/>
  <c r="G490" i="59"/>
  <c r="G461" i="59"/>
  <c r="F773" i="59"/>
  <c r="G773" i="59" s="1"/>
  <c r="G619" i="59"/>
  <c r="G613" i="59"/>
  <c r="G453" i="59"/>
  <c r="G329" i="59"/>
  <c r="G309" i="59"/>
  <c r="G397" i="59"/>
  <c r="G332" i="59"/>
  <c r="G659" i="59"/>
  <c r="G274" i="59"/>
  <c r="G318" i="59"/>
  <c r="G883" i="59"/>
  <c r="G563" i="59"/>
  <c r="G305" i="59"/>
  <c r="F733" i="59"/>
  <c r="G733" i="59" s="1"/>
  <c r="F739" i="59"/>
  <c r="G739" i="59" s="1"/>
  <c r="F466" i="59"/>
  <c r="G466" i="59" s="1"/>
  <c r="F731" i="59"/>
  <c r="G731" i="59" s="1"/>
  <c r="F765" i="59"/>
  <c r="G765" i="59" s="1"/>
  <c r="F771" i="59"/>
  <c r="G771" i="59" s="1"/>
  <c r="F867" i="59"/>
  <c r="G867" i="59" s="1"/>
  <c r="F337" i="59"/>
  <c r="G337" i="59" s="1"/>
  <c r="F741" i="59"/>
  <c r="G741" i="59" s="1"/>
  <c r="G655" i="59"/>
  <c r="G639" i="59"/>
  <c r="G405" i="59"/>
  <c r="G392" i="59"/>
  <c r="F335" i="59"/>
  <c r="G335" i="59" s="1"/>
  <c r="F258" i="59"/>
  <c r="G258" i="59" s="1"/>
  <c r="G226" i="59"/>
  <c r="G482" i="59"/>
  <c r="G322" i="59"/>
  <c r="G308" i="59"/>
  <c r="G256" i="59"/>
  <c r="G219" i="59"/>
  <c r="G709" i="59"/>
  <c r="G450" i="59"/>
  <c r="G346" i="59"/>
  <c r="G210" i="59"/>
  <c r="G675" i="59"/>
  <c r="G616" i="59"/>
  <c r="G605" i="59"/>
  <c r="G565" i="59"/>
  <c r="G480" i="59"/>
  <c r="G455" i="59"/>
  <c r="G421" i="59"/>
  <c r="G373" i="59"/>
  <c r="G340" i="59"/>
  <c r="G301" i="59"/>
  <c r="G645" i="59"/>
  <c r="G570" i="59"/>
  <c r="G499" i="59"/>
  <c r="F737" i="59"/>
  <c r="G737" i="59" s="1"/>
  <c r="F653" i="59"/>
  <c r="G653" i="59" s="1"/>
  <c r="F865" i="59"/>
  <c r="G865" i="59" s="1"/>
  <c r="F789" i="59"/>
  <c r="G789" i="59" s="1"/>
  <c r="F793" i="59"/>
  <c r="G793" i="59" s="1"/>
  <c r="F327" i="59"/>
  <c r="G327" i="59" s="1"/>
  <c r="F763" i="59"/>
  <c r="G763" i="59" s="1"/>
  <c r="F661" i="59"/>
  <c r="G661" i="59" s="1"/>
  <c r="F621" i="59"/>
  <c r="G621" i="59" s="1"/>
  <c r="F243" i="59"/>
  <c r="G243" i="59" s="1"/>
  <c r="F721" i="59"/>
  <c r="G721" i="59" s="1"/>
  <c r="F631" i="59"/>
  <c r="G631" i="59" s="1"/>
  <c r="F584" i="59"/>
  <c r="G584" i="59" s="1"/>
  <c r="F572" i="59"/>
  <c r="G572" i="59" s="1"/>
  <c r="G556" i="59"/>
  <c r="F440" i="59"/>
  <c r="G440" i="59" s="1"/>
  <c r="F297" i="59"/>
  <c r="G297" i="59" s="1"/>
  <c r="F183" i="59"/>
  <c r="G183" i="59" s="1"/>
  <c r="F785" i="59"/>
  <c r="G785" i="59" s="1"/>
  <c r="F729" i="59"/>
  <c r="G729" i="59" s="1"/>
  <c r="F307" i="59"/>
  <c r="G307" i="59" s="1"/>
  <c r="G769" i="59"/>
  <c r="G665" i="59"/>
  <c r="F386" i="59"/>
  <c r="G386" i="59" s="1"/>
  <c r="F779" i="59"/>
  <c r="G779" i="59" s="1"/>
  <c r="F685" i="59"/>
  <c r="G685" i="59" s="1"/>
  <c r="G875" i="59"/>
  <c r="F787" i="59"/>
  <c r="G787" i="59" s="1"/>
  <c r="F761" i="59"/>
  <c r="G761" i="59" s="1"/>
  <c r="F749" i="59"/>
  <c r="G749" i="59" s="1"/>
  <c r="F566" i="59"/>
  <c r="G566" i="59" s="1"/>
  <c r="F538" i="59"/>
  <c r="G538" i="59" s="1"/>
  <c r="F520" i="59"/>
  <c r="G520" i="59" s="1"/>
  <c r="F470" i="59"/>
  <c r="G470" i="59" s="1"/>
  <c r="F425" i="59"/>
  <c r="G425" i="59" s="1"/>
  <c r="G343" i="59"/>
  <c r="G825" i="59"/>
  <c r="F715" i="59"/>
  <c r="G715" i="59" s="1"/>
  <c r="G588" i="59"/>
  <c r="F313" i="59"/>
  <c r="G313" i="59" s="1"/>
  <c r="F201" i="59"/>
  <c r="G201" i="59" s="1"/>
  <c r="G177" i="59"/>
  <c r="F849" i="59"/>
  <c r="G849" i="59" s="1"/>
  <c r="F809" i="59"/>
  <c r="G809" i="59" s="1"/>
  <c r="F753" i="59"/>
  <c r="G753" i="59" s="1"/>
  <c r="F723" i="59"/>
  <c r="G723" i="59" s="1"/>
  <c r="F693" i="59"/>
  <c r="G693" i="59" s="1"/>
  <c r="G600" i="59"/>
  <c r="F593" i="59"/>
  <c r="G593" i="59" s="1"/>
  <c r="G524" i="59"/>
  <c r="F487" i="59"/>
  <c r="G487" i="59" s="1"/>
  <c r="F476" i="59"/>
  <c r="G476" i="59" s="1"/>
  <c r="F469" i="59"/>
  <c r="G469" i="59" s="1"/>
  <c r="F209" i="59"/>
  <c r="G209" i="59" s="1"/>
  <c r="F755" i="59"/>
  <c r="G755" i="59" s="1"/>
  <c r="F627" i="59"/>
  <c r="G627" i="59" s="1"/>
  <c r="F574" i="59"/>
  <c r="G574" i="59" s="1"/>
  <c r="F522" i="59"/>
  <c r="G522" i="59" s="1"/>
  <c r="F281" i="59"/>
  <c r="G281" i="59" s="1"/>
  <c r="F250" i="59"/>
  <c r="G250" i="59" s="1"/>
  <c r="F339" i="59"/>
  <c r="G339" i="59" s="1"/>
  <c r="F681" i="59"/>
  <c r="G681" i="59" s="1"/>
  <c r="G757" i="59"/>
  <c r="G636" i="59"/>
  <c r="G801" i="59"/>
  <c r="F689" i="59"/>
  <c r="G689" i="59" s="1"/>
  <c r="G630" i="59"/>
  <c r="G851" i="59"/>
  <c r="F833" i="59"/>
  <c r="G833" i="59" s="1"/>
  <c r="G827" i="59"/>
  <c r="G803" i="59"/>
  <c r="F781" i="59"/>
  <c r="G781" i="59" s="1"/>
  <c r="G650" i="59"/>
  <c r="F643" i="59"/>
  <c r="G643" i="59" s="1"/>
  <c r="G604" i="59"/>
  <c r="F554" i="59"/>
  <c r="G554" i="59" s="1"/>
  <c r="G486" i="59"/>
  <c r="F456" i="59"/>
  <c r="G456" i="59" s="1"/>
  <c r="F317" i="59"/>
  <c r="G317" i="59" s="1"/>
  <c r="F289" i="59"/>
  <c r="G289" i="59" s="1"/>
  <c r="G199" i="59"/>
  <c r="F193" i="59"/>
  <c r="G193" i="59" s="1"/>
  <c r="F873" i="59"/>
  <c r="G873" i="59" s="1"/>
  <c r="F717" i="59"/>
  <c r="G717" i="59" s="1"/>
  <c r="F859" i="59"/>
  <c r="G859" i="59" s="1"/>
  <c r="F835" i="59"/>
  <c r="G835" i="59" s="1"/>
  <c r="F249" i="59"/>
  <c r="G249" i="59" s="1"/>
  <c r="G625" i="59"/>
  <c r="F881" i="59"/>
  <c r="G881" i="59" s="1"/>
  <c r="G819" i="59"/>
  <c r="F747" i="59"/>
  <c r="G747" i="59" s="1"/>
  <c r="F697" i="59"/>
  <c r="G697" i="59" s="1"/>
  <c r="F683" i="59"/>
  <c r="G683" i="59" s="1"/>
  <c r="F677" i="59"/>
  <c r="G677" i="59" s="1"/>
  <c r="F673" i="59"/>
  <c r="G673" i="59" s="1"/>
  <c r="G669" i="59"/>
  <c r="F618" i="59"/>
  <c r="G618" i="59" s="1"/>
  <c r="F609" i="59"/>
  <c r="G609" i="59" s="1"/>
  <c r="F547" i="59"/>
  <c r="G547" i="59" s="1"/>
  <c r="F540" i="59"/>
  <c r="G540" i="59" s="1"/>
  <c r="G510" i="59"/>
  <c r="F321" i="59"/>
  <c r="G321" i="59" s="1"/>
  <c r="F288" i="59"/>
  <c r="G288" i="59" s="1"/>
  <c r="G777" i="59"/>
  <c r="G745" i="59"/>
  <c r="G713" i="59"/>
  <c r="F635" i="59"/>
  <c r="G635" i="59" s="1"/>
  <c r="G701" i="59"/>
  <c r="G652" i="59"/>
  <c r="G555" i="59"/>
  <c r="G513" i="59"/>
  <c r="F354" i="59"/>
  <c r="G354" i="59" s="1"/>
  <c r="F303" i="59"/>
  <c r="G303" i="59" s="1"/>
  <c r="G299" i="59"/>
  <c r="F235" i="59"/>
  <c r="G235" i="59" s="1"/>
  <c r="F218" i="59"/>
  <c r="G218" i="59" s="1"/>
  <c r="G207" i="59"/>
  <c r="G203" i="59"/>
  <c r="F602" i="59"/>
  <c r="G602" i="59" s="1"/>
  <c r="F191" i="59"/>
  <c r="G191" i="59" s="1"/>
  <c r="G857" i="59"/>
  <c r="G667" i="59"/>
  <c r="G637" i="59"/>
  <c r="G611" i="59"/>
  <c r="G590" i="59"/>
  <c r="F533" i="59"/>
  <c r="G533" i="59" s="1"/>
  <c r="G489" i="59"/>
  <c r="F435" i="59"/>
  <c r="G435" i="59" s="1"/>
  <c r="F333" i="59"/>
  <c r="G333" i="59" s="1"/>
  <c r="G323" i="59"/>
  <c r="G319" i="59"/>
  <c r="G311" i="59"/>
  <c r="F240" i="59"/>
  <c r="G240" i="59" s="1"/>
  <c r="G217" i="59"/>
  <c r="F211" i="59"/>
  <c r="G211" i="59" s="1"/>
  <c r="G699" i="59"/>
  <c r="F597" i="59"/>
  <c r="G597" i="59" s="1"/>
  <c r="F529" i="59"/>
  <c r="G529" i="59" s="1"/>
  <c r="F330" i="59"/>
  <c r="G330" i="59" s="1"/>
  <c r="F223" i="59"/>
  <c r="G223" i="59" s="1"/>
  <c r="F185" i="59"/>
  <c r="G185" i="59" s="1"/>
  <c r="F526" i="59"/>
  <c r="G526" i="59" s="1"/>
  <c r="F495" i="59"/>
  <c r="G495" i="59" s="1"/>
  <c r="F302" i="59"/>
  <c r="G302" i="59" s="1"/>
  <c r="F298" i="59"/>
  <c r="G298" i="59" s="1"/>
  <c r="F202" i="59"/>
  <c r="G202" i="59" s="1"/>
  <c r="G525" i="59"/>
  <c r="G471" i="59"/>
  <c r="G467" i="59"/>
  <c r="G463" i="59"/>
  <c r="G441" i="59"/>
  <c r="G399" i="59"/>
  <c r="G389" i="59"/>
  <c r="G326" i="59"/>
  <c r="G306" i="59"/>
  <c r="G214" i="59"/>
  <c r="G282" i="59"/>
  <c r="G266" i="59"/>
  <c r="G186" i="59"/>
  <c r="G407" i="59"/>
  <c r="G316" i="59"/>
  <c r="G246" i="59"/>
  <c r="G178" i="59"/>
  <c r="G278" i="59"/>
  <c r="F869" i="59"/>
  <c r="G869" i="59" s="1"/>
  <c r="F885" i="59"/>
  <c r="G885" i="59" s="1"/>
  <c r="F821" i="59"/>
  <c r="G821" i="59" s="1"/>
  <c r="F766" i="59"/>
  <c r="G766" i="59" s="1"/>
  <c r="F702" i="59"/>
  <c r="G702" i="59" s="1"/>
  <c r="F670" i="59"/>
  <c r="G670" i="59" s="1"/>
  <c r="F502" i="59"/>
  <c r="G502" i="59" s="1"/>
  <c r="F861" i="59"/>
  <c r="G861" i="59" s="1"/>
  <c r="F838" i="59"/>
  <c r="G838" i="59" s="1"/>
  <c r="F805" i="59"/>
  <c r="G805" i="59" s="1"/>
  <c r="F468" i="59"/>
  <c r="G468" i="59" s="1"/>
  <c r="F790" i="59"/>
  <c r="G790" i="59" s="1"/>
  <c r="F544" i="59"/>
  <c r="G544" i="59" s="1"/>
  <c r="F878" i="59"/>
  <c r="G878" i="59" s="1"/>
  <c r="F837" i="59"/>
  <c r="G837" i="59" s="1"/>
  <c r="F814" i="59"/>
  <c r="G814" i="59" s="1"/>
  <c r="F774" i="59"/>
  <c r="G774" i="59" s="1"/>
  <c r="F742" i="59"/>
  <c r="G742" i="59" s="1"/>
  <c r="F710" i="59"/>
  <c r="G710" i="59" s="1"/>
  <c r="F678" i="59"/>
  <c r="G678" i="59" s="1"/>
  <c r="F649" i="59"/>
  <c r="G649" i="59" s="1"/>
  <c r="F644" i="59"/>
  <c r="G644" i="59" s="1"/>
  <c r="F534" i="59"/>
  <c r="G534" i="59" s="1"/>
  <c r="F877" i="59"/>
  <c r="G877" i="59" s="1"/>
  <c r="F854" i="59"/>
  <c r="G854" i="59" s="1"/>
  <c r="F813" i="59"/>
  <c r="G813" i="59" s="1"/>
  <c r="F648" i="59"/>
  <c r="G648" i="59" s="1"/>
  <c r="F694" i="59"/>
  <c r="G694" i="59" s="1"/>
  <c r="F853" i="59"/>
  <c r="G853" i="59" s="1"/>
  <c r="F830" i="59"/>
  <c r="G830" i="59" s="1"/>
  <c r="F782" i="59"/>
  <c r="G782" i="59" s="1"/>
  <c r="F750" i="59"/>
  <c r="G750" i="59" s="1"/>
  <c r="F718" i="59"/>
  <c r="G718" i="59" s="1"/>
  <c r="F686" i="59"/>
  <c r="G686" i="59" s="1"/>
  <c r="F870" i="59"/>
  <c r="G870" i="59" s="1"/>
  <c r="F829" i="59"/>
  <c r="G829" i="59" s="1"/>
  <c r="F806" i="59"/>
  <c r="G806" i="59" s="1"/>
  <c r="F564" i="59"/>
  <c r="G564" i="59" s="1"/>
  <c r="F726" i="59"/>
  <c r="G726" i="59" s="1"/>
  <c r="F662" i="59"/>
  <c r="G662" i="59" s="1"/>
  <c r="F608" i="59"/>
  <c r="G608" i="59" s="1"/>
  <c r="F598" i="59"/>
  <c r="G598" i="59" s="1"/>
  <c r="F528" i="59"/>
  <c r="G528" i="59" s="1"/>
  <c r="F886" i="59"/>
  <c r="G886" i="59" s="1"/>
  <c r="F845" i="59"/>
  <c r="G845" i="59" s="1"/>
  <c r="F822" i="59"/>
  <c r="G822" i="59" s="1"/>
  <c r="F632" i="59"/>
  <c r="G632" i="59" s="1"/>
  <c r="F628" i="59"/>
  <c r="G628" i="59" s="1"/>
  <c r="F582" i="59"/>
  <c r="G582" i="59" s="1"/>
  <c r="F758" i="59"/>
  <c r="G758" i="59" s="1"/>
  <c r="F862" i="59"/>
  <c r="G862" i="59" s="1"/>
  <c r="F798" i="59"/>
  <c r="G798" i="59" s="1"/>
  <c r="F734" i="59"/>
  <c r="G734" i="59" s="1"/>
  <c r="F460" i="59"/>
  <c r="G460" i="59" s="1"/>
  <c r="G882" i="59"/>
  <c r="G866" i="59"/>
  <c r="G850" i="59"/>
  <c r="G786" i="59"/>
  <c r="F647" i="59"/>
  <c r="G647" i="59" s="1"/>
  <c r="G642" i="59"/>
  <c r="G596" i="59"/>
  <c r="G914" i="59"/>
  <c r="G912" i="59"/>
  <c r="G910" i="59"/>
  <c r="G908" i="59"/>
  <c r="G906" i="59"/>
  <c r="G904" i="59"/>
  <c r="G902" i="59"/>
  <c r="G900" i="59"/>
  <c r="G898" i="59"/>
  <c r="G894" i="59"/>
  <c r="G890" i="59"/>
  <c r="G888" i="59"/>
  <c r="G884" i="59"/>
  <c r="G879" i="59"/>
  <c r="G868" i="59"/>
  <c r="G863" i="59"/>
  <c r="G852" i="59"/>
  <c r="G847" i="59"/>
  <c r="G836" i="59"/>
  <c r="G831" i="59"/>
  <c r="G820" i="59"/>
  <c r="G804" i="59"/>
  <c r="G799" i="59"/>
  <c r="G788" i="59"/>
  <c r="G783" i="59"/>
  <c r="G772" i="59"/>
  <c r="G767" i="59"/>
  <c r="G756" i="59"/>
  <c r="G751" i="59"/>
  <c r="G740" i="59"/>
  <c r="G735" i="59"/>
  <c r="G724" i="59"/>
  <c r="G719" i="59"/>
  <c r="G708" i="59"/>
  <c r="G703" i="59"/>
  <c r="G692" i="59"/>
  <c r="G687" i="59"/>
  <c r="G676" i="59"/>
  <c r="G671" i="59"/>
  <c r="G646" i="59"/>
  <c r="F592" i="59"/>
  <c r="G592" i="59" s="1"/>
  <c r="G577" i="59"/>
  <c r="G573" i="59"/>
  <c r="F559" i="59"/>
  <c r="G559" i="59" s="1"/>
  <c r="G550" i="59"/>
  <c r="G548" i="59"/>
  <c r="F530" i="59"/>
  <c r="G530" i="59" s="1"/>
  <c r="G523" i="59"/>
  <c r="G521" i="59"/>
  <c r="F492" i="59"/>
  <c r="G492" i="59" s="1"/>
  <c r="F449" i="59"/>
  <c r="G449" i="59" s="1"/>
  <c r="F432" i="59"/>
  <c r="G432" i="59" s="1"/>
  <c r="F412" i="59"/>
  <c r="G412" i="59" s="1"/>
  <c r="F406" i="59"/>
  <c r="G406" i="59" s="1"/>
  <c r="G834" i="59"/>
  <c r="G818" i="59"/>
  <c r="G770" i="59"/>
  <c r="G754" i="59"/>
  <c r="G738" i="59"/>
  <c r="G722" i="59"/>
  <c r="G674" i="59"/>
  <c r="G641" i="59"/>
  <c r="G638" i="59"/>
  <c r="F610" i="59"/>
  <c r="G610" i="59" s="1"/>
  <c r="G601" i="59"/>
  <c r="G558" i="59"/>
  <c r="G514" i="59"/>
  <c r="F511" i="59"/>
  <c r="G511" i="59" s="1"/>
  <c r="F497" i="59"/>
  <c r="G497" i="59" s="1"/>
  <c r="G483" i="59"/>
  <c r="G479" i="59"/>
  <c r="G474" i="59"/>
  <c r="F458" i="59"/>
  <c r="G458" i="59" s="1"/>
  <c r="F442" i="59"/>
  <c r="G442" i="59" s="1"/>
  <c r="F368" i="59"/>
  <c r="G368" i="59" s="1"/>
  <c r="G856" i="59"/>
  <c r="G824" i="59"/>
  <c r="G808" i="59"/>
  <c r="G792" i="59"/>
  <c r="G776" i="59"/>
  <c r="G760" i="59"/>
  <c r="G744" i="59"/>
  <c r="G712" i="59"/>
  <c r="G696" i="59"/>
  <c r="G680" i="59"/>
  <c r="G664" i="59"/>
  <c r="F624" i="59"/>
  <c r="G624" i="59" s="1"/>
  <c r="F591" i="59"/>
  <c r="G591" i="59" s="1"/>
  <c r="F562" i="59"/>
  <c r="G562" i="59" s="1"/>
  <c r="G553" i="59"/>
  <c r="F496" i="59"/>
  <c r="G496" i="59" s="1"/>
  <c r="F436" i="59"/>
  <c r="G436" i="59" s="1"/>
  <c r="F394" i="59"/>
  <c r="G394" i="59" s="1"/>
  <c r="F378" i="59"/>
  <c r="G378" i="59" s="1"/>
  <c r="F348" i="59"/>
  <c r="G348" i="59" s="1"/>
  <c r="G874" i="59"/>
  <c r="G858" i="59"/>
  <c r="G842" i="59"/>
  <c r="G794" i="59"/>
  <c r="G778" i="59"/>
  <c r="G762" i="59"/>
  <c r="G746" i="59"/>
  <c r="G730" i="59"/>
  <c r="G714" i="59"/>
  <c r="G698" i="59"/>
  <c r="G682" i="59"/>
  <c r="G666" i="59"/>
  <c r="F576" i="59"/>
  <c r="G576" i="59" s="1"/>
  <c r="F543" i="59"/>
  <c r="G543" i="59" s="1"/>
  <c r="G532" i="59"/>
  <c r="F478" i="59"/>
  <c r="G478" i="59" s="1"/>
  <c r="F452" i="59"/>
  <c r="G452" i="59" s="1"/>
  <c r="F422" i="59"/>
  <c r="G422" i="59" s="1"/>
  <c r="F404" i="59"/>
  <c r="G404" i="59" s="1"/>
  <c r="F372" i="59"/>
  <c r="G372" i="59" s="1"/>
  <c r="G872" i="59"/>
  <c r="G917" i="59"/>
  <c r="G915" i="59"/>
  <c r="G913" i="59"/>
  <c r="G911" i="59"/>
  <c r="G909" i="59"/>
  <c r="G907" i="59"/>
  <c r="G905" i="59"/>
  <c r="G903" i="59"/>
  <c r="G901" i="59"/>
  <c r="G899" i="59"/>
  <c r="G897" i="59"/>
  <c r="G893" i="59"/>
  <c r="G891" i="59"/>
  <c r="G889" i="59"/>
  <c r="G887" i="59"/>
  <c r="G876" i="59"/>
  <c r="G871" i="59"/>
  <c r="G860" i="59"/>
  <c r="G855" i="59"/>
  <c r="G844" i="59"/>
  <c r="G839" i="59"/>
  <c r="G828" i="59"/>
  <c r="G823" i="59"/>
  <c r="G796" i="59"/>
  <c r="G791" i="59"/>
  <c r="G780" i="59"/>
  <c r="G775" i="59"/>
  <c r="G764" i="59"/>
  <c r="G759" i="59"/>
  <c r="G748" i="59"/>
  <c r="G743" i="59"/>
  <c r="G732" i="59"/>
  <c r="G727" i="59"/>
  <c r="G716" i="59"/>
  <c r="G711" i="59"/>
  <c r="G700" i="59"/>
  <c r="G695" i="59"/>
  <c r="G684" i="59"/>
  <c r="G679" i="59"/>
  <c r="G668" i="59"/>
  <c r="G663" i="59"/>
  <c r="F656" i="59"/>
  <c r="G656" i="59" s="1"/>
  <c r="F640" i="59"/>
  <c r="G640" i="59" s="1"/>
  <c r="F623" i="59"/>
  <c r="G623" i="59" s="1"/>
  <c r="G614" i="59"/>
  <c r="G612" i="59"/>
  <c r="F594" i="59"/>
  <c r="G594" i="59" s="1"/>
  <c r="G587" i="59"/>
  <c r="G542" i="59"/>
  <c r="F506" i="59"/>
  <c r="G506" i="59" s="1"/>
  <c r="F473" i="59"/>
  <c r="G473" i="59" s="1"/>
  <c r="F428" i="59"/>
  <c r="G428" i="59" s="1"/>
  <c r="F416" i="59"/>
  <c r="G416" i="59" s="1"/>
  <c r="F388" i="59"/>
  <c r="G388" i="59" s="1"/>
  <c r="F358" i="59"/>
  <c r="G358" i="59" s="1"/>
  <c r="F880" i="59"/>
  <c r="G880" i="59" s="1"/>
  <c r="G622" i="59"/>
  <c r="G589" i="59"/>
  <c r="F575" i="59"/>
  <c r="G575" i="59" s="1"/>
  <c r="G539" i="59"/>
  <c r="G537" i="59"/>
  <c r="G505" i="59"/>
  <c r="F494" i="59"/>
  <c r="G494" i="59" s="1"/>
  <c r="G464" i="59"/>
  <c r="G864" i="59"/>
  <c r="G848" i="59"/>
  <c r="G832" i="59"/>
  <c r="G800" i="59"/>
  <c r="G784" i="59"/>
  <c r="G768" i="59"/>
  <c r="G752" i="59"/>
  <c r="G736" i="59"/>
  <c r="G720" i="59"/>
  <c r="G704" i="59"/>
  <c r="G672" i="59"/>
  <c r="G617" i="59"/>
  <c r="F560" i="59"/>
  <c r="G560" i="59" s="1"/>
  <c r="F527" i="59"/>
  <c r="G527" i="59" s="1"/>
  <c r="G518" i="59"/>
  <c r="G498" i="59"/>
  <c r="G493" i="59"/>
  <c r="F426" i="59"/>
  <c r="G426" i="59" s="1"/>
  <c r="F352" i="59"/>
  <c r="G352" i="59" s="1"/>
  <c r="G690" i="59"/>
  <c r="G658" i="59"/>
  <c r="F578" i="59"/>
  <c r="G578" i="59" s="1"/>
  <c r="G569" i="59"/>
  <c r="F508" i="59"/>
  <c r="G508" i="59" s="1"/>
  <c r="F488" i="59"/>
  <c r="G488" i="59" s="1"/>
  <c r="F484" i="59"/>
  <c r="G484" i="59" s="1"/>
  <c r="F438" i="59"/>
  <c r="G438" i="59" s="1"/>
  <c r="F362" i="59"/>
  <c r="G362" i="59" s="1"/>
  <c r="F516" i="59"/>
  <c r="G516" i="59" s="1"/>
  <c r="F500" i="59"/>
  <c r="G500" i="59" s="1"/>
  <c r="G413" i="59"/>
  <c r="G402" i="59"/>
  <c r="G387" i="59"/>
  <c r="G349" i="59"/>
  <c r="G334" i="59"/>
  <c r="F615" i="59"/>
  <c r="G615" i="59" s="1"/>
  <c r="F599" i="59"/>
  <c r="G599" i="59" s="1"/>
  <c r="F567" i="59"/>
  <c r="G567" i="59" s="1"/>
  <c r="F551" i="59"/>
  <c r="G551" i="59" s="1"/>
  <c r="F535" i="59"/>
  <c r="G535" i="59" s="1"/>
  <c r="F519" i="59"/>
  <c r="G519" i="59" s="1"/>
  <c r="F503" i="59"/>
  <c r="G503" i="59" s="1"/>
  <c r="F481" i="59"/>
  <c r="G481" i="59" s="1"/>
  <c r="F462" i="59"/>
  <c r="G462" i="59" s="1"/>
  <c r="G454" i="59"/>
  <c r="G447" i="59"/>
  <c r="G439" i="59"/>
  <c r="G424" i="59"/>
  <c r="F417" i="59"/>
  <c r="G417" i="59" s="1"/>
  <c r="G409" i="59"/>
  <c r="F398" i="59"/>
  <c r="G398" i="59" s="1"/>
  <c r="G390" i="59"/>
  <c r="G383" i="59"/>
  <c r="G375" i="59"/>
  <c r="G360" i="59"/>
  <c r="F353" i="59"/>
  <c r="G353" i="59" s="1"/>
  <c r="G342" i="59"/>
  <c r="F292" i="59"/>
  <c r="G292" i="59" s="1"/>
  <c r="F420" i="59"/>
  <c r="G420" i="59" s="1"/>
  <c r="F356" i="59"/>
  <c r="G356" i="59" s="1"/>
  <c r="F465" i="59"/>
  <c r="G465" i="59" s="1"/>
  <c r="G457" i="59"/>
  <c r="F446" i="59"/>
  <c r="G446" i="59" s="1"/>
  <c r="G431" i="59"/>
  <c r="G423" i="59"/>
  <c r="G408" i="59"/>
  <c r="G393" i="59"/>
  <c r="G359" i="59"/>
  <c r="G445" i="59"/>
  <c r="G434" i="59"/>
  <c r="G419" i="59"/>
  <c r="G400" i="59"/>
  <c r="G396" i="59"/>
  <c r="G355" i="59"/>
  <c r="F255" i="59"/>
  <c r="G255" i="59" s="1"/>
  <c r="F430" i="59"/>
  <c r="G430" i="59" s="1"/>
  <c r="G415" i="59"/>
  <c r="F385" i="59"/>
  <c r="G385" i="59" s="1"/>
  <c r="G351" i="59"/>
  <c r="G338" i="59"/>
  <c r="F310" i="59"/>
  <c r="G310" i="59" s="1"/>
  <c r="G448" i="59"/>
  <c r="G444" i="59"/>
  <c r="G429" i="59"/>
  <c r="G418" i="59"/>
  <c r="G410" i="59"/>
  <c r="G403" i="59"/>
  <c r="G384" i="59"/>
  <c r="F433" i="59"/>
  <c r="G433" i="59" s="1"/>
  <c r="F414" i="59"/>
  <c r="G414" i="59" s="1"/>
  <c r="F350" i="59"/>
  <c r="G350" i="59" s="1"/>
  <c r="F285" i="59"/>
  <c r="G285" i="59" s="1"/>
  <c r="G491" i="59"/>
  <c r="G475" i="59"/>
  <c r="G459" i="59"/>
  <c r="G443" i="59"/>
  <c r="G427" i="59"/>
  <c r="G411" i="59"/>
  <c r="G395" i="59"/>
  <c r="G379" i="59"/>
  <c r="G363" i="59"/>
  <c r="G336" i="59"/>
  <c r="G320" i="59"/>
  <c r="G312" i="59"/>
  <c r="G287" i="59"/>
  <c r="F267" i="59"/>
  <c r="G267" i="59" s="1"/>
  <c r="F260" i="59"/>
  <c r="G260" i="59" s="1"/>
  <c r="F259" i="59"/>
  <c r="G259" i="59" s="1"/>
  <c r="F251" i="59"/>
  <c r="G251" i="59" s="1"/>
  <c r="F293" i="59"/>
  <c r="G293" i="59" s="1"/>
  <c r="G271" i="59"/>
  <c r="F291" i="59"/>
  <c r="G291" i="59" s="1"/>
  <c r="F276" i="59"/>
  <c r="G276" i="59" s="1"/>
  <c r="G253" i="59"/>
  <c r="G244" i="59"/>
  <c r="G237" i="59"/>
  <c r="G221" i="59"/>
  <c r="G212" i="59"/>
  <c r="F169" i="59"/>
  <c r="G169" i="59" s="1"/>
  <c r="F157" i="59"/>
  <c r="G157" i="59" s="1"/>
  <c r="G152" i="59"/>
  <c r="F134" i="59"/>
  <c r="G134" i="59" s="1"/>
  <c r="F116" i="59"/>
  <c r="G116" i="59" s="1"/>
  <c r="F105" i="59"/>
  <c r="G105" i="59" s="1"/>
  <c r="F93" i="59"/>
  <c r="G93" i="59" s="1"/>
  <c r="G88" i="59"/>
  <c r="F38" i="59"/>
  <c r="G38" i="59" s="1"/>
  <c r="G204" i="59"/>
  <c r="G196" i="59"/>
  <c r="G188" i="59"/>
  <c r="G180" i="59"/>
  <c r="G174" i="59"/>
  <c r="G162" i="59"/>
  <c r="F151" i="59"/>
  <c r="G151" i="59" s="1"/>
  <c r="F139" i="59"/>
  <c r="G139" i="59" s="1"/>
  <c r="F115" i="59"/>
  <c r="G115" i="59" s="1"/>
  <c r="G110" i="59"/>
  <c r="F75" i="59"/>
  <c r="G75" i="59" s="1"/>
  <c r="F68" i="59"/>
  <c r="G68" i="59" s="1"/>
  <c r="F173" i="59"/>
  <c r="G173" i="59" s="1"/>
  <c r="G168" i="59"/>
  <c r="F150" i="59"/>
  <c r="G150" i="59" s="1"/>
  <c r="F132" i="59"/>
  <c r="G132" i="59" s="1"/>
  <c r="F121" i="59"/>
  <c r="G121" i="59" s="1"/>
  <c r="F109" i="59"/>
  <c r="G109" i="59" s="1"/>
  <c r="G104" i="59"/>
  <c r="F86" i="59"/>
  <c r="G86" i="59" s="1"/>
  <c r="F43" i="59"/>
  <c r="G43" i="59" s="1"/>
  <c r="G206" i="59"/>
  <c r="G198" i="59"/>
  <c r="G195" i="59"/>
  <c r="G190" i="59"/>
  <c r="G187" i="59"/>
  <c r="G182" i="59"/>
  <c r="G179" i="59"/>
  <c r="F167" i="59"/>
  <c r="G167" i="59" s="1"/>
  <c r="F155" i="59"/>
  <c r="G155" i="59" s="1"/>
  <c r="F131" i="59"/>
  <c r="G131" i="59" s="1"/>
  <c r="G126" i="59"/>
  <c r="F91" i="59"/>
  <c r="G91" i="59" s="1"/>
  <c r="F61" i="59"/>
  <c r="G61" i="59" s="1"/>
  <c r="G284" i="59"/>
  <c r="G277" i="59"/>
  <c r="G261" i="59"/>
  <c r="G252" i="59"/>
  <c r="G245" i="59"/>
  <c r="G236" i="59"/>
  <c r="G229" i="59"/>
  <c r="G220" i="59"/>
  <c r="G213" i="59"/>
  <c r="F166" i="59"/>
  <c r="G166" i="59" s="1"/>
  <c r="F148" i="59"/>
  <c r="G148" i="59" s="1"/>
  <c r="F137" i="59"/>
  <c r="G137" i="59" s="1"/>
  <c r="F125" i="59"/>
  <c r="G125" i="59" s="1"/>
  <c r="G120" i="59"/>
  <c r="F102" i="59"/>
  <c r="G102" i="59" s="1"/>
  <c r="F84" i="59"/>
  <c r="G84" i="59" s="1"/>
  <c r="F73" i="59"/>
  <c r="G73" i="59" s="1"/>
  <c r="G200" i="59"/>
  <c r="G192" i="59"/>
  <c r="G184" i="59"/>
  <c r="F171" i="59"/>
  <c r="G171" i="59" s="1"/>
  <c r="F147" i="59"/>
  <c r="G147" i="59" s="1"/>
  <c r="G142" i="59"/>
  <c r="G130" i="59"/>
  <c r="F119" i="59"/>
  <c r="G119" i="59" s="1"/>
  <c r="F107" i="59"/>
  <c r="G107" i="59" s="1"/>
  <c r="F83" i="59"/>
  <c r="G83" i="59" s="1"/>
  <c r="G78" i="59"/>
  <c r="F72" i="59"/>
  <c r="G72" i="59" s="1"/>
  <c r="F164" i="59"/>
  <c r="G164" i="59" s="1"/>
  <c r="F153" i="59"/>
  <c r="G153" i="59" s="1"/>
  <c r="F141" i="59"/>
  <c r="G141" i="59" s="1"/>
  <c r="G136" i="59"/>
  <c r="F118" i="59"/>
  <c r="G118" i="59" s="1"/>
  <c r="F100" i="59"/>
  <c r="G100" i="59" s="1"/>
  <c r="F89" i="59"/>
  <c r="G89" i="59" s="1"/>
  <c r="F77" i="59"/>
  <c r="G77" i="59" s="1"/>
  <c r="F59" i="59"/>
  <c r="G59" i="59" s="1"/>
  <c r="F27" i="59"/>
  <c r="G27" i="59" s="1"/>
  <c r="F163" i="59"/>
  <c r="G163" i="59" s="1"/>
  <c r="G158" i="59"/>
  <c r="G146" i="59"/>
  <c r="F135" i="59"/>
  <c r="G135" i="59" s="1"/>
  <c r="F123" i="59"/>
  <c r="G123" i="59" s="1"/>
  <c r="F99" i="59"/>
  <c r="G99" i="59" s="1"/>
  <c r="G94" i="59"/>
  <c r="F70" i="59"/>
  <c r="G70" i="59" s="1"/>
  <c r="G172" i="59"/>
  <c r="F161" i="59"/>
  <c r="G161" i="59" s="1"/>
  <c r="G156" i="59"/>
  <c r="F145" i="59"/>
  <c r="G145" i="59" s="1"/>
  <c r="G140" i="59"/>
  <c r="F129" i="59"/>
  <c r="G129" i="59" s="1"/>
  <c r="G124" i="59"/>
  <c r="F113" i="59"/>
  <c r="G113" i="59" s="1"/>
  <c r="G108" i="59"/>
  <c r="F97" i="59"/>
  <c r="G97" i="59" s="1"/>
  <c r="G92" i="59"/>
  <c r="F81" i="59"/>
  <c r="G81" i="59" s="1"/>
  <c r="G76" i="59"/>
  <c r="F65" i="59"/>
  <c r="G65" i="59" s="1"/>
  <c r="G60" i="59"/>
  <c r="G44" i="59"/>
  <c r="F33" i="59"/>
  <c r="G33" i="59" s="1"/>
  <c r="G28" i="59"/>
  <c r="F17" i="59"/>
  <c r="G17" i="59" s="1"/>
  <c r="G12" i="59"/>
  <c r="F11" i="59"/>
  <c r="G11" i="59" s="1"/>
  <c r="F165" i="59"/>
  <c r="G165" i="59" s="1"/>
  <c r="G160" i="59"/>
  <c r="F149" i="59"/>
  <c r="G149" i="59" s="1"/>
  <c r="G144" i="59"/>
  <c r="F133" i="59"/>
  <c r="G133" i="59" s="1"/>
  <c r="G128" i="59"/>
  <c r="F117" i="59"/>
  <c r="G117" i="59" s="1"/>
  <c r="G112" i="59"/>
  <c r="F101" i="59"/>
  <c r="G101" i="59" s="1"/>
  <c r="G96" i="59"/>
  <c r="F85" i="59"/>
  <c r="G85" i="59" s="1"/>
  <c r="G80" i="59"/>
  <c r="F69" i="59"/>
  <c r="G69" i="59" s="1"/>
  <c r="G64" i="59"/>
  <c r="F53" i="59"/>
  <c r="G53" i="59" s="1"/>
  <c r="G48" i="59"/>
  <c r="F37" i="59"/>
  <c r="G37" i="59" s="1"/>
  <c r="G32" i="59"/>
  <c r="F21" i="59"/>
  <c r="G21" i="59" s="1"/>
  <c r="F175" i="59"/>
  <c r="G175" i="59" s="1"/>
  <c r="G170" i="59"/>
  <c r="F159" i="59"/>
  <c r="G159" i="59" s="1"/>
  <c r="G154" i="59"/>
  <c r="F143" i="59"/>
  <c r="G143" i="59" s="1"/>
  <c r="G138" i="59"/>
  <c r="F127" i="59"/>
  <c r="G127" i="59" s="1"/>
  <c r="G122" i="59"/>
  <c r="F111" i="59"/>
  <c r="G111" i="59" s="1"/>
  <c r="G106" i="59"/>
  <c r="F95" i="59"/>
  <c r="G95" i="59" s="1"/>
  <c r="G90" i="59"/>
  <c r="F79" i="59"/>
  <c r="G79" i="59" s="1"/>
  <c r="G74" i="59"/>
  <c r="F63" i="59"/>
  <c r="G63" i="59" s="1"/>
  <c r="G58" i="59"/>
  <c r="G42" i="59"/>
  <c r="F31" i="59"/>
  <c r="G31" i="59" s="1"/>
  <c r="G10" i="59"/>
  <c r="G52" i="59"/>
  <c r="F41" i="59"/>
  <c r="G41" i="59" s="1"/>
  <c r="F25" i="59"/>
  <c r="G25" i="59" s="1"/>
  <c r="G20" i="59"/>
  <c r="F9" i="59"/>
  <c r="G9" i="59" s="1"/>
  <c r="F67" i="59"/>
  <c r="G67" i="59" s="1"/>
  <c r="G62" i="59"/>
  <c r="F51" i="59"/>
  <c r="G51" i="59" s="1"/>
  <c r="G46" i="59"/>
  <c r="F35" i="59"/>
  <c r="G35" i="59" s="1"/>
  <c r="F19" i="59"/>
  <c r="G19" i="59" s="1"/>
  <c r="G14" i="59"/>
  <c r="G56" i="59"/>
  <c r="F45" i="59"/>
  <c r="G45" i="59" s="1"/>
  <c r="G40" i="59"/>
  <c r="G24" i="59"/>
  <c r="F13" i="59"/>
  <c r="G13" i="59" s="1"/>
  <c r="G8" i="59"/>
  <c r="F103" i="59"/>
  <c r="G103" i="59" s="1"/>
  <c r="G98" i="59"/>
  <c r="F87" i="59"/>
  <c r="G87" i="59" s="1"/>
  <c r="G82" i="59"/>
  <c r="F71" i="59"/>
  <c r="G71" i="59" s="1"/>
  <c r="G66" i="59"/>
  <c r="F55" i="59"/>
  <c r="G55" i="59" s="1"/>
  <c r="G50" i="59"/>
  <c r="F39" i="59"/>
  <c r="G39" i="59" s="1"/>
  <c r="G34" i="59"/>
  <c r="F23" i="59"/>
  <c r="G23" i="59" s="1"/>
  <c r="G18" i="59"/>
  <c r="F7" i="59"/>
  <c r="G7" i="59" s="1"/>
  <c r="F6" i="59"/>
  <c r="G6" i="59" s="1"/>
  <c r="F368" i="51"/>
  <c r="G368" i="51" s="1"/>
  <c r="F367" i="51"/>
  <c r="G367" i="51" s="1"/>
  <c r="F315" i="51"/>
  <c r="G315" i="51" s="1"/>
  <c r="F314" i="51"/>
  <c r="G314" i="51" s="1"/>
  <c r="F316" i="51"/>
  <c r="G316" i="51" s="1"/>
  <c r="F285" i="51"/>
  <c r="G285" i="51" s="1"/>
  <c r="G284" i="51"/>
  <c r="E368" i="10"/>
  <c r="F368" i="10" s="1"/>
  <c r="E367" i="10"/>
  <c r="F367" i="10" s="1"/>
  <c r="F316" i="10"/>
  <c r="F315" i="10"/>
  <c r="D1162" i="31"/>
  <c r="D1161" i="31"/>
  <c r="D994" i="31"/>
  <c r="E994" i="31" s="1"/>
  <c r="D995" i="31"/>
  <c r="E995" i="31" s="1"/>
  <c r="D996" i="31"/>
  <c r="E996" i="31" s="1"/>
  <c r="D997" i="31"/>
  <c r="E997" i="31" s="1"/>
  <c r="F997" i="31" s="1"/>
  <c r="D998" i="31"/>
  <c r="E998" i="31" s="1"/>
  <c r="D999" i="31"/>
  <c r="E999" i="31" s="1"/>
  <c r="D1000" i="31"/>
  <c r="E1000" i="31" s="1"/>
  <c r="F1000" i="31" s="1"/>
  <c r="D1001" i="31"/>
  <c r="E1001" i="31" s="1"/>
  <c r="D1002" i="31"/>
  <c r="E1002" i="31" s="1"/>
  <c r="F1002" i="31" s="1"/>
  <c r="D1003" i="31"/>
  <c r="E1003" i="31" s="1"/>
  <c r="D1004" i="31"/>
  <c r="E1004" i="31" s="1"/>
  <c r="D1005" i="31"/>
  <c r="E1005" i="31" s="1"/>
  <c r="F1005" i="31" s="1"/>
  <c r="D952" i="31"/>
  <c r="E952" i="31" s="1"/>
  <c r="D953" i="31"/>
  <c r="E953" i="31" s="1"/>
  <c r="D954" i="31"/>
  <c r="E954" i="31" s="1"/>
  <c r="F954" i="31" s="1"/>
  <c r="D955" i="31"/>
  <c r="E955" i="31" s="1"/>
  <c r="D956" i="31"/>
  <c r="E956" i="31" s="1"/>
  <c r="F956" i="31" s="1"/>
  <c r="D957" i="31"/>
  <c r="E957" i="31" s="1"/>
  <c r="F957" i="31" s="1"/>
  <c r="D958" i="31"/>
  <c r="E958" i="31" s="1"/>
  <c r="D959" i="31"/>
  <c r="E959" i="31" s="1"/>
  <c r="F959" i="31" s="1"/>
  <c r="D960" i="31"/>
  <c r="E960" i="31" s="1"/>
  <c r="D961" i="31"/>
  <c r="E961" i="31" s="1"/>
  <c r="D869" i="31"/>
  <c r="D868" i="31"/>
  <c r="D848" i="31"/>
  <c r="E848" i="31" s="1"/>
  <c r="D849" i="31"/>
  <c r="E849" i="31" s="1"/>
  <c r="F849" i="31" s="1"/>
  <c r="D337" i="31"/>
  <c r="E337" i="31" s="1"/>
  <c r="D338" i="31"/>
  <c r="E338" i="31" s="1"/>
  <c r="D339" i="31"/>
  <c r="E339" i="31" s="1"/>
  <c r="F339" i="31" s="1"/>
  <c r="D340" i="31"/>
  <c r="E340" i="31" s="1"/>
  <c r="F340" i="31" s="1"/>
  <c r="D264" i="31"/>
  <c r="E264" i="31" s="1"/>
  <c r="D263" i="31"/>
  <c r="E263" i="31" s="1"/>
  <c r="D262" i="31"/>
  <c r="E262" i="31" s="1"/>
  <c r="D261" i="31"/>
  <c r="E261" i="31" s="1"/>
  <c r="D518" i="2"/>
  <c r="E518" i="2" s="1"/>
  <c r="D517" i="2"/>
  <c r="E517" i="2" s="1"/>
  <c r="D516" i="2"/>
  <c r="E516" i="2" s="1"/>
  <c r="D515" i="2"/>
  <c r="E515" i="2" s="1"/>
  <c r="D432" i="2"/>
  <c r="D431" i="2"/>
  <c r="D430" i="2"/>
  <c r="E430" i="2" s="1"/>
  <c r="D420" i="2"/>
  <c r="E420" i="2" s="1"/>
  <c r="D419" i="2"/>
  <c r="E419" i="2" s="1"/>
  <c r="D418" i="2"/>
  <c r="E418" i="2" s="1"/>
  <c r="D417" i="2"/>
  <c r="E417" i="2" s="1"/>
  <c r="D364" i="2"/>
  <c r="E364" i="2" s="1"/>
  <c r="D363" i="2"/>
  <c r="E363" i="2" s="1"/>
  <c r="D91" i="2"/>
  <c r="D90" i="2"/>
  <c r="E90" i="2" s="1"/>
  <c r="D89" i="2"/>
  <c r="E89" i="2" s="1"/>
  <c r="D88" i="2"/>
  <c r="E88" i="2" s="1"/>
  <c r="D87" i="2"/>
  <c r="E87" i="2" s="1"/>
  <c r="D86" i="2"/>
  <c r="E86" i="2" s="1"/>
  <c r="D77" i="2"/>
  <c r="E77" i="2" s="1"/>
  <c r="F77" i="2" s="1"/>
  <c r="D78" i="2"/>
  <c r="E78" i="2" s="1"/>
  <c r="F78" i="2" s="1"/>
  <c r="D79" i="2"/>
  <c r="E79" i="2" s="1"/>
  <c r="F79" i="2" s="1"/>
  <c r="D80" i="2"/>
  <c r="E80" i="2" s="1"/>
  <c r="D81" i="2"/>
  <c r="E81" i="2" s="1"/>
  <c r="F81" i="2" s="1"/>
  <c r="D82" i="2"/>
  <c r="E82" i="2" s="1"/>
  <c r="F82" i="2" s="1"/>
  <c r="D70" i="2"/>
  <c r="E70" i="2" s="1"/>
  <c r="D69" i="2"/>
  <c r="E69" i="2" s="1"/>
  <c r="F69" i="2" s="1"/>
  <c r="D68" i="2"/>
  <c r="E68" i="2" s="1"/>
  <c r="D67" i="2"/>
  <c r="E67" i="2" s="1"/>
  <c r="D66" i="2"/>
  <c r="E66" i="2" s="1"/>
  <c r="D65" i="2"/>
  <c r="E65" i="2" s="1"/>
  <c r="F65" i="2" s="1"/>
  <c r="D1281" i="31"/>
  <c r="E1281" i="31" s="1"/>
  <c r="D1282" i="31"/>
  <c r="E1282" i="31" s="1"/>
  <c r="D1283" i="31"/>
  <c r="E1283" i="31" s="1"/>
  <c r="F1283" i="31" s="1"/>
  <c r="D1284" i="31"/>
  <c r="E1284" i="31" s="1"/>
  <c r="F1284" i="31" s="1"/>
  <c r="D1285" i="31"/>
  <c r="E1285" i="31" s="1"/>
  <c r="D1286" i="31"/>
  <c r="E1286" i="31" s="1"/>
  <c r="D1287" i="31"/>
  <c r="E1287" i="31" s="1"/>
  <c r="D1288" i="31"/>
  <c r="E1288" i="31" s="1"/>
  <c r="D1289" i="31"/>
  <c r="E1289" i="31" s="1"/>
  <c r="D1290" i="31"/>
  <c r="E1290" i="31" s="1"/>
  <c r="D1291" i="31"/>
  <c r="E1291" i="31" s="1"/>
  <c r="F1291" i="31" s="1"/>
  <c r="D1292" i="31"/>
  <c r="E1292" i="31" s="1"/>
  <c r="F1292" i="31" s="1"/>
  <c r="D1293" i="31"/>
  <c r="E1293" i="31" s="1"/>
  <c r="D1294" i="31"/>
  <c r="E1294" i="31" s="1"/>
  <c r="D1295" i="31"/>
  <c r="E1295" i="31" s="1"/>
  <c r="D1296" i="31"/>
  <c r="E1296" i="31" s="1"/>
  <c r="F1296" i="31" s="1"/>
  <c r="D1297" i="31"/>
  <c r="E1297" i="31" s="1"/>
  <c r="D1298" i="31"/>
  <c r="E1298" i="31" s="1"/>
  <c r="D1299" i="31"/>
  <c r="E1299" i="31" s="1"/>
  <c r="F1299" i="31" s="1"/>
  <c r="D1300" i="31"/>
  <c r="E1300" i="31" s="1"/>
  <c r="F1300" i="31" s="1"/>
  <c r="D1304" i="31"/>
  <c r="E1304" i="31" s="1"/>
  <c r="F1304" i="31" s="1"/>
  <c r="D1305" i="31"/>
  <c r="E1305" i="31" s="1"/>
  <c r="D1306" i="31"/>
  <c r="E1306" i="31" s="1"/>
  <c r="D1307" i="31"/>
  <c r="E1307" i="31" s="1"/>
  <c r="F1307" i="31" s="1"/>
  <c r="D1308" i="31"/>
  <c r="E1308" i="31" s="1"/>
  <c r="F1308" i="31" s="1"/>
  <c r="D1309" i="31"/>
  <c r="E1309" i="31" s="1"/>
  <c r="D1310" i="31"/>
  <c r="E1310" i="31" s="1"/>
  <c r="D1311" i="31"/>
  <c r="E1311" i="31" s="1"/>
  <c r="F1311" i="31" s="1"/>
  <c r="D1312" i="31"/>
  <c r="E1312" i="31" s="1"/>
  <c r="F1312" i="31" s="1"/>
  <c r="D1313" i="31"/>
  <c r="E1313" i="31" s="1"/>
  <c r="D1314" i="31"/>
  <c r="D1315" i="31"/>
  <c r="E1315" i="31" s="1"/>
  <c r="F1315" i="31" s="1"/>
  <c r="D1316" i="31"/>
  <c r="E1316" i="31" s="1"/>
  <c r="F1316" i="31" s="1"/>
  <c r="D1317" i="31"/>
  <c r="E1317" i="31" s="1"/>
  <c r="D1318" i="31"/>
  <c r="E1318" i="31" s="1"/>
  <c r="D1319" i="31"/>
  <c r="E1319" i="31" s="1"/>
  <c r="D1320" i="31"/>
  <c r="E1320" i="31" s="1"/>
  <c r="D1321" i="31"/>
  <c r="E1321" i="31" s="1"/>
  <c r="D1322" i="31"/>
  <c r="E1322" i="31" s="1"/>
  <c r="D1323" i="31"/>
  <c r="E1323" i="31" s="1"/>
  <c r="F1323" i="31" s="1"/>
  <c r="D1324" i="31"/>
  <c r="E1324" i="31" s="1"/>
  <c r="F1324" i="31" s="1"/>
  <c r="D1325" i="31"/>
  <c r="E1325" i="31" s="1"/>
  <c r="D1326" i="31"/>
  <c r="E1326" i="31" s="1"/>
  <c r="D1328" i="31"/>
  <c r="E1328" i="31" s="1"/>
  <c r="F1328" i="31" s="1"/>
  <c r="D1329" i="31"/>
  <c r="E1329" i="31" s="1"/>
  <c r="D1330" i="31"/>
  <c r="E1330" i="31" s="1"/>
  <c r="D1193" i="31"/>
  <c r="E1193" i="31" s="1"/>
  <c r="F1193" i="31" s="1"/>
  <c r="D1194" i="31"/>
  <c r="E1194" i="31" s="1"/>
  <c r="D1195" i="31"/>
  <c r="E1195" i="31" s="1"/>
  <c r="D1196" i="31"/>
  <c r="E1196" i="31" s="1"/>
  <c r="D1197" i="31"/>
  <c r="E1197" i="31" s="1"/>
  <c r="D1198" i="31"/>
  <c r="E1198" i="31" s="1"/>
  <c r="D1199" i="31"/>
  <c r="E1199" i="31" s="1"/>
  <c r="F1199" i="31" s="1"/>
  <c r="D1200" i="31"/>
  <c r="E1200" i="31" s="1"/>
  <c r="F1200" i="31" s="1"/>
  <c r="D1201" i="31"/>
  <c r="E1201" i="31" s="1"/>
  <c r="D1202" i="31"/>
  <c r="E1202" i="31" s="1"/>
  <c r="F1202" i="31" s="1"/>
  <c r="D1203" i="31"/>
  <c r="E1203" i="31" s="1"/>
  <c r="D1204" i="31"/>
  <c r="E1204" i="31" s="1"/>
  <c r="D1206" i="31"/>
  <c r="E1206" i="31" s="1"/>
  <c r="D1207" i="31"/>
  <c r="E1207" i="31" s="1"/>
  <c r="F1207" i="31" s="1"/>
  <c r="D1209" i="31"/>
  <c r="E1209" i="31" s="1"/>
  <c r="F1209" i="31" s="1"/>
  <c r="D1210" i="31"/>
  <c r="D1211" i="31"/>
  <c r="E1211" i="31" s="1"/>
  <c r="D1212" i="31"/>
  <c r="E1212" i="31" s="1"/>
  <c r="D1213" i="31"/>
  <c r="E1213" i="31" s="1"/>
  <c r="F1213" i="31" s="1"/>
  <c r="D1214" i="31"/>
  <c r="E1214" i="31" s="1"/>
  <c r="D1215" i="31"/>
  <c r="E1215" i="31" s="1"/>
  <c r="F1215" i="31" s="1"/>
  <c r="D1216" i="31"/>
  <c r="E1216" i="31" s="1"/>
  <c r="F1216" i="31" s="1"/>
  <c r="D1217" i="31"/>
  <c r="E1217" i="31" s="1"/>
  <c r="F1217" i="31" s="1"/>
  <c r="D1218" i="31"/>
  <c r="E1218" i="31" s="1"/>
  <c r="D1219" i="31"/>
  <c r="E1219" i="31" s="1"/>
  <c r="D1220" i="31"/>
  <c r="E1220" i="31" s="1"/>
  <c r="D1221" i="31"/>
  <c r="D1224" i="31"/>
  <c r="E1224" i="31" s="1"/>
  <c r="F1224" i="31" s="1"/>
  <c r="D1225" i="31"/>
  <c r="E1225" i="31" s="1"/>
  <c r="F1225" i="31" s="1"/>
  <c r="D1226" i="31"/>
  <c r="E1226" i="31" s="1"/>
  <c r="D1227" i="31"/>
  <c r="E1227" i="31" s="1"/>
  <c r="D1228" i="31"/>
  <c r="E1228" i="31" s="1"/>
  <c r="D1229" i="31"/>
  <c r="E1229" i="31" s="1"/>
  <c r="D1230" i="31"/>
  <c r="E1230" i="31" s="1"/>
  <c r="D1231" i="31"/>
  <c r="E1231" i="31" s="1"/>
  <c r="F1231" i="31" s="1"/>
  <c r="D1192" i="31"/>
  <c r="E1192" i="31" s="1"/>
  <c r="F1192" i="31" s="1"/>
  <c r="D587" i="2"/>
  <c r="E587" i="2" s="1"/>
  <c r="D588" i="2"/>
  <c r="E588" i="2" s="1"/>
  <c r="F588" i="2" s="1"/>
  <c r="D589" i="2"/>
  <c r="D590" i="2"/>
  <c r="E590" i="2" s="1"/>
  <c r="D591" i="2"/>
  <c r="E591" i="2" s="1"/>
  <c r="D592" i="2"/>
  <c r="E592" i="2" s="1"/>
  <c r="F592" i="2" s="1"/>
  <c r="D593" i="2"/>
  <c r="E593" i="2" s="1"/>
  <c r="F593" i="2" s="1"/>
  <c r="D594" i="2"/>
  <c r="E594" i="2" s="1"/>
  <c r="D595" i="2"/>
  <c r="E595" i="2" s="1"/>
  <c r="D596" i="2"/>
  <c r="E596" i="2" s="1"/>
  <c r="F596" i="2" s="1"/>
  <c r="D597" i="2"/>
  <c r="D599" i="2"/>
  <c r="E599" i="2" s="1"/>
  <c r="D600" i="2"/>
  <c r="E600" i="2" s="1"/>
  <c r="F600" i="2" s="1"/>
  <c r="D601" i="2"/>
  <c r="D602" i="2"/>
  <c r="E602" i="2" s="1"/>
  <c r="D603" i="2"/>
  <c r="E603" i="2" s="1"/>
  <c r="D546" i="2"/>
  <c r="E546" i="2" s="1"/>
  <c r="D547" i="2"/>
  <c r="E547" i="2" s="1"/>
  <c r="D548" i="2"/>
  <c r="E548" i="2" s="1"/>
  <c r="F548" i="2" s="1"/>
  <c r="D549" i="2"/>
  <c r="E549" i="2" s="1"/>
  <c r="F549" i="2" s="1"/>
  <c r="D550" i="2"/>
  <c r="E550" i="2" s="1"/>
  <c r="F550" i="2" s="1"/>
  <c r="D551" i="2"/>
  <c r="E551" i="2" s="1"/>
  <c r="D554" i="2"/>
  <c r="E554" i="2" s="1"/>
  <c r="D555" i="2"/>
  <c r="E555" i="2" s="1"/>
  <c r="F581" i="59" l="1"/>
  <c r="G581" i="59" s="1"/>
  <c r="E1162" i="31"/>
  <c r="F1162" i="31" s="1"/>
  <c r="E1161" i="31"/>
  <c r="F1161" i="31" s="1"/>
  <c r="F1001" i="31"/>
  <c r="F996" i="31"/>
  <c r="F1004" i="31"/>
  <c r="F995" i="31"/>
  <c r="F1003" i="31"/>
  <c r="F998" i="31"/>
  <c r="F994" i="31"/>
  <c r="F999" i="31"/>
  <c r="F955" i="31"/>
  <c r="F960" i="31"/>
  <c r="F958" i="31"/>
  <c r="F952" i="31"/>
  <c r="F961" i="31"/>
  <c r="F953" i="31"/>
  <c r="E869" i="31"/>
  <c r="F869" i="31" s="1"/>
  <c r="E868" i="31"/>
  <c r="F868" i="31" s="1"/>
  <c r="F848" i="31"/>
  <c r="F337" i="31"/>
  <c r="F338" i="31"/>
  <c r="F264" i="31"/>
  <c r="F263" i="31"/>
  <c r="F262" i="31"/>
  <c r="F261" i="31"/>
  <c r="F1320" i="31"/>
  <c r="F1295" i="31"/>
  <c r="F1319" i="31"/>
  <c r="F1288" i="31"/>
  <c r="F1287" i="31"/>
  <c r="F1322" i="31"/>
  <c r="F1282" i="31"/>
  <c r="F1201" i="31"/>
  <c r="F1290" i="31"/>
  <c r="F1229" i="31"/>
  <c r="F1306" i="31"/>
  <c r="E1221" i="31"/>
  <c r="F1221" i="31" s="1"/>
  <c r="F1330" i="31"/>
  <c r="E1314" i="31"/>
  <c r="F1314" i="31" s="1"/>
  <c r="F1298" i="31"/>
  <c r="F518" i="2"/>
  <c r="F517" i="2"/>
  <c r="F516" i="2"/>
  <c r="F515" i="2"/>
  <c r="E432" i="2"/>
  <c r="F432" i="2" s="1"/>
  <c r="E431" i="2"/>
  <c r="F431" i="2" s="1"/>
  <c r="F430" i="2"/>
  <c r="F417" i="2"/>
  <c r="F420" i="2"/>
  <c r="F419" i="2"/>
  <c r="F418" i="2"/>
  <c r="F364" i="2"/>
  <c r="F363" i="2"/>
  <c r="E91" i="2"/>
  <c r="F91" i="2" s="1"/>
  <c r="F90" i="2"/>
  <c r="F89" i="2"/>
  <c r="F88" i="2"/>
  <c r="F87" i="2"/>
  <c r="F86" i="2"/>
  <c r="F80" i="2"/>
  <c r="F70" i="2"/>
  <c r="F68" i="2"/>
  <c r="F67" i="2"/>
  <c r="F66" i="2"/>
  <c r="F591" i="2"/>
  <c r="F594" i="2"/>
  <c r="F599" i="2"/>
  <c r="F602" i="2"/>
  <c r="E601" i="2"/>
  <c r="F601" i="2" s="1"/>
  <c r="F1325" i="31"/>
  <c r="F1317" i="31"/>
  <c r="F1309" i="31"/>
  <c r="F1293" i="31"/>
  <c r="F1285" i="31"/>
  <c r="F1329" i="31"/>
  <c r="F1321" i="31"/>
  <c r="F1313" i="31"/>
  <c r="F1305" i="31"/>
  <c r="F1297" i="31"/>
  <c r="F1289" i="31"/>
  <c r="F1281" i="31"/>
  <c r="F1326" i="31"/>
  <c r="F1318" i="31"/>
  <c r="F1310" i="31"/>
  <c r="F1294" i="31"/>
  <c r="F1286" i="31"/>
  <c r="E1210" i="31"/>
  <c r="F1210" i="31" s="1"/>
  <c r="F1204" i="31"/>
  <c r="F1196" i="31"/>
  <c r="F1228" i="31"/>
  <c r="F1220" i="31"/>
  <c r="F1203" i="31"/>
  <c r="F1195" i="31"/>
  <c r="F1227" i="31"/>
  <c r="F1219" i="31"/>
  <c r="F1212" i="31"/>
  <c r="F1194" i="31"/>
  <c r="F1226" i="31"/>
  <c r="F1218" i="31"/>
  <c r="F1197" i="31"/>
  <c r="F1211" i="31"/>
  <c r="F1230" i="31"/>
  <c r="F1214" i="31"/>
  <c r="F1206" i="31"/>
  <c r="F1198" i="31"/>
  <c r="E597" i="2"/>
  <c r="F597" i="2" s="1"/>
  <c r="E589" i="2"/>
  <c r="F589" i="2" s="1"/>
  <c r="F590" i="2"/>
  <c r="F603" i="2"/>
  <c r="F595" i="2"/>
  <c r="F587" i="2"/>
  <c r="F555" i="2"/>
  <c r="F547" i="2"/>
  <c r="F554" i="2"/>
  <c r="F546" i="2"/>
  <c r="F551" i="2"/>
  <c r="D57" i="58" l="1"/>
  <c r="E57" i="58" s="1"/>
  <c r="D56" i="58"/>
  <c r="E56" i="58" s="1"/>
  <c r="D54" i="58"/>
  <c r="E54" i="58" s="1"/>
  <c r="D53" i="58"/>
  <c r="E53" i="58" s="1"/>
  <c r="D52" i="58"/>
  <c r="E52" i="58" s="1"/>
  <c r="D51" i="58"/>
  <c r="E51" i="58" s="1"/>
  <c r="D50" i="58"/>
  <c r="E50" i="58" s="1"/>
  <c r="D49" i="58"/>
  <c r="E49" i="58" s="1"/>
  <c r="D48" i="58"/>
  <c r="E48" i="58" s="1"/>
  <c r="D47" i="58"/>
  <c r="E47" i="58" s="1"/>
  <c r="D46" i="58"/>
  <c r="E46" i="58" s="1"/>
  <c r="D44" i="58"/>
  <c r="E44" i="58" s="1"/>
  <c r="D43" i="58"/>
  <c r="E43" i="58" s="1"/>
  <c r="D42" i="58"/>
  <c r="E42" i="58" s="1"/>
  <c r="D41" i="58"/>
  <c r="E41" i="58" s="1"/>
  <c r="D40" i="58"/>
  <c r="E40" i="58" s="1"/>
  <c r="D39" i="58"/>
  <c r="E39" i="58" s="1"/>
  <c r="D38" i="58"/>
  <c r="E38" i="58" s="1"/>
  <c r="D37" i="58"/>
  <c r="E37" i="58" s="1"/>
  <c r="D36" i="58"/>
  <c r="E36" i="58" s="1"/>
  <c r="D35" i="58"/>
  <c r="E35" i="58" s="1"/>
  <c r="D34" i="58"/>
  <c r="E34" i="58" s="1"/>
  <c r="D33" i="58"/>
  <c r="E33" i="58" s="1"/>
  <c r="D32" i="58"/>
  <c r="E32" i="58" s="1"/>
  <c r="D31" i="58"/>
  <c r="E31" i="58" s="1"/>
  <c r="D30" i="58"/>
  <c r="E30" i="58" s="1"/>
  <c r="D29" i="58"/>
  <c r="E29" i="58" s="1"/>
  <c r="D28" i="58"/>
  <c r="E28" i="58" s="1"/>
  <c r="D27" i="58"/>
  <c r="E27" i="58" s="1"/>
  <c r="D25" i="58"/>
  <c r="E25" i="58" s="1"/>
  <c r="D24" i="58"/>
  <c r="E24" i="58" s="1"/>
  <c r="D23" i="58"/>
  <c r="E23" i="58" s="1"/>
  <c r="D22" i="58"/>
  <c r="E22" i="58" s="1"/>
  <c r="D21" i="58"/>
  <c r="E21" i="58" s="1"/>
  <c r="D20" i="58"/>
  <c r="E20" i="58" s="1"/>
  <c r="D19" i="58"/>
  <c r="E19" i="58" s="1"/>
  <c r="D17" i="58"/>
  <c r="E17" i="58" s="1"/>
  <c r="D16" i="58"/>
  <c r="E16" i="58" s="1"/>
  <c r="D15" i="58"/>
  <c r="E15" i="58" s="1"/>
  <c r="D14" i="58"/>
  <c r="E14" i="58" s="1"/>
  <c r="D13" i="58"/>
  <c r="E13" i="58" s="1"/>
  <c r="D12" i="58"/>
  <c r="E12" i="58" s="1"/>
  <c r="D10" i="58"/>
  <c r="E10" i="58" s="1"/>
  <c r="D9" i="58"/>
  <c r="E9" i="58" s="1"/>
  <c r="D8" i="58"/>
  <c r="E8" i="58" s="1"/>
  <c r="D7" i="58"/>
  <c r="E7" i="58" s="1"/>
  <c r="D6" i="58"/>
  <c r="E6" i="58" s="1"/>
  <c r="D5" i="58"/>
  <c r="E5" i="58" s="1"/>
  <c r="D57" i="57"/>
  <c r="E57" i="57" s="1"/>
  <c r="D56" i="57"/>
  <c r="E56" i="57" s="1"/>
  <c r="D53" i="57"/>
  <c r="E53" i="57" s="1"/>
  <c r="F53" i="57" s="1"/>
  <c r="G53" i="57" s="1"/>
  <c r="D52" i="57"/>
  <c r="E52" i="57" s="1"/>
  <c r="D50" i="57"/>
  <c r="E50" i="57" s="1"/>
  <c r="F50" i="57" s="1"/>
  <c r="G50" i="57" s="1"/>
  <c r="D49" i="57"/>
  <c r="E49" i="57" s="1"/>
  <c r="D47" i="57"/>
  <c r="E47" i="57" s="1"/>
  <c r="F47" i="57" s="1"/>
  <c r="G47" i="57" s="1"/>
  <c r="D46" i="57"/>
  <c r="E46" i="57" s="1"/>
  <c r="D42" i="57"/>
  <c r="E42" i="57" s="1"/>
  <c r="F42" i="57" s="1"/>
  <c r="G42" i="57" s="1"/>
  <c r="D41" i="57"/>
  <c r="E41" i="57" s="1"/>
  <c r="D40" i="57"/>
  <c r="E40" i="57" s="1"/>
  <c r="F40" i="57" s="1"/>
  <c r="G40" i="57" s="1"/>
  <c r="D39" i="57"/>
  <c r="E39" i="57" s="1"/>
  <c r="D38" i="57"/>
  <c r="E38" i="57" s="1"/>
  <c r="F38" i="57" s="1"/>
  <c r="G38" i="57" s="1"/>
  <c r="D37" i="57"/>
  <c r="E37" i="57" s="1"/>
  <c r="D34" i="57"/>
  <c r="E34" i="57" s="1"/>
  <c r="F34" i="57" s="1"/>
  <c r="G34" i="57" s="1"/>
  <c r="D33" i="57"/>
  <c r="E33" i="57" s="1"/>
  <c r="D32" i="57"/>
  <c r="E32" i="57" s="1"/>
  <c r="F32" i="57" s="1"/>
  <c r="G32" i="57" s="1"/>
  <c r="D31" i="57"/>
  <c r="E31" i="57" s="1"/>
  <c r="D30" i="57"/>
  <c r="E30" i="57" s="1"/>
  <c r="F30" i="57" s="1"/>
  <c r="G30" i="57" s="1"/>
  <c r="D29" i="57"/>
  <c r="E29" i="57" s="1"/>
  <c r="D28" i="57"/>
  <c r="E28" i="57" s="1"/>
  <c r="F28" i="57" s="1"/>
  <c r="G28" i="57" s="1"/>
  <c r="D27" i="57"/>
  <c r="E27" i="57" s="1"/>
  <c r="D25" i="57"/>
  <c r="E25" i="57" s="1"/>
  <c r="F25" i="57" s="1"/>
  <c r="G25" i="57" s="1"/>
  <c r="D24" i="57"/>
  <c r="E24" i="57" s="1"/>
  <c r="D23" i="57"/>
  <c r="E23" i="57" s="1"/>
  <c r="F23" i="57" s="1"/>
  <c r="G23" i="57" s="1"/>
  <c r="D22" i="57"/>
  <c r="E22" i="57" s="1"/>
  <c r="D21" i="57"/>
  <c r="E21" i="57" s="1"/>
  <c r="F21" i="57" s="1"/>
  <c r="G21" i="57" s="1"/>
  <c r="D20" i="57"/>
  <c r="E20" i="57" s="1"/>
  <c r="D19" i="57"/>
  <c r="E19" i="57" s="1"/>
  <c r="F19" i="57" s="1"/>
  <c r="G19" i="57" s="1"/>
  <c r="D17" i="57"/>
  <c r="E17" i="57" s="1"/>
  <c r="D16" i="57"/>
  <c r="E16" i="57" s="1"/>
  <c r="F16" i="57" s="1"/>
  <c r="G16" i="57" s="1"/>
  <c r="D15" i="57"/>
  <c r="E15" i="57" s="1"/>
  <c r="D14" i="57"/>
  <c r="E14" i="57" s="1"/>
  <c r="F14" i="57" s="1"/>
  <c r="G14" i="57" s="1"/>
  <c r="D13" i="57"/>
  <c r="E13" i="57" s="1"/>
  <c r="D12" i="57"/>
  <c r="E12" i="57" s="1"/>
  <c r="F12" i="57" s="1"/>
  <c r="G12" i="57" s="1"/>
  <c r="D10" i="57"/>
  <c r="E10" i="57" s="1"/>
  <c r="D9" i="57"/>
  <c r="E9" i="57" s="1"/>
  <c r="F9" i="57" s="1"/>
  <c r="G9" i="57" s="1"/>
  <c r="D8" i="57"/>
  <c r="E8" i="57" s="1"/>
  <c r="D7" i="57"/>
  <c r="E7" i="57" s="1"/>
  <c r="F7" i="57" s="1"/>
  <c r="G7" i="57" s="1"/>
  <c r="D6" i="57"/>
  <c r="E6" i="57" s="1"/>
  <c r="D5" i="57"/>
  <c r="E5" i="57" s="1"/>
  <c r="F5" i="57" s="1"/>
  <c r="G5" i="57" s="1"/>
  <c r="F49" i="58" l="1"/>
  <c r="G49" i="58" s="1"/>
  <c r="F6" i="58"/>
  <c r="G6" i="58" s="1"/>
  <c r="F50" i="58"/>
  <c r="G50" i="58" s="1"/>
  <c r="F7" i="58"/>
  <c r="G7" i="58" s="1"/>
  <c r="F16" i="58"/>
  <c r="G16" i="58" s="1"/>
  <c r="F25" i="58"/>
  <c r="G25" i="58" s="1"/>
  <c r="F34" i="58"/>
  <c r="G34" i="58" s="1"/>
  <c r="F42" i="58"/>
  <c r="G42" i="58" s="1"/>
  <c r="F51" i="58"/>
  <c r="G51" i="58" s="1"/>
  <c r="F23" i="58"/>
  <c r="G23" i="58" s="1"/>
  <c r="F24" i="58"/>
  <c r="G24" i="58" s="1"/>
  <c r="F8" i="58"/>
  <c r="G8" i="58" s="1"/>
  <c r="F17" i="58"/>
  <c r="G17" i="58" s="1"/>
  <c r="F27" i="58"/>
  <c r="G27" i="58" s="1"/>
  <c r="F35" i="58"/>
  <c r="G35" i="58" s="1"/>
  <c r="F43" i="58"/>
  <c r="G43" i="58" s="1"/>
  <c r="F52" i="58"/>
  <c r="G52" i="58" s="1"/>
  <c r="F15" i="58"/>
  <c r="G15" i="58" s="1"/>
  <c r="F9" i="58"/>
  <c r="G9" i="58" s="1"/>
  <c r="F19" i="58"/>
  <c r="G19" i="58" s="1"/>
  <c r="F28" i="58"/>
  <c r="G28" i="58" s="1"/>
  <c r="F36" i="58"/>
  <c r="G36" i="58" s="1"/>
  <c r="F44" i="58"/>
  <c r="G44" i="58" s="1"/>
  <c r="F53" i="58"/>
  <c r="G53" i="58" s="1"/>
  <c r="F14" i="58"/>
  <c r="G14" i="58" s="1"/>
  <c r="F41" i="58"/>
  <c r="G41" i="58" s="1"/>
  <c r="F10" i="58"/>
  <c r="G10" i="58" s="1"/>
  <c r="F20" i="58"/>
  <c r="G20" i="58" s="1"/>
  <c r="F29" i="58"/>
  <c r="G29" i="58" s="1"/>
  <c r="F37" i="58"/>
  <c r="G37" i="58" s="1"/>
  <c r="F46" i="58"/>
  <c r="G46" i="58" s="1"/>
  <c r="F54" i="58"/>
  <c r="G54" i="58" s="1"/>
  <c r="F5" i="58"/>
  <c r="G5" i="58" s="1"/>
  <c r="F40" i="58"/>
  <c r="G40" i="58" s="1"/>
  <c r="F33" i="58"/>
  <c r="G33" i="58" s="1"/>
  <c r="F12" i="58"/>
  <c r="G12" i="58" s="1"/>
  <c r="F21" i="58"/>
  <c r="G21" i="58" s="1"/>
  <c r="F30" i="58"/>
  <c r="G30" i="58" s="1"/>
  <c r="F38" i="58"/>
  <c r="G38" i="58" s="1"/>
  <c r="F47" i="58"/>
  <c r="G47" i="58" s="1"/>
  <c r="F56" i="58"/>
  <c r="G56" i="58" s="1"/>
  <c r="F32" i="58"/>
  <c r="G32" i="58" s="1"/>
  <c r="F13" i="58"/>
  <c r="G13" i="58" s="1"/>
  <c r="F22" i="58"/>
  <c r="G22" i="58" s="1"/>
  <c r="F31" i="58"/>
  <c r="G31" i="58" s="1"/>
  <c r="F39" i="58"/>
  <c r="G39" i="58" s="1"/>
  <c r="F48" i="58"/>
  <c r="G48" i="58" s="1"/>
  <c r="F57" i="58"/>
  <c r="G57" i="58" s="1"/>
  <c r="F56" i="57"/>
  <c r="G56" i="57" s="1"/>
  <c r="F57" i="57"/>
  <c r="G57" i="57" s="1"/>
  <c r="F6" i="57"/>
  <c r="G6" i="57" s="1"/>
  <c r="F8" i="57"/>
  <c r="G8" i="57" s="1"/>
  <c r="F10" i="57"/>
  <c r="G10" i="57" s="1"/>
  <c r="F13" i="57"/>
  <c r="G13" i="57" s="1"/>
  <c r="F15" i="57"/>
  <c r="G15" i="57" s="1"/>
  <c r="F17" i="57"/>
  <c r="G17" i="57" s="1"/>
  <c r="F20" i="57"/>
  <c r="G20" i="57" s="1"/>
  <c r="F22" i="57"/>
  <c r="G22" i="57" s="1"/>
  <c r="F24" i="57"/>
  <c r="G24" i="57" s="1"/>
  <c r="F27" i="57"/>
  <c r="G27" i="57" s="1"/>
  <c r="F29" i="57"/>
  <c r="G29" i="57" s="1"/>
  <c r="F31" i="57"/>
  <c r="G31" i="57" s="1"/>
  <c r="F33" i="57"/>
  <c r="G33" i="57" s="1"/>
  <c r="F37" i="57"/>
  <c r="G37" i="57" s="1"/>
  <c r="F39" i="57"/>
  <c r="G39" i="57" s="1"/>
  <c r="F41" i="57"/>
  <c r="G41" i="57" s="1"/>
  <c r="F46" i="57"/>
  <c r="G46" i="57" s="1"/>
  <c r="F49" i="57"/>
  <c r="G49" i="57" s="1"/>
  <c r="F52" i="57"/>
  <c r="G52" i="57" s="1"/>
  <c r="D1280" i="31" l="1"/>
  <c r="E1280" i="31" s="1"/>
  <c r="D586" i="2"/>
  <c r="E586" i="2" s="1"/>
  <c r="D852" i="31"/>
  <c r="E852" i="31" s="1"/>
  <c r="D281" i="31"/>
  <c r="E281" i="31" s="1"/>
  <c r="D194" i="31"/>
  <c r="E194" i="31" s="1"/>
  <c r="D351" i="2"/>
  <c r="E351" i="2" s="1"/>
  <c r="D159" i="2"/>
  <c r="E159" i="2" s="1"/>
  <c r="D133" i="2"/>
  <c r="E133" i="2" s="1"/>
  <c r="F133" i="2" s="1"/>
  <c r="D1105" i="31"/>
  <c r="E1105" i="31" s="1"/>
  <c r="D1106" i="31"/>
  <c r="E1106" i="31" s="1"/>
  <c r="D470" i="2"/>
  <c r="E470" i="2" s="1"/>
  <c r="D471" i="2"/>
  <c r="E471" i="2" s="1"/>
  <c r="F471" i="2" s="1"/>
  <c r="D355" i="51"/>
  <c r="E355" i="51" s="1"/>
  <c r="D356" i="51"/>
  <c r="E356" i="51" s="1"/>
  <c r="D355" i="10"/>
  <c r="E355" i="10" s="1"/>
  <c r="D356" i="10"/>
  <c r="E356" i="10" s="1"/>
  <c r="D7" i="31"/>
  <c r="E7" i="31" s="1"/>
  <c r="D8" i="31"/>
  <c r="E8" i="31" s="1"/>
  <c r="D9" i="31"/>
  <c r="D11" i="31"/>
  <c r="E11" i="31" s="1"/>
  <c r="D12" i="31"/>
  <c r="E12" i="31" s="1"/>
  <c r="F12" i="31" s="1"/>
  <c r="D13" i="31"/>
  <c r="E13" i="31" s="1"/>
  <c r="F13" i="31" s="1"/>
  <c r="D15" i="31"/>
  <c r="E15" i="31" s="1"/>
  <c r="D16" i="31"/>
  <c r="E16" i="31" s="1"/>
  <c r="D17" i="31"/>
  <c r="D18" i="31"/>
  <c r="E18" i="31" s="1"/>
  <c r="F18" i="31" s="1"/>
  <c r="D19" i="31"/>
  <c r="E19" i="31" s="1"/>
  <c r="F19" i="31" s="1"/>
  <c r="D20" i="31"/>
  <c r="E20" i="31" s="1"/>
  <c r="D22" i="31"/>
  <c r="E22" i="31" s="1"/>
  <c r="D24" i="31"/>
  <c r="E24" i="31" s="1"/>
  <c r="D25" i="31"/>
  <c r="D26" i="31"/>
  <c r="E26" i="31" s="1"/>
  <c r="F26" i="31" s="1"/>
  <c r="D27" i="31"/>
  <c r="D28" i="31"/>
  <c r="E28" i="31" s="1"/>
  <c r="F28" i="31" s="1"/>
  <c r="D29" i="31"/>
  <c r="D30" i="31"/>
  <c r="E30" i="31" s="1"/>
  <c r="F30" i="31" s="1"/>
  <c r="D31" i="31"/>
  <c r="E31" i="31" s="1"/>
  <c r="D32" i="31"/>
  <c r="E32" i="31" s="1"/>
  <c r="D33" i="31"/>
  <c r="D34" i="31"/>
  <c r="E34" i="31" s="1"/>
  <c r="F34" i="31" s="1"/>
  <c r="D35" i="31"/>
  <c r="E35" i="31" s="1"/>
  <c r="F35" i="31" s="1"/>
  <c r="D36" i="31"/>
  <c r="E36" i="31" s="1"/>
  <c r="D37" i="31"/>
  <c r="E37" i="31" s="1"/>
  <c r="D38" i="31"/>
  <c r="E38" i="31" s="1"/>
  <c r="D39" i="31"/>
  <c r="E39" i="31" s="1"/>
  <c r="F39" i="31" s="1"/>
  <c r="D40" i="31"/>
  <c r="E40" i="31" s="1"/>
  <c r="F40" i="31" s="1"/>
  <c r="D41" i="31"/>
  <c r="D42" i="31"/>
  <c r="E42" i="31" s="1"/>
  <c r="D43" i="31"/>
  <c r="E43" i="31" s="1"/>
  <c r="D44" i="31"/>
  <c r="E44" i="31" s="1"/>
  <c r="F44" i="31" s="1"/>
  <c r="D45" i="31"/>
  <c r="E45" i="31" s="1"/>
  <c r="F45" i="31" s="1"/>
  <c r="D46" i="31"/>
  <c r="E46" i="31" s="1"/>
  <c r="D47" i="31"/>
  <c r="E47" i="31" s="1"/>
  <c r="D48" i="31"/>
  <c r="E48" i="31" s="1"/>
  <c r="F48" i="31" s="1"/>
  <c r="D49" i="31"/>
  <c r="D50" i="31"/>
  <c r="E50" i="31" s="1"/>
  <c r="D51" i="31"/>
  <c r="E51" i="31" s="1"/>
  <c r="F51" i="31" s="1"/>
  <c r="D52" i="31"/>
  <c r="E52" i="31" s="1"/>
  <c r="D53" i="31"/>
  <c r="E53" i="31" s="1"/>
  <c r="F53" i="31" s="1"/>
  <c r="D54" i="31"/>
  <c r="E54" i="31" s="1"/>
  <c r="D55" i="31"/>
  <c r="E55" i="31" s="1"/>
  <c r="D56" i="31"/>
  <c r="E56" i="31" s="1"/>
  <c r="F56" i="31" s="1"/>
  <c r="D57" i="31"/>
  <c r="D58" i="31"/>
  <c r="E58" i="31" s="1"/>
  <c r="F58" i="31" s="1"/>
  <c r="D59" i="31"/>
  <c r="E59" i="31" s="1"/>
  <c r="F59" i="31" s="1"/>
  <c r="D60" i="31"/>
  <c r="E60" i="31" s="1"/>
  <c r="D61" i="31"/>
  <c r="E61" i="31" s="1"/>
  <c r="F61" i="31" s="1"/>
  <c r="D62" i="31"/>
  <c r="E62" i="31" s="1"/>
  <c r="D63" i="31"/>
  <c r="E63" i="31" s="1"/>
  <c r="D64" i="31"/>
  <c r="E64" i="31" s="1"/>
  <c r="F64" i="31" s="1"/>
  <c r="D65" i="31"/>
  <c r="D66" i="31"/>
  <c r="E66" i="31" s="1"/>
  <c r="D67" i="31"/>
  <c r="E67" i="31" s="1"/>
  <c r="F67" i="31" s="1"/>
  <c r="D68" i="31"/>
  <c r="E68" i="31" s="1"/>
  <c r="D69" i="31"/>
  <c r="E69" i="31" s="1"/>
  <c r="F69" i="31" s="1"/>
  <c r="D70" i="31"/>
  <c r="E70" i="31" s="1"/>
  <c r="D71" i="31"/>
  <c r="E71" i="31" s="1"/>
  <c r="D72" i="31"/>
  <c r="E72" i="31" s="1"/>
  <c r="F72" i="31" s="1"/>
  <c r="D73" i="31"/>
  <c r="D74" i="31"/>
  <c r="E74" i="31" s="1"/>
  <c r="D76" i="31"/>
  <c r="E76" i="31" s="1"/>
  <c r="D78" i="31"/>
  <c r="E78" i="31" s="1"/>
  <c r="F78" i="31" s="1"/>
  <c r="D79" i="31"/>
  <c r="E79" i="31" s="1"/>
  <c r="F79" i="31" s="1"/>
  <c r="D80" i="31"/>
  <c r="E80" i="31" s="1"/>
  <c r="F80" i="31" s="1"/>
  <c r="D81" i="31"/>
  <c r="D84" i="31"/>
  <c r="E84" i="31" s="1"/>
  <c r="D85" i="31"/>
  <c r="E85" i="31" s="1"/>
  <c r="F85" i="31" s="1"/>
  <c r="D86" i="31"/>
  <c r="E86" i="31" s="1"/>
  <c r="D89" i="31"/>
  <c r="D90" i="31"/>
  <c r="E90" i="31" s="1"/>
  <c r="D91" i="31"/>
  <c r="E91" i="31" s="1"/>
  <c r="F91" i="31" s="1"/>
  <c r="D92" i="31"/>
  <c r="E92" i="31" s="1"/>
  <c r="D93" i="31"/>
  <c r="E93" i="31" s="1"/>
  <c r="F93" i="31" s="1"/>
  <c r="D94" i="31"/>
  <c r="E94" i="31" s="1"/>
  <c r="D95" i="31"/>
  <c r="E95" i="31" s="1"/>
  <c r="F95" i="31" s="1"/>
  <c r="D96" i="31"/>
  <c r="E96" i="31" s="1"/>
  <c r="D97" i="31"/>
  <c r="D98" i="31"/>
  <c r="E98" i="31" s="1"/>
  <c r="D99" i="31"/>
  <c r="E99" i="31" s="1"/>
  <c r="F99" i="31" s="1"/>
  <c r="D100" i="31"/>
  <c r="E100" i="31" s="1"/>
  <c r="D102" i="31"/>
  <c r="E102" i="31" s="1"/>
  <c r="D103" i="31"/>
  <c r="E103" i="31" s="1"/>
  <c r="D104" i="31"/>
  <c r="E104" i="31" s="1"/>
  <c r="F104" i="31" s="1"/>
  <c r="D105" i="31"/>
  <c r="D106" i="31"/>
  <c r="D107" i="31"/>
  <c r="E107" i="31" s="1"/>
  <c r="D108" i="31"/>
  <c r="E108" i="31" s="1"/>
  <c r="D109" i="31"/>
  <c r="E109" i="31" s="1"/>
  <c r="D110" i="31"/>
  <c r="E110" i="31" s="1"/>
  <c r="D111" i="31"/>
  <c r="E111" i="31" s="1"/>
  <c r="D112" i="31"/>
  <c r="E112" i="31" s="1"/>
  <c r="F112" i="31" s="1"/>
  <c r="D113" i="31"/>
  <c r="D114" i="31"/>
  <c r="E114" i="31" s="1"/>
  <c r="D115" i="31"/>
  <c r="E115" i="31" s="1"/>
  <c r="D116" i="31"/>
  <c r="E116" i="31" s="1"/>
  <c r="D117" i="31"/>
  <c r="E117" i="31" s="1"/>
  <c r="D118" i="31"/>
  <c r="D119" i="31"/>
  <c r="E119" i="31" s="1"/>
  <c r="F119" i="31" s="1"/>
  <c r="D120" i="31"/>
  <c r="E120" i="31" s="1"/>
  <c r="F120" i="31" s="1"/>
  <c r="D121" i="31"/>
  <c r="D122" i="31"/>
  <c r="D123" i="31"/>
  <c r="E123" i="31" s="1"/>
  <c r="F123" i="31" s="1"/>
  <c r="D124" i="31"/>
  <c r="E124" i="31" s="1"/>
  <c r="D125" i="31"/>
  <c r="E125" i="31" s="1"/>
  <c r="D126" i="31"/>
  <c r="E126" i="31" s="1"/>
  <c r="D127" i="31"/>
  <c r="D128" i="31"/>
  <c r="E128" i="31" s="1"/>
  <c r="F128" i="31" s="1"/>
  <c r="D129" i="31"/>
  <c r="D130" i="31"/>
  <c r="E130" i="31" s="1"/>
  <c r="D131" i="31"/>
  <c r="E131" i="31" s="1"/>
  <c r="F131" i="31" s="1"/>
  <c r="D132" i="31"/>
  <c r="E132" i="31" s="1"/>
  <c r="D133" i="31"/>
  <c r="E133" i="31" s="1"/>
  <c r="D134" i="31"/>
  <c r="E134" i="31" s="1"/>
  <c r="D135" i="31"/>
  <c r="E135" i="31" s="1"/>
  <c r="D137" i="31"/>
  <c r="D138" i="31"/>
  <c r="E138" i="31" s="1"/>
  <c r="F138" i="31" s="1"/>
  <c r="D139" i="31"/>
  <c r="E139" i="31" s="1"/>
  <c r="F139" i="31" s="1"/>
  <c r="D140" i="31"/>
  <c r="E140" i="31" s="1"/>
  <c r="F140" i="31" s="1"/>
  <c r="D141" i="31"/>
  <c r="E141" i="31" s="1"/>
  <c r="D142" i="31"/>
  <c r="E142" i="31" s="1"/>
  <c r="D143" i="31"/>
  <c r="E143" i="31" s="1"/>
  <c r="D144" i="31"/>
  <c r="E144" i="31" s="1"/>
  <c r="D145" i="31"/>
  <c r="D146" i="31"/>
  <c r="E146" i="31" s="1"/>
  <c r="F146" i="31" s="1"/>
  <c r="D147" i="31"/>
  <c r="D148" i="31"/>
  <c r="E148" i="31" s="1"/>
  <c r="F148" i="31" s="1"/>
  <c r="D149" i="31"/>
  <c r="E149" i="31" s="1"/>
  <c r="D150" i="31"/>
  <c r="E150" i="31" s="1"/>
  <c r="D151" i="31"/>
  <c r="E151" i="31" s="1"/>
  <c r="F151" i="31" s="1"/>
  <c r="D152" i="31"/>
  <c r="E152" i="31" s="1"/>
  <c r="D153" i="31"/>
  <c r="D154" i="31"/>
  <c r="E154" i="31" s="1"/>
  <c r="F154" i="31" s="1"/>
  <c r="D155" i="31"/>
  <c r="E155" i="31" s="1"/>
  <c r="D156" i="31"/>
  <c r="E156" i="31" s="1"/>
  <c r="F156" i="31" s="1"/>
  <c r="D157" i="31"/>
  <c r="E157" i="31" s="1"/>
  <c r="D158" i="31"/>
  <c r="E158" i="31" s="1"/>
  <c r="D159" i="31"/>
  <c r="D160" i="31"/>
  <c r="E160" i="31" s="1"/>
  <c r="D161" i="31"/>
  <c r="D162" i="31"/>
  <c r="E162" i="31" s="1"/>
  <c r="F162" i="31" s="1"/>
  <c r="D163" i="31"/>
  <c r="E163" i="31" s="1"/>
  <c r="D164" i="31"/>
  <c r="E164" i="31" s="1"/>
  <c r="F164" i="31" s="1"/>
  <c r="D165" i="31"/>
  <c r="E165" i="31" s="1"/>
  <c r="D166" i="31"/>
  <c r="E166" i="31" s="1"/>
  <c r="D167" i="31"/>
  <c r="D168" i="31"/>
  <c r="E168" i="31" s="1"/>
  <c r="D169" i="31"/>
  <c r="D171" i="31"/>
  <c r="E171" i="31" s="1"/>
  <c r="D172" i="31"/>
  <c r="E172" i="31" s="1"/>
  <c r="F172" i="31" s="1"/>
  <c r="D173" i="31"/>
  <c r="E173" i="31" s="1"/>
  <c r="D174" i="31"/>
  <c r="D176" i="31"/>
  <c r="E176" i="31" s="1"/>
  <c r="D177" i="31"/>
  <c r="D179" i="31"/>
  <c r="E179" i="31" s="1"/>
  <c r="D180" i="31"/>
  <c r="E180" i="31" s="1"/>
  <c r="F180" i="31" s="1"/>
  <c r="D181" i="31"/>
  <c r="E181" i="31" s="1"/>
  <c r="D182" i="31"/>
  <c r="E182" i="31" s="1"/>
  <c r="D183" i="31"/>
  <c r="E183" i="31" s="1"/>
  <c r="D184" i="31"/>
  <c r="E184" i="31" s="1"/>
  <c r="D185" i="31"/>
  <c r="D186" i="31"/>
  <c r="E186" i="31" s="1"/>
  <c r="F186" i="31" s="1"/>
  <c r="D187" i="31"/>
  <c r="E187" i="31" s="1"/>
  <c r="F187" i="31" s="1"/>
  <c r="D188" i="31"/>
  <c r="E188" i="31" s="1"/>
  <c r="F188" i="31" s="1"/>
  <c r="D189" i="31"/>
  <c r="E189" i="31" s="1"/>
  <c r="D190" i="31"/>
  <c r="E190" i="31" s="1"/>
  <c r="D191" i="31"/>
  <c r="E191" i="31" s="1"/>
  <c r="F191" i="31" s="1"/>
  <c r="D192" i="31"/>
  <c r="E192" i="31" s="1"/>
  <c r="D193" i="31"/>
  <c r="D196" i="31"/>
  <c r="E196" i="31" s="1"/>
  <c r="F196" i="31" s="1"/>
  <c r="D197" i="31"/>
  <c r="E197" i="31" s="1"/>
  <c r="F197" i="31" s="1"/>
  <c r="D198" i="31"/>
  <c r="E198" i="31" s="1"/>
  <c r="D199" i="31"/>
  <c r="E199" i="31" s="1"/>
  <c r="D200" i="31"/>
  <c r="E200" i="31" s="1"/>
  <c r="D201" i="31"/>
  <c r="E201" i="31" s="1"/>
  <c r="D202" i="31"/>
  <c r="D203" i="31"/>
  <c r="E203" i="31" s="1"/>
  <c r="D204" i="31"/>
  <c r="D205" i="31"/>
  <c r="E205" i="31" s="1"/>
  <c r="F205" i="31" s="1"/>
  <c r="D206" i="31"/>
  <c r="E206" i="31" s="1"/>
  <c r="D207" i="31"/>
  <c r="D208" i="31"/>
  <c r="E208" i="31" s="1"/>
  <c r="D209" i="31"/>
  <c r="E209" i="31" s="1"/>
  <c r="D210" i="31"/>
  <c r="D211" i="31"/>
  <c r="E211" i="31" s="1"/>
  <c r="D212" i="31"/>
  <c r="E212" i="31" s="1"/>
  <c r="D213" i="31"/>
  <c r="E213" i="31" s="1"/>
  <c r="F213" i="31" s="1"/>
  <c r="D214" i="31"/>
  <c r="E214" i="31" s="1"/>
  <c r="D215" i="31"/>
  <c r="E215" i="31" s="1"/>
  <c r="D216" i="31"/>
  <c r="D217" i="31"/>
  <c r="E217" i="31" s="1"/>
  <c r="D218" i="31"/>
  <c r="D219" i="31"/>
  <c r="E219" i="31" s="1"/>
  <c r="D220" i="31"/>
  <c r="E220" i="31" s="1"/>
  <c r="D221" i="31"/>
  <c r="E221" i="31" s="1"/>
  <c r="F221" i="31" s="1"/>
  <c r="D222" i="31"/>
  <c r="E222" i="31" s="1"/>
  <c r="D223" i="31"/>
  <c r="E223" i="31" s="1"/>
  <c r="D224" i="31"/>
  <c r="E224" i="31" s="1"/>
  <c r="D225" i="31"/>
  <c r="E225" i="31" s="1"/>
  <c r="D226" i="31"/>
  <c r="D227" i="31"/>
  <c r="D228" i="31"/>
  <c r="E228" i="31" s="1"/>
  <c r="F228" i="31" s="1"/>
  <c r="D229" i="31"/>
  <c r="E229" i="31" s="1"/>
  <c r="F229" i="31" s="1"/>
  <c r="D230" i="31"/>
  <c r="E230" i="31" s="1"/>
  <c r="D231" i="31"/>
  <c r="E231" i="31" s="1"/>
  <c r="D232" i="31"/>
  <c r="E232" i="31" s="1"/>
  <c r="D233" i="31"/>
  <c r="E233" i="31" s="1"/>
  <c r="D234" i="31"/>
  <c r="D235" i="31"/>
  <c r="E235" i="31" s="1"/>
  <c r="D236" i="31"/>
  <c r="D237" i="31"/>
  <c r="E237" i="31" s="1"/>
  <c r="F237" i="31" s="1"/>
  <c r="D238" i="31"/>
  <c r="E238" i="31" s="1"/>
  <c r="D239" i="31"/>
  <c r="D241" i="31"/>
  <c r="E241" i="31" s="1"/>
  <c r="D242" i="31"/>
  <c r="D243" i="31"/>
  <c r="E243" i="31" s="1"/>
  <c r="D245" i="31"/>
  <c r="E245" i="31" s="1"/>
  <c r="F245" i="31" s="1"/>
  <c r="D246" i="31"/>
  <c r="E246" i="31" s="1"/>
  <c r="D247" i="31"/>
  <c r="E247" i="31" s="1"/>
  <c r="D249" i="31"/>
  <c r="E249" i="31" s="1"/>
  <c r="D250" i="31"/>
  <c r="D251" i="31"/>
  <c r="E251" i="31" s="1"/>
  <c r="D253" i="31"/>
  <c r="E253" i="31" s="1"/>
  <c r="F253" i="31" s="1"/>
  <c r="D254" i="31"/>
  <c r="E254" i="31" s="1"/>
  <c r="D255" i="31"/>
  <c r="E255" i="31" s="1"/>
  <c r="D256" i="31"/>
  <c r="E256" i="31" s="1"/>
  <c r="D257" i="31"/>
  <c r="E257" i="31" s="1"/>
  <c r="D258" i="31"/>
  <c r="D259" i="31"/>
  <c r="D260" i="31"/>
  <c r="E260" i="31" s="1"/>
  <c r="F260" i="31" s="1"/>
  <c r="D267" i="31"/>
  <c r="E267" i="31" s="1"/>
  <c r="D268" i="31"/>
  <c r="E268" i="31" s="1"/>
  <c r="F268" i="31" s="1"/>
  <c r="D270" i="31"/>
  <c r="D271" i="31"/>
  <c r="E271" i="31" s="1"/>
  <c r="D273" i="31"/>
  <c r="E273" i="31" s="1"/>
  <c r="F273" i="31" s="1"/>
  <c r="D275" i="31"/>
  <c r="D276" i="31"/>
  <c r="E276" i="31" s="1"/>
  <c r="F276" i="31" s="1"/>
  <c r="D277" i="31"/>
  <c r="E277" i="31" s="1"/>
  <c r="D278" i="31"/>
  <c r="D279" i="31"/>
  <c r="E279" i="31" s="1"/>
  <c r="D280" i="31"/>
  <c r="E280" i="31" s="1"/>
  <c r="F280" i="31" s="1"/>
  <c r="D283" i="31"/>
  <c r="D284" i="31"/>
  <c r="E284" i="31" s="1"/>
  <c r="D285" i="31"/>
  <c r="D286" i="31"/>
  <c r="E286" i="31" s="1"/>
  <c r="D287" i="31"/>
  <c r="D288" i="31"/>
  <c r="E288" i="31" s="1"/>
  <c r="D289" i="31"/>
  <c r="E289" i="31" s="1"/>
  <c r="F289" i="31" s="1"/>
  <c r="D290" i="31"/>
  <c r="E290" i="31" s="1"/>
  <c r="F290" i="31" s="1"/>
  <c r="D291" i="31"/>
  <c r="D292" i="31"/>
  <c r="E292" i="31" s="1"/>
  <c r="D293" i="31"/>
  <c r="E293" i="31" s="1"/>
  <c r="D294" i="31"/>
  <c r="E294" i="31" s="1"/>
  <c r="D295" i="31"/>
  <c r="D296" i="31"/>
  <c r="E296" i="31" s="1"/>
  <c r="D297" i="31"/>
  <c r="E297" i="31" s="1"/>
  <c r="F297" i="31" s="1"/>
  <c r="D298" i="31"/>
  <c r="E298" i="31" s="1"/>
  <c r="F298" i="31" s="1"/>
  <c r="D300" i="31"/>
  <c r="E300" i="31" s="1"/>
  <c r="D301" i="31"/>
  <c r="E301" i="31" s="1"/>
  <c r="D302" i="31"/>
  <c r="E302" i="31" s="1"/>
  <c r="D304" i="31"/>
  <c r="E304" i="31" s="1"/>
  <c r="D305" i="31"/>
  <c r="D306" i="31"/>
  <c r="E306" i="31" s="1"/>
  <c r="F306" i="31" s="1"/>
  <c r="D307" i="31"/>
  <c r="D308" i="31"/>
  <c r="D309" i="31"/>
  <c r="E309" i="31" s="1"/>
  <c r="F309" i="31" s="1"/>
  <c r="D311" i="31"/>
  <c r="D312" i="31"/>
  <c r="E312" i="31" s="1"/>
  <c r="D313" i="31"/>
  <c r="E313" i="31" s="1"/>
  <c r="D314" i="31"/>
  <c r="E314" i="31" s="1"/>
  <c r="F314" i="31" s="1"/>
  <c r="D315" i="31"/>
  <c r="D316" i="31"/>
  <c r="E316" i="31" s="1"/>
  <c r="D317" i="31"/>
  <c r="E317" i="31" s="1"/>
  <c r="F317" i="31" s="1"/>
  <c r="D318" i="31"/>
  <c r="D319" i="31"/>
  <c r="D320" i="31"/>
  <c r="E320" i="31" s="1"/>
  <c r="F320" i="31" s="1"/>
  <c r="D321" i="31"/>
  <c r="E321" i="31" s="1"/>
  <c r="F321" i="31" s="1"/>
  <c r="D322" i="31"/>
  <c r="E322" i="31" s="1"/>
  <c r="F322" i="31" s="1"/>
  <c r="D323" i="31"/>
  <c r="E323" i="31" s="1"/>
  <c r="D324" i="31"/>
  <c r="D325" i="31"/>
  <c r="E325" i="31" s="1"/>
  <c r="F325" i="31" s="1"/>
  <c r="D326" i="31"/>
  <c r="D327" i="31"/>
  <c r="D328" i="31"/>
  <c r="D329" i="31"/>
  <c r="E329" i="31" s="1"/>
  <c r="D330" i="31"/>
  <c r="D331" i="31"/>
  <c r="D332" i="31"/>
  <c r="D333" i="31"/>
  <c r="E333" i="31" s="1"/>
  <c r="F333" i="31" s="1"/>
  <c r="D334" i="31"/>
  <c r="D335" i="31"/>
  <c r="D336" i="31"/>
  <c r="E336" i="31" s="1"/>
  <c r="F336" i="31" s="1"/>
  <c r="D341" i="31"/>
  <c r="E341" i="31" s="1"/>
  <c r="F341" i="31" s="1"/>
  <c r="D342" i="31"/>
  <c r="E342" i="31" s="1"/>
  <c r="D343" i="31"/>
  <c r="E343" i="31" s="1"/>
  <c r="D345" i="31"/>
  <c r="E345" i="31" s="1"/>
  <c r="F345" i="31" s="1"/>
  <c r="D346" i="31"/>
  <c r="E346" i="31" s="1"/>
  <c r="D347" i="31"/>
  <c r="D348" i="31"/>
  <c r="D350" i="31"/>
  <c r="D351" i="31"/>
  <c r="D352" i="31"/>
  <c r="E352" i="31" s="1"/>
  <c r="D353" i="31"/>
  <c r="E353" i="31" s="1"/>
  <c r="F353" i="31" s="1"/>
  <c r="D354" i="31"/>
  <c r="D355" i="31"/>
  <c r="E355" i="31" s="1"/>
  <c r="D356" i="31"/>
  <c r="E356" i="31" s="1"/>
  <c r="F356" i="31" s="1"/>
  <c r="D357" i="31"/>
  <c r="E357" i="31" s="1"/>
  <c r="F357" i="31" s="1"/>
  <c r="D360" i="31"/>
  <c r="E360" i="31" s="1"/>
  <c r="D361" i="31"/>
  <c r="E361" i="31" s="1"/>
  <c r="F361" i="31" s="1"/>
  <c r="D362" i="31"/>
  <c r="D363" i="31"/>
  <c r="D365" i="31"/>
  <c r="E365" i="31" s="1"/>
  <c r="D366" i="31"/>
  <c r="D367" i="31"/>
  <c r="D368" i="31"/>
  <c r="E368" i="31" s="1"/>
  <c r="D369" i="31"/>
  <c r="E369" i="31" s="1"/>
  <c r="D370" i="31"/>
  <c r="D371" i="31"/>
  <c r="E371" i="31" s="1"/>
  <c r="D372" i="31"/>
  <c r="D373" i="31"/>
  <c r="D374" i="31"/>
  <c r="D375" i="31"/>
  <c r="D376" i="31"/>
  <c r="D377" i="31"/>
  <c r="E377" i="31" s="1"/>
  <c r="D378" i="31"/>
  <c r="E378" i="31" s="1"/>
  <c r="D379" i="31"/>
  <c r="D380" i="31"/>
  <c r="E380" i="31" s="1"/>
  <c r="F380" i="31" s="1"/>
  <c r="D382" i="31"/>
  <c r="E382" i="31" s="1"/>
  <c r="D383" i="31"/>
  <c r="D384" i="31"/>
  <c r="E384" i="31" s="1"/>
  <c r="D385" i="31"/>
  <c r="E385" i="31" s="1"/>
  <c r="D386" i="31"/>
  <c r="D387" i="31"/>
  <c r="E387" i="31" s="1"/>
  <c r="F387" i="31" s="1"/>
  <c r="D388" i="31"/>
  <c r="E388" i="31" s="1"/>
  <c r="D389" i="31"/>
  <c r="E389" i="31" s="1"/>
  <c r="D392" i="31"/>
  <c r="E392" i="31" s="1"/>
  <c r="D393" i="31"/>
  <c r="E393" i="31" s="1"/>
  <c r="D394" i="31"/>
  <c r="D395" i="31"/>
  <c r="D397" i="31"/>
  <c r="E397" i="31" s="1"/>
  <c r="D398" i="31"/>
  <c r="E398" i="31" s="1"/>
  <c r="D399" i="31"/>
  <c r="D400" i="31"/>
  <c r="D401" i="31"/>
  <c r="D402" i="31"/>
  <c r="E402" i="31" s="1"/>
  <c r="D403" i="31"/>
  <c r="E403" i="31" s="1"/>
  <c r="F403" i="31" s="1"/>
  <c r="D404" i="31"/>
  <c r="E404" i="31" s="1"/>
  <c r="F404" i="31" s="1"/>
  <c r="D405" i="31"/>
  <c r="D406" i="31"/>
  <c r="E406" i="31" s="1"/>
  <c r="D407" i="31"/>
  <c r="E407" i="31" s="1"/>
  <c r="D408" i="31"/>
  <c r="D409" i="31"/>
  <c r="E409" i="31" s="1"/>
  <c r="D410" i="31"/>
  <c r="E410" i="31" s="1"/>
  <c r="D411" i="31"/>
  <c r="E411" i="31" s="1"/>
  <c r="D412" i="31"/>
  <c r="E412" i="31" s="1"/>
  <c r="D413" i="31"/>
  <c r="E413" i="31" s="1"/>
  <c r="D414" i="31"/>
  <c r="E414" i="31" s="1"/>
  <c r="D415" i="31"/>
  <c r="D416" i="31"/>
  <c r="D417" i="31"/>
  <c r="E417" i="31" s="1"/>
  <c r="D418" i="31"/>
  <c r="E418" i="31" s="1"/>
  <c r="D419" i="31"/>
  <c r="D420" i="31"/>
  <c r="E420" i="31" s="1"/>
  <c r="F420" i="31" s="1"/>
  <c r="D421" i="31"/>
  <c r="E421" i="31" s="1"/>
  <c r="D422" i="31"/>
  <c r="D423" i="31"/>
  <c r="E423" i="31" s="1"/>
  <c r="D424" i="31"/>
  <c r="E424" i="31" s="1"/>
  <c r="D425" i="31"/>
  <c r="E425" i="31" s="1"/>
  <c r="D426" i="31"/>
  <c r="D427" i="31"/>
  <c r="E427" i="31" s="1"/>
  <c r="F427" i="31" s="1"/>
  <c r="D429" i="31"/>
  <c r="E429" i="31" s="1"/>
  <c r="D430" i="31"/>
  <c r="E430" i="31" s="1"/>
  <c r="D432" i="31"/>
  <c r="D433" i="31"/>
  <c r="D434" i="31"/>
  <c r="E434" i="31" s="1"/>
  <c r="D436" i="31"/>
  <c r="E436" i="31" s="1"/>
  <c r="F436" i="31" s="1"/>
  <c r="D437" i="31"/>
  <c r="D438" i="31"/>
  <c r="E438" i="31" s="1"/>
  <c r="D439" i="31"/>
  <c r="E439" i="31" s="1"/>
  <c r="D440" i="31"/>
  <c r="D444" i="31"/>
  <c r="E444" i="31" s="1"/>
  <c r="F444" i="31" s="1"/>
  <c r="D445" i="31"/>
  <c r="E445" i="31" s="1"/>
  <c r="D446" i="31"/>
  <c r="E446" i="31" s="1"/>
  <c r="D447" i="31"/>
  <c r="D448" i="31"/>
  <c r="E448" i="31" s="1"/>
  <c r="D449" i="31"/>
  <c r="E449" i="31" s="1"/>
  <c r="D450" i="31"/>
  <c r="E450" i="31" s="1"/>
  <c r="D451" i="31"/>
  <c r="E451" i="31" s="1"/>
  <c r="D452" i="31"/>
  <c r="E452" i="31" s="1"/>
  <c r="F452" i="31" s="1"/>
  <c r="D453" i="31"/>
  <c r="E453" i="31" s="1"/>
  <c r="D454" i="31"/>
  <c r="D455" i="31"/>
  <c r="D456" i="31"/>
  <c r="D457" i="31"/>
  <c r="E457" i="31" s="1"/>
  <c r="D458" i="31"/>
  <c r="D459" i="31"/>
  <c r="E459" i="31" s="1"/>
  <c r="F459" i="31" s="1"/>
  <c r="D460" i="31"/>
  <c r="D461" i="31"/>
  <c r="E461" i="31" s="1"/>
  <c r="D462" i="31"/>
  <c r="E462" i="31" s="1"/>
  <c r="D463" i="31"/>
  <c r="E463" i="31" s="1"/>
  <c r="D464" i="31"/>
  <c r="E464" i="31" s="1"/>
  <c r="D465" i="31"/>
  <c r="D466" i="31"/>
  <c r="D467" i="31"/>
  <c r="E467" i="31" s="1"/>
  <c r="F467" i="31" s="1"/>
  <c r="D468" i="31"/>
  <c r="E468" i="31" s="1"/>
  <c r="F468" i="31" s="1"/>
  <c r="D469" i="31"/>
  <c r="D470" i="31"/>
  <c r="D472" i="31"/>
  <c r="D473" i="31"/>
  <c r="E473" i="31" s="1"/>
  <c r="D474" i="31"/>
  <c r="D475" i="31"/>
  <c r="E475" i="31" s="1"/>
  <c r="F475" i="31" s="1"/>
  <c r="D476" i="31"/>
  <c r="E476" i="31" s="1"/>
  <c r="F476" i="31" s="1"/>
  <c r="D477" i="31"/>
  <c r="E477" i="31" s="1"/>
  <c r="D478" i="31"/>
  <c r="E478" i="31" s="1"/>
  <c r="D479" i="31"/>
  <c r="D480" i="31"/>
  <c r="D481" i="31"/>
  <c r="E481" i="31" s="1"/>
  <c r="D482" i="31"/>
  <c r="E482" i="31" s="1"/>
  <c r="D483" i="31"/>
  <c r="D484" i="31"/>
  <c r="E484" i="31" s="1"/>
  <c r="F484" i="31" s="1"/>
  <c r="D485" i="31"/>
  <c r="E485" i="31" s="1"/>
  <c r="D486" i="31"/>
  <c r="D487" i="31"/>
  <c r="E487" i="31" s="1"/>
  <c r="D488" i="31"/>
  <c r="D489" i="31"/>
  <c r="E489" i="31" s="1"/>
  <c r="D490" i="31"/>
  <c r="D491" i="31"/>
  <c r="E491" i="31" s="1"/>
  <c r="F491" i="31" s="1"/>
  <c r="D492" i="31"/>
  <c r="E492" i="31" s="1"/>
  <c r="D493" i="31"/>
  <c r="E493" i="31" s="1"/>
  <c r="D494" i="31"/>
  <c r="D495" i="31"/>
  <c r="E495" i="31" s="1"/>
  <c r="D496" i="31"/>
  <c r="D497" i="31"/>
  <c r="D498" i="31"/>
  <c r="E498" i="31" s="1"/>
  <c r="D499" i="31"/>
  <c r="E499" i="31" s="1"/>
  <c r="F499" i="31" s="1"/>
  <c r="D500" i="31"/>
  <c r="E500" i="31" s="1"/>
  <c r="F500" i="31" s="1"/>
  <c r="D501" i="31"/>
  <c r="E501" i="31" s="1"/>
  <c r="D502" i="31"/>
  <c r="E502" i="31" s="1"/>
  <c r="D503" i="31"/>
  <c r="E503" i="31" s="1"/>
  <c r="D504" i="31"/>
  <c r="D505" i="31"/>
  <c r="E505" i="31" s="1"/>
  <c r="D506" i="31"/>
  <c r="D507" i="31"/>
  <c r="D508" i="31"/>
  <c r="E508" i="31" s="1"/>
  <c r="F508" i="31" s="1"/>
  <c r="D509" i="31"/>
  <c r="E509" i="31" s="1"/>
  <c r="D510" i="31"/>
  <c r="E510" i="31" s="1"/>
  <c r="D511" i="31"/>
  <c r="D512" i="31"/>
  <c r="D513" i="31"/>
  <c r="E513" i="31" s="1"/>
  <c r="D514" i="31"/>
  <c r="D515" i="31"/>
  <c r="E515" i="31" s="1"/>
  <c r="D516" i="31"/>
  <c r="E516" i="31" s="1"/>
  <c r="D517" i="31"/>
  <c r="E517" i="31" s="1"/>
  <c r="D518" i="31"/>
  <c r="D519" i="31"/>
  <c r="E519" i="31" s="1"/>
  <c r="D520" i="31"/>
  <c r="E520" i="31" s="1"/>
  <c r="D521" i="31"/>
  <c r="E521" i="31" s="1"/>
  <c r="F521" i="31" s="1"/>
  <c r="D522" i="31"/>
  <c r="D523" i="31"/>
  <c r="D524" i="31"/>
  <c r="D525" i="31"/>
  <c r="E525" i="31" s="1"/>
  <c r="D526" i="31"/>
  <c r="E526" i="31" s="1"/>
  <c r="D527" i="31"/>
  <c r="D528" i="31"/>
  <c r="D529" i="31"/>
  <c r="D530" i="31"/>
  <c r="D531" i="31"/>
  <c r="E531" i="31" s="1"/>
  <c r="F531" i="31" s="1"/>
  <c r="D532" i="31"/>
  <c r="E532" i="31" s="1"/>
  <c r="F532" i="31" s="1"/>
  <c r="D533" i="31"/>
  <c r="E533" i="31" s="1"/>
  <c r="D534" i="31"/>
  <c r="D535" i="31"/>
  <c r="E535" i="31" s="1"/>
  <c r="D536" i="31"/>
  <c r="D537" i="31"/>
  <c r="E537" i="31" s="1"/>
  <c r="F537" i="31" s="1"/>
  <c r="D538" i="31"/>
  <c r="D539" i="31"/>
  <c r="E539" i="31" s="1"/>
  <c r="F539" i="31" s="1"/>
  <c r="D540" i="31"/>
  <c r="D541" i="31"/>
  <c r="E541" i="31" s="1"/>
  <c r="D542" i="31"/>
  <c r="E542" i="31" s="1"/>
  <c r="D543" i="31"/>
  <c r="D544" i="31"/>
  <c r="E544" i="31" s="1"/>
  <c r="D545" i="31"/>
  <c r="E545" i="31" s="1"/>
  <c r="F545" i="31" s="1"/>
  <c r="D546" i="31"/>
  <c r="D547" i="31"/>
  <c r="E547" i="31" s="1"/>
  <c r="F547" i="31" s="1"/>
  <c r="D548" i="31"/>
  <c r="D549" i="31"/>
  <c r="E549" i="31" s="1"/>
  <c r="D550" i="31"/>
  <c r="D551" i="31"/>
  <c r="D552" i="31"/>
  <c r="E552" i="31" s="1"/>
  <c r="D553" i="31"/>
  <c r="E553" i="31" s="1"/>
  <c r="D554" i="31"/>
  <c r="D555" i="31"/>
  <c r="E555" i="31" s="1"/>
  <c r="F555" i="31" s="1"/>
  <c r="D556" i="31"/>
  <c r="E556" i="31" s="1"/>
  <c r="D557" i="31"/>
  <c r="E557" i="31" s="1"/>
  <c r="D558" i="31"/>
  <c r="E558" i="31" s="1"/>
  <c r="D559" i="31"/>
  <c r="E559" i="31" s="1"/>
  <c r="D560" i="31"/>
  <c r="E560" i="31" s="1"/>
  <c r="D561" i="31"/>
  <c r="D562" i="31"/>
  <c r="E562" i="31" s="1"/>
  <c r="D563" i="31"/>
  <c r="E563" i="31" s="1"/>
  <c r="F563" i="31" s="1"/>
  <c r="D564" i="31"/>
  <c r="E564" i="31" s="1"/>
  <c r="F564" i="31" s="1"/>
  <c r="D565" i="31"/>
  <c r="E565" i="31" s="1"/>
  <c r="D566" i="31"/>
  <c r="E566" i="31" s="1"/>
  <c r="D567" i="31"/>
  <c r="D568" i="31"/>
  <c r="D569" i="31"/>
  <c r="E569" i="31" s="1"/>
  <c r="D570" i="31"/>
  <c r="D571" i="31"/>
  <c r="E571" i="31" s="1"/>
  <c r="F571" i="31" s="1"/>
  <c r="D572" i="31"/>
  <c r="E572" i="31" s="1"/>
  <c r="F572" i="31" s="1"/>
  <c r="D575" i="31"/>
  <c r="D576" i="31"/>
  <c r="E576" i="31" s="1"/>
  <c r="D577" i="31"/>
  <c r="E577" i="31" s="1"/>
  <c r="D579" i="31"/>
  <c r="E579" i="31" s="1"/>
  <c r="F579" i="31" s="1"/>
  <c r="D580" i="31"/>
  <c r="E580" i="31" s="1"/>
  <c r="F580" i="31" s="1"/>
  <c r="D581" i="31"/>
  <c r="E581" i="31" s="1"/>
  <c r="D583" i="31"/>
  <c r="E583" i="31" s="1"/>
  <c r="D584" i="31"/>
  <c r="E584" i="31" s="1"/>
  <c r="D585" i="31"/>
  <c r="D587" i="31"/>
  <c r="E587" i="31" s="1"/>
  <c r="F587" i="31" s="1"/>
  <c r="D588" i="31"/>
  <c r="E588" i="31" s="1"/>
  <c r="F588" i="31" s="1"/>
  <c r="D589" i="31"/>
  <c r="E589" i="31" s="1"/>
  <c r="D590" i="31"/>
  <c r="D591" i="31"/>
  <c r="E591" i="31" s="1"/>
  <c r="D592" i="31"/>
  <c r="E592" i="31" s="1"/>
  <c r="D593" i="31"/>
  <c r="D594" i="31"/>
  <c r="E594" i="31" s="1"/>
  <c r="D595" i="31"/>
  <c r="D596" i="31"/>
  <c r="E596" i="31" s="1"/>
  <c r="F596" i="31" s="1"/>
  <c r="D597" i="31"/>
  <c r="E597" i="31" s="1"/>
  <c r="D598" i="31"/>
  <c r="D599" i="31"/>
  <c r="E599" i="31" s="1"/>
  <c r="D600" i="31"/>
  <c r="D601" i="31"/>
  <c r="D602" i="31"/>
  <c r="E602" i="31" s="1"/>
  <c r="D603" i="31"/>
  <c r="E603" i="31" s="1"/>
  <c r="D605" i="31"/>
  <c r="E605" i="31" s="1"/>
  <c r="D606" i="31"/>
  <c r="E606" i="31" s="1"/>
  <c r="D607" i="31"/>
  <c r="E607" i="31" s="1"/>
  <c r="F607" i="31" s="1"/>
  <c r="D608" i="31"/>
  <c r="D609" i="31"/>
  <c r="E609" i="31" s="1"/>
  <c r="D610" i="31"/>
  <c r="E610" i="31" s="1"/>
  <c r="F610" i="31" s="1"/>
  <c r="D611" i="31"/>
  <c r="E611" i="31" s="1"/>
  <c r="F611" i="31" s="1"/>
  <c r="D612" i="31"/>
  <c r="E612" i="31" s="1"/>
  <c r="D613" i="31"/>
  <c r="E613" i="31" s="1"/>
  <c r="D614" i="31"/>
  <c r="E614" i="31" s="1"/>
  <c r="F614" i="31" s="1"/>
  <c r="D615" i="31"/>
  <c r="E615" i="31" s="1"/>
  <c r="D616" i="31"/>
  <c r="E616" i="31" s="1"/>
  <c r="D617" i="31"/>
  <c r="E617" i="31" s="1"/>
  <c r="D618" i="31"/>
  <c r="D619" i="31"/>
  <c r="E619" i="31" s="1"/>
  <c r="F619" i="31" s="1"/>
  <c r="D620" i="31"/>
  <c r="E620" i="31" s="1"/>
  <c r="D621" i="31"/>
  <c r="D622" i="31"/>
  <c r="E622" i="31" s="1"/>
  <c r="F622" i="31" s="1"/>
  <c r="D623" i="31"/>
  <c r="E623" i="31" s="1"/>
  <c r="D624" i="31"/>
  <c r="D625" i="31"/>
  <c r="D626" i="31"/>
  <c r="D627" i="31"/>
  <c r="E627" i="31" s="1"/>
  <c r="D628" i="31"/>
  <c r="D629" i="31"/>
  <c r="E629" i="31" s="1"/>
  <c r="D630" i="31"/>
  <c r="E630" i="31" s="1"/>
  <c r="F630" i="31" s="1"/>
  <c r="D631" i="31"/>
  <c r="E631" i="31" s="1"/>
  <c r="F631" i="31" s="1"/>
  <c r="D632" i="31"/>
  <c r="E632" i="31" s="1"/>
  <c r="D633" i="31"/>
  <c r="E633" i="31" s="1"/>
  <c r="D634" i="31"/>
  <c r="E634" i="31" s="1"/>
  <c r="D635" i="31"/>
  <c r="E635" i="31" s="1"/>
  <c r="D636" i="31"/>
  <c r="E636" i="31" s="1"/>
  <c r="F636" i="31" s="1"/>
  <c r="D637" i="31"/>
  <c r="E637" i="31" s="1"/>
  <c r="F637" i="31" s="1"/>
  <c r="D638" i="31"/>
  <c r="E638" i="31" s="1"/>
  <c r="F638" i="31" s="1"/>
  <c r="D639" i="31"/>
  <c r="E639" i="31" s="1"/>
  <c r="D640" i="31"/>
  <c r="E640" i="31" s="1"/>
  <c r="D641" i="31"/>
  <c r="E641" i="31" s="1"/>
  <c r="D642" i="31"/>
  <c r="E642" i="31" s="1"/>
  <c r="D643" i="31"/>
  <c r="E643" i="31" s="1"/>
  <c r="D644" i="31"/>
  <c r="D645" i="31"/>
  <c r="E645" i="31" s="1"/>
  <c r="D646" i="31"/>
  <c r="E646" i="31" s="1"/>
  <c r="F646" i="31" s="1"/>
  <c r="D647" i="31"/>
  <c r="D648" i="31"/>
  <c r="D649" i="31"/>
  <c r="D650" i="31"/>
  <c r="E650" i="31" s="1"/>
  <c r="D651" i="31"/>
  <c r="D652" i="31"/>
  <c r="D653" i="31"/>
  <c r="D654" i="31"/>
  <c r="E654" i="31" s="1"/>
  <c r="F654" i="31" s="1"/>
  <c r="D655" i="31"/>
  <c r="E655" i="31" s="1"/>
  <c r="D656" i="31"/>
  <c r="E656" i="31" s="1"/>
  <c r="D657" i="31"/>
  <c r="D658" i="31"/>
  <c r="E658" i="31" s="1"/>
  <c r="D659" i="31"/>
  <c r="E659" i="31" s="1"/>
  <c r="D660" i="31"/>
  <c r="D661" i="31"/>
  <c r="D662" i="31"/>
  <c r="E662" i="31" s="1"/>
  <c r="F662" i="31" s="1"/>
  <c r="D663" i="31"/>
  <c r="E663" i="31" s="1"/>
  <c r="F663" i="31" s="1"/>
  <c r="D664" i="31"/>
  <c r="E664" i="31" s="1"/>
  <c r="D665" i="31"/>
  <c r="E665" i="31" s="1"/>
  <c r="D666" i="31"/>
  <c r="E666" i="31" s="1"/>
  <c r="F666" i="31" s="1"/>
  <c r="D667" i="31"/>
  <c r="E667" i="31" s="1"/>
  <c r="D668" i="31"/>
  <c r="E668" i="31" s="1"/>
  <c r="F668" i="31" s="1"/>
  <c r="D669" i="31"/>
  <c r="D670" i="31"/>
  <c r="E670" i="31" s="1"/>
  <c r="F670" i="31" s="1"/>
  <c r="D671" i="31"/>
  <c r="E671" i="31" s="1"/>
  <c r="D672" i="31"/>
  <c r="E672" i="31" s="1"/>
  <c r="D673" i="31"/>
  <c r="E673" i="31" s="1"/>
  <c r="D674" i="31"/>
  <c r="E674" i="31" s="1"/>
  <c r="D675" i="31"/>
  <c r="E675" i="31" s="1"/>
  <c r="F675" i="31" s="1"/>
  <c r="D676" i="31"/>
  <c r="E676" i="31" s="1"/>
  <c r="D677" i="31"/>
  <c r="E677" i="31" s="1"/>
  <c r="D678" i="31"/>
  <c r="E678" i="31" s="1"/>
  <c r="F678" i="31" s="1"/>
  <c r="D679" i="31"/>
  <c r="E679" i="31" s="1"/>
  <c r="D680" i="31"/>
  <c r="D681" i="31"/>
  <c r="E681" i="31" s="1"/>
  <c r="F681" i="31" s="1"/>
  <c r="D682" i="31"/>
  <c r="E682" i="31" s="1"/>
  <c r="D683" i="31"/>
  <c r="D684" i="31"/>
  <c r="E684" i="31" s="1"/>
  <c r="F684" i="31" s="1"/>
  <c r="D685" i="31"/>
  <c r="D686" i="31"/>
  <c r="E686" i="31" s="1"/>
  <c r="F686" i="31" s="1"/>
  <c r="D687" i="31"/>
  <c r="E687" i="31" s="1"/>
  <c r="D688" i="31"/>
  <c r="E688" i="31" s="1"/>
  <c r="D689" i="31"/>
  <c r="D690" i="31"/>
  <c r="E690" i="31" s="1"/>
  <c r="D691" i="31"/>
  <c r="E691" i="31" s="1"/>
  <c r="D692" i="31"/>
  <c r="D693" i="31"/>
  <c r="D694" i="31"/>
  <c r="E694" i="31" s="1"/>
  <c r="F694" i="31" s="1"/>
  <c r="D695" i="31"/>
  <c r="E695" i="31" s="1"/>
  <c r="D696" i="31"/>
  <c r="D697" i="31"/>
  <c r="E697" i="31" s="1"/>
  <c r="F697" i="31" s="1"/>
  <c r="D698" i="31"/>
  <c r="E698" i="31" s="1"/>
  <c r="F698" i="31" s="1"/>
  <c r="D699" i="31"/>
  <c r="E699" i="31" s="1"/>
  <c r="D700" i="31"/>
  <c r="E700" i="31" s="1"/>
  <c r="F700" i="31" s="1"/>
  <c r="D701" i="31"/>
  <c r="E701" i="31" s="1"/>
  <c r="F701" i="31" s="1"/>
  <c r="D702" i="31"/>
  <c r="E702" i="31" s="1"/>
  <c r="F702" i="31" s="1"/>
  <c r="D705" i="31"/>
  <c r="E705" i="31" s="1"/>
  <c r="D706" i="31"/>
  <c r="E706" i="31" s="1"/>
  <c r="D707" i="31"/>
  <c r="E707" i="31" s="1"/>
  <c r="D708" i="31"/>
  <c r="E708" i="31" s="1"/>
  <c r="D709" i="31"/>
  <c r="E709" i="31" s="1"/>
  <c r="D710" i="31"/>
  <c r="E710" i="31" s="1"/>
  <c r="F710" i="31" s="1"/>
  <c r="D712" i="31"/>
  <c r="D713" i="31"/>
  <c r="E713" i="31" s="1"/>
  <c r="F713" i="31" s="1"/>
  <c r="D714" i="31"/>
  <c r="E714" i="31" s="1"/>
  <c r="D715" i="31"/>
  <c r="D716" i="31"/>
  <c r="E716" i="31" s="1"/>
  <c r="D717" i="31"/>
  <c r="E717" i="31" s="1"/>
  <c r="D718" i="31"/>
  <c r="E718" i="31" s="1"/>
  <c r="F718" i="31" s="1"/>
  <c r="D719" i="31"/>
  <c r="E719" i="31" s="1"/>
  <c r="F719" i="31" s="1"/>
  <c r="D721" i="31"/>
  <c r="D722" i="31"/>
  <c r="D723" i="31"/>
  <c r="E723" i="31" s="1"/>
  <c r="F723" i="31" s="1"/>
  <c r="D725" i="31"/>
  <c r="E725" i="31" s="1"/>
  <c r="D726" i="31"/>
  <c r="E726" i="31" s="1"/>
  <c r="F726" i="31" s="1"/>
  <c r="D727" i="31"/>
  <c r="E727" i="31" s="1"/>
  <c r="D728" i="31"/>
  <c r="E728" i="31" s="1"/>
  <c r="D729" i="31"/>
  <c r="E729" i="31" s="1"/>
  <c r="F729" i="31" s="1"/>
  <c r="D730" i="31"/>
  <c r="E730" i="31" s="1"/>
  <c r="F730" i="31" s="1"/>
  <c r="D731" i="31"/>
  <c r="E731" i="31" s="1"/>
  <c r="D732" i="31"/>
  <c r="D733" i="31"/>
  <c r="D734" i="31"/>
  <c r="E734" i="31" s="1"/>
  <c r="F734" i="31" s="1"/>
  <c r="D735" i="31"/>
  <c r="E735" i="31" s="1"/>
  <c r="D736" i="31"/>
  <c r="E736" i="31" s="1"/>
  <c r="D737" i="31"/>
  <c r="E737" i="31" s="1"/>
  <c r="D738" i="31"/>
  <c r="E738" i="31" s="1"/>
  <c r="D739" i="31"/>
  <c r="E739" i="31" s="1"/>
  <c r="D740" i="31"/>
  <c r="E740" i="31" s="1"/>
  <c r="D741" i="31"/>
  <c r="E741" i="31" s="1"/>
  <c r="D742" i="31"/>
  <c r="E742" i="31" s="1"/>
  <c r="F742" i="31" s="1"/>
  <c r="D743" i="31"/>
  <c r="E743" i="31" s="1"/>
  <c r="D744" i="31"/>
  <c r="D745" i="31"/>
  <c r="E745" i="31" s="1"/>
  <c r="F745" i="31" s="1"/>
  <c r="D747" i="31"/>
  <c r="D748" i="31"/>
  <c r="E748" i="31" s="1"/>
  <c r="F748" i="31" s="1"/>
  <c r="D749" i="31"/>
  <c r="E749" i="31" s="1"/>
  <c r="D750" i="31"/>
  <c r="D752" i="31"/>
  <c r="E752" i="31" s="1"/>
  <c r="F752" i="31" s="1"/>
  <c r="D754" i="31"/>
  <c r="E754" i="31" s="1"/>
  <c r="D756" i="31"/>
  <c r="E756" i="31" s="1"/>
  <c r="F756" i="31" s="1"/>
  <c r="D758" i="31"/>
  <c r="D759" i="31"/>
  <c r="E759" i="31" s="1"/>
  <c r="D760" i="31"/>
  <c r="D761" i="31"/>
  <c r="E761" i="31" s="1"/>
  <c r="F761" i="31" s="1"/>
  <c r="D762" i="31"/>
  <c r="E762" i="31" s="1"/>
  <c r="D763" i="31"/>
  <c r="E763" i="31" s="1"/>
  <c r="D764" i="31"/>
  <c r="E764" i="31" s="1"/>
  <c r="F764" i="31" s="1"/>
  <c r="D765" i="31"/>
  <c r="E765" i="31" s="1"/>
  <c r="D766" i="31"/>
  <c r="D767" i="31"/>
  <c r="E767" i="31" s="1"/>
  <c r="F767" i="31" s="1"/>
  <c r="D768" i="31"/>
  <c r="E768" i="31" s="1"/>
  <c r="F768" i="31" s="1"/>
  <c r="D769" i="31"/>
  <c r="E769" i="31" s="1"/>
  <c r="D770" i="31"/>
  <c r="E770" i="31" s="1"/>
  <c r="D771" i="31"/>
  <c r="E771" i="31" s="1"/>
  <c r="D772" i="31"/>
  <c r="E772" i="31" s="1"/>
  <c r="D773" i="31"/>
  <c r="D774" i="31"/>
  <c r="D775" i="31"/>
  <c r="E775" i="31" s="1"/>
  <c r="F775" i="31" s="1"/>
  <c r="D776" i="31"/>
  <c r="E776" i="31" s="1"/>
  <c r="D777" i="31"/>
  <c r="E777" i="31" s="1"/>
  <c r="D779" i="31"/>
  <c r="E779" i="31" s="1"/>
  <c r="D780" i="31"/>
  <c r="E780" i="31" s="1"/>
  <c r="F780" i="31" s="1"/>
  <c r="D781" i="31"/>
  <c r="D782" i="31"/>
  <c r="D783" i="31"/>
  <c r="E783" i="31" s="1"/>
  <c r="D784" i="31"/>
  <c r="D785" i="31"/>
  <c r="E785" i="31" s="1"/>
  <c r="F785" i="31" s="1"/>
  <c r="D786" i="31"/>
  <c r="E786" i="31" s="1"/>
  <c r="D787" i="31"/>
  <c r="E787" i="31" s="1"/>
  <c r="D788" i="31"/>
  <c r="E788" i="31" s="1"/>
  <c r="F788" i="31" s="1"/>
  <c r="D789" i="31"/>
  <c r="D791" i="31"/>
  <c r="E791" i="31" s="1"/>
  <c r="D792" i="31"/>
  <c r="E792" i="31" s="1"/>
  <c r="D794" i="31"/>
  <c r="E794" i="31" s="1"/>
  <c r="D795" i="31"/>
  <c r="E795" i="31" s="1"/>
  <c r="F795" i="31" s="1"/>
  <c r="D796" i="31"/>
  <c r="E796" i="31" s="1"/>
  <c r="F796" i="31" s="1"/>
  <c r="D797" i="31"/>
  <c r="D798" i="31"/>
  <c r="E798" i="31" s="1"/>
  <c r="D799" i="31"/>
  <c r="E799" i="31" s="1"/>
  <c r="F799" i="31" s="1"/>
  <c r="D800" i="31"/>
  <c r="E800" i="31" s="1"/>
  <c r="D801" i="31"/>
  <c r="E801" i="31" s="1"/>
  <c r="D802" i="31"/>
  <c r="E802" i="31" s="1"/>
  <c r="D804" i="31"/>
  <c r="E804" i="31" s="1"/>
  <c r="D805" i="31"/>
  <c r="E805" i="31" s="1"/>
  <c r="D806" i="31"/>
  <c r="E806" i="31" s="1"/>
  <c r="D807" i="31"/>
  <c r="E807" i="31" s="1"/>
  <c r="D808" i="31"/>
  <c r="E808" i="31" s="1"/>
  <c r="F808" i="31" s="1"/>
  <c r="D809" i="31"/>
  <c r="E809" i="31" s="1"/>
  <c r="D810" i="31"/>
  <c r="E810" i="31" s="1"/>
  <c r="D811" i="31"/>
  <c r="E811" i="31" s="1"/>
  <c r="F811" i="31" s="1"/>
  <c r="D812" i="31"/>
  <c r="E812" i="31" s="1"/>
  <c r="F812" i="31" s="1"/>
  <c r="D813" i="31"/>
  <c r="D814" i="31"/>
  <c r="E814" i="31" s="1"/>
  <c r="D815" i="31"/>
  <c r="E815" i="31" s="1"/>
  <c r="F815" i="31" s="1"/>
  <c r="D816" i="31"/>
  <c r="E816" i="31" s="1"/>
  <c r="D817" i="31"/>
  <c r="E817" i="31" s="1"/>
  <c r="D818" i="31"/>
  <c r="E818" i="31" s="1"/>
  <c r="D819" i="31"/>
  <c r="E819" i="31" s="1"/>
  <c r="D820" i="31"/>
  <c r="E820" i="31" s="1"/>
  <c r="D821" i="31"/>
  <c r="E821" i="31" s="1"/>
  <c r="D822" i="31"/>
  <c r="E822" i="31" s="1"/>
  <c r="D823" i="31"/>
  <c r="E823" i="31" s="1"/>
  <c r="D824" i="31"/>
  <c r="E824" i="31" s="1"/>
  <c r="F824" i="31" s="1"/>
  <c r="D825" i="31"/>
  <c r="E825" i="31" s="1"/>
  <c r="D826" i="31"/>
  <c r="E826" i="31" s="1"/>
  <c r="D827" i="31"/>
  <c r="E827" i="31" s="1"/>
  <c r="F827" i="31" s="1"/>
  <c r="D828" i="31"/>
  <c r="E828" i="31" s="1"/>
  <c r="F828" i="31" s="1"/>
  <c r="D829" i="31"/>
  <c r="D830" i="31"/>
  <c r="E830" i="31" s="1"/>
  <c r="F830" i="31" s="1"/>
  <c r="D831" i="31"/>
  <c r="D832" i="31"/>
  <c r="E832" i="31" s="1"/>
  <c r="F832" i="31" s="1"/>
  <c r="D833" i="31"/>
  <c r="E833" i="31" s="1"/>
  <c r="D834" i="31"/>
  <c r="E834" i="31" s="1"/>
  <c r="D835" i="31"/>
  <c r="E835" i="31" s="1"/>
  <c r="D836" i="31"/>
  <c r="E836" i="31" s="1"/>
  <c r="D837" i="31"/>
  <c r="E837" i="31" s="1"/>
  <c r="D839" i="31"/>
  <c r="D840" i="31"/>
  <c r="E840" i="31" s="1"/>
  <c r="F840" i="31" s="1"/>
  <c r="D841" i="31"/>
  <c r="D842" i="31"/>
  <c r="E842" i="31" s="1"/>
  <c r="D845" i="31"/>
  <c r="E845" i="31" s="1"/>
  <c r="D846" i="31"/>
  <c r="D847" i="31"/>
  <c r="E847" i="31" s="1"/>
  <c r="D850" i="31"/>
  <c r="E850" i="31" s="1"/>
  <c r="D851" i="31"/>
  <c r="E851" i="31" s="1"/>
  <c r="F851" i="31" s="1"/>
  <c r="D854" i="31"/>
  <c r="E854" i="31" s="1"/>
  <c r="F854" i="31" s="1"/>
  <c r="D855" i="31"/>
  <c r="D856" i="31"/>
  <c r="E856" i="31" s="1"/>
  <c r="D857" i="31"/>
  <c r="E857" i="31" s="1"/>
  <c r="F857" i="31" s="1"/>
  <c r="D858" i="31"/>
  <c r="E858" i="31" s="1"/>
  <c r="F858" i="31" s="1"/>
  <c r="D859" i="31"/>
  <c r="E859" i="31" s="1"/>
  <c r="D860" i="31"/>
  <c r="E860" i="31" s="1"/>
  <c r="D861" i="31"/>
  <c r="E861" i="31" s="1"/>
  <c r="D862" i="31"/>
  <c r="E862" i="31" s="1"/>
  <c r="F862" i="31" s="1"/>
  <c r="D863" i="31"/>
  <c r="E863" i="31" s="1"/>
  <c r="D864" i="31"/>
  <c r="E864" i="31" s="1"/>
  <c r="D865" i="31"/>
  <c r="D866" i="31"/>
  <c r="E866" i="31" s="1"/>
  <c r="D867" i="31"/>
  <c r="E867" i="31" s="1"/>
  <c r="F867" i="31" s="1"/>
  <c r="D871" i="31"/>
  <c r="D872" i="31"/>
  <c r="E872" i="31" s="1"/>
  <c r="D873" i="31"/>
  <c r="E873" i="31" s="1"/>
  <c r="D874" i="31"/>
  <c r="D875" i="31"/>
  <c r="E875" i="31" s="1"/>
  <c r="D876" i="31"/>
  <c r="E876" i="31" s="1"/>
  <c r="F876" i="31" s="1"/>
  <c r="D877" i="31"/>
  <c r="D878" i="31"/>
  <c r="E878" i="31" s="1"/>
  <c r="D879" i="31"/>
  <c r="E879" i="31" s="1"/>
  <c r="D880" i="31"/>
  <c r="E880" i="31" s="1"/>
  <c r="D882" i="31"/>
  <c r="E882" i="31" s="1"/>
  <c r="D883" i="31"/>
  <c r="E883" i="31" s="1"/>
  <c r="D884" i="31"/>
  <c r="D885" i="31"/>
  <c r="D886" i="31"/>
  <c r="E886" i="31" s="1"/>
  <c r="D887" i="31"/>
  <c r="E887" i="31" s="1"/>
  <c r="D888" i="31"/>
  <c r="E888" i="31" s="1"/>
  <c r="D889" i="31"/>
  <c r="E889" i="31" s="1"/>
  <c r="D890" i="31"/>
  <c r="E890" i="31" s="1"/>
  <c r="D891" i="31"/>
  <c r="E891" i="31" s="1"/>
  <c r="D892" i="31"/>
  <c r="E892" i="31" s="1"/>
  <c r="D894" i="31"/>
  <c r="E894" i="31" s="1"/>
  <c r="D895" i="31"/>
  <c r="E895" i="31" s="1"/>
  <c r="D896" i="31"/>
  <c r="E896" i="31" s="1"/>
  <c r="D897" i="31"/>
  <c r="E897" i="31" s="1"/>
  <c r="D898" i="31"/>
  <c r="E898" i="31" s="1"/>
  <c r="D899" i="31"/>
  <c r="E899" i="31" s="1"/>
  <c r="D900" i="31"/>
  <c r="E900" i="31" s="1"/>
  <c r="D901" i="31"/>
  <c r="D902" i="31"/>
  <c r="E902" i="31" s="1"/>
  <c r="F902" i="31" s="1"/>
  <c r="D903" i="31"/>
  <c r="D904" i="31"/>
  <c r="E904" i="31" s="1"/>
  <c r="D905" i="31"/>
  <c r="E905" i="31" s="1"/>
  <c r="F905" i="31" s="1"/>
  <c r="D907" i="31"/>
  <c r="E907" i="31" s="1"/>
  <c r="D908" i="31"/>
  <c r="E908" i="31" s="1"/>
  <c r="D911" i="31"/>
  <c r="E911" i="31" s="1"/>
  <c r="F911" i="31" s="1"/>
  <c r="D912" i="31"/>
  <c r="E912" i="31" s="1"/>
  <c r="D913" i="31"/>
  <c r="E913" i="31" s="1"/>
  <c r="F913" i="31" s="1"/>
  <c r="D915" i="31"/>
  <c r="E915" i="31" s="1"/>
  <c r="D916" i="31"/>
  <c r="D920" i="31"/>
  <c r="E920" i="31" s="1"/>
  <c r="D921" i="31"/>
  <c r="E921" i="31" s="1"/>
  <c r="F921" i="31" s="1"/>
  <c r="D924" i="31"/>
  <c r="E924" i="31" s="1"/>
  <c r="F924" i="31" s="1"/>
  <c r="D925" i="31"/>
  <c r="D927" i="31"/>
  <c r="E927" i="31" s="1"/>
  <c r="D928" i="31"/>
  <c r="E928" i="31" s="1"/>
  <c r="D930" i="31"/>
  <c r="E930" i="31" s="1"/>
  <c r="D931" i="31"/>
  <c r="E931" i="31" s="1"/>
  <c r="D932" i="31"/>
  <c r="E932" i="31" s="1"/>
  <c r="F932" i="31" s="1"/>
  <c r="D934" i="31"/>
  <c r="E934" i="31" s="1"/>
  <c r="F934" i="31" s="1"/>
  <c r="D935" i="31"/>
  <c r="E935" i="31" s="1"/>
  <c r="D936" i="31"/>
  <c r="E936" i="31" s="1"/>
  <c r="F936" i="31" s="1"/>
  <c r="D937" i="31"/>
  <c r="E937" i="31" s="1"/>
  <c r="F937" i="31" s="1"/>
  <c r="D938" i="31"/>
  <c r="E938" i="31" s="1"/>
  <c r="D939" i="31"/>
  <c r="E939" i="31" s="1"/>
  <c r="D940" i="31"/>
  <c r="E940" i="31" s="1"/>
  <c r="D941" i="31"/>
  <c r="D942" i="31"/>
  <c r="E942" i="31" s="1"/>
  <c r="D943" i="31"/>
  <c r="E943" i="31" s="1"/>
  <c r="F943" i="31" s="1"/>
  <c r="D944" i="31"/>
  <c r="E944" i="31" s="1"/>
  <c r="D945" i="31"/>
  <c r="E945" i="31" s="1"/>
  <c r="F945" i="31" s="1"/>
  <c r="D946" i="31"/>
  <c r="D947" i="31"/>
  <c r="E947" i="31" s="1"/>
  <c r="D948" i="31"/>
  <c r="E948" i="31" s="1"/>
  <c r="D949" i="31"/>
  <c r="D950" i="31"/>
  <c r="E950" i="31" s="1"/>
  <c r="D951" i="31"/>
  <c r="E951" i="31" s="1"/>
  <c r="D962" i="31"/>
  <c r="E962" i="31" s="1"/>
  <c r="F962" i="31" s="1"/>
  <c r="D963" i="31"/>
  <c r="E963" i="31" s="1"/>
  <c r="F963" i="31" s="1"/>
  <c r="D964" i="31"/>
  <c r="E964" i="31" s="1"/>
  <c r="D965" i="31"/>
  <c r="E965" i="31" s="1"/>
  <c r="D967" i="31"/>
  <c r="D968" i="31"/>
  <c r="E968" i="31" s="1"/>
  <c r="D969" i="31"/>
  <c r="E969" i="31" s="1"/>
  <c r="D970" i="31"/>
  <c r="E970" i="31" s="1"/>
  <c r="D971" i="31"/>
  <c r="E971" i="31" s="1"/>
  <c r="D972" i="31"/>
  <c r="E972" i="31" s="1"/>
  <c r="D973" i="31"/>
  <c r="E973" i="31" s="1"/>
  <c r="D974" i="31"/>
  <c r="E974" i="31" s="1"/>
  <c r="D975" i="31"/>
  <c r="D976" i="31"/>
  <c r="E976" i="31" s="1"/>
  <c r="D977" i="31"/>
  <c r="D978" i="31"/>
  <c r="E978" i="31" s="1"/>
  <c r="D979" i="31"/>
  <c r="E979" i="31" s="1"/>
  <c r="F979" i="31" s="1"/>
  <c r="D982" i="31"/>
  <c r="E982" i="31" s="1"/>
  <c r="D983" i="31"/>
  <c r="E983" i="31" s="1"/>
  <c r="D984" i="31"/>
  <c r="E984" i="31" s="1"/>
  <c r="D985" i="31"/>
  <c r="E985" i="31" s="1"/>
  <c r="D986" i="31"/>
  <c r="E986" i="31" s="1"/>
  <c r="F986" i="31" s="1"/>
  <c r="D987" i="31"/>
  <c r="E987" i="31" s="1"/>
  <c r="F987" i="31" s="1"/>
  <c r="D988" i="31"/>
  <c r="E988" i="31" s="1"/>
  <c r="D989" i="31"/>
  <c r="E989" i="31" s="1"/>
  <c r="D990" i="31"/>
  <c r="E990" i="31" s="1"/>
  <c r="D991" i="31"/>
  <c r="E991" i="31" s="1"/>
  <c r="D992" i="31"/>
  <c r="E992" i="31" s="1"/>
  <c r="F992" i="31" s="1"/>
  <c r="D993" i="31"/>
  <c r="D1006" i="31"/>
  <c r="E1006" i="31" s="1"/>
  <c r="F1006" i="31" s="1"/>
  <c r="D1007" i="31"/>
  <c r="E1007" i="31" s="1"/>
  <c r="D1008" i="31"/>
  <c r="E1008" i="31" s="1"/>
  <c r="D1010" i="31"/>
  <c r="E1010" i="31" s="1"/>
  <c r="D1011" i="31"/>
  <c r="E1011" i="31" s="1"/>
  <c r="D1012" i="31"/>
  <c r="E1012" i="31" s="1"/>
  <c r="D1013" i="31"/>
  <c r="E1013" i="31" s="1"/>
  <c r="D1014" i="31"/>
  <c r="E1014" i="31" s="1"/>
  <c r="F1014" i="31" s="1"/>
  <c r="D1015" i="31"/>
  <c r="E1015" i="31" s="1"/>
  <c r="F1015" i="31" s="1"/>
  <c r="D1016" i="31"/>
  <c r="E1016" i="31" s="1"/>
  <c r="D1017" i="31"/>
  <c r="E1017" i="31" s="1"/>
  <c r="D1018" i="31"/>
  <c r="E1018" i="31" s="1"/>
  <c r="D1019" i="31"/>
  <c r="E1019" i="31" s="1"/>
  <c r="D1020" i="31"/>
  <c r="E1020" i="31" s="1"/>
  <c r="D1021" i="31"/>
  <c r="D1022" i="31"/>
  <c r="E1022" i="31" s="1"/>
  <c r="D1023" i="31"/>
  <c r="E1023" i="31" s="1"/>
  <c r="D1024" i="31"/>
  <c r="E1024" i="31" s="1"/>
  <c r="D1025" i="31"/>
  <c r="E1025" i="31" s="1"/>
  <c r="D1026" i="31"/>
  <c r="E1026" i="31" s="1"/>
  <c r="D1027" i="31"/>
  <c r="E1027" i="31" s="1"/>
  <c r="D1028" i="31"/>
  <c r="E1028" i="31" s="1"/>
  <c r="D1029" i="31"/>
  <c r="D1030" i="31"/>
  <c r="E1030" i="31" s="1"/>
  <c r="F1030" i="31" s="1"/>
  <c r="D1031" i="31"/>
  <c r="E1031" i="31" s="1"/>
  <c r="F1031" i="31" s="1"/>
  <c r="D1032" i="31"/>
  <c r="E1032" i="31" s="1"/>
  <c r="D1033" i="31"/>
  <c r="E1033" i="31" s="1"/>
  <c r="D1034" i="31"/>
  <c r="E1034" i="31" s="1"/>
  <c r="F1034" i="31" s="1"/>
  <c r="D1035" i="31"/>
  <c r="E1035" i="31" s="1"/>
  <c r="D1036" i="31"/>
  <c r="E1036" i="31" s="1"/>
  <c r="D1037" i="31"/>
  <c r="E1037" i="31" s="1"/>
  <c r="F1037" i="31" s="1"/>
  <c r="D1038" i="31"/>
  <c r="E1038" i="31" s="1"/>
  <c r="D1039" i="31"/>
  <c r="D1040" i="31"/>
  <c r="E1040" i="31" s="1"/>
  <c r="D1041" i="31"/>
  <c r="E1041" i="31" s="1"/>
  <c r="F1041" i="31" s="1"/>
  <c r="D1042" i="31"/>
  <c r="E1042" i="31" s="1"/>
  <c r="D1043" i="31"/>
  <c r="E1043" i="31" s="1"/>
  <c r="D1044" i="31"/>
  <c r="E1044" i="31" s="1"/>
  <c r="D1045" i="31"/>
  <c r="E1045" i="31" s="1"/>
  <c r="F1045" i="31" s="1"/>
  <c r="D1046" i="31"/>
  <c r="E1046" i="31" s="1"/>
  <c r="D1047" i="31"/>
  <c r="D1048" i="31"/>
  <c r="E1048" i="31" s="1"/>
  <c r="D1049" i="31"/>
  <c r="E1049" i="31" s="1"/>
  <c r="F1049" i="31" s="1"/>
  <c r="D1050" i="31"/>
  <c r="E1050" i="31" s="1"/>
  <c r="D1051" i="31"/>
  <c r="E1051" i="31" s="1"/>
  <c r="D1052" i="31"/>
  <c r="E1052" i="31" s="1"/>
  <c r="D1053" i="31"/>
  <c r="E1053" i="31" s="1"/>
  <c r="D1054" i="31"/>
  <c r="E1054" i="31" s="1"/>
  <c r="D1055" i="31"/>
  <c r="D1057" i="31"/>
  <c r="E1057" i="31" s="1"/>
  <c r="D1058" i="31"/>
  <c r="E1058" i="31" s="1"/>
  <c r="D1059" i="31"/>
  <c r="E1059" i="31" s="1"/>
  <c r="D1061" i="31"/>
  <c r="E1061" i="31" s="1"/>
  <c r="D1062" i="31"/>
  <c r="E1062" i="31" s="1"/>
  <c r="D1063" i="31"/>
  <c r="D1065" i="31"/>
  <c r="E1065" i="31" s="1"/>
  <c r="D1066" i="31"/>
  <c r="E1066" i="31" s="1"/>
  <c r="F1066" i="31" s="1"/>
  <c r="D1067" i="31"/>
  <c r="D1069" i="31"/>
  <c r="E1069" i="31" s="1"/>
  <c r="F1069" i="31" s="1"/>
  <c r="D1070" i="31"/>
  <c r="E1070" i="31" s="1"/>
  <c r="D1071" i="31"/>
  <c r="D1074" i="31"/>
  <c r="E1074" i="31" s="1"/>
  <c r="D1075" i="31"/>
  <c r="E1075" i="31" s="1"/>
  <c r="D1078" i="31"/>
  <c r="E1078" i="31" s="1"/>
  <c r="D1079" i="31"/>
  <c r="D1080" i="31"/>
  <c r="E1080" i="31" s="1"/>
  <c r="D1083" i="31"/>
  <c r="E1083" i="31" s="1"/>
  <c r="D1084" i="31"/>
  <c r="E1084" i="31" s="1"/>
  <c r="D1086" i="31"/>
  <c r="E1086" i="31" s="1"/>
  <c r="D1087" i="31"/>
  <c r="D1088" i="31"/>
  <c r="E1088" i="31" s="1"/>
  <c r="D1090" i="31"/>
  <c r="E1090" i="31" s="1"/>
  <c r="F1090" i="31" s="1"/>
  <c r="D1091" i="31"/>
  <c r="E1091" i="31" s="1"/>
  <c r="D1092" i="31"/>
  <c r="E1092" i="31" s="1"/>
  <c r="D1094" i="31"/>
  <c r="E1094" i="31" s="1"/>
  <c r="D1095" i="31"/>
  <c r="D1096" i="31"/>
  <c r="E1096" i="31" s="1"/>
  <c r="D1097" i="31"/>
  <c r="E1097" i="31" s="1"/>
  <c r="F1097" i="31" s="1"/>
  <c r="D1098" i="31"/>
  <c r="E1098" i="31" s="1"/>
  <c r="D1099" i="31"/>
  <c r="E1099" i="31" s="1"/>
  <c r="D1100" i="31"/>
  <c r="E1100" i="31" s="1"/>
  <c r="D1101" i="31"/>
  <c r="E1101" i="31" s="1"/>
  <c r="F1101" i="31" s="1"/>
  <c r="D1102" i="31"/>
  <c r="E1102" i="31" s="1"/>
  <c r="D1103" i="31"/>
  <c r="D1104" i="31"/>
  <c r="E1104" i="31" s="1"/>
  <c r="D1107" i="31"/>
  <c r="E1107" i="31" s="1"/>
  <c r="F1107" i="31" s="1"/>
  <c r="D1108" i="31"/>
  <c r="E1108" i="31" s="1"/>
  <c r="D1109" i="31"/>
  <c r="E1109" i="31" s="1"/>
  <c r="D1110" i="31"/>
  <c r="E1110" i="31" s="1"/>
  <c r="D1111" i="31"/>
  <c r="E1111" i="31" s="1"/>
  <c r="F1111" i="31" s="1"/>
  <c r="D1112" i="31"/>
  <c r="E1112" i="31" s="1"/>
  <c r="D1113" i="31"/>
  <c r="D1114" i="31"/>
  <c r="E1114" i="31" s="1"/>
  <c r="D1115" i="31"/>
  <c r="E1115" i="31" s="1"/>
  <c r="F1115" i="31" s="1"/>
  <c r="D1116" i="31"/>
  <c r="E1116" i="31" s="1"/>
  <c r="D1117" i="31"/>
  <c r="E1117" i="31" s="1"/>
  <c r="D1118" i="31"/>
  <c r="E1118" i="31" s="1"/>
  <c r="F1118" i="31" s="1"/>
  <c r="D1119" i="31"/>
  <c r="D1120" i="31"/>
  <c r="E1120" i="31" s="1"/>
  <c r="D1121" i="31"/>
  <c r="D1122" i="31"/>
  <c r="E1122" i="31" s="1"/>
  <c r="D1123" i="31"/>
  <c r="E1123" i="31" s="1"/>
  <c r="F1123" i="31" s="1"/>
  <c r="D1124" i="31"/>
  <c r="E1124" i="31" s="1"/>
  <c r="D1125" i="31"/>
  <c r="E1125" i="31" s="1"/>
  <c r="F1125" i="31" s="1"/>
  <c r="D1126" i="31"/>
  <c r="E1126" i="31" s="1"/>
  <c r="F1126" i="31" s="1"/>
  <c r="D1127" i="31"/>
  <c r="E1127" i="31" s="1"/>
  <c r="D1128" i="31"/>
  <c r="E1128" i="31" s="1"/>
  <c r="D1129" i="31"/>
  <c r="D1130" i="31"/>
  <c r="E1130" i="31" s="1"/>
  <c r="F1130" i="31" s="1"/>
  <c r="D1131" i="31"/>
  <c r="E1131" i="31" s="1"/>
  <c r="F1131" i="31" s="1"/>
  <c r="D1132" i="31"/>
  <c r="E1132" i="31" s="1"/>
  <c r="D1133" i="31"/>
  <c r="E1133" i="31" s="1"/>
  <c r="F1133" i="31" s="1"/>
  <c r="D1134" i="31"/>
  <c r="E1134" i="31" s="1"/>
  <c r="F1134" i="31" s="1"/>
  <c r="D1135" i="31"/>
  <c r="E1135" i="31" s="1"/>
  <c r="D1136" i="31"/>
  <c r="E1136" i="31" s="1"/>
  <c r="F1136" i="31" s="1"/>
  <c r="D1137" i="31"/>
  <c r="D1138" i="31"/>
  <c r="E1138" i="31" s="1"/>
  <c r="D1139" i="31"/>
  <c r="E1139" i="31" s="1"/>
  <c r="F1139" i="31" s="1"/>
  <c r="D1140" i="31"/>
  <c r="E1140" i="31" s="1"/>
  <c r="D1141" i="31"/>
  <c r="E1141" i="31" s="1"/>
  <c r="D1142" i="31"/>
  <c r="E1142" i="31" s="1"/>
  <c r="F1142" i="31" s="1"/>
  <c r="D1143" i="31"/>
  <c r="E1143" i="31" s="1"/>
  <c r="D1144" i="31"/>
  <c r="E1144" i="31" s="1"/>
  <c r="D1145" i="31"/>
  <c r="D1146" i="31"/>
  <c r="E1146" i="31" s="1"/>
  <c r="F1146" i="31" s="1"/>
  <c r="D1147" i="31"/>
  <c r="E1147" i="31" s="1"/>
  <c r="F1147" i="31" s="1"/>
  <c r="D1148" i="31"/>
  <c r="E1148" i="31" s="1"/>
  <c r="D1149" i="31"/>
  <c r="E1149" i="31" s="1"/>
  <c r="D1150" i="31"/>
  <c r="E1150" i="31" s="1"/>
  <c r="F1150" i="31" s="1"/>
  <c r="D1151" i="31"/>
  <c r="E1151" i="31" s="1"/>
  <c r="F1151" i="31" s="1"/>
  <c r="D1152" i="31"/>
  <c r="E1152" i="31" s="1"/>
  <c r="F1152" i="31" s="1"/>
  <c r="D1153" i="31"/>
  <c r="D1154" i="31"/>
  <c r="E1154" i="31" s="1"/>
  <c r="D1155" i="31"/>
  <c r="E1155" i="31" s="1"/>
  <c r="F1155" i="31" s="1"/>
  <c r="D1156" i="31"/>
  <c r="E1156" i="31" s="1"/>
  <c r="D1157" i="31"/>
  <c r="E1157" i="31" s="1"/>
  <c r="D1158" i="31"/>
  <c r="E1158" i="31" s="1"/>
  <c r="F1158" i="31" s="1"/>
  <c r="D1160" i="31"/>
  <c r="E1160" i="31" s="1"/>
  <c r="D1164" i="31"/>
  <c r="E1164" i="31" s="1"/>
  <c r="D1165" i="31"/>
  <c r="E1165" i="31" s="1"/>
  <c r="F1165" i="31" s="1"/>
  <c r="D1166" i="31"/>
  <c r="E1166" i="31" s="1"/>
  <c r="D1167" i="31"/>
  <c r="E1167" i="31" s="1"/>
  <c r="F1167" i="31" s="1"/>
  <c r="D1168" i="31"/>
  <c r="E1168" i="31" s="1"/>
  <c r="F1168" i="31" s="1"/>
  <c r="D1169" i="31"/>
  <c r="E1169" i="31" s="1"/>
  <c r="D1170" i="31"/>
  <c r="E1170" i="31" s="1"/>
  <c r="F1170" i="31" s="1"/>
  <c r="D1171" i="31"/>
  <c r="D1172" i="31"/>
  <c r="E1172" i="31" s="1"/>
  <c r="D1173" i="31"/>
  <c r="E1173" i="31" s="1"/>
  <c r="F1173" i="31" s="1"/>
  <c r="D1174" i="31"/>
  <c r="E1174" i="31" s="1"/>
  <c r="D1175" i="31"/>
  <c r="E1175" i="31" s="1"/>
  <c r="F1175" i="31" s="1"/>
  <c r="D1176" i="31"/>
  <c r="E1176" i="31" s="1"/>
  <c r="F1176" i="31" s="1"/>
  <c r="D1177" i="31"/>
  <c r="E1177" i="31" s="1"/>
  <c r="D1178" i="31"/>
  <c r="E1178" i="31" s="1"/>
  <c r="D1179" i="31"/>
  <c r="D1180" i="31"/>
  <c r="E1180" i="31" s="1"/>
  <c r="F1180" i="31" s="1"/>
  <c r="D1181" i="31"/>
  <c r="E1181" i="31" s="1"/>
  <c r="D1182" i="31"/>
  <c r="E1182" i="31" s="1"/>
  <c r="D1183" i="31"/>
  <c r="E1183" i="31" s="1"/>
  <c r="D1184" i="31"/>
  <c r="E1184" i="31" s="1"/>
  <c r="F1184" i="31" s="1"/>
  <c r="D1185" i="31"/>
  <c r="E1185" i="31" s="1"/>
  <c r="D1186" i="31"/>
  <c r="E1186" i="31" s="1"/>
  <c r="F1186" i="31" s="1"/>
  <c r="D1187" i="31"/>
  <c r="D1188" i="31"/>
  <c r="E1188" i="31" s="1"/>
  <c r="D1189" i="31"/>
  <c r="E1189" i="31" s="1"/>
  <c r="F1189" i="31" s="1"/>
  <c r="D1190" i="31"/>
  <c r="E1190" i="31" s="1"/>
  <c r="D1233" i="31"/>
  <c r="E1233" i="31" s="1"/>
  <c r="D1234" i="31"/>
  <c r="E1234" i="31" s="1"/>
  <c r="F1234" i="31" s="1"/>
  <c r="D1235" i="31"/>
  <c r="D1236" i="31"/>
  <c r="E1236" i="31" s="1"/>
  <c r="D1237" i="31"/>
  <c r="E1237" i="31" s="1"/>
  <c r="D1238" i="31"/>
  <c r="E1238" i="31" s="1"/>
  <c r="D1239" i="31"/>
  <c r="E1239" i="31" s="1"/>
  <c r="D1241" i="31"/>
  <c r="E1241" i="31" s="1"/>
  <c r="F1241" i="31" s="1"/>
  <c r="D1243" i="31"/>
  <c r="D1244" i="31"/>
  <c r="E1244" i="31" s="1"/>
  <c r="F1244" i="31" s="1"/>
  <c r="D1245" i="31"/>
  <c r="E1245" i="31" s="1"/>
  <c r="F1245" i="31" s="1"/>
  <c r="D1246" i="31"/>
  <c r="E1246" i="31" s="1"/>
  <c r="D1247" i="31"/>
  <c r="E1247" i="31" s="1"/>
  <c r="D1248" i="31"/>
  <c r="E1248" i="31" s="1"/>
  <c r="F1248" i="31" s="1"/>
  <c r="D1249" i="31"/>
  <c r="E1249" i="31" s="1"/>
  <c r="D1250" i="31"/>
  <c r="E1250" i="31" s="1"/>
  <c r="D1251" i="31"/>
  <c r="D1252" i="31"/>
  <c r="E1252" i="31" s="1"/>
  <c r="F1252" i="31" s="1"/>
  <c r="D1253" i="31"/>
  <c r="E1253" i="31" s="1"/>
  <c r="F1253" i="31" s="1"/>
  <c r="D1254" i="31"/>
  <c r="E1254" i="31" s="1"/>
  <c r="D1255" i="31"/>
  <c r="E1255" i="31" s="1"/>
  <c r="F1255" i="31" s="1"/>
  <c r="D1256" i="31"/>
  <c r="E1256" i="31" s="1"/>
  <c r="F1256" i="31" s="1"/>
  <c r="D1257" i="31"/>
  <c r="E1257" i="31" s="1"/>
  <c r="D1258" i="31"/>
  <c r="E1258" i="31" s="1"/>
  <c r="F1258" i="31" s="1"/>
  <c r="D1259" i="31"/>
  <c r="D1260" i="31"/>
  <c r="E1260" i="31" s="1"/>
  <c r="D1261" i="31"/>
  <c r="E1261" i="31" s="1"/>
  <c r="D1262" i="31"/>
  <c r="E1262" i="31" s="1"/>
  <c r="D1263" i="31"/>
  <c r="E1263" i="31" s="1"/>
  <c r="D1264" i="31"/>
  <c r="E1264" i="31" s="1"/>
  <c r="F1264" i="31" s="1"/>
  <c r="D1265" i="31"/>
  <c r="E1265" i="31" s="1"/>
  <c r="D1266" i="31"/>
  <c r="E1266" i="31" s="1"/>
  <c r="D1267" i="31"/>
  <c r="D1268" i="31"/>
  <c r="E1268" i="31" s="1"/>
  <c r="F1268" i="31" s="1"/>
  <c r="D1269" i="31"/>
  <c r="E1269" i="31" s="1"/>
  <c r="F1269" i="31" s="1"/>
  <c r="D1270" i="31"/>
  <c r="E1270" i="31" s="1"/>
  <c r="D1271" i="31"/>
  <c r="E1271" i="31" s="1"/>
  <c r="F1271" i="31" s="1"/>
  <c r="D1272" i="31"/>
  <c r="D1273" i="31"/>
  <c r="E1273" i="31" s="1"/>
  <c r="D1274" i="31"/>
  <c r="E1274" i="31" s="1"/>
  <c r="F1274" i="31" s="1"/>
  <c r="D1275" i="31"/>
  <c r="D1276" i="31"/>
  <c r="E1276" i="31" s="1"/>
  <c r="D1277" i="31"/>
  <c r="E1277" i="31" s="1"/>
  <c r="F1277" i="31" s="1"/>
  <c r="D1278" i="31"/>
  <c r="E1278" i="31" s="1"/>
  <c r="D1279" i="31"/>
  <c r="E1279" i="31" s="1"/>
  <c r="D6" i="31"/>
  <c r="D8" i="10"/>
  <c r="E8" i="10" s="1"/>
  <c r="D10" i="10"/>
  <c r="E10" i="10" s="1"/>
  <c r="D11" i="10"/>
  <c r="E11" i="10" s="1"/>
  <c r="D12" i="10"/>
  <c r="E12" i="10" s="1"/>
  <c r="D13" i="10"/>
  <c r="E13" i="10" s="1"/>
  <c r="D14" i="10"/>
  <c r="E14" i="10" s="1"/>
  <c r="F14" i="10" s="1"/>
  <c r="D16" i="10"/>
  <c r="E16" i="10" s="1"/>
  <c r="D18" i="10"/>
  <c r="E18" i="10" s="1"/>
  <c r="F18" i="10" s="1"/>
  <c r="D20" i="10"/>
  <c r="E20" i="10" s="1"/>
  <c r="F20" i="10" s="1"/>
  <c r="D21" i="10"/>
  <c r="E21" i="10" s="1"/>
  <c r="D23" i="10"/>
  <c r="E23" i="10" s="1"/>
  <c r="D24" i="10"/>
  <c r="E24" i="10" s="1"/>
  <c r="D26" i="10"/>
  <c r="E26" i="10" s="1"/>
  <c r="F26" i="10" s="1"/>
  <c r="D29" i="10"/>
  <c r="E29" i="10" s="1"/>
  <c r="D33" i="10"/>
  <c r="D35" i="10"/>
  <c r="E35" i="10" s="1"/>
  <c r="F35" i="10" s="1"/>
  <c r="D37" i="10"/>
  <c r="E37" i="10" s="1"/>
  <c r="D39" i="10"/>
  <c r="E39" i="10" s="1"/>
  <c r="D40" i="10"/>
  <c r="E40" i="10" s="1"/>
  <c r="D41" i="10"/>
  <c r="D42" i="10"/>
  <c r="E42" i="10" s="1"/>
  <c r="D43" i="10"/>
  <c r="E43" i="10" s="1"/>
  <c r="F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D50" i="10"/>
  <c r="E50" i="10" s="1"/>
  <c r="D51" i="10"/>
  <c r="E51" i="10" s="1"/>
  <c r="F51" i="10" s="1"/>
  <c r="D52" i="10"/>
  <c r="D53" i="10"/>
  <c r="E53" i="10" s="1"/>
  <c r="D54" i="10"/>
  <c r="E54" i="10" s="1"/>
  <c r="D55" i="10"/>
  <c r="E55" i="10" s="1"/>
  <c r="D56" i="10"/>
  <c r="E56" i="10" s="1"/>
  <c r="D57" i="10"/>
  <c r="D58" i="10"/>
  <c r="E58" i="10" s="1"/>
  <c r="D59" i="10"/>
  <c r="E59" i="10" s="1"/>
  <c r="D60" i="10"/>
  <c r="E60" i="10" s="1"/>
  <c r="D61" i="10"/>
  <c r="E61" i="10" s="1"/>
  <c r="D63" i="10"/>
  <c r="E63" i="10" s="1"/>
  <c r="D64" i="10"/>
  <c r="E64" i="10" s="1"/>
  <c r="D65" i="10"/>
  <c r="D66" i="10"/>
  <c r="E66" i="10" s="1"/>
  <c r="D67" i="10"/>
  <c r="E67" i="10" s="1"/>
  <c r="F67" i="10" s="1"/>
  <c r="D68" i="10"/>
  <c r="E68" i="10" s="1"/>
  <c r="D69" i="10"/>
  <c r="E69" i="10" s="1"/>
  <c r="D70" i="10"/>
  <c r="E70" i="10" s="1"/>
  <c r="D71" i="10"/>
  <c r="E71" i="10" s="1"/>
  <c r="D72" i="10"/>
  <c r="E72" i="10" s="1"/>
  <c r="D74" i="10"/>
  <c r="E74" i="10" s="1"/>
  <c r="D75" i="10"/>
  <c r="E75" i="10" s="1"/>
  <c r="F75" i="10" s="1"/>
  <c r="D76" i="10"/>
  <c r="E76" i="10" s="1"/>
  <c r="F76" i="10" s="1"/>
  <c r="D77" i="10"/>
  <c r="E77" i="10" s="1"/>
  <c r="D78" i="10"/>
  <c r="E78" i="10" s="1"/>
  <c r="D79" i="10"/>
  <c r="E79" i="10" s="1"/>
  <c r="D80" i="10"/>
  <c r="E80" i="10" s="1"/>
  <c r="D81" i="10"/>
  <c r="D82" i="10"/>
  <c r="E82" i="10" s="1"/>
  <c r="D83" i="10"/>
  <c r="E83" i="10" s="1"/>
  <c r="D84" i="10"/>
  <c r="E84" i="10" s="1"/>
  <c r="D85" i="10"/>
  <c r="E85" i="10" s="1"/>
  <c r="D86" i="10"/>
  <c r="D87" i="10"/>
  <c r="E87" i="10" s="1"/>
  <c r="D88" i="10"/>
  <c r="E88" i="10" s="1"/>
  <c r="D89" i="10"/>
  <c r="D90" i="10"/>
  <c r="E90" i="10" s="1"/>
  <c r="D91" i="10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D98" i="10"/>
  <c r="E98" i="10" s="1"/>
  <c r="D99" i="10"/>
  <c r="E99" i="10" s="1"/>
  <c r="D100" i="10"/>
  <c r="E100" i="10" s="1"/>
  <c r="F100" i="10" s="1"/>
  <c r="D101" i="10"/>
  <c r="E101" i="10" s="1"/>
  <c r="D102" i="10"/>
  <c r="E102" i="10" s="1"/>
  <c r="D103" i="10"/>
  <c r="D104" i="10"/>
  <c r="E104" i="10" s="1"/>
  <c r="D105" i="10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3" i="10"/>
  <c r="D114" i="10"/>
  <c r="E114" i="10" s="1"/>
  <c r="F114" i="10" s="1"/>
  <c r="D115" i="10"/>
  <c r="E115" i="10" s="1"/>
  <c r="F115" i="10" s="1"/>
  <c r="D116" i="10"/>
  <c r="D118" i="10"/>
  <c r="E118" i="10" s="1"/>
  <c r="D119" i="10"/>
  <c r="E119" i="10" s="1"/>
  <c r="D120" i="10"/>
  <c r="E120" i="10" s="1"/>
  <c r="D121" i="10"/>
  <c r="D122" i="10"/>
  <c r="E122" i="10" s="1"/>
  <c r="F122" i="10" s="1"/>
  <c r="D123" i="10"/>
  <c r="E123" i="10" s="1"/>
  <c r="D124" i="10"/>
  <c r="E124" i="10" s="1"/>
  <c r="D126" i="10"/>
  <c r="E126" i="10" s="1"/>
  <c r="D127" i="10"/>
  <c r="E127" i="10" s="1"/>
  <c r="D128" i="10"/>
  <c r="E128" i="10" s="1"/>
  <c r="D129" i="10"/>
  <c r="D130" i="10"/>
  <c r="E130" i="10" s="1"/>
  <c r="F130" i="10" s="1"/>
  <c r="D131" i="10"/>
  <c r="E131" i="10" s="1"/>
  <c r="D132" i="10"/>
  <c r="E132" i="10" s="1"/>
  <c r="D133" i="10"/>
  <c r="E133" i="10" s="1"/>
  <c r="D135" i="10"/>
  <c r="E135" i="10" s="1"/>
  <c r="D136" i="10"/>
  <c r="E136" i="10" s="1"/>
  <c r="D137" i="10"/>
  <c r="D138" i="10"/>
  <c r="E138" i="10" s="1"/>
  <c r="F138" i="10" s="1"/>
  <c r="D139" i="10"/>
  <c r="E139" i="10" s="1"/>
  <c r="F139" i="10" s="1"/>
  <c r="D140" i="10"/>
  <c r="E140" i="10" s="1"/>
  <c r="F140" i="10" s="1"/>
  <c r="D141" i="10"/>
  <c r="E141" i="10" s="1"/>
  <c r="D142" i="10"/>
  <c r="E142" i="10" s="1"/>
  <c r="D143" i="10"/>
  <c r="E143" i="10" s="1"/>
  <c r="D144" i="10"/>
  <c r="E144" i="10" s="1"/>
  <c r="D145" i="10"/>
  <c r="D146" i="10"/>
  <c r="E146" i="10" s="1"/>
  <c r="F146" i="10" s="1"/>
  <c r="D149" i="10"/>
  <c r="E149" i="10" s="1"/>
  <c r="D150" i="10"/>
  <c r="E150" i="10" s="1"/>
  <c r="D151" i="10"/>
  <c r="E151" i="10" s="1"/>
  <c r="D152" i="10"/>
  <c r="E152" i="10" s="1"/>
  <c r="D153" i="10"/>
  <c r="D155" i="10"/>
  <c r="D158" i="10"/>
  <c r="E158" i="10" s="1"/>
  <c r="D159" i="10"/>
  <c r="E159" i="10" s="1"/>
  <c r="D160" i="10"/>
  <c r="E160" i="10" s="1"/>
  <c r="D162" i="10"/>
  <c r="E162" i="10" s="1"/>
  <c r="F162" i="10" s="1"/>
  <c r="D163" i="10"/>
  <c r="E163" i="10" s="1"/>
  <c r="D164" i="10"/>
  <c r="E164" i="10" s="1"/>
  <c r="F164" i="10" s="1"/>
  <c r="D165" i="10"/>
  <c r="E165" i="10" s="1"/>
  <c r="D166" i="10"/>
  <c r="E166" i="10" s="1"/>
  <c r="D167" i="10"/>
  <c r="E167" i="10" s="1"/>
  <c r="D168" i="10"/>
  <c r="E168" i="10" s="1"/>
  <c r="D169" i="10"/>
  <c r="D170" i="10"/>
  <c r="E170" i="10" s="1"/>
  <c r="F170" i="10" s="1"/>
  <c r="D171" i="10"/>
  <c r="E171" i="10" s="1"/>
  <c r="F171" i="10" s="1"/>
  <c r="D173" i="10"/>
  <c r="E173" i="10" s="1"/>
  <c r="D174" i="10"/>
  <c r="E174" i="10" s="1"/>
  <c r="D175" i="10"/>
  <c r="D176" i="10"/>
  <c r="E176" i="10" s="1"/>
  <c r="D177" i="10"/>
  <c r="D179" i="10"/>
  <c r="E179" i="10" s="1"/>
  <c r="F179" i="10" s="1"/>
  <c r="D180" i="10"/>
  <c r="D182" i="10"/>
  <c r="E182" i="10" s="1"/>
  <c r="D183" i="10"/>
  <c r="E183" i="10" s="1"/>
  <c r="D184" i="10"/>
  <c r="E184" i="10" s="1"/>
  <c r="D185" i="10"/>
  <c r="D186" i="10"/>
  <c r="E186" i="10" s="1"/>
  <c r="F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D194" i="10"/>
  <c r="E194" i="10" s="1"/>
  <c r="F194" i="10" s="1"/>
  <c r="D196" i="10"/>
  <c r="E196" i="10" s="1"/>
  <c r="F196" i="10" s="1"/>
  <c r="D197" i="10"/>
  <c r="E197" i="10" s="1"/>
  <c r="F197" i="10" s="1"/>
  <c r="D198" i="10"/>
  <c r="E198" i="10" s="1"/>
  <c r="D199" i="10"/>
  <c r="E199" i="10" s="1"/>
  <c r="D200" i="10"/>
  <c r="E200" i="10" s="1"/>
  <c r="D201" i="10"/>
  <c r="D202" i="10"/>
  <c r="E202" i="10" s="1"/>
  <c r="F202" i="10" s="1"/>
  <c r="D203" i="10"/>
  <c r="D204" i="10"/>
  <c r="E204" i="10" s="1"/>
  <c r="F204" i="10" s="1"/>
  <c r="D205" i="10"/>
  <c r="E205" i="10" s="1"/>
  <c r="F205" i="10" s="1"/>
  <c r="D206" i="10"/>
  <c r="E206" i="10" s="1"/>
  <c r="D207" i="10"/>
  <c r="E207" i="10" s="1"/>
  <c r="F207" i="10" s="1"/>
  <c r="D208" i="10"/>
  <c r="E208" i="10" s="1"/>
  <c r="D209" i="10"/>
  <c r="D210" i="10"/>
  <c r="E210" i="10" s="1"/>
  <c r="F210" i="10" s="1"/>
  <c r="D211" i="10"/>
  <c r="E211" i="10" s="1"/>
  <c r="F211" i="10" s="1"/>
  <c r="D212" i="10"/>
  <c r="E212" i="10" s="1"/>
  <c r="D214" i="10"/>
  <c r="D215" i="10"/>
  <c r="E215" i="10" s="1"/>
  <c r="D217" i="10"/>
  <c r="D218" i="10"/>
  <c r="E218" i="10" s="1"/>
  <c r="F218" i="10" s="1"/>
  <c r="D222" i="10"/>
  <c r="E222" i="10" s="1"/>
  <c r="D223" i="10"/>
  <c r="E223" i="10" s="1"/>
  <c r="D224" i="10"/>
  <c r="E224" i="10" s="1"/>
  <c r="D225" i="10"/>
  <c r="D226" i="10"/>
  <c r="E226" i="10" s="1"/>
  <c r="F226" i="10" s="1"/>
  <c r="D227" i="10"/>
  <c r="D228" i="10"/>
  <c r="E228" i="10" s="1"/>
  <c r="D230" i="10"/>
  <c r="E230" i="10" s="1"/>
  <c r="D231" i="10"/>
  <c r="E231" i="10" s="1"/>
  <c r="F231" i="10" s="1"/>
  <c r="D232" i="10"/>
  <c r="E232" i="10" s="1"/>
  <c r="D233" i="10"/>
  <c r="D234" i="10"/>
  <c r="E234" i="10" s="1"/>
  <c r="F234" i="10" s="1"/>
  <c r="D235" i="10"/>
  <c r="E235" i="10" s="1"/>
  <c r="D236" i="10"/>
  <c r="E236" i="10" s="1"/>
  <c r="F236" i="10" s="1"/>
  <c r="D237" i="10"/>
  <c r="E237" i="10" s="1"/>
  <c r="D238" i="10"/>
  <c r="E238" i="10" s="1"/>
  <c r="D239" i="10"/>
  <c r="E239" i="10" s="1"/>
  <c r="F239" i="10" s="1"/>
  <c r="D240" i="10"/>
  <c r="E240" i="10" s="1"/>
  <c r="D241" i="10"/>
  <c r="D242" i="10"/>
  <c r="E242" i="10" s="1"/>
  <c r="F242" i="10" s="1"/>
  <c r="D243" i="10"/>
  <c r="E243" i="10" s="1"/>
  <c r="D244" i="10"/>
  <c r="D245" i="10"/>
  <c r="E245" i="10" s="1"/>
  <c r="D246" i="10"/>
  <c r="E246" i="10" s="1"/>
  <c r="D247" i="10"/>
  <c r="E247" i="10" s="1"/>
  <c r="F247" i="10" s="1"/>
  <c r="D248" i="10"/>
  <c r="D249" i="10"/>
  <c r="D250" i="10"/>
  <c r="E250" i="10" s="1"/>
  <c r="F250" i="10" s="1"/>
  <c r="D251" i="10"/>
  <c r="E251" i="10" s="1"/>
  <c r="D252" i="10"/>
  <c r="E252" i="10" s="1"/>
  <c r="F252" i="10" s="1"/>
  <c r="D254" i="10"/>
  <c r="E254" i="10" s="1"/>
  <c r="D256" i="10"/>
  <c r="D257" i="10"/>
  <c r="D258" i="10"/>
  <c r="E258" i="10" s="1"/>
  <c r="D259" i="10"/>
  <c r="E259" i="10" s="1"/>
  <c r="D260" i="10"/>
  <c r="E260" i="10" s="1"/>
  <c r="D261" i="10"/>
  <c r="E261" i="10" s="1"/>
  <c r="D263" i="10"/>
  <c r="E263" i="10" s="1"/>
  <c r="F263" i="10" s="1"/>
  <c r="D264" i="10"/>
  <c r="D265" i="10"/>
  <c r="D269" i="10"/>
  <c r="E269" i="10" s="1"/>
  <c r="D270" i="10"/>
  <c r="E270" i="10" s="1"/>
  <c r="D271" i="10"/>
  <c r="E271" i="10" s="1"/>
  <c r="F271" i="10" s="1"/>
  <c r="D272" i="10"/>
  <c r="D273" i="10"/>
  <c r="D274" i="10"/>
  <c r="E274" i="10" s="1"/>
  <c r="D275" i="10"/>
  <c r="E275" i="10" s="1"/>
  <c r="F275" i="10" s="1"/>
  <c r="D276" i="10"/>
  <c r="E276" i="10" s="1"/>
  <c r="F276" i="10" s="1"/>
  <c r="D277" i="10"/>
  <c r="E277" i="10" s="1"/>
  <c r="D279" i="10"/>
  <c r="E279" i="10" s="1"/>
  <c r="F279" i="10" s="1"/>
  <c r="D280" i="10"/>
  <c r="D281" i="10"/>
  <c r="D282" i="10"/>
  <c r="E282" i="10" s="1"/>
  <c r="D283" i="10"/>
  <c r="E283" i="10" s="1"/>
  <c r="F283" i="10" s="1"/>
  <c r="D286" i="10"/>
  <c r="E286" i="10" s="1"/>
  <c r="D288" i="10"/>
  <c r="E288" i="10" s="1"/>
  <c r="D289" i="10"/>
  <c r="E289" i="10" s="1"/>
  <c r="F289" i="10" s="1"/>
  <c r="D291" i="10"/>
  <c r="D292" i="10"/>
  <c r="E292" i="10" s="1"/>
  <c r="D293" i="10"/>
  <c r="E293" i="10" s="1"/>
  <c r="F293" i="10" s="1"/>
  <c r="D294" i="10"/>
  <c r="E294" i="10" s="1"/>
  <c r="D295" i="10"/>
  <c r="E295" i="10" s="1"/>
  <c r="D298" i="10"/>
  <c r="E298" i="10" s="1"/>
  <c r="F298" i="10" s="1"/>
  <c r="D299" i="10"/>
  <c r="D300" i="10"/>
  <c r="E300" i="10" s="1"/>
  <c r="D301" i="10"/>
  <c r="E301" i="10" s="1"/>
  <c r="F301" i="10" s="1"/>
  <c r="D302" i="10"/>
  <c r="E302" i="10" s="1"/>
  <c r="D303" i="10"/>
  <c r="E303" i="10" s="1"/>
  <c r="D304" i="10"/>
  <c r="E304" i="10" s="1"/>
  <c r="D305" i="10"/>
  <c r="E305" i="10" s="1"/>
  <c r="F305" i="10" s="1"/>
  <c r="D307" i="10"/>
  <c r="D308" i="10"/>
  <c r="E308" i="10" s="1"/>
  <c r="D309" i="10"/>
  <c r="E309" i="10" s="1"/>
  <c r="F309" i="10" s="1"/>
  <c r="D310" i="10"/>
  <c r="E310" i="10" s="1"/>
  <c r="D311" i="10"/>
  <c r="E311" i="10" s="1"/>
  <c r="D312" i="10"/>
  <c r="E312" i="10" s="1"/>
  <c r="D313" i="10"/>
  <c r="E313" i="10" s="1"/>
  <c r="D317" i="10"/>
  <c r="E317" i="10" s="1"/>
  <c r="D318" i="10"/>
  <c r="D319" i="10"/>
  <c r="E319" i="10" s="1"/>
  <c r="D321" i="10"/>
  <c r="E321" i="10" s="1"/>
  <c r="D322" i="10"/>
  <c r="E322" i="10" s="1"/>
  <c r="F322" i="10" s="1"/>
  <c r="D323" i="10"/>
  <c r="E323" i="10" s="1"/>
  <c r="D324" i="10"/>
  <c r="E324" i="10" s="1"/>
  <c r="D325" i="10"/>
  <c r="E325" i="10" s="1"/>
  <c r="D326" i="10"/>
  <c r="D327" i="10"/>
  <c r="E327" i="10" s="1"/>
  <c r="D328" i="10"/>
  <c r="E328" i="10" s="1"/>
  <c r="F328" i="10" s="1"/>
  <c r="D329" i="10"/>
  <c r="E329" i="10" s="1"/>
  <c r="D330" i="10"/>
  <c r="E330" i="10" s="1"/>
  <c r="F330" i="10" s="1"/>
  <c r="D331" i="10"/>
  <c r="E331" i="10" s="1"/>
  <c r="D332" i="10"/>
  <c r="E332" i="10" s="1"/>
  <c r="D333" i="10"/>
  <c r="E333" i="10" s="1"/>
  <c r="D334" i="10"/>
  <c r="D335" i="10"/>
  <c r="E335" i="10" s="1"/>
  <c r="D336" i="10"/>
  <c r="E336" i="10" s="1"/>
  <c r="F336" i="10" s="1"/>
  <c r="D337" i="10"/>
  <c r="E337" i="10" s="1"/>
  <c r="D338" i="10"/>
  <c r="E338" i="10" s="1"/>
  <c r="D339" i="10"/>
  <c r="E339" i="10" s="1"/>
  <c r="D340" i="10"/>
  <c r="E340" i="10" s="1"/>
  <c r="F340" i="10" s="1"/>
  <c r="D341" i="10"/>
  <c r="E341" i="10" s="1"/>
  <c r="D342" i="10"/>
  <c r="D343" i="10"/>
  <c r="E343" i="10" s="1"/>
  <c r="D346" i="10"/>
  <c r="E346" i="10" s="1"/>
  <c r="F346" i="10" s="1"/>
  <c r="D347" i="10"/>
  <c r="E347" i="10" s="1"/>
  <c r="D348" i="10"/>
  <c r="E348" i="10" s="1"/>
  <c r="D351" i="10"/>
  <c r="E351" i="10" s="1"/>
  <c r="D352" i="10"/>
  <c r="D354" i="10"/>
  <c r="E354" i="10" s="1"/>
  <c r="D357" i="10"/>
  <c r="E357" i="10" s="1"/>
  <c r="F357" i="10" s="1"/>
  <c r="D358" i="10"/>
  <c r="E358" i="10" s="1"/>
  <c r="D359" i="10"/>
  <c r="E359" i="10" s="1"/>
  <c r="D360" i="10"/>
  <c r="E360" i="10" s="1"/>
  <c r="D361" i="10"/>
  <c r="E361" i="10" s="1"/>
  <c r="D362" i="10"/>
  <c r="D363" i="10"/>
  <c r="E363" i="10" s="1"/>
  <c r="F363" i="10" s="1"/>
  <c r="D364" i="10"/>
  <c r="E364" i="10" s="1"/>
  <c r="D365" i="10"/>
  <c r="E365" i="10" s="1"/>
  <c r="F365" i="10" s="1"/>
  <c r="D366" i="10"/>
  <c r="D370" i="10"/>
  <c r="E370" i="10" s="1"/>
  <c r="D372" i="10"/>
  <c r="D374" i="10"/>
  <c r="E374" i="10" s="1"/>
  <c r="D376" i="10"/>
  <c r="E376" i="10" s="1"/>
  <c r="D377" i="10"/>
  <c r="E377" i="10" s="1"/>
  <c r="D378" i="10"/>
  <c r="E378" i="10" s="1"/>
  <c r="D379" i="10"/>
  <c r="E379" i="10" s="1"/>
  <c r="D380" i="10"/>
  <c r="D381" i="10"/>
  <c r="E381" i="10" s="1"/>
  <c r="D382" i="10"/>
  <c r="E382" i="10" s="1"/>
  <c r="D385" i="10"/>
  <c r="D386" i="10"/>
  <c r="E386" i="10" s="1"/>
  <c r="D387" i="10"/>
  <c r="E387" i="10" s="1"/>
  <c r="D6" i="10"/>
  <c r="D9" i="2"/>
  <c r="D15" i="2"/>
  <c r="E15" i="2" s="1"/>
  <c r="D21" i="2"/>
  <c r="E21" i="2" s="1"/>
  <c r="F21" i="2" s="1"/>
  <c r="D24" i="2"/>
  <c r="E24" i="2" s="1"/>
  <c r="D27" i="2"/>
  <c r="E27" i="2" s="1"/>
  <c r="D30" i="2"/>
  <c r="E30" i="2" s="1"/>
  <c r="D31" i="2"/>
  <c r="E31" i="2" s="1"/>
  <c r="D32" i="2"/>
  <c r="E32" i="2" s="1"/>
  <c r="F32" i="2" s="1"/>
  <c r="D35" i="2"/>
  <c r="E35" i="2" s="1"/>
  <c r="D36" i="2"/>
  <c r="E36" i="2" s="1"/>
  <c r="F36" i="2" s="1"/>
  <c r="D37" i="2"/>
  <c r="D38" i="2"/>
  <c r="E38" i="2" s="1"/>
  <c r="D39" i="2"/>
  <c r="E39" i="2" s="1"/>
  <c r="D40" i="2"/>
  <c r="E40" i="2" s="1"/>
  <c r="F40" i="2" s="1"/>
  <c r="D41" i="2"/>
  <c r="D44" i="2"/>
  <c r="E44" i="2" s="1"/>
  <c r="F44" i="2" s="1"/>
  <c r="D46" i="2"/>
  <c r="E46" i="2" s="1"/>
  <c r="D47" i="2"/>
  <c r="E47" i="2" s="1"/>
  <c r="F47" i="2" s="1"/>
  <c r="D48" i="2"/>
  <c r="E48" i="2" s="1"/>
  <c r="F48" i="2" s="1"/>
  <c r="D49" i="2"/>
  <c r="D50" i="2"/>
  <c r="E50" i="2" s="1"/>
  <c r="F50" i="2" s="1"/>
  <c r="D51" i="2"/>
  <c r="E51" i="2" s="1"/>
  <c r="D52" i="2"/>
  <c r="E52" i="2" s="1"/>
  <c r="F52" i="2" s="1"/>
  <c r="D53" i="2"/>
  <c r="E53" i="2" s="1"/>
  <c r="D54" i="2"/>
  <c r="E54" i="2" s="1"/>
  <c r="D55" i="2"/>
  <c r="E55" i="2" s="1"/>
  <c r="F55" i="2" s="1"/>
  <c r="D56" i="2"/>
  <c r="E56" i="2" s="1"/>
  <c r="F56" i="2" s="1"/>
  <c r="D57" i="2"/>
  <c r="D58" i="2"/>
  <c r="E58" i="2" s="1"/>
  <c r="F58" i="2" s="1"/>
  <c r="D59" i="2"/>
  <c r="E59" i="2" s="1"/>
  <c r="D60" i="2"/>
  <c r="E60" i="2" s="1"/>
  <c r="F60" i="2" s="1"/>
  <c r="D61" i="2"/>
  <c r="E61" i="2" s="1"/>
  <c r="D62" i="2"/>
  <c r="E62" i="2" s="1"/>
  <c r="D63" i="2"/>
  <c r="E63" i="2" s="1"/>
  <c r="F63" i="2" s="1"/>
  <c r="D64" i="2"/>
  <c r="E64" i="2" s="1"/>
  <c r="F64" i="2" s="1"/>
  <c r="D72" i="2"/>
  <c r="E72" i="2" s="1"/>
  <c r="D73" i="2"/>
  <c r="E73" i="2" s="1"/>
  <c r="D74" i="2"/>
  <c r="E74" i="2" s="1"/>
  <c r="D75" i="2"/>
  <c r="E75" i="2" s="1"/>
  <c r="D76" i="2"/>
  <c r="E76" i="2" s="1"/>
  <c r="D83" i="2"/>
  <c r="E83" i="2" s="1"/>
  <c r="F83" i="2" s="1"/>
  <c r="D84" i="2"/>
  <c r="E84" i="2" s="1"/>
  <c r="D85" i="2"/>
  <c r="D92" i="2"/>
  <c r="E92" i="2" s="1"/>
  <c r="D93" i="2"/>
  <c r="E93" i="2" s="1"/>
  <c r="F93" i="2" s="1"/>
  <c r="D94" i="2"/>
  <c r="E94" i="2" s="1"/>
  <c r="D95" i="2"/>
  <c r="E95" i="2" s="1"/>
  <c r="D96" i="2"/>
  <c r="E96" i="2" s="1"/>
  <c r="D97" i="2"/>
  <c r="E97" i="2" s="1"/>
  <c r="F97" i="2" s="1"/>
  <c r="D98" i="2"/>
  <c r="E98" i="2" s="1"/>
  <c r="F98" i="2" s="1"/>
  <c r="D99" i="2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F105" i="2" s="1"/>
  <c r="D106" i="2"/>
  <c r="E106" i="2" s="1"/>
  <c r="F106" i="2" s="1"/>
  <c r="D107" i="2"/>
  <c r="D108" i="2"/>
  <c r="E108" i="2" s="1"/>
  <c r="D109" i="2"/>
  <c r="E109" i="2" s="1"/>
  <c r="D110" i="2"/>
  <c r="E110" i="2" s="1"/>
  <c r="D111" i="2"/>
  <c r="E111" i="2" s="1"/>
  <c r="D113" i="2"/>
  <c r="E113" i="2" s="1"/>
  <c r="F113" i="2" s="1"/>
  <c r="D114" i="2"/>
  <c r="E114" i="2" s="1"/>
  <c r="F114" i="2" s="1"/>
  <c r="D115" i="2"/>
  <c r="D116" i="2"/>
  <c r="E116" i="2" s="1"/>
  <c r="D117" i="2"/>
  <c r="E117" i="2" s="1"/>
  <c r="F117" i="2" s="1"/>
  <c r="D118" i="2"/>
  <c r="E118" i="2" s="1"/>
  <c r="D119" i="2"/>
  <c r="E119" i="2" s="1"/>
  <c r="D120" i="2"/>
  <c r="E120" i="2" s="1"/>
  <c r="D121" i="2"/>
  <c r="E121" i="2" s="1"/>
  <c r="F121" i="2" s="1"/>
  <c r="D122" i="2"/>
  <c r="E122" i="2" s="1"/>
  <c r="D123" i="2"/>
  <c r="D124" i="2"/>
  <c r="E124" i="2" s="1"/>
  <c r="D125" i="2"/>
  <c r="E125" i="2" s="1"/>
  <c r="F125" i="2" s="1"/>
  <c r="D126" i="2"/>
  <c r="E126" i="2" s="1"/>
  <c r="D127" i="2"/>
  <c r="E127" i="2" s="1"/>
  <c r="D128" i="2"/>
  <c r="E128" i="2" s="1"/>
  <c r="D131" i="2"/>
  <c r="D132" i="2"/>
  <c r="D135" i="2"/>
  <c r="E135" i="2" s="1"/>
  <c r="D136" i="2"/>
  <c r="E136" i="2" s="1"/>
  <c r="D137" i="2"/>
  <c r="E137" i="2" s="1"/>
  <c r="D138" i="2"/>
  <c r="E138" i="2" s="1"/>
  <c r="F138" i="2" s="1"/>
  <c r="D139" i="2"/>
  <c r="D140" i="2"/>
  <c r="D141" i="2"/>
  <c r="E141" i="2" s="1"/>
  <c r="F141" i="2" s="1"/>
  <c r="D142" i="2"/>
  <c r="E142" i="2" s="1"/>
  <c r="D143" i="2"/>
  <c r="E143" i="2" s="1"/>
  <c r="F143" i="2" s="1"/>
  <c r="D144" i="2"/>
  <c r="E144" i="2" s="1"/>
  <c r="D145" i="2"/>
  <c r="E145" i="2" s="1"/>
  <c r="D146" i="2"/>
  <c r="E146" i="2" s="1"/>
  <c r="F146" i="2" s="1"/>
  <c r="D147" i="2"/>
  <c r="E147" i="2" s="1"/>
  <c r="F147" i="2" s="1"/>
  <c r="D151" i="2"/>
  <c r="E151" i="2" s="1"/>
  <c r="D152" i="2"/>
  <c r="E152" i="2" s="1"/>
  <c r="D153" i="2"/>
  <c r="E153" i="2" s="1"/>
  <c r="F153" i="2" s="1"/>
  <c r="D154" i="2"/>
  <c r="E154" i="2" s="1"/>
  <c r="F154" i="2" s="1"/>
  <c r="D155" i="2"/>
  <c r="E155" i="2" s="1"/>
  <c r="F155" i="2" s="1"/>
  <c r="D156" i="2"/>
  <c r="D157" i="2"/>
  <c r="E157" i="2" s="1"/>
  <c r="D158" i="2"/>
  <c r="E158" i="2" s="1"/>
  <c r="D161" i="2"/>
  <c r="E161" i="2" s="1"/>
  <c r="D162" i="2"/>
  <c r="E162" i="2" s="1"/>
  <c r="F162" i="2" s="1"/>
  <c r="D163" i="2"/>
  <c r="E163" i="2" s="1"/>
  <c r="F163" i="2" s="1"/>
  <c r="D164" i="2"/>
  <c r="E164" i="2" s="1"/>
  <c r="D165" i="2"/>
  <c r="D166" i="2"/>
  <c r="E166" i="2" s="1"/>
  <c r="D169" i="2"/>
  <c r="E169" i="2" s="1"/>
  <c r="D172" i="2"/>
  <c r="E172" i="2" s="1"/>
  <c r="F172" i="2" s="1"/>
  <c r="D173" i="2"/>
  <c r="D174" i="2"/>
  <c r="E174" i="2" s="1"/>
  <c r="D175" i="2"/>
  <c r="E175" i="2" s="1"/>
  <c r="D176" i="2"/>
  <c r="E176" i="2" s="1"/>
  <c r="D177" i="2"/>
  <c r="E177" i="2" s="1"/>
  <c r="D179" i="2"/>
  <c r="E179" i="2" s="1"/>
  <c r="F179" i="2" s="1"/>
  <c r="D182" i="2"/>
  <c r="E182" i="2" s="1"/>
  <c r="D186" i="2"/>
  <c r="E186" i="2" s="1"/>
  <c r="D187" i="2"/>
  <c r="E187" i="2" s="1"/>
  <c r="F187" i="2" s="1"/>
  <c r="D188" i="2"/>
  <c r="E188" i="2" s="1"/>
  <c r="D191" i="2"/>
  <c r="E191" i="2" s="1"/>
  <c r="F191" i="2" s="1"/>
  <c r="D192" i="2"/>
  <c r="E192" i="2" s="1"/>
  <c r="D193" i="2"/>
  <c r="E193" i="2" s="1"/>
  <c r="D197" i="2"/>
  <c r="D198" i="2"/>
  <c r="E198" i="2" s="1"/>
  <c r="F198" i="2" s="1"/>
  <c r="D199" i="2"/>
  <c r="E199" i="2" s="1"/>
  <c r="F199" i="2" s="1"/>
  <c r="D200" i="2"/>
  <c r="E200" i="2" s="1"/>
  <c r="D201" i="2"/>
  <c r="E201" i="2" s="1"/>
  <c r="D203" i="2"/>
  <c r="E203" i="2" s="1"/>
  <c r="F203" i="2" s="1"/>
  <c r="D204" i="2"/>
  <c r="E204" i="2" s="1"/>
  <c r="F204" i="2" s="1"/>
  <c r="D205" i="2"/>
  <c r="D206" i="2"/>
  <c r="D207" i="2"/>
  <c r="E207" i="2" s="1"/>
  <c r="D208" i="2"/>
  <c r="E208" i="2" s="1"/>
  <c r="D209" i="2"/>
  <c r="E209" i="2" s="1"/>
  <c r="D210" i="2"/>
  <c r="E210" i="2" s="1"/>
  <c r="D211" i="2"/>
  <c r="E211" i="2" s="1"/>
  <c r="F211" i="2" s="1"/>
  <c r="D212" i="2"/>
  <c r="E212" i="2" s="1"/>
  <c r="D213" i="2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F219" i="2" s="1"/>
  <c r="D220" i="2"/>
  <c r="E220" i="2" s="1"/>
  <c r="D221" i="2"/>
  <c r="D222" i="2"/>
  <c r="E222" i="2" s="1"/>
  <c r="F222" i="2" s="1"/>
  <c r="D223" i="2"/>
  <c r="E223" i="2" s="1"/>
  <c r="F223" i="2" s="1"/>
  <c r="D224" i="2"/>
  <c r="E224" i="2" s="1"/>
  <c r="D225" i="2"/>
  <c r="E225" i="2" s="1"/>
  <c r="D226" i="2"/>
  <c r="E226" i="2" s="1"/>
  <c r="D227" i="2"/>
  <c r="E227" i="2" s="1"/>
  <c r="F227" i="2" s="1"/>
  <c r="D228" i="2"/>
  <c r="E228" i="2" s="1"/>
  <c r="F228" i="2" s="1"/>
  <c r="D229" i="2"/>
  <c r="D230" i="2"/>
  <c r="E230" i="2" s="1"/>
  <c r="F230" i="2" s="1"/>
  <c r="D231" i="2"/>
  <c r="E231" i="2" s="1"/>
  <c r="D232" i="2"/>
  <c r="E232" i="2" s="1"/>
  <c r="D233" i="2"/>
  <c r="E233" i="2" s="1"/>
  <c r="D234" i="2"/>
  <c r="E234" i="2" s="1"/>
  <c r="D235" i="2"/>
  <c r="E235" i="2" s="1"/>
  <c r="F235" i="2" s="1"/>
  <c r="D236" i="2"/>
  <c r="E236" i="2" s="1"/>
  <c r="F236" i="2" s="1"/>
  <c r="D237" i="2"/>
  <c r="D238" i="2"/>
  <c r="E238" i="2" s="1"/>
  <c r="F238" i="2" s="1"/>
  <c r="D239" i="2"/>
  <c r="E239" i="2" s="1"/>
  <c r="F239" i="2" s="1"/>
  <c r="D240" i="2"/>
  <c r="E240" i="2" s="1"/>
  <c r="D241" i="2"/>
  <c r="E241" i="2" s="1"/>
  <c r="D242" i="2"/>
  <c r="E242" i="2" s="1"/>
  <c r="D243" i="2"/>
  <c r="E243" i="2" s="1"/>
  <c r="F243" i="2" s="1"/>
  <c r="D244" i="2"/>
  <c r="E244" i="2" s="1"/>
  <c r="F244" i="2" s="1"/>
  <c r="D245" i="2"/>
  <c r="D246" i="2"/>
  <c r="E246" i="2" s="1"/>
  <c r="F246" i="2" s="1"/>
  <c r="D247" i="2"/>
  <c r="E247" i="2" s="1"/>
  <c r="D248" i="2"/>
  <c r="E248" i="2" s="1"/>
  <c r="D249" i="2"/>
  <c r="E249" i="2" s="1"/>
  <c r="D250" i="2"/>
  <c r="E250" i="2" s="1"/>
  <c r="D251" i="2"/>
  <c r="E251" i="2" s="1"/>
  <c r="F251" i="2" s="1"/>
  <c r="D252" i="2"/>
  <c r="E252" i="2" s="1"/>
  <c r="F252" i="2" s="1"/>
  <c r="D254" i="2"/>
  <c r="E254" i="2" s="1"/>
  <c r="D255" i="2"/>
  <c r="E255" i="2" s="1"/>
  <c r="F255" i="2" s="1"/>
  <c r="D257" i="2"/>
  <c r="E257" i="2" s="1"/>
  <c r="D259" i="2"/>
  <c r="E259" i="2" s="1"/>
  <c r="F259" i="2" s="1"/>
  <c r="D260" i="2"/>
  <c r="E260" i="2" s="1"/>
  <c r="F260" i="2" s="1"/>
  <c r="D261" i="2"/>
  <c r="D262" i="2"/>
  <c r="E262" i="2" s="1"/>
  <c r="D263" i="2"/>
  <c r="E263" i="2" s="1"/>
  <c r="F263" i="2" s="1"/>
  <c r="D264" i="2"/>
  <c r="E264" i="2" s="1"/>
  <c r="D265" i="2"/>
  <c r="E265" i="2" s="1"/>
  <c r="D267" i="2"/>
  <c r="E267" i="2" s="1"/>
  <c r="F267" i="2" s="1"/>
  <c r="D268" i="2"/>
  <c r="E268" i="2" s="1"/>
  <c r="F268" i="2" s="1"/>
  <c r="D270" i="2"/>
  <c r="E270" i="2" s="1"/>
  <c r="F270" i="2" s="1"/>
  <c r="D271" i="2"/>
  <c r="E271" i="2" s="1"/>
  <c r="D272" i="2"/>
  <c r="E272" i="2" s="1"/>
  <c r="D274" i="2"/>
  <c r="E274" i="2" s="1"/>
  <c r="D275" i="2"/>
  <c r="E275" i="2" s="1"/>
  <c r="F275" i="2" s="1"/>
  <c r="D276" i="2"/>
  <c r="E276" i="2" s="1"/>
  <c r="F276" i="2" s="1"/>
  <c r="D277" i="2"/>
  <c r="D278" i="2"/>
  <c r="E278" i="2" s="1"/>
  <c r="F278" i="2" s="1"/>
  <c r="D279" i="2"/>
  <c r="E279" i="2" s="1"/>
  <c r="F279" i="2" s="1"/>
  <c r="D280" i="2"/>
  <c r="E280" i="2" s="1"/>
  <c r="D281" i="2"/>
  <c r="E281" i="2" s="1"/>
  <c r="D282" i="2"/>
  <c r="E282" i="2" s="1"/>
  <c r="D283" i="2"/>
  <c r="E283" i="2" s="1"/>
  <c r="F283" i="2" s="1"/>
  <c r="D284" i="2"/>
  <c r="E284" i="2" s="1"/>
  <c r="F284" i="2" s="1"/>
  <c r="D285" i="2"/>
  <c r="D286" i="2"/>
  <c r="E286" i="2" s="1"/>
  <c r="D287" i="2"/>
  <c r="E287" i="2" s="1"/>
  <c r="F287" i="2" s="1"/>
  <c r="D288" i="2"/>
  <c r="E288" i="2" s="1"/>
  <c r="D289" i="2"/>
  <c r="E289" i="2" s="1"/>
  <c r="D291" i="2"/>
  <c r="E291" i="2" s="1"/>
  <c r="F291" i="2" s="1"/>
  <c r="D292" i="2"/>
  <c r="E292" i="2" s="1"/>
  <c r="F292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F299" i="2" s="1"/>
  <c r="D300" i="2"/>
  <c r="E300" i="2" s="1"/>
  <c r="F300" i="2" s="1"/>
  <c r="D301" i="2"/>
  <c r="D303" i="2"/>
  <c r="E303" i="2" s="1"/>
  <c r="D304" i="2"/>
  <c r="E304" i="2" s="1"/>
  <c r="D305" i="2"/>
  <c r="D306" i="2"/>
  <c r="E306" i="2" s="1"/>
  <c r="D307" i="2"/>
  <c r="E307" i="2" s="1"/>
  <c r="F307" i="2" s="1"/>
  <c r="D308" i="2"/>
  <c r="E308" i="2" s="1"/>
  <c r="F308" i="2" s="1"/>
  <c r="D310" i="2"/>
  <c r="E310" i="2" s="1"/>
  <c r="D311" i="2"/>
  <c r="E311" i="2" s="1"/>
  <c r="D312" i="2"/>
  <c r="E312" i="2" s="1"/>
  <c r="D313" i="2"/>
  <c r="D314" i="2"/>
  <c r="E314" i="2" s="1"/>
  <c r="D315" i="2"/>
  <c r="E315" i="2" s="1"/>
  <c r="F315" i="2" s="1"/>
  <c r="D316" i="2"/>
  <c r="E316" i="2" s="1"/>
  <c r="F316" i="2" s="1"/>
  <c r="D317" i="2"/>
  <c r="D318" i="2"/>
  <c r="E318" i="2" s="1"/>
  <c r="D319" i="2"/>
  <c r="E319" i="2" s="1"/>
  <c r="D320" i="2"/>
  <c r="E320" i="2" s="1"/>
  <c r="D321" i="2"/>
  <c r="D322" i="2"/>
  <c r="E322" i="2" s="1"/>
  <c r="D323" i="2"/>
  <c r="E323" i="2" s="1"/>
  <c r="F323" i="2" s="1"/>
  <c r="D324" i="2"/>
  <c r="E324" i="2" s="1"/>
  <c r="F324" i="2" s="1"/>
  <c r="D325" i="2"/>
  <c r="D326" i="2"/>
  <c r="E326" i="2" s="1"/>
  <c r="D327" i="2"/>
  <c r="E327" i="2" s="1"/>
  <c r="D328" i="2"/>
  <c r="E328" i="2" s="1"/>
  <c r="D329" i="2"/>
  <c r="D330" i="2"/>
  <c r="E330" i="2" s="1"/>
  <c r="D331" i="2"/>
  <c r="E331" i="2" s="1"/>
  <c r="F331" i="2" s="1"/>
  <c r="D332" i="2"/>
  <c r="E332" i="2" s="1"/>
  <c r="D333" i="2"/>
  <c r="D334" i="2"/>
  <c r="E334" i="2" s="1"/>
  <c r="D335" i="2"/>
  <c r="E335" i="2" s="1"/>
  <c r="F335" i="2" s="1"/>
  <c r="D336" i="2"/>
  <c r="E336" i="2" s="1"/>
  <c r="D338" i="2"/>
  <c r="E338" i="2" s="1"/>
  <c r="D339" i="2"/>
  <c r="E339" i="2" s="1"/>
  <c r="F339" i="2" s="1"/>
  <c r="D340" i="2"/>
  <c r="E340" i="2" s="1"/>
  <c r="F340" i="2" s="1"/>
  <c r="D342" i="2"/>
  <c r="E342" i="2" s="1"/>
  <c r="D343" i="2"/>
  <c r="E343" i="2" s="1"/>
  <c r="F343" i="2" s="1"/>
  <c r="D344" i="2"/>
  <c r="E344" i="2" s="1"/>
  <c r="F344" i="2" s="1"/>
  <c r="D345" i="2"/>
  <c r="D348" i="2"/>
  <c r="E348" i="2" s="1"/>
  <c r="F348" i="2" s="1"/>
  <c r="D349" i="2"/>
  <c r="D350" i="2"/>
  <c r="E350" i="2" s="1"/>
  <c r="D353" i="2"/>
  <c r="E353" i="2" s="1"/>
  <c r="F353" i="2" s="1"/>
  <c r="D354" i="2"/>
  <c r="D355" i="2"/>
  <c r="E355" i="2" s="1"/>
  <c r="D356" i="2"/>
  <c r="E356" i="2" s="1"/>
  <c r="F356" i="2" s="1"/>
  <c r="D357" i="2"/>
  <c r="E357" i="2" s="1"/>
  <c r="D358" i="2"/>
  <c r="D359" i="2"/>
  <c r="E359" i="2" s="1"/>
  <c r="D360" i="2"/>
  <c r="E360" i="2" s="1"/>
  <c r="F360" i="2" s="1"/>
  <c r="D361" i="2"/>
  <c r="E361" i="2" s="1"/>
  <c r="F361" i="2" s="1"/>
  <c r="D362" i="2"/>
  <c r="D365" i="2"/>
  <c r="E365" i="2" s="1"/>
  <c r="D366" i="2"/>
  <c r="E366" i="2" s="1"/>
  <c r="F366" i="2" s="1"/>
  <c r="D369" i="2"/>
  <c r="E369" i="2" s="1"/>
  <c r="D370" i="2"/>
  <c r="E370" i="2" s="1"/>
  <c r="F370" i="2" s="1"/>
  <c r="D374" i="2"/>
  <c r="E374" i="2" s="1"/>
  <c r="F374" i="2" s="1"/>
  <c r="D375" i="2"/>
  <c r="D376" i="2"/>
  <c r="E376" i="2" s="1"/>
  <c r="D377" i="2"/>
  <c r="E377" i="2" s="1"/>
  <c r="D378" i="2"/>
  <c r="E378" i="2" s="1"/>
  <c r="F378" i="2" s="1"/>
  <c r="D379" i="2"/>
  <c r="E379" i="2" s="1"/>
  <c r="D381" i="2"/>
  <c r="E381" i="2" s="1"/>
  <c r="D382" i="2"/>
  <c r="E382" i="2" s="1"/>
  <c r="F382" i="2" s="1"/>
  <c r="D383" i="2"/>
  <c r="D384" i="2"/>
  <c r="E384" i="2" s="1"/>
  <c r="D385" i="2"/>
  <c r="E385" i="2" s="1"/>
  <c r="F385" i="2" s="1"/>
  <c r="D386" i="2"/>
  <c r="E386" i="2" s="1"/>
  <c r="D387" i="2"/>
  <c r="E387" i="2" s="1"/>
  <c r="D388" i="2"/>
  <c r="E388" i="2" s="1"/>
  <c r="D389" i="2"/>
  <c r="E389" i="2" s="1"/>
  <c r="D392" i="2"/>
  <c r="E392" i="2" s="1"/>
  <c r="D393" i="2"/>
  <c r="E393" i="2" s="1"/>
  <c r="F393" i="2" s="1"/>
  <c r="D394" i="2"/>
  <c r="E394" i="2" s="1"/>
  <c r="F394" i="2" s="1"/>
  <c r="D395" i="2"/>
  <c r="E395" i="2" s="1"/>
  <c r="D396" i="2"/>
  <c r="E396" i="2" s="1"/>
  <c r="D397" i="2"/>
  <c r="D398" i="2"/>
  <c r="E398" i="2" s="1"/>
  <c r="F398" i="2" s="1"/>
  <c r="D401" i="2"/>
  <c r="E401" i="2" s="1"/>
  <c r="D402" i="2"/>
  <c r="E402" i="2" s="1"/>
  <c r="D406" i="2"/>
  <c r="E406" i="2" s="1"/>
  <c r="F406" i="2" s="1"/>
  <c r="D409" i="2"/>
  <c r="E409" i="2" s="1"/>
  <c r="F409" i="2" s="1"/>
  <c r="D410" i="2"/>
  <c r="E410" i="2" s="1"/>
  <c r="D411" i="2"/>
  <c r="E411" i="2" s="1"/>
  <c r="D412" i="2"/>
  <c r="E412" i="2" s="1"/>
  <c r="D413" i="2"/>
  <c r="E413" i="2" s="1"/>
  <c r="D414" i="2"/>
  <c r="E414" i="2" s="1"/>
  <c r="F414" i="2" s="1"/>
  <c r="D415" i="2"/>
  <c r="D416" i="2"/>
  <c r="E416" i="2" s="1"/>
  <c r="D421" i="2"/>
  <c r="E421" i="2" s="1"/>
  <c r="F421" i="2" s="1"/>
  <c r="D422" i="2"/>
  <c r="E422" i="2" s="1"/>
  <c r="F422" i="2" s="1"/>
  <c r="D424" i="2"/>
  <c r="E424" i="2" s="1"/>
  <c r="D425" i="2"/>
  <c r="E425" i="2" s="1"/>
  <c r="D426" i="2"/>
  <c r="E426" i="2" s="1"/>
  <c r="F426" i="2" s="1"/>
  <c r="D427" i="2"/>
  <c r="D428" i="2"/>
  <c r="E428" i="2" s="1"/>
  <c r="D429" i="2"/>
  <c r="E429" i="2" s="1"/>
  <c r="D433" i="2"/>
  <c r="E433" i="2" s="1"/>
  <c r="F433" i="2" s="1"/>
  <c r="D434" i="2"/>
  <c r="E434" i="2" s="1"/>
  <c r="D435" i="2"/>
  <c r="D436" i="2"/>
  <c r="E436" i="2" s="1"/>
  <c r="D438" i="2"/>
  <c r="D439" i="2"/>
  <c r="E439" i="2" s="1"/>
  <c r="D440" i="2"/>
  <c r="E440" i="2" s="1"/>
  <c r="F440" i="2" s="1"/>
  <c r="D441" i="2"/>
  <c r="E441" i="2" s="1"/>
  <c r="D442" i="2"/>
  <c r="E442" i="2" s="1"/>
  <c r="D443" i="2"/>
  <c r="E443" i="2" s="1"/>
  <c r="D444" i="2"/>
  <c r="E444" i="2" s="1"/>
  <c r="D445" i="2"/>
  <c r="E445" i="2" s="1"/>
  <c r="F445" i="2" s="1"/>
  <c r="D446" i="2"/>
  <c r="D447" i="2"/>
  <c r="E447" i="2" s="1"/>
  <c r="D448" i="2"/>
  <c r="E448" i="2" s="1"/>
  <c r="F448" i="2" s="1"/>
  <c r="D449" i="2"/>
  <c r="E449" i="2" s="1"/>
  <c r="D451" i="2"/>
  <c r="E451" i="2" s="1"/>
  <c r="D452" i="2"/>
  <c r="D453" i="2"/>
  <c r="E453" i="2" s="1"/>
  <c r="F453" i="2" s="1"/>
  <c r="D454" i="2"/>
  <c r="D455" i="2"/>
  <c r="E455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F461" i="2" s="1"/>
  <c r="D462" i="2"/>
  <c r="D463" i="2"/>
  <c r="E463" i="2" s="1"/>
  <c r="D464" i="2"/>
  <c r="E464" i="2" s="1"/>
  <c r="F464" i="2" s="1"/>
  <c r="D465" i="2"/>
  <c r="E465" i="2" s="1"/>
  <c r="F465" i="2" s="1"/>
  <c r="D466" i="2"/>
  <c r="E466" i="2" s="1"/>
  <c r="D467" i="2"/>
  <c r="E467" i="2" s="1"/>
  <c r="D468" i="2"/>
  <c r="E468" i="2" s="1"/>
  <c r="D469" i="2"/>
  <c r="E469" i="2" s="1"/>
  <c r="F469" i="2" s="1"/>
  <c r="D472" i="2"/>
  <c r="D473" i="2"/>
  <c r="E473" i="2" s="1"/>
  <c r="D474" i="2"/>
  <c r="E474" i="2" s="1"/>
  <c r="D475" i="2"/>
  <c r="E475" i="2" s="1"/>
  <c r="F475" i="2" s="1"/>
  <c r="D476" i="2"/>
  <c r="E476" i="2" s="1"/>
  <c r="D477" i="2"/>
  <c r="E477" i="2" s="1"/>
  <c r="D478" i="2"/>
  <c r="E478" i="2" s="1"/>
  <c r="D479" i="2"/>
  <c r="E479" i="2" s="1"/>
  <c r="F479" i="2" s="1"/>
  <c r="D480" i="2"/>
  <c r="D481" i="2"/>
  <c r="E481" i="2" s="1"/>
  <c r="D482" i="2"/>
  <c r="E482" i="2" s="1"/>
  <c r="D483" i="2"/>
  <c r="E483" i="2" s="1"/>
  <c r="D484" i="2"/>
  <c r="D485" i="2"/>
  <c r="E485" i="2" s="1"/>
  <c r="D486" i="2"/>
  <c r="E486" i="2" s="1"/>
  <c r="D487" i="2"/>
  <c r="E487" i="2" s="1"/>
  <c r="F487" i="2" s="1"/>
  <c r="D488" i="2"/>
  <c r="D489" i="2"/>
  <c r="E489" i="2" s="1"/>
  <c r="D491" i="2"/>
  <c r="E491" i="2" s="1"/>
  <c r="F491" i="2" s="1"/>
  <c r="D492" i="2"/>
  <c r="E492" i="2" s="1"/>
  <c r="F492" i="2" s="1"/>
  <c r="D493" i="2"/>
  <c r="E493" i="2" s="1"/>
  <c r="D494" i="2"/>
  <c r="E494" i="2" s="1"/>
  <c r="D495" i="2"/>
  <c r="E495" i="2" s="1"/>
  <c r="F495" i="2" s="1"/>
  <c r="D496" i="2"/>
  <c r="D497" i="2"/>
  <c r="E497" i="2" s="1"/>
  <c r="D498" i="2"/>
  <c r="E498" i="2" s="1"/>
  <c r="D499" i="2"/>
  <c r="E499" i="2" s="1"/>
  <c r="D500" i="2"/>
  <c r="E500" i="2" s="1"/>
  <c r="D501" i="2"/>
  <c r="D502" i="2"/>
  <c r="E502" i="2" s="1"/>
  <c r="D503" i="2"/>
  <c r="E503" i="2" s="1"/>
  <c r="F503" i="2" s="1"/>
  <c r="D504" i="2"/>
  <c r="D505" i="2"/>
  <c r="E505" i="2" s="1"/>
  <c r="D506" i="2"/>
  <c r="E506" i="2" s="1"/>
  <c r="F506" i="2" s="1"/>
  <c r="D507" i="2"/>
  <c r="E507" i="2" s="1"/>
  <c r="D508" i="2"/>
  <c r="E508" i="2" s="1"/>
  <c r="D509" i="2"/>
  <c r="E509" i="2" s="1"/>
  <c r="D510" i="2"/>
  <c r="E510" i="2" s="1"/>
  <c r="D511" i="2"/>
  <c r="E511" i="2" s="1"/>
  <c r="F511" i="2" s="1"/>
  <c r="D512" i="2"/>
  <c r="D513" i="2"/>
  <c r="E513" i="2" s="1"/>
  <c r="D514" i="2"/>
  <c r="E514" i="2" s="1"/>
  <c r="F514" i="2" s="1"/>
  <c r="D520" i="2"/>
  <c r="E520" i="2" s="1"/>
  <c r="D521" i="2"/>
  <c r="E521" i="2" s="1"/>
  <c r="D522" i="2"/>
  <c r="E522" i="2" s="1"/>
  <c r="D523" i="2"/>
  <c r="E523" i="2" s="1"/>
  <c r="F523" i="2" s="1"/>
  <c r="D524" i="2"/>
  <c r="D525" i="2"/>
  <c r="E525" i="2" s="1"/>
  <c r="D528" i="2"/>
  <c r="E528" i="2" s="1"/>
  <c r="D529" i="2"/>
  <c r="E529" i="2" s="1"/>
  <c r="D530" i="2"/>
  <c r="E530" i="2" s="1"/>
  <c r="D531" i="2"/>
  <c r="E531" i="2" s="1"/>
  <c r="F531" i="2" s="1"/>
  <c r="D533" i="2"/>
  <c r="E533" i="2" s="1"/>
  <c r="D534" i="2"/>
  <c r="E534" i="2" s="1"/>
  <c r="D537" i="2"/>
  <c r="E537" i="2" s="1"/>
  <c r="D539" i="2"/>
  <c r="E539" i="2" s="1"/>
  <c r="F539" i="2" s="1"/>
  <c r="D541" i="2"/>
  <c r="E541" i="2" s="1"/>
  <c r="D543" i="2"/>
  <c r="E543" i="2" s="1"/>
  <c r="F543" i="2" s="1"/>
  <c r="D544" i="2"/>
  <c r="E544" i="2" s="1"/>
  <c r="D545" i="2"/>
  <c r="E545" i="2" s="1"/>
  <c r="D557" i="2"/>
  <c r="E557" i="2" s="1"/>
  <c r="F557" i="2" s="1"/>
  <c r="D558" i="2"/>
  <c r="D559" i="2"/>
  <c r="E559" i="2" s="1"/>
  <c r="D560" i="2"/>
  <c r="E560" i="2" s="1"/>
  <c r="D561" i="2"/>
  <c r="E561" i="2" s="1"/>
  <c r="F561" i="2" s="1"/>
  <c r="D562" i="2"/>
  <c r="E562" i="2" s="1"/>
  <c r="D563" i="2"/>
  <c r="D564" i="2"/>
  <c r="E564" i="2" s="1"/>
  <c r="D565" i="2"/>
  <c r="E565" i="2" s="1"/>
  <c r="F565" i="2" s="1"/>
  <c r="D566" i="2"/>
  <c r="D567" i="2"/>
  <c r="E567" i="2" s="1"/>
  <c r="D568" i="2"/>
  <c r="E568" i="2" s="1"/>
  <c r="F568" i="2" s="1"/>
  <c r="D569" i="2"/>
  <c r="E569" i="2" s="1"/>
  <c r="F569" i="2" s="1"/>
  <c r="D570" i="2"/>
  <c r="E570" i="2" s="1"/>
  <c r="D571" i="2"/>
  <c r="E571" i="2" s="1"/>
  <c r="D573" i="2"/>
  <c r="E573" i="2" s="1"/>
  <c r="F573" i="2" s="1"/>
  <c r="D574" i="2"/>
  <c r="D575" i="2"/>
  <c r="E575" i="2" s="1"/>
  <c r="D576" i="2"/>
  <c r="E576" i="2" s="1"/>
  <c r="F576" i="2" s="1"/>
  <c r="D577" i="2"/>
  <c r="E577" i="2" s="1"/>
  <c r="F577" i="2" s="1"/>
  <c r="D578" i="2"/>
  <c r="E578" i="2" s="1"/>
  <c r="F578" i="2" s="1"/>
  <c r="D579" i="2"/>
  <c r="E579" i="2" s="1"/>
  <c r="D580" i="2"/>
  <c r="E580" i="2" s="1"/>
  <c r="D581" i="2"/>
  <c r="E581" i="2" s="1"/>
  <c r="F581" i="2" s="1"/>
  <c r="D582" i="2"/>
  <c r="D583" i="2"/>
  <c r="E583" i="2" s="1"/>
  <c r="D584" i="2"/>
  <c r="E584" i="2" s="1"/>
  <c r="D585" i="2"/>
  <c r="E585" i="2" s="1"/>
  <c r="F585" i="2" s="1"/>
  <c r="D6" i="2"/>
  <c r="D7" i="56"/>
  <c r="E7" i="56" s="1"/>
  <c r="D8" i="56"/>
  <c r="E8" i="56" s="1"/>
  <c r="F8" i="56" s="1"/>
  <c r="D9" i="56"/>
  <c r="E9" i="56" s="1"/>
  <c r="D10" i="56"/>
  <c r="E10" i="56" s="1"/>
  <c r="F10" i="56" s="1"/>
  <c r="D11" i="56"/>
  <c r="E11" i="56" s="1"/>
  <c r="D12" i="56"/>
  <c r="E12" i="56" s="1"/>
  <c r="F12" i="56" s="1"/>
  <c r="D13" i="56"/>
  <c r="E13" i="56" s="1"/>
  <c r="D14" i="56"/>
  <c r="E14" i="56" s="1"/>
  <c r="F14" i="56" s="1"/>
  <c r="D15" i="56"/>
  <c r="E15" i="56" s="1"/>
  <c r="D16" i="56"/>
  <c r="E16" i="56" s="1"/>
  <c r="F16" i="56" s="1"/>
  <c r="D17" i="56"/>
  <c r="E17" i="56" s="1"/>
  <c r="D18" i="56"/>
  <c r="E18" i="56" s="1"/>
  <c r="F18" i="56" s="1"/>
  <c r="D19" i="56"/>
  <c r="E19" i="56" s="1"/>
  <c r="D20" i="56"/>
  <c r="E20" i="56" s="1"/>
  <c r="F20" i="56" s="1"/>
  <c r="D21" i="56"/>
  <c r="E21" i="56" s="1"/>
  <c r="D22" i="56"/>
  <c r="E22" i="56" s="1"/>
  <c r="F22" i="56" s="1"/>
  <c r="D23" i="56"/>
  <c r="E23" i="56" s="1"/>
  <c r="D24" i="56"/>
  <c r="E24" i="56" s="1"/>
  <c r="F24" i="56" s="1"/>
  <c r="D25" i="56"/>
  <c r="E25" i="56" s="1"/>
  <c r="D26" i="56"/>
  <c r="E26" i="56" s="1"/>
  <c r="F26" i="56" s="1"/>
  <c r="D27" i="56"/>
  <c r="E27" i="56" s="1"/>
  <c r="D28" i="56"/>
  <c r="E28" i="56" s="1"/>
  <c r="F28" i="56" s="1"/>
  <c r="D29" i="56"/>
  <c r="E29" i="56" s="1"/>
  <c r="D30" i="56"/>
  <c r="E30" i="56" s="1"/>
  <c r="F30" i="56" s="1"/>
  <c r="D32" i="56"/>
  <c r="E32" i="56" s="1"/>
  <c r="F32" i="56" s="1"/>
  <c r="D34" i="56"/>
  <c r="E34" i="56" s="1"/>
  <c r="F34" i="56" s="1"/>
  <c r="D36" i="56"/>
  <c r="E36" i="56" s="1"/>
  <c r="F36" i="56" s="1"/>
  <c r="D38" i="56"/>
  <c r="E38" i="56" s="1"/>
  <c r="F38" i="56" s="1"/>
  <c r="D40" i="56"/>
  <c r="E40" i="56" s="1"/>
  <c r="F40" i="56" s="1"/>
  <c r="D43" i="56"/>
  <c r="E43" i="56" s="1"/>
  <c r="D45" i="56"/>
  <c r="E45" i="56" s="1"/>
  <c r="D47" i="56"/>
  <c r="E47" i="56" s="1"/>
  <c r="D49" i="56"/>
  <c r="E49" i="56" s="1"/>
  <c r="D51" i="56"/>
  <c r="E51" i="56" s="1"/>
  <c r="D53" i="56"/>
  <c r="E53" i="56" s="1"/>
  <c r="D55" i="56"/>
  <c r="E55" i="56" s="1"/>
  <c r="D56" i="56"/>
  <c r="E56" i="56" s="1"/>
  <c r="F56" i="56" s="1"/>
  <c r="D57" i="56"/>
  <c r="E57" i="56" s="1"/>
  <c r="D58" i="56"/>
  <c r="E58" i="56" s="1"/>
  <c r="F58" i="56" s="1"/>
  <c r="D59" i="56"/>
  <c r="E59" i="56" s="1"/>
  <c r="D60" i="56"/>
  <c r="E60" i="56" s="1"/>
  <c r="F60" i="56" s="1"/>
  <c r="D61" i="56"/>
  <c r="E61" i="56" s="1"/>
  <c r="D62" i="56"/>
  <c r="E62" i="56" s="1"/>
  <c r="F62" i="56" s="1"/>
  <c r="D64" i="56"/>
  <c r="E64" i="56" s="1"/>
  <c r="F64" i="56" s="1"/>
  <c r="D65" i="56"/>
  <c r="E65" i="56" s="1"/>
  <c r="D66" i="56"/>
  <c r="E66" i="56" s="1"/>
  <c r="F66" i="56" s="1"/>
  <c r="D67" i="56"/>
  <c r="E67" i="56" s="1"/>
  <c r="D68" i="56"/>
  <c r="E68" i="56" s="1"/>
  <c r="F68" i="56" s="1"/>
  <c r="D69" i="56"/>
  <c r="E69" i="56" s="1"/>
  <c r="D70" i="56"/>
  <c r="E70" i="56" s="1"/>
  <c r="F70" i="56" s="1"/>
  <c r="D71" i="56"/>
  <c r="E71" i="56" s="1"/>
  <c r="D72" i="56"/>
  <c r="E72" i="56" s="1"/>
  <c r="F72" i="56" s="1"/>
  <c r="D73" i="56"/>
  <c r="E73" i="56" s="1"/>
  <c r="D74" i="56"/>
  <c r="E74" i="56" s="1"/>
  <c r="F74" i="56" s="1"/>
  <c r="D75" i="56"/>
  <c r="E75" i="56" s="1"/>
  <c r="D76" i="56"/>
  <c r="E76" i="56" s="1"/>
  <c r="F76" i="56" s="1"/>
  <c r="D78" i="56"/>
  <c r="E78" i="56" s="1"/>
  <c r="F78" i="56" s="1"/>
  <c r="D79" i="56"/>
  <c r="E79" i="56" s="1"/>
  <c r="D80" i="56"/>
  <c r="E80" i="56" s="1"/>
  <c r="F80" i="56" s="1"/>
  <c r="D81" i="56"/>
  <c r="E81" i="56" s="1"/>
  <c r="D82" i="56"/>
  <c r="E82" i="56" s="1"/>
  <c r="F82" i="56" s="1"/>
  <c r="D83" i="56"/>
  <c r="E83" i="56" s="1"/>
  <c r="D84" i="56"/>
  <c r="E84" i="56" s="1"/>
  <c r="F84" i="56" s="1"/>
  <c r="D85" i="56"/>
  <c r="E85" i="56" s="1"/>
  <c r="D86" i="56"/>
  <c r="E86" i="56" s="1"/>
  <c r="F86" i="56" s="1"/>
  <c r="D87" i="56"/>
  <c r="E87" i="56" s="1"/>
  <c r="D88" i="56"/>
  <c r="E88" i="56" s="1"/>
  <c r="F88" i="56" s="1"/>
  <c r="D89" i="56"/>
  <c r="E89" i="56" s="1"/>
  <c r="D92" i="56"/>
  <c r="E92" i="56" s="1"/>
  <c r="F92" i="56" s="1"/>
  <c r="D93" i="56"/>
  <c r="E93" i="56" s="1"/>
  <c r="D94" i="56"/>
  <c r="E94" i="56" s="1"/>
  <c r="F94" i="56" s="1"/>
  <c r="D95" i="56"/>
  <c r="E95" i="56" s="1"/>
  <c r="D97" i="56"/>
  <c r="E97" i="56" s="1"/>
  <c r="D98" i="56"/>
  <c r="E98" i="56" s="1"/>
  <c r="F98" i="56" s="1"/>
  <c r="D99" i="56"/>
  <c r="E99" i="56" s="1"/>
  <c r="D101" i="56"/>
  <c r="E101" i="56" s="1"/>
  <c r="D103" i="56"/>
  <c r="E103" i="56" s="1"/>
  <c r="D104" i="56"/>
  <c r="E104" i="56" s="1"/>
  <c r="F104" i="56" s="1"/>
  <c r="D105" i="56"/>
  <c r="E105" i="56" s="1"/>
  <c r="D6" i="56"/>
  <c r="E6" i="56" s="1"/>
  <c r="D7" i="55"/>
  <c r="E7" i="55" s="1"/>
  <c r="F7" i="55" s="1"/>
  <c r="D9" i="55"/>
  <c r="E9" i="55" s="1"/>
  <c r="F9" i="55" s="1"/>
  <c r="D10" i="55"/>
  <c r="E10" i="55" s="1"/>
  <c r="F10" i="55" s="1"/>
  <c r="D12" i="55"/>
  <c r="E12" i="55" s="1"/>
  <c r="F12" i="55" s="1"/>
  <c r="D14" i="55"/>
  <c r="E14" i="55" s="1"/>
  <c r="F14" i="55" s="1"/>
  <c r="D15" i="55"/>
  <c r="E15" i="55" s="1"/>
  <c r="F15" i="55" s="1"/>
  <c r="D16" i="55"/>
  <c r="E16" i="55" s="1"/>
  <c r="F16" i="55" s="1"/>
  <c r="D17" i="55"/>
  <c r="E17" i="55" s="1"/>
  <c r="F17" i="55" s="1"/>
  <c r="D18" i="55"/>
  <c r="E18" i="55" s="1"/>
  <c r="F18" i="55" s="1"/>
  <c r="D19" i="55"/>
  <c r="E19" i="55" s="1"/>
  <c r="D20" i="55"/>
  <c r="E20" i="55" s="1"/>
  <c r="F20" i="55" s="1"/>
  <c r="D21" i="55"/>
  <c r="E21" i="55" s="1"/>
  <c r="F21" i="55" s="1"/>
  <c r="D22" i="55"/>
  <c r="E22" i="55" s="1"/>
  <c r="F22" i="55" s="1"/>
  <c r="D23" i="55"/>
  <c r="E23" i="55" s="1"/>
  <c r="F23" i="55" s="1"/>
  <c r="D25" i="55"/>
  <c r="E25" i="55" s="1"/>
  <c r="F25" i="55" s="1"/>
  <c r="D26" i="55"/>
  <c r="E26" i="55" s="1"/>
  <c r="F26" i="55" s="1"/>
  <c r="D28" i="55"/>
  <c r="E28" i="55" s="1"/>
  <c r="F28" i="55" s="1"/>
  <c r="D29" i="55"/>
  <c r="E29" i="55" s="1"/>
  <c r="F29" i="55" s="1"/>
  <c r="D31" i="55"/>
  <c r="E31" i="55" s="1"/>
  <c r="D33" i="55"/>
  <c r="E33" i="55" s="1"/>
  <c r="D34" i="55"/>
  <c r="E34" i="55" s="1"/>
  <c r="F34" i="55" s="1"/>
  <c r="D35" i="55"/>
  <c r="E35" i="55" s="1"/>
  <c r="D36" i="55"/>
  <c r="E36" i="55" s="1"/>
  <c r="F36" i="55" s="1"/>
  <c r="D37" i="55"/>
  <c r="E37" i="55" s="1"/>
  <c r="D38" i="55"/>
  <c r="E38" i="55" s="1"/>
  <c r="F38" i="55" s="1"/>
  <c r="D39" i="55"/>
  <c r="E39" i="55" s="1"/>
  <c r="F39" i="55" s="1"/>
  <c r="D40" i="55"/>
  <c r="E40" i="55" s="1"/>
  <c r="F40" i="55" s="1"/>
  <c r="D41" i="55"/>
  <c r="E41" i="55" s="1"/>
  <c r="D42" i="55"/>
  <c r="E42" i="55" s="1"/>
  <c r="F42" i="55" s="1"/>
  <c r="D44" i="55"/>
  <c r="E44" i="55" s="1"/>
  <c r="F44" i="55" s="1"/>
  <c r="D45" i="55"/>
  <c r="E45" i="55" s="1"/>
  <c r="D46" i="55"/>
  <c r="E46" i="55" s="1"/>
  <c r="F46" i="55" s="1"/>
  <c r="D47" i="55"/>
  <c r="E47" i="55" s="1"/>
  <c r="D48" i="55"/>
  <c r="E48" i="55" s="1"/>
  <c r="F48" i="55" s="1"/>
  <c r="D49" i="55"/>
  <c r="E49" i="55" s="1"/>
  <c r="D50" i="55"/>
  <c r="E50" i="55" s="1"/>
  <c r="F50" i="55" s="1"/>
  <c r="D51" i="55"/>
  <c r="E51" i="55" s="1"/>
  <c r="D52" i="55"/>
  <c r="E52" i="55" s="1"/>
  <c r="F52" i="55" s="1"/>
  <c r="D53" i="55"/>
  <c r="E53" i="55" s="1"/>
  <c r="D54" i="55"/>
  <c r="E54" i="55" s="1"/>
  <c r="F54" i="55" s="1"/>
  <c r="D55" i="55"/>
  <c r="E55" i="55" s="1"/>
  <c r="F55" i="55" s="1"/>
  <c r="D56" i="55"/>
  <c r="E56" i="55" s="1"/>
  <c r="F56" i="55" s="1"/>
  <c r="D57" i="55"/>
  <c r="E57" i="55" s="1"/>
  <c r="D58" i="55"/>
  <c r="E58" i="55" s="1"/>
  <c r="F58" i="55" s="1"/>
  <c r="D59" i="55"/>
  <c r="E59" i="55" s="1"/>
  <c r="F59" i="55" s="1"/>
  <c r="D60" i="55"/>
  <c r="E60" i="55" s="1"/>
  <c r="F60" i="55" s="1"/>
  <c r="D61" i="55"/>
  <c r="E61" i="55" s="1"/>
  <c r="D62" i="55"/>
  <c r="E62" i="55" s="1"/>
  <c r="F62" i="55" s="1"/>
  <c r="D63" i="55"/>
  <c r="E63" i="55" s="1"/>
  <c r="D64" i="55"/>
  <c r="E64" i="55" s="1"/>
  <c r="F64" i="55" s="1"/>
  <c r="D65" i="55"/>
  <c r="E65" i="55" s="1"/>
  <c r="D66" i="55"/>
  <c r="E66" i="55" s="1"/>
  <c r="F66" i="55" s="1"/>
  <c r="D67" i="55"/>
  <c r="E67" i="55" s="1"/>
  <c r="D68" i="55"/>
  <c r="E68" i="55" s="1"/>
  <c r="F68" i="55" s="1"/>
  <c r="D69" i="55"/>
  <c r="E69" i="55" s="1"/>
  <c r="D70" i="55"/>
  <c r="E70" i="55" s="1"/>
  <c r="F70" i="55" s="1"/>
  <c r="D71" i="55"/>
  <c r="E71" i="55" s="1"/>
  <c r="F71" i="55" s="1"/>
  <c r="D72" i="55"/>
  <c r="E72" i="55" s="1"/>
  <c r="F72" i="55" s="1"/>
  <c r="D73" i="55"/>
  <c r="E73" i="55" s="1"/>
  <c r="D74" i="55"/>
  <c r="E74" i="55" s="1"/>
  <c r="F74" i="55" s="1"/>
  <c r="D75" i="55"/>
  <c r="E75" i="55" s="1"/>
  <c r="F75" i="55" s="1"/>
  <c r="D76" i="55"/>
  <c r="E76" i="55" s="1"/>
  <c r="F76" i="55" s="1"/>
  <c r="D77" i="55"/>
  <c r="E77" i="55" s="1"/>
  <c r="D78" i="55"/>
  <c r="E78" i="55" s="1"/>
  <c r="F78" i="55" s="1"/>
  <c r="D79" i="55"/>
  <c r="E79" i="55" s="1"/>
  <c r="D80" i="55"/>
  <c r="E80" i="55" s="1"/>
  <c r="F80" i="55" s="1"/>
  <c r="D81" i="55"/>
  <c r="E81" i="55" s="1"/>
  <c r="D82" i="55"/>
  <c r="E82" i="55" s="1"/>
  <c r="F82" i="55" s="1"/>
  <c r="D83" i="55"/>
  <c r="E83" i="55" s="1"/>
  <c r="D84" i="55"/>
  <c r="E84" i="55" s="1"/>
  <c r="F84" i="55" s="1"/>
  <c r="D85" i="55"/>
  <c r="E85" i="55" s="1"/>
  <c r="D86" i="55"/>
  <c r="E86" i="55" s="1"/>
  <c r="F86" i="55" s="1"/>
  <c r="D87" i="55"/>
  <c r="E87" i="55" s="1"/>
  <c r="F87" i="55" s="1"/>
  <c r="D88" i="55"/>
  <c r="E88" i="55" s="1"/>
  <c r="F88" i="55" s="1"/>
  <c r="D89" i="55"/>
  <c r="E89" i="55" s="1"/>
  <c r="D90" i="55"/>
  <c r="E90" i="55" s="1"/>
  <c r="F90" i="55" s="1"/>
  <c r="D91" i="55"/>
  <c r="E91" i="55" s="1"/>
  <c r="F91" i="55" s="1"/>
  <c r="D92" i="55"/>
  <c r="E92" i="55" s="1"/>
  <c r="F92" i="55" s="1"/>
  <c r="D93" i="55"/>
  <c r="E93" i="55" s="1"/>
  <c r="D94" i="55"/>
  <c r="E94" i="55" s="1"/>
  <c r="F94" i="55" s="1"/>
  <c r="G94" i="55" s="1"/>
  <c r="D95" i="55"/>
  <c r="E95" i="55" s="1"/>
  <c r="D96" i="55"/>
  <c r="E96" i="55" s="1"/>
  <c r="F96" i="55" s="1"/>
  <c r="D97" i="55"/>
  <c r="E97" i="55" s="1"/>
  <c r="D98" i="55"/>
  <c r="E98" i="55" s="1"/>
  <c r="F98" i="55" s="1"/>
  <c r="D99" i="55"/>
  <c r="E99" i="55" s="1"/>
  <c r="D102" i="55"/>
  <c r="E102" i="55" s="1"/>
  <c r="F102" i="55" s="1"/>
  <c r="D103" i="55"/>
  <c r="E103" i="55" s="1"/>
  <c r="F103" i="55" s="1"/>
  <c r="D104" i="55"/>
  <c r="E104" i="55" s="1"/>
  <c r="F104" i="55" s="1"/>
  <c r="D106" i="55"/>
  <c r="E106" i="55" s="1"/>
  <c r="F106" i="55" s="1"/>
  <c r="D112" i="55"/>
  <c r="E112" i="55" s="1"/>
  <c r="F112" i="55" s="1"/>
  <c r="D120" i="55"/>
  <c r="E120" i="55" s="1"/>
  <c r="F120" i="55" s="1"/>
  <c r="D121" i="55"/>
  <c r="E121" i="55" s="1"/>
  <c r="D122" i="55"/>
  <c r="E122" i="55" s="1"/>
  <c r="F122" i="55" s="1"/>
  <c r="D123" i="55"/>
  <c r="E123" i="55" s="1"/>
  <c r="F123" i="55" s="1"/>
  <c r="D124" i="55"/>
  <c r="E124" i="55" s="1"/>
  <c r="F124" i="55" s="1"/>
  <c r="D125" i="55"/>
  <c r="E125" i="55" s="1"/>
  <c r="D126" i="55"/>
  <c r="E126" i="55" s="1"/>
  <c r="F126" i="55" s="1"/>
  <c r="D127" i="55"/>
  <c r="E127" i="55" s="1"/>
  <c r="D128" i="55"/>
  <c r="E128" i="55" s="1"/>
  <c r="F128" i="55" s="1"/>
  <c r="D129" i="55"/>
  <c r="E129" i="55" s="1"/>
  <c r="D130" i="55"/>
  <c r="E130" i="55" s="1"/>
  <c r="F130" i="55" s="1"/>
  <c r="D131" i="55"/>
  <c r="E131" i="55" s="1"/>
  <c r="D132" i="55"/>
  <c r="E132" i="55" s="1"/>
  <c r="F132" i="55" s="1"/>
  <c r="D133" i="55"/>
  <c r="E133" i="55" s="1"/>
  <c r="D134" i="55"/>
  <c r="E134" i="55" s="1"/>
  <c r="F134" i="55" s="1"/>
  <c r="D135" i="55"/>
  <c r="E135" i="55" s="1"/>
  <c r="F135" i="55" s="1"/>
  <c r="D137" i="55"/>
  <c r="E137" i="55" s="1"/>
  <c r="D138" i="55"/>
  <c r="E138" i="55" s="1"/>
  <c r="F138" i="55" s="1"/>
  <c r="D139" i="55"/>
  <c r="E139" i="55" s="1"/>
  <c r="F139" i="55" s="1"/>
  <c r="D140" i="55"/>
  <c r="E140" i="55" s="1"/>
  <c r="F140" i="55" s="1"/>
  <c r="D141" i="55"/>
  <c r="E141" i="55" s="1"/>
  <c r="D142" i="55"/>
  <c r="E142" i="55" s="1"/>
  <c r="F142" i="55" s="1"/>
  <c r="D143" i="55"/>
  <c r="E143" i="55" s="1"/>
  <c r="D144" i="55"/>
  <c r="E144" i="55" s="1"/>
  <c r="F144" i="55" s="1"/>
  <c r="D145" i="55"/>
  <c r="E145" i="55" s="1"/>
  <c r="D147" i="55"/>
  <c r="E147" i="55" s="1"/>
  <c r="D150" i="55"/>
  <c r="E150" i="55" s="1"/>
  <c r="F150" i="55" s="1"/>
  <c r="D151" i="55"/>
  <c r="E151" i="55" s="1"/>
  <c r="F151" i="55" s="1"/>
  <c r="D152" i="55"/>
  <c r="E152" i="55" s="1"/>
  <c r="F152" i="55" s="1"/>
  <c r="D158" i="55"/>
  <c r="E158" i="55" s="1"/>
  <c r="F158" i="55" s="1"/>
  <c r="G158" i="55" s="1"/>
  <c r="D159" i="55"/>
  <c r="E159" i="55" s="1"/>
  <c r="D160" i="55"/>
  <c r="E160" i="55" s="1"/>
  <c r="F160" i="55" s="1"/>
  <c r="D161" i="55"/>
  <c r="E161" i="55" s="1"/>
  <c r="D162" i="55"/>
  <c r="E162" i="55" s="1"/>
  <c r="F162" i="55" s="1"/>
  <c r="D163" i="55"/>
  <c r="E163" i="55" s="1"/>
  <c r="D164" i="55"/>
  <c r="E164" i="55" s="1"/>
  <c r="F164" i="55" s="1"/>
  <c r="D165" i="55"/>
  <c r="E165" i="55" s="1"/>
  <c r="D166" i="55"/>
  <c r="E166" i="55" s="1"/>
  <c r="F166" i="55" s="1"/>
  <c r="D167" i="55"/>
  <c r="E167" i="55" s="1"/>
  <c r="F167" i="55" s="1"/>
  <c r="D168" i="55"/>
  <c r="E168" i="55" s="1"/>
  <c r="F168" i="55" s="1"/>
  <c r="D169" i="55"/>
  <c r="E169" i="55" s="1"/>
  <c r="D170" i="55"/>
  <c r="E170" i="55" s="1"/>
  <c r="F170" i="55" s="1"/>
  <c r="D171" i="55"/>
  <c r="E171" i="55" s="1"/>
  <c r="F171" i="55" s="1"/>
  <c r="D172" i="55"/>
  <c r="E172" i="55" s="1"/>
  <c r="F172" i="55" s="1"/>
  <c r="D173" i="55"/>
  <c r="E173" i="55" s="1"/>
  <c r="D174" i="55"/>
  <c r="E174" i="55" s="1"/>
  <c r="F174" i="55" s="1"/>
  <c r="D175" i="55"/>
  <c r="E175" i="55" s="1"/>
  <c r="D176" i="55"/>
  <c r="E176" i="55" s="1"/>
  <c r="F176" i="55" s="1"/>
  <c r="D177" i="55"/>
  <c r="E177" i="55" s="1"/>
  <c r="D6" i="55"/>
  <c r="E6" i="55" s="1"/>
  <c r="D6" i="54"/>
  <c r="E6" i="54" s="1"/>
  <c r="F6" i="54" s="1"/>
  <c r="D7" i="54"/>
  <c r="E7" i="54" s="1"/>
  <c r="D8" i="54"/>
  <c r="E8" i="54" s="1"/>
  <c r="F8" i="54" s="1"/>
  <c r="D9" i="54"/>
  <c r="E9" i="54" s="1"/>
  <c r="D10" i="54"/>
  <c r="E10" i="54" s="1"/>
  <c r="F10" i="54" s="1"/>
  <c r="D11" i="54"/>
  <c r="E11" i="54" s="1"/>
  <c r="D12" i="54"/>
  <c r="E12" i="54" s="1"/>
  <c r="F12" i="54" s="1"/>
  <c r="D13" i="54"/>
  <c r="E13" i="54" s="1"/>
  <c r="D14" i="54"/>
  <c r="E14" i="54" s="1"/>
  <c r="F14" i="54" s="1"/>
  <c r="D15" i="54"/>
  <c r="E15" i="54" s="1"/>
  <c r="D16" i="54"/>
  <c r="E16" i="54" s="1"/>
  <c r="F16" i="54" s="1"/>
  <c r="D17" i="54"/>
  <c r="E17" i="54" s="1"/>
  <c r="D18" i="54"/>
  <c r="E18" i="54" s="1"/>
  <c r="F18" i="54" s="1"/>
  <c r="D19" i="54"/>
  <c r="E19" i="54" s="1"/>
  <c r="D20" i="54"/>
  <c r="E20" i="54" s="1"/>
  <c r="F20" i="54" s="1"/>
  <c r="D22" i="54"/>
  <c r="E22" i="54" s="1"/>
  <c r="F22" i="54" s="1"/>
  <c r="D23" i="54"/>
  <c r="E23" i="54" s="1"/>
  <c r="D24" i="54"/>
  <c r="E24" i="54" s="1"/>
  <c r="F24" i="54" s="1"/>
  <c r="D25" i="54"/>
  <c r="E25" i="54" s="1"/>
  <c r="D26" i="54"/>
  <c r="E26" i="54" s="1"/>
  <c r="F26" i="54" s="1"/>
  <c r="D27" i="54"/>
  <c r="E27" i="54" s="1"/>
  <c r="D28" i="54"/>
  <c r="E28" i="54" s="1"/>
  <c r="F28" i="54" s="1"/>
  <c r="D29" i="54"/>
  <c r="E29" i="54" s="1"/>
  <c r="D30" i="54"/>
  <c r="E30" i="54" s="1"/>
  <c r="F30" i="54" s="1"/>
  <c r="D31" i="54"/>
  <c r="E31" i="54" s="1"/>
  <c r="D32" i="54"/>
  <c r="E32" i="54" s="1"/>
  <c r="F32" i="54" s="1"/>
  <c r="D34" i="54"/>
  <c r="E34" i="54" s="1"/>
  <c r="F34" i="54" s="1"/>
  <c r="D37" i="54"/>
  <c r="E37" i="54" s="1"/>
  <c r="D38" i="54"/>
  <c r="E38" i="54" s="1"/>
  <c r="F38" i="54" s="1"/>
  <c r="D39" i="54"/>
  <c r="E39" i="54" s="1"/>
  <c r="D40" i="54"/>
  <c r="E40" i="54" s="1"/>
  <c r="F40" i="54" s="1"/>
  <c r="D41" i="54"/>
  <c r="E41" i="54" s="1"/>
  <c r="D5" i="54"/>
  <c r="E5" i="54" s="1"/>
  <c r="D60" i="53"/>
  <c r="E60" i="53" s="1"/>
  <c r="D59" i="53"/>
  <c r="E59" i="53" s="1"/>
  <c r="D57" i="53"/>
  <c r="E57" i="53" s="1"/>
  <c r="D55" i="53"/>
  <c r="E55" i="53" s="1"/>
  <c r="D53" i="53"/>
  <c r="E53" i="53" s="1"/>
  <c r="D51" i="53"/>
  <c r="E51" i="53" s="1"/>
  <c r="D49" i="53"/>
  <c r="E49" i="53" s="1"/>
  <c r="D47" i="53"/>
  <c r="E47" i="53" s="1"/>
  <c r="D45" i="53"/>
  <c r="E45" i="53" s="1"/>
  <c r="D43" i="53"/>
  <c r="E43" i="53" s="1"/>
  <c r="D41" i="53"/>
  <c r="E41" i="53" s="1"/>
  <c r="D39" i="53"/>
  <c r="E39" i="53" s="1"/>
  <c r="D37" i="53"/>
  <c r="E37" i="53" s="1"/>
  <c r="D30" i="53"/>
  <c r="E30" i="53" s="1"/>
  <c r="D29" i="53"/>
  <c r="E29" i="53" s="1"/>
  <c r="D27" i="53"/>
  <c r="E27" i="53" s="1"/>
  <c r="D25" i="53"/>
  <c r="E25" i="53" s="1"/>
  <c r="D24" i="53"/>
  <c r="E24" i="53" s="1"/>
  <c r="D22" i="53"/>
  <c r="E22" i="53" s="1"/>
  <c r="D20" i="53"/>
  <c r="E20" i="53" s="1"/>
  <c r="D18" i="53"/>
  <c r="E18" i="53" s="1"/>
  <c r="D16" i="53"/>
  <c r="E16" i="53" s="1"/>
  <c r="D14" i="53"/>
  <c r="E14" i="53" s="1"/>
  <c r="D12" i="53"/>
  <c r="E12" i="53" s="1"/>
  <c r="D10" i="53"/>
  <c r="E10" i="53" s="1"/>
  <c r="D8" i="53"/>
  <c r="E8" i="53" s="1"/>
  <c r="D6" i="53"/>
  <c r="E6" i="53" s="1"/>
  <c r="D281" i="51"/>
  <c r="E281" i="51" s="1"/>
  <c r="D7" i="51"/>
  <c r="E7" i="51" s="1"/>
  <c r="D8" i="51"/>
  <c r="E8" i="51" s="1"/>
  <c r="D10" i="51"/>
  <c r="E10" i="51" s="1"/>
  <c r="D11" i="51"/>
  <c r="E11" i="51" s="1"/>
  <c r="D12" i="51"/>
  <c r="E12" i="51" s="1"/>
  <c r="D13" i="51"/>
  <c r="E13" i="51" s="1"/>
  <c r="D14" i="51"/>
  <c r="E14" i="51" s="1"/>
  <c r="F14" i="51" s="1"/>
  <c r="D16" i="51"/>
  <c r="E16" i="51" s="1"/>
  <c r="D18" i="51"/>
  <c r="E18" i="51" s="1"/>
  <c r="D20" i="51"/>
  <c r="E20" i="51" s="1"/>
  <c r="D21" i="51"/>
  <c r="E21" i="51" s="1"/>
  <c r="D22" i="51"/>
  <c r="E22" i="51" s="1"/>
  <c r="D23" i="51"/>
  <c r="E23" i="51" s="1"/>
  <c r="D24" i="51"/>
  <c r="E24" i="51" s="1"/>
  <c r="D26" i="51"/>
  <c r="E26" i="51" s="1"/>
  <c r="D29" i="51"/>
  <c r="E29" i="51" s="1"/>
  <c r="D33" i="51"/>
  <c r="E33" i="51" s="1"/>
  <c r="D35" i="51"/>
  <c r="E35" i="51" s="1"/>
  <c r="D37" i="51"/>
  <c r="E37" i="51" s="1"/>
  <c r="D39" i="51"/>
  <c r="E39" i="51" s="1"/>
  <c r="D40" i="51"/>
  <c r="E40" i="51" s="1"/>
  <c r="D41" i="51"/>
  <c r="E41" i="51" s="1"/>
  <c r="D42" i="51"/>
  <c r="E42" i="51" s="1"/>
  <c r="D43" i="51"/>
  <c r="E43" i="51" s="1"/>
  <c r="D44" i="51"/>
  <c r="E44" i="51" s="1"/>
  <c r="D45" i="51"/>
  <c r="E45" i="51" s="1"/>
  <c r="D46" i="51"/>
  <c r="E46" i="51" s="1"/>
  <c r="F46" i="51" s="1"/>
  <c r="D47" i="51"/>
  <c r="E47" i="51" s="1"/>
  <c r="D48" i="51"/>
  <c r="E48" i="51" s="1"/>
  <c r="D49" i="51"/>
  <c r="E49" i="51" s="1"/>
  <c r="D50" i="51"/>
  <c r="E50" i="51" s="1"/>
  <c r="D51" i="51"/>
  <c r="E51" i="51" s="1"/>
  <c r="D52" i="51"/>
  <c r="E52" i="51" s="1"/>
  <c r="D53" i="51"/>
  <c r="E53" i="51" s="1"/>
  <c r="D54" i="51"/>
  <c r="E54" i="51" s="1"/>
  <c r="F54" i="51" s="1"/>
  <c r="D55" i="51"/>
  <c r="E55" i="51" s="1"/>
  <c r="D56" i="51"/>
  <c r="E56" i="51" s="1"/>
  <c r="D57" i="51"/>
  <c r="E57" i="51" s="1"/>
  <c r="D58" i="51"/>
  <c r="E58" i="51" s="1"/>
  <c r="F58" i="51" s="1"/>
  <c r="D59" i="51"/>
  <c r="E59" i="51" s="1"/>
  <c r="D60" i="51"/>
  <c r="E60" i="51" s="1"/>
  <c r="D61" i="51"/>
  <c r="E61" i="51" s="1"/>
  <c r="D63" i="51"/>
  <c r="E63" i="51" s="1"/>
  <c r="D64" i="51"/>
  <c r="E64" i="51" s="1"/>
  <c r="D65" i="51"/>
  <c r="E65" i="51" s="1"/>
  <c r="D66" i="51"/>
  <c r="E66" i="51" s="1"/>
  <c r="D67" i="51"/>
  <c r="E67" i="51" s="1"/>
  <c r="D68" i="51"/>
  <c r="E68" i="51" s="1"/>
  <c r="D69" i="51"/>
  <c r="E69" i="51" s="1"/>
  <c r="D70" i="51"/>
  <c r="E70" i="51" s="1"/>
  <c r="D71" i="51"/>
  <c r="E71" i="51" s="1"/>
  <c r="D72" i="51"/>
  <c r="E72" i="51" s="1"/>
  <c r="D73" i="51"/>
  <c r="E73" i="51" s="1"/>
  <c r="D74" i="51"/>
  <c r="E74" i="51" s="1"/>
  <c r="F74" i="51" s="1"/>
  <c r="D75" i="51"/>
  <c r="E75" i="51" s="1"/>
  <c r="D76" i="51"/>
  <c r="E76" i="51" s="1"/>
  <c r="D77" i="51"/>
  <c r="E77" i="51" s="1"/>
  <c r="D78" i="51"/>
  <c r="E78" i="51" s="1"/>
  <c r="F78" i="51" s="1"/>
  <c r="D79" i="51"/>
  <c r="E79" i="51" s="1"/>
  <c r="D80" i="51"/>
  <c r="E80" i="51" s="1"/>
  <c r="D81" i="51"/>
  <c r="E81" i="51" s="1"/>
  <c r="D82" i="51"/>
  <c r="E82" i="51" s="1"/>
  <c r="D83" i="51"/>
  <c r="E83" i="51" s="1"/>
  <c r="D84" i="51"/>
  <c r="E84" i="51" s="1"/>
  <c r="D85" i="51"/>
  <c r="E85" i="51" s="1"/>
  <c r="D86" i="51"/>
  <c r="E86" i="51" s="1"/>
  <c r="F86" i="51" s="1"/>
  <c r="D87" i="51"/>
  <c r="E87" i="51" s="1"/>
  <c r="D88" i="51"/>
  <c r="E88" i="51" s="1"/>
  <c r="D89" i="51"/>
  <c r="E89" i="51" s="1"/>
  <c r="D90" i="51"/>
  <c r="E90" i="51" s="1"/>
  <c r="F90" i="51" s="1"/>
  <c r="D91" i="51"/>
  <c r="E91" i="51" s="1"/>
  <c r="D92" i="51"/>
  <c r="E92" i="51" s="1"/>
  <c r="D93" i="51"/>
  <c r="E93" i="51" s="1"/>
  <c r="D94" i="51"/>
  <c r="E94" i="51" s="1"/>
  <c r="F94" i="51" s="1"/>
  <c r="D95" i="51"/>
  <c r="E95" i="51" s="1"/>
  <c r="D96" i="51"/>
  <c r="E96" i="51" s="1"/>
  <c r="D97" i="51"/>
  <c r="E97" i="51" s="1"/>
  <c r="D98" i="51"/>
  <c r="E98" i="51" s="1"/>
  <c r="D99" i="51"/>
  <c r="E99" i="51" s="1"/>
  <c r="D100" i="51"/>
  <c r="E100" i="51" s="1"/>
  <c r="D101" i="51"/>
  <c r="E101" i="51" s="1"/>
  <c r="D102" i="51"/>
  <c r="E102" i="51" s="1"/>
  <c r="D103" i="51"/>
  <c r="E103" i="51" s="1"/>
  <c r="D104" i="51"/>
  <c r="E104" i="51" s="1"/>
  <c r="D105" i="51"/>
  <c r="E105" i="51" s="1"/>
  <c r="D106" i="51"/>
  <c r="E106" i="51" s="1"/>
  <c r="F106" i="51" s="1"/>
  <c r="D107" i="51"/>
  <c r="E107" i="51" s="1"/>
  <c r="D108" i="51"/>
  <c r="E108" i="51" s="1"/>
  <c r="D109" i="51"/>
  <c r="E109" i="51" s="1"/>
  <c r="D110" i="51"/>
  <c r="E110" i="51" s="1"/>
  <c r="F110" i="51" s="1"/>
  <c r="D111" i="51"/>
  <c r="E111" i="51" s="1"/>
  <c r="D113" i="51"/>
  <c r="E113" i="51" s="1"/>
  <c r="D114" i="51"/>
  <c r="E114" i="51" s="1"/>
  <c r="D115" i="51"/>
  <c r="E115" i="51" s="1"/>
  <c r="D116" i="51"/>
  <c r="E116" i="51" s="1"/>
  <c r="D118" i="51"/>
  <c r="E118" i="51" s="1"/>
  <c r="F118" i="51" s="1"/>
  <c r="D119" i="51"/>
  <c r="E119" i="51" s="1"/>
  <c r="D120" i="51"/>
  <c r="E120" i="51" s="1"/>
  <c r="D121" i="51"/>
  <c r="E121" i="51" s="1"/>
  <c r="D122" i="51"/>
  <c r="E122" i="51" s="1"/>
  <c r="F122" i="51" s="1"/>
  <c r="D123" i="51"/>
  <c r="E123" i="51" s="1"/>
  <c r="D124" i="51"/>
  <c r="E124" i="51" s="1"/>
  <c r="D126" i="51"/>
  <c r="E126" i="51" s="1"/>
  <c r="F126" i="51" s="1"/>
  <c r="D127" i="51"/>
  <c r="E127" i="51" s="1"/>
  <c r="D128" i="51"/>
  <c r="E128" i="51" s="1"/>
  <c r="D129" i="51"/>
  <c r="E129" i="51" s="1"/>
  <c r="D130" i="51"/>
  <c r="E130" i="51" s="1"/>
  <c r="D131" i="51"/>
  <c r="E131" i="51" s="1"/>
  <c r="D132" i="51"/>
  <c r="E132" i="51" s="1"/>
  <c r="D133" i="51"/>
  <c r="E133" i="51" s="1"/>
  <c r="D135" i="51"/>
  <c r="E135" i="51" s="1"/>
  <c r="D136" i="51"/>
  <c r="E136" i="51" s="1"/>
  <c r="D137" i="51"/>
  <c r="E137" i="51" s="1"/>
  <c r="D138" i="51"/>
  <c r="E138" i="51" s="1"/>
  <c r="F138" i="51" s="1"/>
  <c r="D139" i="51"/>
  <c r="E139" i="51" s="1"/>
  <c r="D140" i="51"/>
  <c r="E140" i="51" s="1"/>
  <c r="D141" i="51"/>
  <c r="E141" i="51" s="1"/>
  <c r="D142" i="51"/>
  <c r="E142" i="51" s="1"/>
  <c r="F142" i="51" s="1"/>
  <c r="D143" i="51"/>
  <c r="E143" i="51" s="1"/>
  <c r="D144" i="51"/>
  <c r="E144" i="51" s="1"/>
  <c r="D145" i="51"/>
  <c r="E145" i="51" s="1"/>
  <c r="D146" i="51"/>
  <c r="E146" i="51" s="1"/>
  <c r="D149" i="51"/>
  <c r="E149" i="51" s="1"/>
  <c r="D150" i="51"/>
  <c r="E150" i="51" s="1"/>
  <c r="F150" i="51" s="1"/>
  <c r="D151" i="51"/>
  <c r="E151" i="51" s="1"/>
  <c r="D152" i="51"/>
  <c r="E152" i="51" s="1"/>
  <c r="D153" i="51"/>
  <c r="E153" i="51" s="1"/>
  <c r="D155" i="51"/>
  <c r="E155" i="51" s="1"/>
  <c r="D157" i="51"/>
  <c r="E157" i="51" s="1"/>
  <c r="D158" i="51"/>
  <c r="E158" i="51" s="1"/>
  <c r="F158" i="51" s="1"/>
  <c r="D159" i="51"/>
  <c r="E159" i="51" s="1"/>
  <c r="D160" i="51"/>
  <c r="E160" i="51" s="1"/>
  <c r="D162" i="51"/>
  <c r="E162" i="51" s="1"/>
  <c r="D163" i="51"/>
  <c r="E163" i="51" s="1"/>
  <c r="D164" i="51"/>
  <c r="E164" i="51" s="1"/>
  <c r="D165" i="51"/>
  <c r="E165" i="51" s="1"/>
  <c r="D166" i="51"/>
  <c r="E166" i="51" s="1"/>
  <c r="D167" i="51"/>
  <c r="E167" i="51" s="1"/>
  <c r="D168" i="51"/>
  <c r="E168" i="51" s="1"/>
  <c r="D169" i="51"/>
  <c r="E169" i="51" s="1"/>
  <c r="D170" i="51"/>
  <c r="E170" i="51" s="1"/>
  <c r="F170" i="51" s="1"/>
  <c r="D171" i="51"/>
  <c r="E171" i="51" s="1"/>
  <c r="F171" i="51" s="1"/>
  <c r="D173" i="51"/>
  <c r="E173" i="51" s="1"/>
  <c r="F173" i="51" s="1"/>
  <c r="D174" i="51"/>
  <c r="E174" i="51" s="1"/>
  <c r="D175" i="51"/>
  <c r="E175" i="51" s="1"/>
  <c r="D176" i="51"/>
  <c r="E176" i="51" s="1"/>
  <c r="D177" i="51"/>
  <c r="E177" i="51" s="1"/>
  <c r="F177" i="51" s="1"/>
  <c r="D179" i="51"/>
  <c r="E179" i="51" s="1"/>
  <c r="F179" i="51" s="1"/>
  <c r="G179" i="51" s="1"/>
  <c r="D180" i="51"/>
  <c r="E180" i="51" s="1"/>
  <c r="D182" i="51"/>
  <c r="E182" i="51" s="1"/>
  <c r="D183" i="51"/>
  <c r="E183" i="51" s="1"/>
  <c r="F183" i="51" s="1"/>
  <c r="G183" i="51" s="1"/>
  <c r="D184" i="51"/>
  <c r="E184" i="51" s="1"/>
  <c r="D185" i="51"/>
  <c r="E185" i="51" s="1"/>
  <c r="F185" i="51" s="1"/>
  <c r="G185" i="51" s="1"/>
  <c r="D186" i="51"/>
  <c r="E186" i="51" s="1"/>
  <c r="D187" i="51"/>
  <c r="E187" i="51" s="1"/>
  <c r="F187" i="51" s="1"/>
  <c r="G187" i="51" s="1"/>
  <c r="D188" i="51"/>
  <c r="E188" i="51" s="1"/>
  <c r="D189" i="51"/>
  <c r="E189" i="51" s="1"/>
  <c r="D190" i="51"/>
  <c r="E190" i="51" s="1"/>
  <c r="F190" i="51" s="1"/>
  <c r="D191" i="51"/>
  <c r="E191" i="51" s="1"/>
  <c r="F191" i="51" s="1"/>
  <c r="G191" i="51" s="1"/>
  <c r="D192" i="51"/>
  <c r="E192" i="51" s="1"/>
  <c r="D193" i="51"/>
  <c r="E193" i="51" s="1"/>
  <c r="F193" i="51" s="1"/>
  <c r="G193" i="51" s="1"/>
  <c r="D194" i="51"/>
  <c r="E194" i="51" s="1"/>
  <c r="F194" i="51" s="1"/>
  <c r="D196" i="51"/>
  <c r="E196" i="51" s="1"/>
  <c r="D197" i="51"/>
  <c r="E197" i="51" s="1"/>
  <c r="F197" i="51" s="1"/>
  <c r="D198" i="51"/>
  <c r="E198" i="51" s="1"/>
  <c r="D199" i="51"/>
  <c r="E199" i="51" s="1"/>
  <c r="F199" i="51" s="1"/>
  <c r="G199" i="51" s="1"/>
  <c r="D200" i="51"/>
  <c r="E200" i="51" s="1"/>
  <c r="D201" i="51"/>
  <c r="E201" i="51" s="1"/>
  <c r="F201" i="51" s="1"/>
  <c r="D202" i="51"/>
  <c r="E202" i="51" s="1"/>
  <c r="F202" i="51" s="1"/>
  <c r="D203" i="51"/>
  <c r="E203" i="51" s="1"/>
  <c r="F203" i="51" s="1"/>
  <c r="G203" i="51" s="1"/>
  <c r="D204" i="51"/>
  <c r="E204" i="51" s="1"/>
  <c r="D205" i="51"/>
  <c r="E205" i="51" s="1"/>
  <c r="F205" i="51" s="1"/>
  <c r="D206" i="51"/>
  <c r="E206" i="51" s="1"/>
  <c r="F206" i="51" s="1"/>
  <c r="D207" i="51"/>
  <c r="E207" i="51" s="1"/>
  <c r="F207" i="51" s="1"/>
  <c r="G207" i="51" s="1"/>
  <c r="D208" i="51"/>
  <c r="E208" i="51" s="1"/>
  <c r="F208" i="51" s="1"/>
  <c r="D209" i="51"/>
  <c r="E209" i="51" s="1"/>
  <c r="D210" i="51"/>
  <c r="E210" i="51" s="1"/>
  <c r="F210" i="51" s="1"/>
  <c r="D211" i="51"/>
  <c r="E211" i="51" s="1"/>
  <c r="F211" i="51" s="1"/>
  <c r="D212" i="51"/>
  <c r="E212" i="51" s="1"/>
  <c r="F212" i="51" s="1"/>
  <c r="D214" i="51"/>
  <c r="E214" i="51" s="1"/>
  <c r="D215" i="51"/>
  <c r="E215" i="51" s="1"/>
  <c r="F215" i="51" s="1"/>
  <c r="G215" i="51" s="1"/>
  <c r="D217" i="51"/>
  <c r="E217" i="51" s="1"/>
  <c r="F217" i="51" s="1"/>
  <c r="G217" i="51" s="1"/>
  <c r="D218" i="51"/>
  <c r="E218" i="51" s="1"/>
  <c r="D222" i="51"/>
  <c r="E222" i="51" s="1"/>
  <c r="F222" i="51" s="1"/>
  <c r="G222" i="51" s="1"/>
  <c r="D223" i="51"/>
  <c r="E223" i="51" s="1"/>
  <c r="F223" i="51" s="1"/>
  <c r="G223" i="51" s="1"/>
  <c r="D224" i="51"/>
  <c r="E224" i="51" s="1"/>
  <c r="F224" i="51" s="1"/>
  <c r="D225" i="51"/>
  <c r="E225" i="51" s="1"/>
  <c r="D226" i="51"/>
  <c r="E226" i="51" s="1"/>
  <c r="F226" i="51" s="1"/>
  <c r="D227" i="51"/>
  <c r="E227" i="51" s="1"/>
  <c r="F227" i="51" s="1"/>
  <c r="D228" i="51"/>
  <c r="E228" i="51" s="1"/>
  <c r="F228" i="51" s="1"/>
  <c r="D230" i="51"/>
  <c r="E230" i="51" s="1"/>
  <c r="D231" i="51"/>
  <c r="E231" i="51" s="1"/>
  <c r="F231" i="51" s="1"/>
  <c r="D232" i="51"/>
  <c r="E232" i="51" s="1"/>
  <c r="D233" i="51"/>
  <c r="E233" i="51" s="1"/>
  <c r="F233" i="51" s="1"/>
  <c r="D234" i="51"/>
  <c r="E234" i="51" s="1"/>
  <c r="D235" i="51"/>
  <c r="E235" i="51" s="1"/>
  <c r="F235" i="51" s="1"/>
  <c r="D236" i="51"/>
  <c r="E236" i="51" s="1"/>
  <c r="D237" i="51"/>
  <c r="E237" i="51" s="1"/>
  <c r="F237" i="51" s="1"/>
  <c r="D238" i="51"/>
  <c r="E238" i="51" s="1"/>
  <c r="F238" i="51" s="1"/>
  <c r="G238" i="51" s="1"/>
  <c r="D239" i="51"/>
  <c r="E239" i="51" s="1"/>
  <c r="F239" i="51" s="1"/>
  <c r="G239" i="51" s="1"/>
  <c r="D240" i="51"/>
  <c r="E240" i="51" s="1"/>
  <c r="F240" i="51" s="1"/>
  <c r="G240" i="51" s="1"/>
  <c r="D241" i="51"/>
  <c r="E241" i="51" s="1"/>
  <c r="D242" i="51"/>
  <c r="E242" i="51" s="1"/>
  <c r="F242" i="51" s="1"/>
  <c r="D243" i="51"/>
  <c r="E243" i="51" s="1"/>
  <c r="F243" i="51" s="1"/>
  <c r="D244" i="51"/>
  <c r="E244" i="51" s="1"/>
  <c r="F244" i="51" s="1"/>
  <c r="D245" i="51"/>
  <c r="E245" i="51" s="1"/>
  <c r="F245" i="51" s="1"/>
  <c r="G245" i="51" s="1"/>
  <c r="D246" i="51"/>
  <c r="E246" i="51" s="1"/>
  <c r="D247" i="51"/>
  <c r="E247" i="51" s="1"/>
  <c r="F247" i="51" s="1"/>
  <c r="G247" i="51" s="1"/>
  <c r="D248" i="51"/>
  <c r="E248" i="51" s="1"/>
  <c r="D249" i="51"/>
  <c r="E249" i="51" s="1"/>
  <c r="F249" i="51" s="1"/>
  <c r="D250" i="51"/>
  <c r="E250" i="51" s="1"/>
  <c r="D251" i="51"/>
  <c r="E251" i="51" s="1"/>
  <c r="F251" i="51" s="1"/>
  <c r="D252" i="51"/>
  <c r="E252" i="51" s="1"/>
  <c r="D254" i="51"/>
  <c r="E254" i="51" s="1"/>
  <c r="F254" i="51" s="1"/>
  <c r="G254" i="51" s="1"/>
  <c r="D256" i="51"/>
  <c r="E256" i="51" s="1"/>
  <c r="F256" i="51" s="1"/>
  <c r="G256" i="51" s="1"/>
  <c r="D257" i="51"/>
  <c r="E257" i="51" s="1"/>
  <c r="F257" i="51" s="1"/>
  <c r="D258" i="51"/>
  <c r="E258" i="51" s="1"/>
  <c r="F258" i="51" s="1"/>
  <c r="D259" i="51"/>
  <c r="E259" i="51" s="1"/>
  <c r="F259" i="51" s="1"/>
  <c r="G259" i="51" s="1"/>
  <c r="D260" i="51"/>
  <c r="E260" i="51" s="1"/>
  <c r="F260" i="51" s="1"/>
  <c r="D261" i="51"/>
  <c r="E261" i="51" s="1"/>
  <c r="F261" i="51" s="1"/>
  <c r="G261" i="51" s="1"/>
  <c r="D263" i="51"/>
  <c r="E263" i="51" s="1"/>
  <c r="F263" i="51" s="1"/>
  <c r="G263" i="51" s="1"/>
  <c r="D264" i="51"/>
  <c r="E264" i="51" s="1"/>
  <c r="D265" i="51"/>
  <c r="E265" i="51" s="1"/>
  <c r="F265" i="51" s="1"/>
  <c r="D269" i="51"/>
  <c r="E269" i="51" s="1"/>
  <c r="D270" i="51"/>
  <c r="E270" i="51" s="1"/>
  <c r="D271" i="51"/>
  <c r="E271" i="51" s="1"/>
  <c r="F271" i="51" s="1"/>
  <c r="D272" i="51"/>
  <c r="E272" i="51" s="1"/>
  <c r="F272" i="51" s="1"/>
  <c r="D273" i="51"/>
  <c r="E273" i="51" s="1"/>
  <c r="D274" i="51"/>
  <c r="E274" i="51" s="1"/>
  <c r="D275" i="51"/>
  <c r="E275" i="51" s="1"/>
  <c r="D276" i="51"/>
  <c r="E276" i="51" s="1"/>
  <c r="D278" i="51"/>
  <c r="D279" i="51"/>
  <c r="D280" i="51"/>
  <c r="E280" i="51" s="1"/>
  <c r="D282" i="51"/>
  <c r="E282" i="51" s="1"/>
  <c r="F282" i="51" s="1"/>
  <c r="D283" i="51"/>
  <c r="E283" i="51" s="1"/>
  <c r="F283" i="51" s="1"/>
  <c r="D286" i="51"/>
  <c r="E286" i="51" s="1"/>
  <c r="D288" i="51"/>
  <c r="E288" i="51" s="1"/>
  <c r="F288" i="51" s="1"/>
  <c r="D289" i="51"/>
  <c r="E289" i="51" s="1"/>
  <c r="F289" i="51" s="1"/>
  <c r="D291" i="51"/>
  <c r="E291" i="51" s="1"/>
  <c r="F291" i="51" s="1"/>
  <c r="D292" i="51"/>
  <c r="E292" i="51" s="1"/>
  <c r="D293" i="51"/>
  <c r="E293" i="51" s="1"/>
  <c r="F293" i="51" s="1"/>
  <c r="D294" i="51"/>
  <c r="E294" i="51" s="1"/>
  <c r="F294" i="51" s="1"/>
  <c r="D295" i="51"/>
  <c r="E295" i="51" s="1"/>
  <c r="F295" i="51" s="1"/>
  <c r="D298" i="51"/>
  <c r="E298" i="51" s="1"/>
  <c r="F298" i="51" s="1"/>
  <c r="D299" i="51"/>
  <c r="E299" i="51" s="1"/>
  <c r="F299" i="51" s="1"/>
  <c r="D300" i="51"/>
  <c r="E300" i="51" s="1"/>
  <c r="F300" i="51" s="1"/>
  <c r="D301" i="51"/>
  <c r="E301" i="51" s="1"/>
  <c r="F301" i="51" s="1"/>
  <c r="D302" i="51"/>
  <c r="E302" i="51" s="1"/>
  <c r="D303" i="51"/>
  <c r="E303" i="51" s="1"/>
  <c r="F303" i="51" s="1"/>
  <c r="D304" i="51"/>
  <c r="E304" i="51" s="1"/>
  <c r="D305" i="51"/>
  <c r="E305" i="51" s="1"/>
  <c r="F305" i="51" s="1"/>
  <c r="D307" i="51"/>
  <c r="E307" i="51" s="1"/>
  <c r="F307" i="51" s="1"/>
  <c r="D308" i="51"/>
  <c r="E308" i="51" s="1"/>
  <c r="D309" i="51"/>
  <c r="E309" i="51" s="1"/>
  <c r="F309" i="51" s="1"/>
  <c r="D310" i="51"/>
  <c r="E310" i="51" s="1"/>
  <c r="F310" i="51" s="1"/>
  <c r="D311" i="51"/>
  <c r="E311" i="51" s="1"/>
  <c r="F311" i="51" s="1"/>
  <c r="D312" i="51"/>
  <c r="E312" i="51" s="1"/>
  <c r="D313" i="51"/>
  <c r="E313" i="51" s="1"/>
  <c r="F313" i="51" s="1"/>
  <c r="D317" i="51"/>
  <c r="E317" i="51" s="1"/>
  <c r="F317" i="51" s="1"/>
  <c r="D318" i="51"/>
  <c r="E318" i="51" s="1"/>
  <c r="F318" i="51" s="1"/>
  <c r="D319" i="51"/>
  <c r="E319" i="51" s="1"/>
  <c r="F319" i="51" s="1"/>
  <c r="D321" i="51"/>
  <c r="E321" i="51" s="1"/>
  <c r="D322" i="51"/>
  <c r="E322" i="51" s="1"/>
  <c r="F322" i="51" s="1"/>
  <c r="D323" i="51"/>
  <c r="E323" i="51" s="1"/>
  <c r="F323" i="51" s="1"/>
  <c r="D324" i="51"/>
  <c r="E324" i="51" s="1"/>
  <c r="F324" i="51" s="1"/>
  <c r="D325" i="51"/>
  <c r="E325" i="51" s="1"/>
  <c r="D326" i="51"/>
  <c r="E326" i="51" s="1"/>
  <c r="F326" i="51" s="1"/>
  <c r="D327" i="51"/>
  <c r="E327" i="51" s="1"/>
  <c r="D328" i="51"/>
  <c r="E328" i="51" s="1"/>
  <c r="F328" i="51" s="1"/>
  <c r="D329" i="51"/>
  <c r="E329" i="51" s="1"/>
  <c r="F329" i="51" s="1"/>
  <c r="D330" i="51"/>
  <c r="E330" i="51" s="1"/>
  <c r="F330" i="51" s="1"/>
  <c r="D331" i="51"/>
  <c r="E331" i="51" s="1"/>
  <c r="D332" i="51"/>
  <c r="E332" i="51" s="1"/>
  <c r="F332" i="51" s="1"/>
  <c r="D333" i="51"/>
  <c r="E333" i="51" s="1"/>
  <c r="F333" i="51" s="1"/>
  <c r="D334" i="51"/>
  <c r="E334" i="51" s="1"/>
  <c r="F334" i="51" s="1"/>
  <c r="D335" i="51"/>
  <c r="E335" i="51" s="1"/>
  <c r="F335" i="51" s="1"/>
  <c r="D336" i="51"/>
  <c r="E336" i="51" s="1"/>
  <c r="F336" i="51" s="1"/>
  <c r="D337" i="51"/>
  <c r="E337" i="51" s="1"/>
  <c r="D338" i="51"/>
  <c r="E338" i="51" s="1"/>
  <c r="F338" i="51" s="1"/>
  <c r="D339" i="51"/>
  <c r="E339" i="51" s="1"/>
  <c r="F339" i="51" s="1"/>
  <c r="D340" i="51"/>
  <c r="E340" i="51" s="1"/>
  <c r="F340" i="51" s="1"/>
  <c r="D341" i="51"/>
  <c r="E341" i="51" s="1"/>
  <c r="D342" i="51"/>
  <c r="E342" i="51" s="1"/>
  <c r="F342" i="51" s="1"/>
  <c r="D343" i="51"/>
  <c r="E343" i="51" s="1"/>
  <c r="D346" i="51"/>
  <c r="E346" i="51" s="1"/>
  <c r="F346" i="51" s="1"/>
  <c r="D347" i="51"/>
  <c r="E347" i="51" s="1"/>
  <c r="D348" i="51"/>
  <c r="E348" i="51" s="1"/>
  <c r="F348" i="51" s="1"/>
  <c r="D351" i="51"/>
  <c r="E351" i="51" s="1"/>
  <c r="F351" i="51" s="1"/>
  <c r="D352" i="51"/>
  <c r="E352" i="51" s="1"/>
  <c r="F352" i="51" s="1"/>
  <c r="D353" i="51"/>
  <c r="E353" i="51" s="1"/>
  <c r="D354" i="51"/>
  <c r="E354" i="51" s="1"/>
  <c r="F354" i="51" s="1"/>
  <c r="D357" i="51"/>
  <c r="E357" i="51" s="1"/>
  <c r="F357" i="51" s="1"/>
  <c r="D358" i="51"/>
  <c r="E358" i="51" s="1"/>
  <c r="F358" i="51" s="1"/>
  <c r="D359" i="51"/>
  <c r="E359" i="51" s="1"/>
  <c r="D360" i="51"/>
  <c r="E360" i="51" s="1"/>
  <c r="F360" i="51" s="1"/>
  <c r="D361" i="51"/>
  <c r="E361" i="51" s="1"/>
  <c r="D362" i="51"/>
  <c r="E362" i="51" s="1"/>
  <c r="F362" i="51" s="1"/>
  <c r="D363" i="51"/>
  <c r="E363" i="51" s="1"/>
  <c r="F363" i="51" s="1"/>
  <c r="D364" i="51"/>
  <c r="E364" i="51" s="1"/>
  <c r="F364" i="51" s="1"/>
  <c r="D365" i="51"/>
  <c r="E365" i="51" s="1"/>
  <c r="D366" i="51"/>
  <c r="E366" i="51" s="1"/>
  <c r="F366" i="51" s="1"/>
  <c r="D370" i="51"/>
  <c r="E370" i="51" s="1"/>
  <c r="F370" i="51" s="1"/>
  <c r="D371" i="51"/>
  <c r="E371" i="51" s="1"/>
  <c r="D372" i="51"/>
  <c r="E372" i="51" s="1"/>
  <c r="F372" i="51" s="1"/>
  <c r="D373" i="51"/>
  <c r="E373" i="51" s="1"/>
  <c r="D374" i="51"/>
  <c r="E374" i="51" s="1"/>
  <c r="F374" i="51" s="1"/>
  <c r="D376" i="51"/>
  <c r="E376" i="51" s="1"/>
  <c r="F376" i="51" s="1"/>
  <c r="D377" i="51"/>
  <c r="E377" i="51" s="1"/>
  <c r="F377" i="51" s="1"/>
  <c r="G377" i="51" s="1"/>
  <c r="D378" i="51"/>
  <c r="E378" i="51" s="1"/>
  <c r="F378" i="51" s="1"/>
  <c r="D379" i="51"/>
  <c r="E379" i="51" s="1"/>
  <c r="F379" i="51" s="1"/>
  <c r="D380" i="51"/>
  <c r="E380" i="51" s="1"/>
  <c r="F380" i="51" s="1"/>
  <c r="D381" i="51"/>
  <c r="E381" i="51" s="1"/>
  <c r="F381" i="51" s="1"/>
  <c r="D382" i="51"/>
  <c r="E382" i="51" s="1"/>
  <c r="F382" i="51" s="1"/>
  <c r="G382" i="51" s="1"/>
  <c r="D385" i="51"/>
  <c r="E385" i="51" s="1"/>
  <c r="D386" i="51"/>
  <c r="E386" i="51" s="1"/>
  <c r="F386" i="51" s="1"/>
  <c r="D387" i="51"/>
  <c r="E387" i="51" s="1"/>
  <c r="F387" i="51" s="1"/>
  <c r="D6" i="51"/>
  <c r="E6" i="51" s="1"/>
  <c r="F586" i="2" l="1"/>
  <c r="F1280" i="31"/>
  <c r="F852" i="31"/>
  <c r="F281" i="31"/>
  <c r="F194" i="31"/>
  <c r="F351" i="2"/>
  <c r="F159" i="2"/>
  <c r="F1105" i="31"/>
  <c r="F1106" i="31"/>
  <c r="F470" i="2"/>
  <c r="F356" i="51"/>
  <c r="G356" i="51" s="1"/>
  <c r="F355" i="51"/>
  <c r="G355" i="51" s="1"/>
  <c r="E279" i="51"/>
  <c r="F279" i="51" s="1"/>
  <c r="G279" i="51" s="1"/>
  <c r="E278" i="51"/>
  <c r="F278" i="51" s="1"/>
  <c r="G278" i="51" s="1"/>
  <c r="F356" i="10"/>
  <c r="F355" i="10"/>
  <c r="F584" i="31"/>
  <c r="F765" i="31"/>
  <c r="F894" i="31"/>
  <c r="F743" i="31"/>
  <c r="F1023" i="31"/>
  <c r="F616" i="31"/>
  <c r="F800" i="31"/>
  <c r="F629" i="31"/>
  <c r="F665" i="31"/>
  <c r="F1058" i="31"/>
  <c r="F43" i="31"/>
  <c r="F792" i="31"/>
  <c r="F820" i="31"/>
  <c r="F603" i="31"/>
  <c r="F448" i="31"/>
  <c r="F171" i="31"/>
  <c r="F556" i="31"/>
  <c r="F816" i="31"/>
  <c r="F716" i="31"/>
  <c r="F627" i="31"/>
  <c r="F620" i="31"/>
  <c r="F513" i="31"/>
  <c r="F976" i="31"/>
  <c r="F971" i="31"/>
  <c r="F927" i="31"/>
  <c r="F888" i="31"/>
  <c r="F859" i="31"/>
  <c r="F739" i="31"/>
  <c r="F659" i="31"/>
  <c r="F552" i="31"/>
  <c r="F489" i="31"/>
  <c r="F450" i="31"/>
  <c r="F1019" i="31"/>
  <c r="F804" i="31"/>
  <c r="F727" i="31"/>
  <c r="F633" i="31"/>
  <c r="F609" i="31"/>
  <c r="F482" i="31"/>
  <c r="F360" i="31"/>
  <c r="F11" i="31"/>
  <c r="F940" i="31"/>
  <c r="F896" i="31"/>
  <c r="F695" i="31"/>
  <c r="F163" i="31"/>
  <c r="F143" i="31"/>
  <c r="F1279" i="31"/>
  <c r="F1028" i="31"/>
  <c r="F643" i="31"/>
  <c r="F516" i="31"/>
  <c r="F365" i="31"/>
  <c r="F1108" i="31"/>
  <c r="F990" i="31"/>
  <c r="F944" i="31"/>
  <c r="F776" i="31"/>
  <c r="F772" i="31"/>
  <c r="F714" i="31"/>
  <c r="F346" i="31"/>
  <c r="F256" i="31"/>
  <c r="F224" i="31"/>
  <c r="F103" i="31"/>
  <c r="F1050" i="31"/>
  <c r="F850" i="31"/>
  <c r="F833" i="31"/>
  <c r="F457" i="31"/>
  <c r="F418" i="31"/>
  <c r="F313" i="31"/>
  <c r="F293" i="31"/>
  <c r="F212" i="31"/>
  <c r="E432" i="31"/>
  <c r="F432" i="31" s="1"/>
  <c r="F1100" i="31"/>
  <c r="F1053" i="31"/>
  <c r="F1036" i="31"/>
  <c r="F883" i="31"/>
  <c r="F879" i="31"/>
  <c r="E865" i="31"/>
  <c r="F865" i="31" s="1"/>
  <c r="E839" i="31"/>
  <c r="F839" i="31" s="1"/>
  <c r="E595" i="31"/>
  <c r="F595" i="31" s="1"/>
  <c r="E507" i="31"/>
  <c r="F507" i="31" s="1"/>
  <c r="F183" i="31"/>
  <c r="E841" i="31"/>
  <c r="F841" i="31" s="1"/>
  <c r="E669" i="31"/>
  <c r="F669" i="31" s="1"/>
  <c r="E546" i="31"/>
  <c r="F546" i="31" s="1"/>
  <c r="E483" i="31"/>
  <c r="F483" i="31" s="1"/>
  <c r="E538" i="31"/>
  <c r="F538" i="31" s="1"/>
  <c r="F412" i="31"/>
  <c r="F1181" i="31"/>
  <c r="F1075" i="31"/>
  <c r="F1061" i="31"/>
  <c r="F1057" i="31"/>
  <c r="F1044" i="31"/>
  <c r="F1022" i="31"/>
  <c r="F1018" i="31"/>
  <c r="F948" i="31"/>
  <c r="F904" i="31"/>
  <c r="F899" i="31"/>
  <c r="F891" i="31"/>
  <c r="F873" i="31"/>
  <c r="E661" i="31"/>
  <c r="F661" i="31" s="1"/>
  <c r="E649" i="31"/>
  <c r="F649" i="31" s="1"/>
  <c r="E524" i="31"/>
  <c r="F524" i="31" s="1"/>
  <c r="E474" i="31"/>
  <c r="F474" i="31" s="1"/>
  <c r="E326" i="31"/>
  <c r="F326" i="31" s="1"/>
  <c r="E285" i="31"/>
  <c r="F285" i="31" s="1"/>
  <c r="E239" i="31"/>
  <c r="F239" i="31" s="1"/>
  <c r="F220" i="31"/>
  <c r="F208" i="31"/>
  <c r="E118" i="31"/>
  <c r="F118" i="31" s="1"/>
  <c r="E760" i="31"/>
  <c r="F760" i="31" s="1"/>
  <c r="E608" i="31"/>
  <c r="F608" i="31" s="1"/>
  <c r="E405" i="31"/>
  <c r="F405" i="31" s="1"/>
  <c r="E227" i="31"/>
  <c r="F227" i="31" s="1"/>
  <c r="F1091" i="31"/>
  <c r="E855" i="31"/>
  <c r="F855" i="31" s="1"/>
  <c r="E328" i="31"/>
  <c r="F328" i="31" s="1"/>
  <c r="E6" i="31"/>
  <c r="F6" i="31" s="1"/>
  <c r="F1261" i="31"/>
  <c r="F1117" i="31"/>
  <c r="F1099" i="31"/>
  <c r="F1084" i="31"/>
  <c r="F1074" i="31"/>
  <c r="F1065" i="31"/>
  <c r="F1052" i="31"/>
  <c r="F1035" i="31"/>
  <c r="F985" i="31"/>
  <c r="F935" i="31"/>
  <c r="F912" i="31"/>
  <c r="E567" i="31"/>
  <c r="F567" i="31" s="1"/>
  <c r="E548" i="31"/>
  <c r="F548" i="31" s="1"/>
  <c r="E523" i="31"/>
  <c r="F523" i="31" s="1"/>
  <c r="E305" i="31"/>
  <c r="F305" i="31" s="1"/>
  <c r="E207" i="31"/>
  <c r="F207" i="31" s="1"/>
  <c r="E174" i="31"/>
  <c r="F174" i="31" s="1"/>
  <c r="E652" i="31"/>
  <c r="F652" i="31" s="1"/>
  <c r="E514" i="31"/>
  <c r="F514" i="31" s="1"/>
  <c r="E362" i="31"/>
  <c r="F362" i="31" s="1"/>
  <c r="F1237" i="31"/>
  <c r="F1127" i="31"/>
  <c r="F1110" i="31"/>
  <c r="F1098" i="31"/>
  <c r="F1043" i="31"/>
  <c r="F970" i="31"/>
  <c r="E829" i="31"/>
  <c r="F829" i="31" s="1"/>
  <c r="E647" i="31"/>
  <c r="F647" i="31" s="1"/>
  <c r="E460" i="31"/>
  <c r="F460" i="31" s="1"/>
  <c r="E395" i="31"/>
  <c r="F395" i="31" s="1"/>
  <c r="E373" i="31"/>
  <c r="F373" i="31" s="1"/>
  <c r="E348" i="31"/>
  <c r="F348" i="31" s="1"/>
  <c r="E167" i="31"/>
  <c r="F167" i="31" s="1"/>
  <c r="E122" i="31"/>
  <c r="F122" i="31" s="1"/>
  <c r="F892" i="31"/>
  <c r="E308" i="31"/>
  <c r="F308" i="31" s="1"/>
  <c r="F1273" i="31"/>
  <c r="F1083" i="31"/>
  <c r="F1051" i="31"/>
  <c r="F1042" i="31"/>
  <c r="F1013" i="31"/>
  <c r="F1007" i="31"/>
  <c r="F978" i="31"/>
  <c r="F965" i="31"/>
  <c r="F928" i="31"/>
  <c r="F920" i="31"/>
  <c r="F897" i="31"/>
  <c r="F889" i="31"/>
  <c r="F880" i="31"/>
  <c r="E813" i="31"/>
  <c r="F813" i="31" s="1"/>
  <c r="E797" i="31"/>
  <c r="F797" i="31" s="1"/>
  <c r="E733" i="31"/>
  <c r="F733" i="31" s="1"/>
  <c r="E722" i="31"/>
  <c r="F722" i="31" s="1"/>
  <c r="E528" i="31"/>
  <c r="F528" i="31" s="1"/>
  <c r="E324" i="31"/>
  <c r="F324" i="31" s="1"/>
  <c r="E236" i="31"/>
  <c r="F236" i="31" s="1"/>
  <c r="E147" i="31"/>
  <c r="F147" i="31" s="1"/>
  <c r="E127" i="31"/>
  <c r="F127" i="31" s="1"/>
  <c r="E1272" i="31"/>
  <c r="F1272" i="31" s="1"/>
  <c r="E1119" i="31"/>
  <c r="F1119" i="31" s="1"/>
  <c r="F1109" i="31"/>
  <c r="F1092" i="31"/>
  <c r="E1067" i="31"/>
  <c r="F1067" i="31" s="1"/>
  <c r="F1059" i="31"/>
  <c r="E1029" i="31"/>
  <c r="F1029" i="31" s="1"/>
  <c r="F1020" i="31"/>
  <c r="F1012" i="31"/>
  <c r="F991" i="31"/>
  <c r="F973" i="31"/>
  <c r="F951" i="31"/>
  <c r="E884" i="31"/>
  <c r="F884" i="31" s="1"/>
  <c r="E784" i="31"/>
  <c r="F784" i="31" s="1"/>
  <c r="E732" i="31"/>
  <c r="F732" i="31" s="1"/>
  <c r="E653" i="31"/>
  <c r="F653" i="31" s="1"/>
  <c r="E540" i="31"/>
  <c r="F540" i="31" s="1"/>
  <c r="F515" i="31"/>
  <c r="E496" i="31"/>
  <c r="F496" i="31" s="1"/>
  <c r="E419" i="31"/>
  <c r="F419" i="31" s="1"/>
  <c r="E400" i="31"/>
  <c r="F400" i="31" s="1"/>
  <c r="E386" i="31"/>
  <c r="F386" i="31" s="1"/>
  <c r="E379" i="31"/>
  <c r="F379" i="31" s="1"/>
  <c r="E275" i="31"/>
  <c r="F275" i="31" s="1"/>
  <c r="E259" i="31"/>
  <c r="F259" i="31" s="1"/>
  <c r="E216" i="31"/>
  <c r="F216" i="31" s="1"/>
  <c r="E204" i="31"/>
  <c r="F204" i="31" s="1"/>
  <c r="E159" i="31"/>
  <c r="F159" i="31" s="1"/>
  <c r="E27" i="31"/>
  <c r="F27" i="31" s="1"/>
  <c r="F86" i="31"/>
  <c r="F842" i="31"/>
  <c r="F777" i="31"/>
  <c r="F769" i="31"/>
  <c r="F699" i="31"/>
  <c r="F617" i="31"/>
  <c r="F576" i="31"/>
  <c r="F562" i="31"/>
  <c r="F553" i="31"/>
  <c r="F445" i="31"/>
  <c r="F413" i="31"/>
  <c r="F409" i="31"/>
  <c r="F300" i="31"/>
  <c r="F267" i="31"/>
  <c r="F231" i="31"/>
  <c r="F199" i="31"/>
  <c r="F114" i="31"/>
  <c r="F22" i="31"/>
  <c r="F557" i="31"/>
  <c r="F271" i="31"/>
  <c r="F235" i="31"/>
  <c r="F203" i="31"/>
  <c r="F158" i="31"/>
  <c r="F94" i="31"/>
  <c r="F46" i="31"/>
  <c r="F864" i="31"/>
  <c r="F856" i="31"/>
  <c r="F823" i="31"/>
  <c r="F807" i="31"/>
  <c r="F791" i="31"/>
  <c r="F707" i="31"/>
  <c r="F655" i="31"/>
  <c r="F589" i="31"/>
  <c r="F569" i="31"/>
  <c r="F560" i="31"/>
  <c r="F493" i="31"/>
  <c r="F434" i="31"/>
  <c r="F425" i="31"/>
  <c r="F388" i="31"/>
  <c r="F385" i="31"/>
  <c r="F329" i="31"/>
  <c r="F243" i="31"/>
  <c r="F211" i="31"/>
  <c r="F135" i="31"/>
  <c r="F107" i="31"/>
  <c r="F525" i="31"/>
  <c r="F492" i="31"/>
  <c r="F461" i="31"/>
  <c r="F451" i="31"/>
  <c r="F429" i="31"/>
  <c r="F411" i="31"/>
  <c r="F397" i="31"/>
  <c r="F393" i="31"/>
  <c r="F316" i="31"/>
  <c r="F301" i="31"/>
  <c r="F232" i="31"/>
  <c r="F200" i="31"/>
  <c r="F166" i="31"/>
  <c r="F155" i="31"/>
  <c r="F130" i="31"/>
  <c r="F111" i="31"/>
  <c r="F20" i="31"/>
  <c r="F835" i="31"/>
  <c r="F821" i="31"/>
  <c r="F817" i="31"/>
  <c r="F805" i="31"/>
  <c r="F801" i="31"/>
  <c r="F691" i="31"/>
  <c r="F634" i="31"/>
  <c r="F606" i="31"/>
  <c r="F592" i="31"/>
  <c r="E469" i="31"/>
  <c r="F469" i="31" s="1"/>
  <c r="F464" i="31"/>
  <c r="E437" i="31"/>
  <c r="F437" i="31" s="1"/>
  <c r="F424" i="31"/>
  <c r="F342" i="31"/>
  <c r="F288" i="31"/>
  <c r="F251" i="31"/>
  <c r="F219" i="31"/>
  <c r="F179" i="31"/>
  <c r="F115" i="31"/>
  <c r="E106" i="31"/>
  <c r="F106" i="31" s="1"/>
  <c r="F96" i="31"/>
  <c r="E29" i="31"/>
  <c r="F29" i="31" s="1"/>
  <c r="E105" i="31"/>
  <c r="F105" i="31" s="1"/>
  <c r="E1275" i="31"/>
  <c r="F1275" i="31" s="1"/>
  <c r="E1267" i="31"/>
  <c r="F1267" i="31" s="1"/>
  <c r="E1259" i="31"/>
  <c r="F1259" i="31" s="1"/>
  <c r="E1251" i="31"/>
  <c r="F1251" i="31" s="1"/>
  <c r="E1243" i="31"/>
  <c r="F1243" i="31" s="1"/>
  <c r="E1235" i="31"/>
  <c r="F1235" i="31" s="1"/>
  <c r="E1187" i="31"/>
  <c r="F1187" i="31" s="1"/>
  <c r="E1179" i="31"/>
  <c r="F1179" i="31" s="1"/>
  <c r="E1171" i="31"/>
  <c r="F1171" i="31" s="1"/>
  <c r="E1153" i="31"/>
  <c r="F1153" i="31" s="1"/>
  <c r="E1145" i="31"/>
  <c r="F1145" i="31" s="1"/>
  <c r="E1137" i="31"/>
  <c r="F1137" i="31" s="1"/>
  <c r="E1129" i="31"/>
  <c r="F1129" i="31" s="1"/>
  <c r="E1121" i="31"/>
  <c r="F1121" i="31" s="1"/>
  <c r="E1113" i="31"/>
  <c r="F1113" i="31" s="1"/>
  <c r="E1103" i="31"/>
  <c r="F1103" i="31" s="1"/>
  <c r="E1095" i="31"/>
  <c r="F1095" i="31" s="1"/>
  <c r="E1087" i="31"/>
  <c r="F1087" i="31" s="1"/>
  <c r="E1079" i="31"/>
  <c r="F1079" i="31" s="1"/>
  <c r="E1071" i="31"/>
  <c r="F1071" i="31" s="1"/>
  <c r="E1063" i="31"/>
  <c r="F1063" i="31" s="1"/>
  <c r="E1055" i="31"/>
  <c r="F1055" i="31" s="1"/>
  <c r="E1047" i="31"/>
  <c r="F1047" i="31" s="1"/>
  <c r="E1039" i="31"/>
  <c r="F1039" i="31" s="1"/>
  <c r="F1027" i="31"/>
  <c r="F1024" i="31"/>
  <c r="E1021" i="31"/>
  <c r="F1021" i="31" s="1"/>
  <c r="F1011" i="31"/>
  <c r="F1008" i="31"/>
  <c r="E993" i="31"/>
  <c r="F993" i="31" s="1"/>
  <c r="F983" i="31"/>
  <c r="E977" i="31"/>
  <c r="F977" i="31" s="1"/>
  <c r="F950" i="31"/>
  <c r="E946" i="31"/>
  <c r="F946" i="31" s="1"/>
  <c r="E916" i="31"/>
  <c r="F916" i="31" s="1"/>
  <c r="E903" i="31"/>
  <c r="F903" i="31" s="1"/>
  <c r="F886" i="31"/>
  <c r="F872" i="31"/>
  <c r="F866" i="31"/>
  <c r="F847" i="31"/>
  <c r="E766" i="31"/>
  <c r="F766" i="31" s="1"/>
  <c r="E696" i="31"/>
  <c r="F696" i="31" s="1"/>
  <c r="E685" i="31"/>
  <c r="F685" i="31" s="1"/>
  <c r="E644" i="31"/>
  <c r="F644" i="31" s="1"/>
  <c r="F1266" i="31"/>
  <c r="F1250" i="31"/>
  <c r="F1178" i="31"/>
  <c r="F1160" i="31"/>
  <c r="F1144" i="31"/>
  <c r="F1128" i="31"/>
  <c r="F1120" i="31"/>
  <c r="F1112" i="31"/>
  <c r="F1102" i="31"/>
  <c r="F1094" i="31"/>
  <c r="F1086" i="31"/>
  <c r="F1078" i="31"/>
  <c r="F1070" i="31"/>
  <c r="F1062" i="31"/>
  <c r="F1054" i="31"/>
  <c r="F1046" i="31"/>
  <c r="F1038" i="31"/>
  <c r="F1033" i="31"/>
  <c r="F1026" i="31"/>
  <c r="F1017" i="31"/>
  <c r="F1010" i="31"/>
  <c r="F989" i="31"/>
  <c r="F982" i="31"/>
  <c r="F969" i="31"/>
  <c r="E949" i="31"/>
  <c r="F949" i="31" s="1"/>
  <c r="F939" i="31"/>
  <c r="F908" i="31"/>
  <c r="F895" i="31"/>
  <c r="E885" i="31"/>
  <c r="F885" i="31" s="1"/>
  <c r="F875" i="31"/>
  <c r="E846" i="31"/>
  <c r="F846" i="31" s="1"/>
  <c r="E773" i="31"/>
  <c r="F773" i="31" s="1"/>
  <c r="E600" i="31"/>
  <c r="F600" i="31" s="1"/>
  <c r="E506" i="31"/>
  <c r="F506" i="31" s="1"/>
  <c r="E399" i="31"/>
  <c r="F399" i="31" s="1"/>
  <c r="F1263" i="31"/>
  <c r="F1247" i="31"/>
  <c r="F1239" i="31"/>
  <c r="F1183" i="31"/>
  <c r="F1157" i="31"/>
  <c r="F1149" i="31"/>
  <c r="F1141" i="31"/>
  <c r="F972" i="31"/>
  <c r="F942" i="31"/>
  <c r="E925" i="31"/>
  <c r="F925" i="31" s="1"/>
  <c r="F915" i="31"/>
  <c r="F898" i="31"/>
  <c r="F878" i="31"/>
  <c r="E874" i="31"/>
  <c r="F874" i="31" s="1"/>
  <c r="F845" i="31"/>
  <c r="E782" i="31"/>
  <c r="F782" i="31" s="1"/>
  <c r="E774" i="31"/>
  <c r="F774" i="31" s="1"/>
  <c r="F1276" i="31"/>
  <c r="F1260" i="31"/>
  <c r="F1236" i="31"/>
  <c r="F1188" i="31"/>
  <c r="F1172" i="31"/>
  <c r="F1164" i="31"/>
  <c r="F1154" i="31"/>
  <c r="F1138" i="31"/>
  <c r="F1122" i="31"/>
  <c r="F1114" i="31"/>
  <c r="F1104" i="31"/>
  <c r="F1096" i="31"/>
  <c r="F1088" i="31"/>
  <c r="F1080" i="31"/>
  <c r="F1048" i="31"/>
  <c r="F1040" i="31"/>
  <c r="F1032" i="31"/>
  <c r="F1016" i="31"/>
  <c r="F988" i="31"/>
  <c r="E975" i="31"/>
  <c r="F975" i="31" s="1"/>
  <c r="F938" i="31"/>
  <c r="E901" i="31"/>
  <c r="F901" i="31" s="1"/>
  <c r="F836" i="31"/>
  <c r="E781" i="31"/>
  <c r="F781" i="31" s="1"/>
  <c r="E750" i="31"/>
  <c r="F750" i="31" s="1"/>
  <c r="E744" i="31"/>
  <c r="F744" i="31" s="1"/>
  <c r="E570" i="31"/>
  <c r="F570" i="31" s="1"/>
  <c r="E561" i="31"/>
  <c r="F561" i="31" s="1"/>
  <c r="F882" i="31"/>
  <c r="F1265" i="31"/>
  <c r="F1257" i="31"/>
  <c r="F1249" i="31"/>
  <c r="F1233" i="31"/>
  <c r="F1185" i="31"/>
  <c r="F1177" i="31"/>
  <c r="F1169" i="31"/>
  <c r="F1143" i="31"/>
  <c r="F1135" i="31"/>
  <c r="F974" i="31"/>
  <c r="F968" i="31"/>
  <c r="E941" i="31"/>
  <c r="F941" i="31" s="1"/>
  <c r="F931" i="31"/>
  <c r="F900" i="31"/>
  <c r="F887" i="31"/>
  <c r="E877" i="31"/>
  <c r="F877" i="31" s="1"/>
  <c r="E831" i="31"/>
  <c r="F831" i="31" s="1"/>
  <c r="E693" i="31"/>
  <c r="F693" i="31" s="1"/>
  <c r="E466" i="31"/>
  <c r="F466" i="31" s="1"/>
  <c r="E319" i="31"/>
  <c r="F319" i="31" s="1"/>
  <c r="F1278" i="31"/>
  <c r="F1270" i="31"/>
  <c r="F1262" i="31"/>
  <c r="F1254" i="31"/>
  <c r="F1246" i="31"/>
  <c r="F1238" i="31"/>
  <c r="F1190" i="31"/>
  <c r="F1182" i="31"/>
  <c r="F1174" i="31"/>
  <c r="F1166" i="31"/>
  <c r="F1156" i="31"/>
  <c r="F1148" i="31"/>
  <c r="F1140" i="31"/>
  <c r="F1132" i="31"/>
  <c r="F1124" i="31"/>
  <c r="F1116" i="31"/>
  <c r="F1025" i="31"/>
  <c r="F984" i="31"/>
  <c r="F964" i="31"/>
  <c r="F907" i="31"/>
  <c r="F890" i="31"/>
  <c r="F860" i="31"/>
  <c r="F759" i="31"/>
  <c r="E470" i="31"/>
  <c r="F470" i="31" s="1"/>
  <c r="E871" i="31"/>
  <c r="F871" i="31" s="1"/>
  <c r="E967" i="31"/>
  <c r="F967" i="31" s="1"/>
  <c r="F947" i="31"/>
  <c r="F930" i="31"/>
  <c r="F863" i="31"/>
  <c r="E789" i="31"/>
  <c r="F789" i="31" s="1"/>
  <c r="E626" i="31"/>
  <c r="F626" i="31" s="1"/>
  <c r="E488" i="31"/>
  <c r="F488" i="31" s="1"/>
  <c r="F814" i="31"/>
  <c r="F798" i="31"/>
  <c r="F770" i="31"/>
  <c r="F763" i="31"/>
  <c r="F741" i="31"/>
  <c r="F737" i="31"/>
  <c r="E715" i="31"/>
  <c r="F715" i="31" s="1"/>
  <c r="E689" i="31"/>
  <c r="F689" i="31" s="1"/>
  <c r="F674" i="31"/>
  <c r="E648" i="31"/>
  <c r="F648" i="31" s="1"/>
  <c r="E621" i="31"/>
  <c r="F621" i="31" s="1"/>
  <c r="F613" i="31"/>
  <c r="F605" i="31"/>
  <c r="E601" i="31"/>
  <c r="F601" i="31" s="1"/>
  <c r="E497" i="31"/>
  <c r="F497" i="31" s="1"/>
  <c r="F462" i="31"/>
  <c r="E458" i="31"/>
  <c r="F458" i="31" s="1"/>
  <c r="F430" i="31"/>
  <c r="E422" i="31"/>
  <c r="F422" i="31" s="1"/>
  <c r="E383" i="31"/>
  <c r="F383" i="31" s="1"/>
  <c r="F861" i="31"/>
  <c r="F826" i="31"/>
  <c r="F819" i="31"/>
  <c r="F810" i="31"/>
  <c r="F794" i="31"/>
  <c r="F787" i="31"/>
  <c r="F783" i="31"/>
  <c r="F762" i="31"/>
  <c r="F740" i="31"/>
  <c r="F725" i="31"/>
  <c r="E692" i="31"/>
  <c r="F692" i="31" s="1"/>
  <c r="F677" i="31"/>
  <c r="F673" i="31"/>
  <c r="F658" i="31"/>
  <c r="E651" i="31"/>
  <c r="F651" i="31" s="1"/>
  <c r="E625" i="31"/>
  <c r="F625" i="31" s="1"/>
  <c r="F565" i="31"/>
  <c r="E543" i="31"/>
  <c r="F543" i="31" s="1"/>
  <c r="E522" i="31"/>
  <c r="F522" i="31" s="1"/>
  <c r="F509" i="31"/>
  <c r="E447" i="31"/>
  <c r="F447" i="31" s="1"/>
  <c r="E408" i="31"/>
  <c r="F408" i="31" s="1"/>
  <c r="E332" i="31"/>
  <c r="F332" i="31" s="1"/>
  <c r="E327" i="31"/>
  <c r="F327" i="31" s="1"/>
  <c r="F837" i="31"/>
  <c r="F825" i="31"/>
  <c r="F809" i="31"/>
  <c r="E758" i="31"/>
  <c r="F758" i="31" s="1"/>
  <c r="E747" i="31"/>
  <c r="F747" i="31" s="1"/>
  <c r="E721" i="31"/>
  <c r="F721" i="31" s="1"/>
  <c r="F717" i="31"/>
  <c r="F706" i="31"/>
  <c r="F687" i="31"/>
  <c r="E680" i="31"/>
  <c r="F680" i="31" s="1"/>
  <c r="F650" i="31"/>
  <c r="F639" i="31"/>
  <c r="F635" i="31"/>
  <c r="F632" i="31"/>
  <c r="E624" i="31"/>
  <c r="F624" i="31" s="1"/>
  <c r="E590" i="31"/>
  <c r="F590" i="31" s="1"/>
  <c r="F577" i="31"/>
  <c r="E551" i="31"/>
  <c r="F551" i="31" s="1"/>
  <c r="E530" i="31"/>
  <c r="F530" i="31" s="1"/>
  <c r="E504" i="31"/>
  <c r="F504" i="31" s="1"/>
  <c r="E456" i="31"/>
  <c r="F456" i="31" s="1"/>
  <c r="E416" i="31"/>
  <c r="F416" i="31" s="1"/>
  <c r="F834" i="31"/>
  <c r="F822" i="31"/>
  <c r="F806" i="31"/>
  <c r="F786" i="31"/>
  <c r="F779" i="31"/>
  <c r="F754" i="31"/>
  <c r="F735" i="31"/>
  <c r="F731" i="31"/>
  <c r="F728" i="31"/>
  <c r="F679" i="31"/>
  <c r="F676" i="31"/>
  <c r="E628" i="31"/>
  <c r="F628" i="31" s="1"/>
  <c r="E598" i="31"/>
  <c r="F598" i="31" s="1"/>
  <c r="F594" i="31"/>
  <c r="E585" i="31"/>
  <c r="F585" i="31" s="1"/>
  <c r="E550" i="31"/>
  <c r="F550" i="31" s="1"/>
  <c r="E534" i="31"/>
  <c r="F534" i="31" s="1"/>
  <c r="E529" i="31"/>
  <c r="F529" i="31" s="1"/>
  <c r="F495" i="31"/>
  <c r="E486" i="31"/>
  <c r="F486" i="31" s="1"/>
  <c r="E455" i="31"/>
  <c r="F455" i="31" s="1"/>
  <c r="E415" i="31"/>
  <c r="F415" i="31" s="1"/>
  <c r="F709" i="31"/>
  <c r="F705" i="31"/>
  <c r="F690" i="31"/>
  <c r="E683" i="31"/>
  <c r="F683" i="31" s="1"/>
  <c r="E657" i="31"/>
  <c r="F657" i="31" s="1"/>
  <c r="F642" i="31"/>
  <c r="F623" i="31"/>
  <c r="E512" i="31"/>
  <c r="F512" i="31" s="1"/>
  <c r="E494" i="31"/>
  <c r="F494" i="31" s="1"/>
  <c r="E472" i="31"/>
  <c r="F472" i="31" s="1"/>
  <c r="E454" i="31"/>
  <c r="F454" i="31" s="1"/>
  <c r="E370" i="31"/>
  <c r="F370" i="31" s="1"/>
  <c r="F818" i="31"/>
  <c r="F802" i="31"/>
  <c r="F771" i="31"/>
  <c r="F749" i="31"/>
  <c r="F738" i="31"/>
  <c r="E712" i="31"/>
  <c r="F712" i="31" s="1"/>
  <c r="F682" i="31"/>
  <c r="F671" i="31"/>
  <c r="F667" i="31"/>
  <c r="F664" i="31"/>
  <c r="E618" i="31"/>
  <c r="F618" i="31" s="1"/>
  <c r="F602" i="31"/>
  <c r="F558" i="31"/>
  <c r="F541" i="31"/>
  <c r="F533" i="31"/>
  <c r="E511" i="31"/>
  <c r="F511" i="31" s="1"/>
  <c r="F498" i="31"/>
  <c r="E490" i="31"/>
  <c r="F490" i="31" s="1"/>
  <c r="F708" i="31"/>
  <c r="E660" i="31"/>
  <c r="F660" i="31" s="1"/>
  <c r="F645" i="31"/>
  <c r="F641" i="31"/>
  <c r="E527" i="31"/>
  <c r="F527" i="31" s="1"/>
  <c r="F519" i="31"/>
  <c r="F502" i="31"/>
  <c r="E480" i="31"/>
  <c r="F480" i="31" s="1"/>
  <c r="F423" i="31"/>
  <c r="F736" i="31"/>
  <c r="F672" i="31"/>
  <c r="F640" i="31"/>
  <c r="F612" i="31"/>
  <c r="F599" i="31"/>
  <c r="F591" i="31"/>
  <c r="E568" i="31"/>
  <c r="F568" i="31" s="1"/>
  <c r="F544" i="31"/>
  <c r="F520" i="31"/>
  <c r="F505" i="31"/>
  <c r="F501" i="31"/>
  <c r="F481" i="31"/>
  <c r="F477" i="31"/>
  <c r="E465" i="31"/>
  <c r="F465" i="31" s="1"/>
  <c r="F438" i="31"/>
  <c r="E426" i="31"/>
  <c r="F426" i="31" s="1"/>
  <c r="F402" i="31"/>
  <c r="F398" i="31"/>
  <c r="E374" i="31"/>
  <c r="F374" i="31" s="1"/>
  <c r="E331" i="31"/>
  <c r="F331" i="31" s="1"/>
  <c r="E17" i="31"/>
  <c r="F17" i="31" s="1"/>
  <c r="F615" i="31"/>
  <c r="F583" i="31"/>
  <c r="E575" i="31"/>
  <c r="F575" i="31" s="1"/>
  <c r="F559" i="31"/>
  <c r="E536" i="31"/>
  <c r="F536" i="31" s="1"/>
  <c r="F473" i="31"/>
  <c r="F449" i="31"/>
  <c r="E433" i="31"/>
  <c r="F433" i="31" s="1"/>
  <c r="F410" i="31"/>
  <c r="F406" i="31"/>
  <c r="E394" i="31"/>
  <c r="F394" i="31" s="1"/>
  <c r="F369" i="31"/>
  <c r="F352" i="31"/>
  <c r="E347" i="31"/>
  <c r="F347" i="31" s="1"/>
  <c r="E177" i="31"/>
  <c r="F177" i="31" s="1"/>
  <c r="E137" i="31"/>
  <c r="F137" i="31" s="1"/>
  <c r="F417" i="31"/>
  <c r="E401" i="31"/>
  <c r="F401" i="31" s="1"/>
  <c r="F378" i="31"/>
  <c r="E335" i="31"/>
  <c r="F335" i="31" s="1"/>
  <c r="E350" i="31"/>
  <c r="F350" i="31" s="1"/>
  <c r="F688" i="31"/>
  <c r="F656" i="31"/>
  <c r="F597" i="31"/>
  <c r="E593" i="31"/>
  <c r="F593" i="31" s="1"/>
  <c r="F581" i="31"/>
  <c r="F566" i="31"/>
  <c r="E554" i="31"/>
  <c r="F554" i="31" s="1"/>
  <c r="F526" i="31"/>
  <c r="E518" i="31"/>
  <c r="F518" i="31" s="1"/>
  <c r="F487" i="31"/>
  <c r="E479" i="31"/>
  <c r="F479" i="31" s="1"/>
  <c r="F463" i="31"/>
  <c r="E440" i="31"/>
  <c r="F440" i="31" s="1"/>
  <c r="F392" i="31"/>
  <c r="F377" i="31"/>
  <c r="E372" i="31"/>
  <c r="F372" i="31" s="1"/>
  <c r="E367" i="31"/>
  <c r="F367" i="31" s="1"/>
  <c r="F384" i="31"/>
  <c r="E315" i="31"/>
  <c r="F315" i="31" s="1"/>
  <c r="E283" i="31"/>
  <c r="F283" i="31" s="1"/>
  <c r="E376" i="31"/>
  <c r="F376" i="31" s="1"/>
  <c r="F292" i="31"/>
  <c r="E287" i="31"/>
  <c r="F287" i="31" s="1"/>
  <c r="F368" i="31"/>
  <c r="E363" i="31"/>
  <c r="F363" i="31" s="1"/>
  <c r="E351" i="31"/>
  <c r="F351" i="31" s="1"/>
  <c r="E330" i="31"/>
  <c r="F330" i="31" s="1"/>
  <c r="E318" i="31"/>
  <c r="F318" i="31" s="1"/>
  <c r="F110" i="31"/>
  <c r="E375" i="31"/>
  <c r="F375" i="31" s="1"/>
  <c r="E366" i="31"/>
  <c r="F366" i="31" s="1"/>
  <c r="F355" i="31"/>
  <c r="E334" i="31"/>
  <c r="F334" i="31" s="1"/>
  <c r="E270" i="31"/>
  <c r="F270" i="31" s="1"/>
  <c r="E234" i="31"/>
  <c r="F234" i="31" s="1"/>
  <c r="E202" i="31"/>
  <c r="F202" i="31" s="1"/>
  <c r="F182" i="31"/>
  <c r="E33" i="31"/>
  <c r="F33" i="31" s="1"/>
  <c r="F549" i="31"/>
  <c r="F542" i="31"/>
  <c r="F535" i="31"/>
  <c r="F517" i="31"/>
  <c r="F510" i="31"/>
  <c r="F503" i="31"/>
  <c r="F485" i="31"/>
  <c r="F478" i="31"/>
  <c r="F453" i="31"/>
  <c r="F446" i="31"/>
  <c r="F439" i="31"/>
  <c r="F421" i="31"/>
  <c r="F414" i="31"/>
  <c r="F407" i="31"/>
  <c r="F389" i="31"/>
  <c r="F382" i="31"/>
  <c r="F371" i="31"/>
  <c r="E354" i="31"/>
  <c r="F354" i="31" s="1"/>
  <c r="F312" i="31"/>
  <c r="E307" i="31"/>
  <c r="F307" i="31" s="1"/>
  <c r="F279" i="31"/>
  <c r="E57" i="31"/>
  <c r="F57" i="31" s="1"/>
  <c r="F304" i="31"/>
  <c r="E153" i="31"/>
  <c r="F153" i="31" s="1"/>
  <c r="F134" i="31"/>
  <c r="F102" i="31"/>
  <c r="E81" i="31"/>
  <c r="F81" i="31" s="1"/>
  <c r="F70" i="31"/>
  <c r="F343" i="31"/>
  <c r="F323" i="31"/>
  <c r="E311" i="31"/>
  <c r="F311" i="31" s="1"/>
  <c r="F284" i="31"/>
  <c r="E278" i="31"/>
  <c r="F278" i="31" s="1"/>
  <c r="F247" i="31"/>
  <c r="E242" i="31"/>
  <c r="F242" i="31" s="1"/>
  <c r="F215" i="31"/>
  <c r="E210" i="31"/>
  <c r="F210" i="31" s="1"/>
  <c r="E161" i="31"/>
  <c r="F161" i="31" s="1"/>
  <c r="F142" i="31"/>
  <c r="E113" i="31"/>
  <c r="F113" i="31" s="1"/>
  <c r="E73" i="31"/>
  <c r="F73" i="31" s="1"/>
  <c r="F62" i="31"/>
  <c r="F38" i="31"/>
  <c r="E185" i="31"/>
  <c r="F185" i="31" s="1"/>
  <c r="E89" i="31"/>
  <c r="F89" i="31" s="1"/>
  <c r="E49" i="31"/>
  <c r="F49" i="31" s="1"/>
  <c r="F255" i="31"/>
  <c r="E250" i="31"/>
  <c r="F250" i="31" s="1"/>
  <c r="F223" i="31"/>
  <c r="E218" i="31"/>
  <c r="F218" i="31" s="1"/>
  <c r="F190" i="31"/>
  <c r="E145" i="31"/>
  <c r="F145" i="31" s="1"/>
  <c r="E121" i="31"/>
  <c r="F121" i="31" s="1"/>
  <c r="E25" i="31"/>
  <c r="F25" i="31" s="1"/>
  <c r="E9" i="31"/>
  <c r="F9" i="31" s="1"/>
  <c r="F296" i="31"/>
  <c r="E291" i="31"/>
  <c r="F291" i="31" s="1"/>
  <c r="E169" i="31"/>
  <c r="F169" i="31" s="1"/>
  <c r="F150" i="31"/>
  <c r="F126" i="31"/>
  <c r="E97" i="31"/>
  <c r="F97" i="31" s="1"/>
  <c r="E65" i="31"/>
  <c r="F65" i="31" s="1"/>
  <c r="F54" i="31"/>
  <c r="E295" i="31"/>
  <c r="F295" i="31" s="1"/>
  <c r="E258" i="31"/>
  <c r="F258" i="31" s="1"/>
  <c r="E226" i="31"/>
  <c r="F226" i="31" s="1"/>
  <c r="E193" i="31"/>
  <c r="F193" i="31" s="1"/>
  <c r="E129" i="31"/>
  <c r="F129" i="31" s="1"/>
  <c r="E41" i="31"/>
  <c r="F41" i="31" s="1"/>
  <c r="F302" i="31"/>
  <c r="F294" i="31"/>
  <c r="F286" i="31"/>
  <c r="F277" i="31"/>
  <c r="F257" i="31"/>
  <c r="F249" i="31"/>
  <c r="F241" i="31"/>
  <c r="F233" i="31"/>
  <c r="F225" i="31"/>
  <c r="F217" i="31"/>
  <c r="F209" i="31"/>
  <c r="F201" i="31"/>
  <c r="F192" i="31"/>
  <c r="F184" i="31"/>
  <c r="F176" i="31"/>
  <c r="F168" i="31"/>
  <c r="F160" i="31"/>
  <c r="F152" i="31"/>
  <c r="F144" i="31"/>
  <c r="F32" i="31"/>
  <c r="F24" i="31"/>
  <c r="F16" i="31"/>
  <c r="F8" i="31"/>
  <c r="F254" i="31"/>
  <c r="F246" i="31"/>
  <c r="F238" i="31"/>
  <c r="F230" i="31"/>
  <c r="F222" i="31"/>
  <c r="F214" i="31"/>
  <c r="F206" i="31"/>
  <c r="F198" i="31"/>
  <c r="F189" i="31"/>
  <c r="F181" i="31"/>
  <c r="F173" i="31"/>
  <c r="F165" i="31"/>
  <c r="F157" i="31"/>
  <c r="F149" i="31"/>
  <c r="F141" i="31"/>
  <c r="F133" i="31"/>
  <c r="F125" i="31"/>
  <c r="F117" i="31"/>
  <c r="F109" i="31"/>
  <c r="F37" i="31"/>
  <c r="F98" i="31"/>
  <c r="F90" i="31"/>
  <c r="F74" i="31"/>
  <c r="F66" i="31"/>
  <c r="F50" i="31"/>
  <c r="F42" i="31"/>
  <c r="F71" i="31"/>
  <c r="F63" i="31"/>
  <c r="F55" i="31"/>
  <c r="F47" i="31"/>
  <c r="F31" i="31"/>
  <c r="F15" i="31"/>
  <c r="F7" i="31"/>
  <c r="F132" i="31"/>
  <c r="F124" i="31"/>
  <c r="F116" i="31"/>
  <c r="F108" i="31"/>
  <c r="F100" i="31"/>
  <c r="F92" i="31"/>
  <c r="F84" i="31"/>
  <c r="F76" i="31"/>
  <c r="F68" i="31"/>
  <c r="F60" i="31"/>
  <c r="F52" i="31"/>
  <c r="F36" i="31"/>
  <c r="F228" i="10"/>
  <c r="F235" i="10"/>
  <c r="F374" i="10"/>
  <c r="F68" i="10"/>
  <c r="E227" i="10"/>
  <c r="F227" i="10" s="1"/>
  <c r="E203" i="10"/>
  <c r="F203" i="10" s="1"/>
  <c r="F131" i="10"/>
  <c r="F44" i="10"/>
  <c r="F92" i="10"/>
  <c r="F60" i="10"/>
  <c r="F11" i="10"/>
  <c r="F124" i="10"/>
  <c r="F12" i="10"/>
  <c r="F364" i="10"/>
  <c r="F132" i="10"/>
  <c r="F107" i="10"/>
  <c r="F59" i="10"/>
  <c r="F188" i="10"/>
  <c r="F99" i="10"/>
  <c r="F163" i="10"/>
  <c r="F341" i="10"/>
  <c r="F337" i="10"/>
  <c r="F302" i="10"/>
  <c r="E244" i="10"/>
  <c r="F244" i="10" s="1"/>
  <c r="E180" i="10"/>
  <c r="F180" i="10" s="1"/>
  <c r="E175" i="10"/>
  <c r="F175" i="10" s="1"/>
  <c r="F167" i="10"/>
  <c r="E155" i="10"/>
  <c r="F155" i="10" s="1"/>
  <c r="F150" i="10"/>
  <c r="F133" i="10"/>
  <c r="E116" i="10"/>
  <c r="F116" i="10" s="1"/>
  <c r="E91" i="10"/>
  <c r="F91" i="10" s="1"/>
  <c r="F69" i="10"/>
  <c r="E52" i="10"/>
  <c r="F52" i="10" s="1"/>
  <c r="F39" i="10"/>
  <c r="F21" i="10"/>
  <c r="F141" i="10"/>
  <c r="F317" i="10"/>
  <c r="F310" i="10"/>
  <c r="F261" i="10"/>
  <c r="F243" i="10"/>
  <c r="F183" i="10"/>
  <c r="F149" i="10"/>
  <c r="F119" i="10"/>
  <c r="F85" i="10"/>
  <c r="F55" i="10"/>
  <c r="E6" i="10"/>
  <c r="F6" i="10" s="1"/>
  <c r="F360" i="10"/>
  <c r="F354" i="10"/>
  <c r="F269" i="10"/>
  <c r="F260" i="10"/>
  <c r="F251" i="10"/>
  <c r="F238" i="10"/>
  <c r="F212" i="10"/>
  <c r="F191" i="10"/>
  <c r="F187" i="10"/>
  <c r="F174" i="10"/>
  <c r="F127" i="10"/>
  <c r="F123" i="10"/>
  <c r="F110" i="10"/>
  <c r="F93" i="10"/>
  <c r="F84" i="10"/>
  <c r="F63" i="10"/>
  <c r="F46" i="10"/>
  <c r="F29" i="10"/>
  <c r="F77" i="10"/>
  <c r="F370" i="10"/>
  <c r="F325" i="10"/>
  <c r="F321" i="10"/>
  <c r="F292" i="10"/>
  <c r="F277" i="10"/>
  <c r="F199" i="10"/>
  <c r="F165" i="10"/>
  <c r="F135" i="10"/>
  <c r="F101" i="10"/>
  <c r="F71" i="10"/>
  <c r="F37" i="10"/>
  <c r="F23" i="10"/>
  <c r="F378" i="10"/>
  <c r="F359" i="10"/>
  <c r="F348" i="10"/>
  <c r="F313" i="10"/>
  <c r="F237" i="10"/>
  <c r="F173" i="10"/>
  <c r="F143" i="10"/>
  <c r="F109" i="10"/>
  <c r="F79" i="10"/>
  <c r="F45" i="10"/>
  <c r="F13" i="10"/>
  <c r="F332" i="10"/>
  <c r="F111" i="10"/>
  <c r="F47" i="10"/>
  <c r="F386" i="10"/>
  <c r="F382" i="10"/>
  <c r="F333" i="10"/>
  <c r="F329" i="10"/>
  <c r="F294" i="10"/>
  <c r="F286" i="10"/>
  <c r="F259" i="10"/>
  <c r="F245" i="10"/>
  <c r="F215" i="10"/>
  <c r="F198" i="10"/>
  <c r="F151" i="10"/>
  <c r="F108" i="10"/>
  <c r="F87" i="10"/>
  <c r="F83" i="10"/>
  <c r="F70" i="10"/>
  <c r="F53" i="10"/>
  <c r="F376" i="10"/>
  <c r="F270" i="10"/>
  <c r="E385" i="10"/>
  <c r="F385" i="10" s="1"/>
  <c r="F377" i="10"/>
  <c r="E366" i="10"/>
  <c r="F366" i="10" s="1"/>
  <c r="F358" i="10"/>
  <c r="F324" i="10"/>
  <c r="F254" i="10"/>
  <c r="F223" i="10"/>
  <c r="E214" i="10"/>
  <c r="F214" i="10" s="1"/>
  <c r="F189" i="10"/>
  <c r="F159" i="10"/>
  <c r="E103" i="10"/>
  <c r="F103" i="10" s="1"/>
  <c r="F95" i="10"/>
  <c r="E86" i="10"/>
  <c r="F86" i="10" s="1"/>
  <c r="F61" i="10"/>
  <c r="E217" i="10"/>
  <c r="F217" i="10" s="1"/>
  <c r="E153" i="10"/>
  <c r="F153" i="10" s="1"/>
  <c r="E380" i="10"/>
  <c r="F380" i="10" s="1"/>
  <c r="E372" i="10"/>
  <c r="F372" i="10" s="1"/>
  <c r="E362" i="10"/>
  <c r="F362" i="10" s="1"/>
  <c r="E352" i="10"/>
  <c r="F352" i="10" s="1"/>
  <c r="E280" i="10"/>
  <c r="F280" i="10" s="1"/>
  <c r="E272" i="10"/>
  <c r="F272" i="10" s="1"/>
  <c r="E264" i="10"/>
  <c r="F264" i="10" s="1"/>
  <c r="E256" i="10"/>
  <c r="F256" i="10" s="1"/>
  <c r="F230" i="10"/>
  <c r="E209" i="10"/>
  <c r="F209" i="10" s="1"/>
  <c r="F166" i="10"/>
  <c r="E145" i="10"/>
  <c r="F145" i="10" s="1"/>
  <c r="F102" i="10"/>
  <c r="E81" i="10"/>
  <c r="F81" i="10" s="1"/>
  <c r="F387" i="10"/>
  <c r="F379" i="10"/>
  <c r="F361" i="10"/>
  <c r="F351" i="10"/>
  <c r="F246" i="10"/>
  <c r="E225" i="10"/>
  <c r="F225" i="10" s="1"/>
  <c r="F182" i="10"/>
  <c r="F118" i="10"/>
  <c r="E97" i="10"/>
  <c r="F97" i="10" s="1"/>
  <c r="F54" i="10"/>
  <c r="E33" i="10"/>
  <c r="F33" i="10" s="1"/>
  <c r="F347" i="10"/>
  <c r="F343" i="10"/>
  <c r="F339" i="10"/>
  <c r="F335" i="10"/>
  <c r="F331" i="10"/>
  <c r="F327" i="10"/>
  <c r="F323" i="10"/>
  <c r="F319" i="10"/>
  <c r="F312" i="10"/>
  <c r="F308" i="10"/>
  <c r="F304" i="10"/>
  <c r="F300" i="10"/>
  <c r="E233" i="10"/>
  <c r="F233" i="10" s="1"/>
  <c r="F190" i="10"/>
  <c r="E169" i="10"/>
  <c r="F169" i="10" s="1"/>
  <c r="F126" i="10"/>
  <c r="E105" i="10"/>
  <c r="F105" i="10" s="1"/>
  <c r="E41" i="10"/>
  <c r="F41" i="10" s="1"/>
  <c r="E89" i="10"/>
  <c r="F89" i="10" s="1"/>
  <c r="F381" i="10"/>
  <c r="F288" i="10"/>
  <c r="E241" i="10"/>
  <c r="F241" i="10" s="1"/>
  <c r="E177" i="10"/>
  <c r="F177" i="10" s="1"/>
  <c r="E113" i="10"/>
  <c r="F113" i="10" s="1"/>
  <c r="E49" i="10"/>
  <c r="F49" i="10" s="1"/>
  <c r="E342" i="10"/>
  <c r="F342" i="10" s="1"/>
  <c r="F338" i="10"/>
  <c r="E334" i="10"/>
  <c r="F334" i="10" s="1"/>
  <c r="E326" i="10"/>
  <c r="F326" i="10" s="1"/>
  <c r="E318" i="10"/>
  <c r="F318" i="10" s="1"/>
  <c r="F311" i="10"/>
  <c r="E307" i="10"/>
  <c r="F307" i="10" s="1"/>
  <c r="F303" i="10"/>
  <c r="E299" i="10"/>
  <c r="F299" i="10" s="1"/>
  <c r="F295" i="10"/>
  <c r="F282" i="10"/>
  <c r="F274" i="10"/>
  <c r="F258" i="10"/>
  <c r="E249" i="10"/>
  <c r="F249" i="10" s="1"/>
  <c r="F206" i="10"/>
  <c r="E185" i="10"/>
  <c r="F185" i="10" s="1"/>
  <c r="F142" i="10"/>
  <c r="E121" i="10"/>
  <c r="F121" i="10" s="1"/>
  <c r="F78" i="10"/>
  <c r="E57" i="10"/>
  <c r="F57" i="10" s="1"/>
  <c r="E291" i="10"/>
  <c r="F291" i="10" s="1"/>
  <c r="E248" i="10"/>
  <c r="F248" i="10" s="1"/>
  <c r="E193" i="10"/>
  <c r="F193" i="10" s="1"/>
  <c r="E129" i="10"/>
  <c r="F129" i="10" s="1"/>
  <c r="E65" i="10"/>
  <c r="F65" i="10" s="1"/>
  <c r="E281" i="10"/>
  <c r="F281" i="10" s="1"/>
  <c r="E273" i="10"/>
  <c r="F273" i="10" s="1"/>
  <c r="E265" i="10"/>
  <c r="F265" i="10" s="1"/>
  <c r="E257" i="10"/>
  <c r="F257" i="10" s="1"/>
  <c r="F222" i="10"/>
  <c r="E201" i="10"/>
  <c r="F201" i="10" s="1"/>
  <c r="F158" i="10"/>
  <c r="E137" i="10"/>
  <c r="F137" i="10" s="1"/>
  <c r="F94" i="10"/>
  <c r="F240" i="10"/>
  <c r="F232" i="10"/>
  <c r="F224" i="10"/>
  <c r="F208" i="10"/>
  <c r="F200" i="10"/>
  <c r="F192" i="10"/>
  <c r="F184" i="10"/>
  <c r="F176" i="10"/>
  <c r="F168" i="10"/>
  <c r="F160" i="10"/>
  <c r="F152" i="10"/>
  <c r="F144" i="10"/>
  <c r="F136" i="10"/>
  <c r="F128" i="10"/>
  <c r="F120" i="10"/>
  <c r="F104" i="10"/>
  <c r="F96" i="10"/>
  <c r="F88" i="10"/>
  <c r="F80" i="10"/>
  <c r="F72" i="10"/>
  <c r="F64" i="10"/>
  <c r="F56" i="10"/>
  <c r="F48" i="10"/>
  <c r="F40" i="10"/>
  <c r="F24" i="10"/>
  <c r="F16" i="10"/>
  <c r="F8" i="10"/>
  <c r="F106" i="10"/>
  <c r="F98" i="10"/>
  <c r="F90" i="10"/>
  <c r="F82" i="10"/>
  <c r="F74" i="10"/>
  <c r="F66" i="10"/>
  <c r="F58" i="10"/>
  <c r="F50" i="10"/>
  <c r="F42" i="10"/>
  <c r="F10" i="10"/>
  <c r="F158" i="2"/>
  <c r="F175" i="2"/>
  <c r="F27" i="2"/>
  <c r="F499" i="2"/>
  <c r="F35" i="2"/>
  <c r="F584" i="2"/>
  <c r="F449" i="2"/>
  <c r="F410" i="2"/>
  <c r="F332" i="2"/>
  <c r="F109" i="2"/>
  <c r="F474" i="2"/>
  <c r="F271" i="2"/>
  <c r="F336" i="2"/>
  <c r="F429" i="2"/>
  <c r="F528" i="2"/>
  <c r="F509" i="2"/>
  <c r="F483" i="2"/>
  <c r="F460" i="2"/>
  <c r="F456" i="2"/>
  <c r="F443" i="2"/>
  <c r="F401" i="2"/>
  <c r="F388" i="2"/>
  <c r="F327" i="2"/>
  <c r="F319" i="2"/>
  <c r="F311" i="2"/>
  <c r="F303" i="2"/>
  <c r="F274" i="2"/>
  <c r="F264" i="2"/>
  <c r="F234" i="2"/>
  <c r="F210" i="2"/>
  <c r="F108" i="2"/>
  <c r="F92" i="2"/>
  <c r="F73" i="2"/>
  <c r="F51" i="2"/>
  <c r="F562" i="2"/>
  <c r="F537" i="2"/>
  <c r="F522" i="2"/>
  <c r="F500" i="2"/>
  <c r="F468" i="2"/>
  <c r="F451" i="2"/>
  <c r="F413" i="2"/>
  <c r="F396" i="2"/>
  <c r="F379" i="2"/>
  <c r="F357" i="2"/>
  <c r="F294" i="2"/>
  <c r="F288" i="2"/>
  <c r="F214" i="2"/>
  <c r="F182" i="2"/>
  <c r="F166" i="2"/>
  <c r="F142" i="2"/>
  <c r="F101" i="2"/>
  <c r="F580" i="2"/>
  <c r="F560" i="2"/>
  <c r="F521" i="2"/>
  <c r="F507" i="2"/>
  <c r="F486" i="2"/>
  <c r="F482" i="2"/>
  <c r="F467" i="2"/>
  <c r="F441" i="2"/>
  <c r="F425" i="2"/>
  <c r="F412" i="2"/>
  <c r="F395" i="2"/>
  <c r="F386" i="2"/>
  <c r="F272" i="2"/>
  <c r="F247" i="2"/>
  <c r="F231" i="2"/>
  <c r="F212" i="2"/>
  <c r="F207" i="2"/>
  <c r="F124" i="2"/>
  <c r="F369" i="2"/>
  <c r="F248" i="2"/>
  <c r="F186" i="2"/>
  <c r="F570" i="2"/>
  <c r="F545" i="2"/>
  <c r="F530" i="2"/>
  <c r="F494" i="2"/>
  <c r="F477" i="2"/>
  <c r="F458" i="2"/>
  <c r="F326" i="2"/>
  <c r="F318" i="2"/>
  <c r="F296" i="2"/>
  <c r="F242" i="2"/>
  <c r="F226" i="2"/>
  <c r="F164" i="2"/>
  <c r="F100" i="2"/>
  <c r="F94" i="2"/>
  <c r="F72" i="2"/>
  <c r="F59" i="2"/>
  <c r="F508" i="2"/>
  <c r="F442" i="2"/>
  <c r="F387" i="2"/>
  <c r="F254" i="2"/>
  <c r="F218" i="2"/>
  <c r="F579" i="2"/>
  <c r="F564" i="2"/>
  <c r="F534" i="2"/>
  <c r="F520" i="2"/>
  <c r="F502" i="2"/>
  <c r="F498" i="2"/>
  <c r="F485" i="2"/>
  <c r="F466" i="2"/>
  <c r="F457" i="2"/>
  <c r="F436" i="2"/>
  <c r="F424" i="2"/>
  <c r="F411" i="2"/>
  <c r="F402" i="2"/>
  <c r="F381" i="2"/>
  <c r="F377" i="2"/>
  <c r="F328" i="2"/>
  <c r="F320" i="2"/>
  <c r="F312" i="2"/>
  <c r="F304" i="2"/>
  <c r="F295" i="2"/>
  <c r="F262" i="2"/>
  <c r="F220" i="2"/>
  <c r="F215" i="2"/>
  <c r="F188" i="2"/>
  <c r="F157" i="2"/>
  <c r="F116" i="2"/>
  <c r="F76" i="2"/>
  <c r="F54" i="2"/>
  <c r="F38" i="2"/>
  <c r="F571" i="2"/>
  <c r="F478" i="2"/>
  <c r="F459" i="2"/>
  <c r="E563" i="2"/>
  <c r="F563" i="2" s="1"/>
  <c r="F544" i="2"/>
  <c r="F529" i="2"/>
  <c r="F510" i="2"/>
  <c r="E501" i="2"/>
  <c r="F501" i="2" s="1"/>
  <c r="F493" i="2"/>
  <c r="E484" i="2"/>
  <c r="F484" i="2" s="1"/>
  <c r="F476" i="2"/>
  <c r="E452" i="2"/>
  <c r="F452" i="2" s="1"/>
  <c r="F444" i="2"/>
  <c r="E435" i="2"/>
  <c r="F435" i="2" s="1"/>
  <c r="E397" i="2"/>
  <c r="F397" i="2" s="1"/>
  <c r="F389" i="2"/>
  <c r="F286" i="2"/>
  <c r="F280" i="2"/>
  <c r="E206" i="2"/>
  <c r="F206" i="2" s="1"/>
  <c r="F174" i="2"/>
  <c r="F145" i="2"/>
  <c r="E139" i="2"/>
  <c r="F139" i="2" s="1"/>
  <c r="E132" i="2"/>
  <c r="F132" i="2" s="1"/>
  <c r="E37" i="2"/>
  <c r="F37" i="2" s="1"/>
  <c r="E582" i="2"/>
  <c r="F582" i="2" s="1"/>
  <c r="E574" i="2"/>
  <c r="F574" i="2" s="1"/>
  <c r="E566" i="2"/>
  <c r="F566" i="2" s="1"/>
  <c r="E558" i="2"/>
  <c r="F558" i="2" s="1"/>
  <c r="E524" i="2"/>
  <c r="F524" i="2" s="1"/>
  <c r="E512" i="2"/>
  <c r="F512" i="2" s="1"/>
  <c r="E504" i="2"/>
  <c r="F504" i="2" s="1"/>
  <c r="E496" i="2"/>
  <c r="F496" i="2" s="1"/>
  <c r="E488" i="2"/>
  <c r="F488" i="2" s="1"/>
  <c r="E480" i="2"/>
  <c r="F480" i="2" s="1"/>
  <c r="E472" i="2"/>
  <c r="F472" i="2" s="1"/>
  <c r="E462" i="2"/>
  <c r="F462" i="2" s="1"/>
  <c r="E454" i="2"/>
  <c r="F454" i="2" s="1"/>
  <c r="E446" i="2"/>
  <c r="F446" i="2" s="1"/>
  <c r="E438" i="2"/>
  <c r="F438" i="2" s="1"/>
  <c r="E427" i="2"/>
  <c r="F427" i="2" s="1"/>
  <c r="E415" i="2"/>
  <c r="F415" i="2" s="1"/>
  <c r="E383" i="2"/>
  <c r="F383" i="2" s="1"/>
  <c r="E375" i="2"/>
  <c r="F375" i="2" s="1"/>
  <c r="E333" i="2"/>
  <c r="F333" i="2" s="1"/>
  <c r="E329" i="2"/>
  <c r="F329" i="2" s="1"/>
  <c r="E321" i="2"/>
  <c r="F321" i="2" s="1"/>
  <c r="E313" i="2"/>
  <c r="F313" i="2" s="1"/>
  <c r="F310" i="2"/>
  <c r="E305" i="2"/>
  <c r="F305" i="2" s="1"/>
  <c r="E277" i="2"/>
  <c r="F277" i="2" s="1"/>
  <c r="E237" i="2"/>
  <c r="F237" i="2" s="1"/>
  <c r="E221" i="2"/>
  <c r="F221" i="2" s="1"/>
  <c r="F137" i="2"/>
  <c r="F120" i="2"/>
  <c r="E261" i="2"/>
  <c r="F261" i="2" s="1"/>
  <c r="E197" i="2"/>
  <c r="F197" i="2" s="1"/>
  <c r="E107" i="2"/>
  <c r="F107" i="2" s="1"/>
  <c r="F96" i="2"/>
  <c r="E85" i="2"/>
  <c r="F85" i="2" s="1"/>
  <c r="F62" i="2"/>
  <c r="E57" i="2"/>
  <c r="F57" i="2" s="1"/>
  <c r="F46" i="2"/>
  <c r="E41" i="2"/>
  <c r="F41" i="2" s="1"/>
  <c r="E317" i="2"/>
  <c r="F317" i="2" s="1"/>
  <c r="F434" i="2"/>
  <c r="F365" i="2"/>
  <c r="E285" i="2"/>
  <c r="F285" i="2" s="1"/>
  <c r="F250" i="2"/>
  <c r="E173" i="2"/>
  <c r="F173" i="2" s="1"/>
  <c r="E156" i="2"/>
  <c r="F156" i="2" s="1"/>
  <c r="E140" i="2"/>
  <c r="F140" i="2" s="1"/>
  <c r="F30" i="2"/>
  <c r="F583" i="2"/>
  <c r="F575" i="2"/>
  <c r="F567" i="2"/>
  <c r="F559" i="2"/>
  <c r="F541" i="2"/>
  <c r="F533" i="2"/>
  <c r="F525" i="2"/>
  <c r="F513" i="2"/>
  <c r="F505" i="2"/>
  <c r="F497" i="2"/>
  <c r="F489" i="2"/>
  <c r="F481" i="2"/>
  <c r="F473" i="2"/>
  <c r="F463" i="2"/>
  <c r="F455" i="2"/>
  <c r="F447" i="2"/>
  <c r="F439" i="2"/>
  <c r="F428" i="2"/>
  <c r="F416" i="2"/>
  <c r="F392" i="2"/>
  <c r="F384" i="2"/>
  <c r="F376" i="2"/>
  <c r="E362" i="2"/>
  <c r="F362" i="2" s="1"/>
  <c r="F359" i="2"/>
  <c r="F355" i="2"/>
  <c r="E245" i="2"/>
  <c r="F245" i="2" s="1"/>
  <c r="E229" i="2"/>
  <c r="F229" i="2" s="1"/>
  <c r="E205" i="2"/>
  <c r="F205" i="2" s="1"/>
  <c r="E123" i="2"/>
  <c r="F123" i="2" s="1"/>
  <c r="E301" i="2"/>
  <c r="F301" i="2" s="1"/>
  <c r="E358" i="2"/>
  <c r="F358" i="2" s="1"/>
  <c r="E354" i="2"/>
  <c r="F354" i="2" s="1"/>
  <c r="F350" i="2"/>
  <c r="F298" i="2"/>
  <c r="F128" i="2"/>
  <c r="E9" i="2"/>
  <c r="F9" i="2" s="1"/>
  <c r="E325" i="2"/>
  <c r="F325" i="2" s="1"/>
  <c r="E349" i="2"/>
  <c r="F349" i="2" s="1"/>
  <c r="E345" i="2"/>
  <c r="F345" i="2" s="1"/>
  <c r="F342" i="2"/>
  <c r="F338" i="2"/>
  <c r="E213" i="2"/>
  <c r="F213" i="2" s="1"/>
  <c r="E99" i="2"/>
  <c r="F99" i="2" s="1"/>
  <c r="E49" i="2"/>
  <c r="F49" i="2" s="1"/>
  <c r="F334" i="2"/>
  <c r="F330" i="2"/>
  <c r="F322" i="2"/>
  <c r="F314" i="2"/>
  <c r="F306" i="2"/>
  <c r="F282" i="2"/>
  <c r="E165" i="2"/>
  <c r="F165" i="2" s="1"/>
  <c r="E131" i="2"/>
  <c r="F131" i="2" s="1"/>
  <c r="E115" i="2"/>
  <c r="F115" i="2" s="1"/>
  <c r="F104" i="2"/>
  <c r="F122" i="2"/>
  <c r="F84" i="2"/>
  <c r="F24" i="2"/>
  <c r="F297" i="2"/>
  <c r="F289" i="2"/>
  <c r="F281" i="2"/>
  <c r="F265" i="2"/>
  <c r="F257" i="2"/>
  <c r="F249" i="2"/>
  <c r="F241" i="2"/>
  <c r="F233" i="2"/>
  <c r="F225" i="2"/>
  <c r="F217" i="2"/>
  <c r="F209" i="2"/>
  <c r="F201" i="2"/>
  <c r="F193" i="2"/>
  <c r="F177" i="2"/>
  <c r="F169" i="2"/>
  <c r="F161" i="2"/>
  <c r="F152" i="2"/>
  <c r="F144" i="2"/>
  <c r="F136" i="2"/>
  <c r="F127" i="2"/>
  <c r="F119" i="2"/>
  <c r="F111" i="2"/>
  <c r="F103" i="2"/>
  <c r="F95" i="2"/>
  <c r="F75" i="2"/>
  <c r="F61" i="2"/>
  <c r="F53" i="2"/>
  <c r="F39" i="2"/>
  <c r="F31" i="2"/>
  <c r="F15" i="2"/>
  <c r="F240" i="2"/>
  <c r="F232" i="2"/>
  <c r="F224" i="2"/>
  <c r="F216" i="2"/>
  <c r="F208" i="2"/>
  <c r="F200" i="2"/>
  <c r="F192" i="2"/>
  <c r="F176" i="2"/>
  <c r="F151" i="2"/>
  <c r="F135" i="2"/>
  <c r="F126" i="2"/>
  <c r="F118" i="2"/>
  <c r="F110" i="2"/>
  <c r="F102" i="2"/>
  <c r="F74" i="2"/>
  <c r="F97" i="56"/>
  <c r="G97" i="56" s="1"/>
  <c r="F81" i="56"/>
  <c r="G81" i="56" s="1"/>
  <c r="F65" i="56"/>
  <c r="G65" i="56" s="1"/>
  <c r="F49" i="56"/>
  <c r="G49" i="56" s="1"/>
  <c r="F75" i="56"/>
  <c r="G75" i="56" s="1"/>
  <c r="F59" i="56"/>
  <c r="G59" i="56" s="1"/>
  <c r="F43" i="56"/>
  <c r="G43" i="56" s="1"/>
  <c r="F27" i="56"/>
  <c r="G27" i="56" s="1"/>
  <c r="F11" i="56"/>
  <c r="G11" i="56" s="1"/>
  <c r="F17" i="56"/>
  <c r="G17" i="56" s="1"/>
  <c r="F101" i="56"/>
  <c r="G101" i="56" s="1"/>
  <c r="F85" i="56"/>
  <c r="G85" i="56" s="1"/>
  <c r="F69" i="56"/>
  <c r="G69" i="56" s="1"/>
  <c r="F53" i="56"/>
  <c r="G53" i="56" s="1"/>
  <c r="F21" i="56"/>
  <c r="G21" i="56" s="1"/>
  <c r="F95" i="56"/>
  <c r="G95" i="56" s="1"/>
  <c r="F79" i="56"/>
  <c r="G79" i="56" s="1"/>
  <c r="F47" i="56"/>
  <c r="G47" i="56" s="1"/>
  <c r="F15" i="56"/>
  <c r="G15" i="56" s="1"/>
  <c r="F105" i="56"/>
  <c r="G105" i="56" s="1"/>
  <c r="F89" i="56"/>
  <c r="G89" i="56" s="1"/>
  <c r="F73" i="56"/>
  <c r="G73" i="56" s="1"/>
  <c r="F57" i="56"/>
  <c r="G57" i="56" s="1"/>
  <c r="F25" i="56"/>
  <c r="G25" i="56" s="1"/>
  <c r="F9" i="56"/>
  <c r="G9" i="56" s="1"/>
  <c r="F99" i="56"/>
  <c r="G99" i="56" s="1"/>
  <c r="F83" i="56"/>
  <c r="G83" i="56" s="1"/>
  <c r="F67" i="56"/>
  <c r="G67" i="56" s="1"/>
  <c r="F51" i="56"/>
  <c r="G51" i="56" s="1"/>
  <c r="F19" i="56"/>
  <c r="G19" i="56" s="1"/>
  <c r="F93" i="56"/>
  <c r="G93" i="56" s="1"/>
  <c r="F61" i="56"/>
  <c r="G61" i="56" s="1"/>
  <c r="F45" i="56"/>
  <c r="G45" i="56" s="1"/>
  <c r="F29" i="56"/>
  <c r="G29" i="56" s="1"/>
  <c r="F13" i="56"/>
  <c r="G13" i="56" s="1"/>
  <c r="F103" i="56"/>
  <c r="G103" i="56" s="1"/>
  <c r="F87" i="56"/>
  <c r="G87" i="56" s="1"/>
  <c r="F71" i="56"/>
  <c r="G71" i="56" s="1"/>
  <c r="F55" i="56"/>
  <c r="G55" i="56" s="1"/>
  <c r="F23" i="56"/>
  <c r="G23" i="56" s="1"/>
  <c r="F7" i="56"/>
  <c r="G7" i="56" s="1"/>
  <c r="G104" i="56"/>
  <c r="G98" i="56"/>
  <c r="G94" i="56"/>
  <c r="G92" i="56"/>
  <c r="G88" i="56"/>
  <c r="G86" i="56"/>
  <c r="G84" i="56"/>
  <c r="G82" i="56"/>
  <c r="G80" i="56"/>
  <c r="G78" i="56"/>
  <c r="G76" i="56"/>
  <c r="G74" i="56"/>
  <c r="G72" i="56"/>
  <c r="G70" i="56"/>
  <c r="G68" i="56"/>
  <c r="G66" i="56"/>
  <c r="G64" i="56"/>
  <c r="G62" i="56"/>
  <c r="G60" i="56"/>
  <c r="G58" i="56"/>
  <c r="G56" i="56"/>
  <c r="G40" i="56"/>
  <c r="G38" i="56"/>
  <c r="G36" i="56"/>
  <c r="G34" i="56"/>
  <c r="G32" i="56"/>
  <c r="G30" i="56"/>
  <c r="G28" i="56"/>
  <c r="G26" i="56"/>
  <c r="G24" i="56"/>
  <c r="G22" i="56"/>
  <c r="G20" i="56"/>
  <c r="G18" i="56"/>
  <c r="G16" i="56"/>
  <c r="G14" i="56"/>
  <c r="G12" i="56"/>
  <c r="G10" i="56"/>
  <c r="G8" i="56"/>
  <c r="F6" i="56"/>
  <c r="G6" i="56" s="1"/>
  <c r="G42" i="55"/>
  <c r="G10" i="55"/>
  <c r="G22" i="55"/>
  <c r="G106" i="55"/>
  <c r="G26" i="55"/>
  <c r="G54" i="55"/>
  <c r="G170" i="55"/>
  <c r="G174" i="55"/>
  <c r="G134" i="55"/>
  <c r="G122" i="55"/>
  <c r="G70" i="55"/>
  <c r="G58" i="55"/>
  <c r="G46" i="55"/>
  <c r="G150" i="55"/>
  <c r="G138" i="55"/>
  <c r="G126" i="55"/>
  <c r="G86" i="55"/>
  <c r="G74" i="55"/>
  <c r="G62" i="55"/>
  <c r="G12" i="55"/>
  <c r="G166" i="55"/>
  <c r="G142" i="55"/>
  <c r="G102" i="55"/>
  <c r="G90" i="55"/>
  <c r="G78" i="55"/>
  <c r="G38" i="55"/>
  <c r="G14" i="55"/>
  <c r="F165" i="55"/>
  <c r="G165" i="55" s="1"/>
  <c r="F141" i="55"/>
  <c r="G141" i="55" s="1"/>
  <c r="F89" i="55"/>
  <c r="G89" i="55" s="1"/>
  <c r="F77" i="55"/>
  <c r="G77" i="55" s="1"/>
  <c r="F37" i="55"/>
  <c r="G37" i="55" s="1"/>
  <c r="F175" i="55"/>
  <c r="G175" i="55" s="1"/>
  <c r="F129" i="55"/>
  <c r="G129" i="55" s="1"/>
  <c r="F65" i="55"/>
  <c r="G65" i="55" s="1"/>
  <c r="F47" i="55"/>
  <c r="G47" i="55" s="1"/>
  <c r="F169" i="55"/>
  <c r="G169" i="55" s="1"/>
  <c r="F93" i="55"/>
  <c r="G93" i="55" s="1"/>
  <c r="F53" i="55"/>
  <c r="G53" i="55" s="1"/>
  <c r="F41" i="55"/>
  <c r="G41" i="55" s="1"/>
  <c r="F145" i="55"/>
  <c r="G145" i="55" s="1"/>
  <c r="F127" i="55"/>
  <c r="G127" i="55" s="1"/>
  <c r="F81" i="55"/>
  <c r="G81" i="55" s="1"/>
  <c r="F63" i="55"/>
  <c r="G63" i="55" s="1"/>
  <c r="F173" i="55"/>
  <c r="G173" i="55" s="1"/>
  <c r="F133" i="55"/>
  <c r="G133" i="55" s="1"/>
  <c r="F121" i="55"/>
  <c r="G121" i="55" s="1"/>
  <c r="F69" i="55"/>
  <c r="G69" i="55" s="1"/>
  <c r="F57" i="55"/>
  <c r="G57" i="55" s="1"/>
  <c r="F45" i="55"/>
  <c r="G45" i="55" s="1"/>
  <c r="F161" i="55"/>
  <c r="G161" i="55" s="1"/>
  <c r="F143" i="55"/>
  <c r="G143" i="55" s="1"/>
  <c r="F97" i="55"/>
  <c r="G97" i="55" s="1"/>
  <c r="F79" i="55"/>
  <c r="G79" i="55" s="1"/>
  <c r="F33" i="55"/>
  <c r="G33" i="55" s="1"/>
  <c r="F137" i="55"/>
  <c r="G137" i="55" s="1"/>
  <c r="F125" i="55"/>
  <c r="G125" i="55" s="1"/>
  <c r="F85" i="55"/>
  <c r="G85" i="55" s="1"/>
  <c r="F73" i="55"/>
  <c r="G73" i="55" s="1"/>
  <c r="F61" i="55"/>
  <c r="G61" i="55" s="1"/>
  <c r="F177" i="55"/>
  <c r="G177" i="55" s="1"/>
  <c r="F159" i="55"/>
  <c r="G159" i="55" s="1"/>
  <c r="F95" i="55"/>
  <c r="G95" i="55" s="1"/>
  <c r="F49" i="55"/>
  <c r="G49" i="55" s="1"/>
  <c r="F31" i="55"/>
  <c r="G31" i="55" s="1"/>
  <c r="G172" i="55"/>
  <c r="G140" i="55"/>
  <c r="G124" i="55"/>
  <c r="G92" i="55"/>
  <c r="G76" i="55"/>
  <c r="G60" i="55"/>
  <c r="G44" i="55"/>
  <c r="G28" i="55"/>
  <c r="G25" i="55"/>
  <c r="G9" i="55"/>
  <c r="G162" i="55"/>
  <c r="G130" i="55"/>
  <c r="G98" i="55"/>
  <c r="G82" i="55"/>
  <c r="G66" i="55"/>
  <c r="G50" i="55"/>
  <c r="G34" i="55"/>
  <c r="G18" i="55"/>
  <c r="G15" i="55"/>
  <c r="G168" i="55"/>
  <c r="G152" i="55"/>
  <c r="G120" i="55"/>
  <c r="G104" i="55"/>
  <c r="G88" i="55"/>
  <c r="G72" i="55"/>
  <c r="G56" i="55"/>
  <c r="G40" i="55"/>
  <c r="G21" i="55"/>
  <c r="G171" i="55"/>
  <c r="G139" i="55"/>
  <c r="G123" i="55"/>
  <c r="G91" i="55"/>
  <c r="G75" i="55"/>
  <c r="G59" i="55"/>
  <c r="G164" i="55"/>
  <c r="G132" i="55"/>
  <c r="G84" i="55"/>
  <c r="G68" i="55"/>
  <c r="G52" i="55"/>
  <c r="G36" i="55"/>
  <c r="G20" i="55"/>
  <c r="G17" i="55"/>
  <c r="G167" i="55"/>
  <c r="G151" i="55"/>
  <c r="G135" i="55"/>
  <c r="G103" i="55"/>
  <c r="G87" i="55"/>
  <c r="G71" i="55"/>
  <c r="G55" i="55"/>
  <c r="G39" i="55"/>
  <c r="G23" i="55"/>
  <c r="G7" i="55"/>
  <c r="G176" i="55"/>
  <c r="F163" i="55"/>
  <c r="G163" i="55" s="1"/>
  <c r="G160" i="55"/>
  <c r="F147" i="55"/>
  <c r="G147" i="55" s="1"/>
  <c r="G144" i="55"/>
  <c r="F131" i="55"/>
  <c r="G131" i="55" s="1"/>
  <c r="G128" i="55"/>
  <c r="G112" i="55"/>
  <c r="F99" i="55"/>
  <c r="G99" i="55" s="1"/>
  <c r="G96" i="55"/>
  <c r="F83" i="55"/>
  <c r="G83" i="55" s="1"/>
  <c r="G80" i="55"/>
  <c r="F67" i="55"/>
  <c r="G67" i="55" s="1"/>
  <c r="G64" i="55"/>
  <c r="F51" i="55"/>
  <c r="G51" i="55" s="1"/>
  <c r="G48" i="55"/>
  <c r="F35" i="55"/>
  <c r="G35" i="55" s="1"/>
  <c r="G29" i="55"/>
  <c r="F19" i="55"/>
  <c r="G19" i="55" s="1"/>
  <c r="G16" i="55"/>
  <c r="F6" i="55"/>
  <c r="G6" i="55" s="1"/>
  <c r="F41" i="54"/>
  <c r="G41" i="54" s="1"/>
  <c r="F25" i="54"/>
  <c r="G25" i="54" s="1"/>
  <c r="F9" i="54"/>
  <c r="G9" i="54" s="1"/>
  <c r="F15" i="54"/>
  <c r="G15" i="54" s="1"/>
  <c r="F19" i="54"/>
  <c r="G19" i="54" s="1"/>
  <c r="F37" i="54"/>
  <c r="G37" i="54" s="1"/>
  <c r="F29" i="54"/>
  <c r="G29" i="54" s="1"/>
  <c r="F13" i="54"/>
  <c r="G13" i="54" s="1"/>
  <c r="F31" i="54"/>
  <c r="G31" i="54" s="1"/>
  <c r="F39" i="54"/>
  <c r="G39" i="54" s="1"/>
  <c r="F23" i="54"/>
  <c r="G23" i="54" s="1"/>
  <c r="F7" i="54"/>
  <c r="G7" i="54" s="1"/>
  <c r="F17" i="54"/>
  <c r="G17" i="54" s="1"/>
  <c r="F27" i="54"/>
  <c r="G27" i="54" s="1"/>
  <c r="F11" i="54"/>
  <c r="G11" i="54" s="1"/>
  <c r="G40" i="54"/>
  <c r="G38" i="54"/>
  <c r="G34" i="54"/>
  <c r="G32" i="54"/>
  <c r="G30" i="54"/>
  <c r="G28" i="54"/>
  <c r="G26" i="54"/>
  <c r="G24" i="54"/>
  <c r="G22" i="54"/>
  <c r="G20" i="54"/>
  <c r="G18" i="54"/>
  <c r="G16" i="54"/>
  <c r="G14" i="54"/>
  <c r="G12" i="54"/>
  <c r="G10" i="54"/>
  <c r="G8" i="54"/>
  <c r="G6" i="54"/>
  <c r="F5" i="54"/>
  <c r="G5" i="54" s="1"/>
  <c r="F14" i="53"/>
  <c r="G14" i="53" s="1"/>
  <c r="F29" i="53"/>
  <c r="G29" i="53" s="1"/>
  <c r="F49" i="53"/>
  <c r="G49" i="53" s="1"/>
  <c r="F16" i="53"/>
  <c r="G16" i="53" s="1"/>
  <c r="F30" i="53"/>
  <c r="G30" i="53" s="1"/>
  <c r="F51" i="53"/>
  <c r="G51" i="53" s="1"/>
  <c r="F20" i="53"/>
  <c r="G20" i="53" s="1"/>
  <c r="F39" i="53"/>
  <c r="G39" i="53" s="1"/>
  <c r="F55" i="53"/>
  <c r="G55" i="53" s="1"/>
  <c r="F37" i="53"/>
  <c r="G37" i="53" s="1"/>
  <c r="F6" i="53"/>
  <c r="G6" i="53" s="1"/>
  <c r="F22" i="53"/>
  <c r="G22" i="53" s="1"/>
  <c r="F41" i="53"/>
  <c r="G41" i="53" s="1"/>
  <c r="F57" i="53"/>
  <c r="G57" i="53" s="1"/>
  <c r="F53" i="53"/>
  <c r="G53" i="53" s="1"/>
  <c r="F8" i="53"/>
  <c r="G8" i="53" s="1"/>
  <c r="F24" i="53"/>
  <c r="G24" i="53" s="1"/>
  <c r="F43" i="53"/>
  <c r="G43" i="53" s="1"/>
  <c r="F59" i="53"/>
  <c r="G59" i="53" s="1"/>
  <c r="F18" i="53"/>
  <c r="G18" i="53" s="1"/>
  <c r="F10" i="53"/>
  <c r="G10" i="53" s="1"/>
  <c r="F25" i="53"/>
  <c r="G25" i="53" s="1"/>
  <c r="F45" i="53"/>
  <c r="G45" i="53" s="1"/>
  <c r="F60" i="53"/>
  <c r="G60" i="53" s="1"/>
  <c r="F12" i="53"/>
  <c r="G12" i="53" s="1"/>
  <c r="F27" i="53"/>
  <c r="G27" i="53" s="1"/>
  <c r="F47" i="53"/>
  <c r="G47" i="53" s="1"/>
  <c r="F275" i="51"/>
  <c r="G275" i="51" s="1"/>
  <c r="F274" i="51"/>
  <c r="G274" i="51" s="1"/>
  <c r="F280" i="51"/>
  <c r="G280" i="51" s="1"/>
  <c r="F273" i="51"/>
  <c r="G273" i="51" s="1"/>
  <c r="F281" i="51"/>
  <c r="G281" i="51" s="1"/>
  <c r="G324" i="51"/>
  <c r="G360" i="51"/>
  <c r="G376" i="51"/>
  <c r="G342" i="51"/>
  <c r="G301" i="51"/>
  <c r="G366" i="51"/>
  <c r="G340" i="51"/>
  <c r="G336" i="51"/>
  <c r="G289" i="51"/>
  <c r="G58" i="51"/>
  <c r="G358" i="51"/>
  <c r="G305" i="51"/>
  <c r="G210" i="51"/>
  <c r="G338" i="51"/>
  <c r="G354" i="51"/>
  <c r="G303" i="51"/>
  <c r="G332" i="51"/>
  <c r="F70" i="51"/>
  <c r="G70" i="51" s="1"/>
  <c r="F26" i="51"/>
  <c r="G26" i="51" s="1"/>
  <c r="F189" i="51"/>
  <c r="G189" i="51" s="1"/>
  <c r="F102" i="51"/>
  <c r="G102" i="51" s="1"/>
  <c r="F10" i="51"/>
  <c r="G10" i="51" s="1"/>
  <c r="F270" i="51"/>
  <c r="G270" i="51" s="1"/>
  <c r="F371" i="51"/>
  <c r="G371" i="51" s="1"/>
  <c r="F42" i="51"/>
  <c r="G42" i="51" s="1"/>
  <c r="F22" i="51"/>
  <c r="G22" i="51" s="1"/>
  <c r="G313" i="51"/>
  <c r="G271" i="51"/>
  <c r="G258" i="51"/>
  <c r="G249" i="51"/>
  <c r="G74" i="51"/>
  <c r="G380" i="51"/>
  <c r="G233" i="51"/>
  <c r="G170" i="51"/>
  <c r="G106" i="51"/>
  <c r="G379" i="51"/>
  <c r="G326" i="51"/>
  <c r="G322" i="51"/>
  <c r="G283" i="51"/>
  <c r="G265" i="51"/>
  <c r="G242" i="51"/>
  <c r="G386" i="51"/>
  <c r="G381" i="51"/>
  <c r="G237" i="51"/>
  <c r="G231" i="51"/>
  <c r="G177" i="51"/>
  <c r="G208" i="51"/>
  <c r="G374" i="51"/>
  <c r="G352" i="51"/>
  <c r="G348" i="51"/>
  <c r="F269" i="51"/>
  <c r="G269" i="51" s="1"/>
  <c r="G138" i="51"/>
  <c r="F361" i="51"/>
  <c r="G361" i="51" s="1"/>
  <c r="F341" i="51"/>
  <c r="G341" i="51" s="1"/>
  <c r="F234" i="51"/>
  <c r="G234" i="51" s="1"/>
  <c r="F198" i="51"/>
  <c r="G198" i="51" s="1"/>
  <c r="F373" i="51"/>
  <c r="G373" i="51" s="1"/>
  <c r="F312" i="51"/>
  <c r="G312" i="51" s="1"/>
  <c r="F166" i="51"/>
  <c r="G166" i="51" s="1"/>
  <c r="F385" i="51"/>
  <c r="G385" i="51" s="1"/>
  <c r="F347" i="51"/>
  <c r="G347" i="51" s="1"/>
  <c r="F292" i="51"/>
  <c r="G292" i="51" s="1"/>
  <c r="F365" i="51"/>
  <c r="G365" i="51" s="1"/>
  <c r="F327" i="51"/>
  <c r="G327" i="51" s="1"/>
  <c r="F359" i="51"/>
  <c r="G359" i="51" s="1"/>
  <c r="F304" i="51"/>
  <c r="G304" i="51" s="1"/>
  <c r="F252" i="51"/>
  <c r="G252" i="51" s="1"/>
  <c r="F331" i="51"/>
  <c r="G331" i="51" s="1"/>
  <c r="F188" i="51"/>
  <c r="G188" i="51" s="1"/>
  <c r="F308" i="51"/>
  <c r="G308" i="51" s="1"/>
  <c r="F343" i="51"/>
  <c r="G343" i="51" s="1"/>
  <c r="F325" i="51"/>
  <c r="G325" i="51" s="1"/>
  <c r="F182" i="51"/>
  <c r="G182" i="51" s="1"/>
  <c r="F175" i="51"/>
  <c r="G175" i="51" s="1"/>
  <c r="F145" i="51"/>
  <c r="G145" i="51" s="1"/>
  <c r="F113" i="51"/>
  <c r="G113" i="51" s="1"/>
  <c r="F12" i="51"/>
  <c r="G12" i="51" s="1"/>
  <c r="G372" i="51"/>
  <c r="G364" i="51"/>
  <c r="G346" i="51"/>
  <c r="G330" i="51"/>
  <c r="G311" i="51"/>
  <c r="G295" i="51"/>
  <c r="G243" i="51"/>
  <c r="G150" i="51"/>
  <c r="F144" i="51"/>
  <c r="G144" i="51" s="1"/>
  <c r="G118" i="51"/>
  <c r="G86" i="51"/>
  <c r="F80" i="51"/>
  <c r="G80" i="51" s="1"/>
  <c r="G54" i="51"/>
  <c r="F48" i="51"/>
  <c r="G48" i="51" s="1"/>
  <c r="F18" i="51"/>
  <c r="G18" i="51" s="1"/>
  <c r="F264" i="51"/>
  <c r="G264" i="51" s="1"/>
  <c r="F250" i="51"/>
  <c r="G250" i="51" s="1"/>
  <c r="F124" i="51"/>
  <c r="G124" i="51" s="1"/>
  <c r="G357" i="51"/>
  <c r="G339" i="51"/>
  <c r="G323" i="51"/>
  <c r="G307" i="51"/>
  <c r="G291" i="51"/>
  <c r="G288" i="51"/>
  <c r="G257" i="51"/>
  <c r="F230" i="51"/>
  <c r="G230" i="51" s="1"/>
  <c r="G226" i="51"/>
  <c r="G211" i="51"/>
  <c r="F162" i="51"/>
  <c r="G162" i="51" s="1"/>
  <c r="F130" i="51"/>
  <c r="G130" i="51" s="1"/>
  <c r="F98" i="51"/>
  <c r="G98" i="51" s="1"/>
  <c r="F66" i="51"/>
  <c r="G66" i="51" s="1"/>
  <c r="G333" i="51"/>
  <c r="G317" i="51"/>
  <c r="F246" i="51"/>
  <c r="G246" i="51" s="1"/>
  <c r="F92" i="51"/>
  <c r="G92" i="51" s="1"/>
  <c r="F60" i="51"/>
  <c r="G60" i="51" s="1"/>
  <c r="G363" i="51"/>
  <c r="G329" i="51"/>
  <c r="G310" i="51"/>
  <c r="G294" i="51"/>
  <c r="F276" i="51"/>
  <c r="G276" i="51" s="1"/>
  <c r="F241" i="51"/>
  <c r="G241" i="51" s="1"/>
  <c r="F218" i="51"/>
  <c r="G218" i="51" s="1"/>
  <c r="F214" i="51"/>
  <c r="G214" i="51" s="1"/>
  <c r="G206" i="51"/>
  <c r="G190" i="51"/>
  <c r="F129" i="51"/>
  <c r="G129" i="51" s="1"/>
  <c r="G122" i="51"/>
  <c r="G90" i="51"/>
  <c r="G351" i="51"/>
  <c r="G335" i="51"/>
  <c r="G319" i="51"/>
  <c r="G300" i="51"/>
  <c r="G282" i="51"/>
  <c r="G272" i="51"/>
  <c r="F225" i="51"/>
  <c r="G225" i="51" s="1"/>
  <c r="F180" i="51"/>
  <c r="G180" i="51" s="1"/>
  <c r="F160" i="51"/>
  <c r="G160" i="51" s="1"/>
  <c r="F128" i="51"/>
  <c r="G128" i="51" s="1"/>
  <c r="F96" i="51"/>
  <c r="G96" i="51" s="1"/>
  <c r="F64" i="51"/>
  <c r="G64" i="51" s="1"/>
  <c r="G298" i="51"/>
  <c r="G227" i="51"/>
  <c r="F174" i="51"/>
  <c r="G174" i="51" s="1"/>
  <c r="G387" i="51"/>
  <c r="G378" i="51"/>
  <c r="G362" i="51"/>
  <c r="G328" i="51"/>
  <c r="G309" i="51"/>
  <c r="G293" i="51"/>
  <c r="F248" i="51"/>
  <c r="G248" i="51" s="1"/>
  <c r="G224" i="51"/>
  <c r="F209" i="51"/>
  <c r="G209" i="51" s="1"/>
  <c r="G201" i="51"/>
  <c r="F196" i="51"/>
  <c r="G196" i="51" s="1"/>
  <c r="F186" i="51"/>
  <c r="G186" i="51" s="1"/>
  <c r="F140" i="51"/>
  <c r="G140" i="51" s="1"/>
  <c r="F108" i="51"/>
  <c r="G108" i="51" s="1"/>
  <c r="F76" i="51"/>
  <c r="G76" i="51" s="1"/>
  <c r="F44" i="51"/>
  <c r="G44" i="51" s="1"/>
  <c r="G370" i="51"/>
  <c r="F353" i="51"/>
  <c r="G353" i="51" s="1"/>
  <c r="F337" i="51"/>
  <c r="G337" i="51" s="1"/>
  <c r="G334" i="51"/>
  <c r="F321" i="51"/>
  <c r="G321" i="51" s="1"/>
  <c r="G318" i="51"/>
  <c r="F302" i="51"/>
  <c r="G302" i="51" s="1"/>
  <c r="G299" i="51"/>
  <c r="F286" i="51"/>
  <c r="G286" i="51" s="1"/>
  <c r="F236" i="51"/>
  <c r="G236" i="51" s="1"/>
  <c r="F232" i="51"/>
  <c r="G232" i="51" s="1"/>
  <c r="F204" i="51"/>
  <c r="G204" i="51" s="1"/>
  <c r="F200" i="51"/>
  <c r="G200" i="51" s="1"/>
  <c r="F192" i="51"/>
  <c r="G192" i="51" s="1"/>
  <c r="F146" i="51"/>
  <c r="G146" i="51" s="1"/>
  <c r="F114" i="51"/>
  <c r="G114" i="51" s="1"/>
  <c r="F82" i="51"/>
  <c r="G82" i="51" s="1"/>
  <c r="F50" i="51"/>
  <c r="G50" i="51" s="1"/>
  <c r="F16" i="51"/>
  <c r="G16" i="51" s="1"/>
  <c r="G260" i="51"/>
  <c r="G251" i="51"/>
  <c r="G244" i="51"/>
  <c r="G235" i="51"/>
  <c r="G228" i="51"/>
  <c r="G212" i="51"/>
  <c r="G205" i="51"/>
  <c r="G197" i="51"/>
  <c r="G173" i="51"/>
  <c r="F165" i="51"/>
  <c r="G165" i="51" s="1"/>
  <c r="F149" i="51"/>
  <c r="G149" i="51" s="1"/>
  <c r="F133" i="51"/>
  <c r="G133" i="51" s="1"/>
  <c r="F164" i="51"/>
  <c r="G164" i="51" s="1"/>
  <c r="G158" i="51"/>
  <c r="G142" i="51"/>
  <c r="F132" i="51"/>
  <c r="G132" i="51" s="1"/>
  <c r="G126" i="51"/>
  <c r="F116" i="51"/>
  <c r="G116" i="51" s="1"/>
  <c r="G110" i="51"/>
  <c r="F100" i="51"/>
  <c r="G100" i="51" s="1"/>
  <c r="G94" i="51"/>
  <c r="F84" i="51"/>
  <c r="G84" i="51" s="1"/>
  <c r="G78" i="51"/>
  <c r="F68" i="51"/>
  <c r="G68" i="51" s="1"/>
  <c r="F52" i="51"/>
  <c r="G52" i="51" s="1"/>
  <c r="G46" i="51"/>
  <c r="F20" i="51"/>
  <c r="G20" i="51" s="1"/>
  <c r="G14" i="51"/>
  <c r="G202" i="51"/>
  <c r="G194" i="51"/>
  <c r="F184" i="51"/>
  <c r="G184" i="51" s="1"/>
  <c r="F176" i="51"/>
  <c r="G176" i="51" s="1"/>
  <c r="F169" i="51"/>
  <c r="G169" i="51" s="1"/>
  <c r="F153" i="51"/>
  <c r="G153" i="51" s="1"/>
  <c r="F137" i="51"/>
  <c r="G137" i="51" s="1"/>
  <c r="F121" i="51"/>
  <c r="G121" i="51" s="1"/>
  <c r="F105" i="51"/>
  <c r="G105" i="51" s="1"/>
  <c r="F168" i="51"/>
  <c r="G168" i="51" s="1"/>
  <c r="F152" i="51"/>
  <c r="G152" i="51" s="1"/>
  <c r="F136" i="51"/>
  <c r="G136" i="51" s="1"/>
  <c r="F120" i="51"/>
  <c r="G120" i="51" s="1"/>
  <c r="F104" i="51"/>
  <c r="G104" i="51" s="1"/>
  <c r="F88" i="51"/>
  <c r="G88" i="51" s="1"/>
  <c r="F72" i="51"/>
  <c r="G72" i="51" s="1"/>
  <c r="F56" i="51"/>
  <c r="G56" i="51" s="1"/>
  <c r="F40" i="51"/>
  <c r="G40" i="51" s="1"/>
  <c r="F24" i="51"/>
  <c r="G24" i="51" s="1"/>
  <c r="F8" i="51"/>
  <c r="G8" i="51" s="1"/>
  <c r="F157" i="51"/>
  <c r="G157" i="51" s="1"/>
  <c r="F141" i="51"/>
  <c r="G141" i="51" s="1"/>
  <c r="F109" i="51"/>
  <c r="G109" i="51" s="1"/>
  <c r="F101" i="51"/>
  <c r="G101" i="51" s="1"/>
  <c r="F97" i="51"/>
  <c r="G97" i="51" s="1"/>
  <c r="F93" i="51"/>
  <c r="G93" i="51" s="1"/>
  <c r="F89" i="51"/>
  <c r="G89" i="51" s="1"/>
  <c r="F85" i="51"/>
  <c r="G85" i="51" s="1"/>
  <c r="F81" i="51"/>
  <c r="G81" i="51" s="1"/>
  <c r="F77" i="51"/>
  <c r="G77" i="51" s="1"/>
  <c r="F73" i="51"/>
  <c r="G73" i="51" s="1"/>
  <c r="F69" i="51"/>
  <c r="G69" i="51" s="1"/>
  <c r="F65" i="51"/>
  <c r="G65" i="51" s="1"/>
  <c r="F61" i="51"/>
  <c r="G61" i="51" s="1"/>
  <c r="F57" i="51"/>
  <c r="G57" i="51" s="1"/>
  <c r="F53" i="51"/>
  <c r="G53" i="51" s="1"/>
  <c r="F49" i="51"/>
  <c r="G49" i="51" s="1"/>
  <c r="F45" i="51"/>
  <c r="G45" i="51" s="1"/>
  <c r="F41" i="51"/>
  <c r="G41" i="51" s="1"/>
  <c r="F37" i="51"/>
  <c r="G37" i="51" s="1"/>
  <c r="F33" i="51"/>
  <c r="G33" i="51" s="1"/>
  <c r="F29" i="51"/>
  <c r="G29" i="51" s="1"/>
  <c r="F21" i="51"/>
  <c r="G21" i="51" s="1"/>
  <c r="F13" i="51"/>
  <c r="G13" i="51" s="1"/>
  <c r="G171" i="51"/>
  <c r="F167" i="51"/>
  <c r="G167" i="51" s="1"/>
  <c r="F163" i="51"/>
  <c r="G163" i="51" s="1"/>
  <c r="F159" i="51"/>
  <c r="G159" i="51" s="1"/>
  <c r="F155" i="51"/>
  <c r="G155" i="51" s="1"/>
  <c r="F151" i="51"/>
  <c r="G151" i="51" s="1"/>
  <c r="F143" i="51"/>
  <c r="G143" i="51" s="1"/>
  <c r="F139" i="51"/>
  <c r="G139" i="51" s="1"/>
  <c r="F135" i="51"/>
  <c r="G135" i="51" s="1"/>
  <c r="F131" i="51"/>
  <c r="G131" i="51" s="1"/>
  <c r="F127" i="51"/>
  <c r="G127" i="51" s="1"/>
  <c r="F123" i="51"/>
  <c r="G123" i="51" s="1"/>
  <c r="F119" i="51"/>
  <c r="G119" i="51" s="1"/>
  <c r="F115" i="51"/>
  <c r="G115" i="51" s="1"/>
  <c r="F111" i="51"/>
  <c r="G111" i="51" s="1"/>
  <c r="F107" i="51"/>
  <c r="G107" i="51" s="1"/>
  <c r="F103" i="51"/>
  <c r="G103" i="51" s="1"/>
  <c r="F99" i="51"/>
  <c r="G99" i="51" s="1"/>
  <c r="F95" i="51"/>
  <c r="G95" i="51" s="1"/>
  <c r="F91" i="51"/>
  <c r="G91" i="51" s="1"/>
  <c r="F87" i="51"/>
  <c r="G87" i="51" s="1"/>
  <c r="F83" i="51"/>
  <c r="G83" i="51" s="1"/>
  <c r="F79" i="51"/>
  <c r="G79" i="51" s="1"/>
  <c r="F75" i="51"/>
  <c r="G75" i="51" s="1"/>
  <c r="F71" i="51"/>
  <c r="G71" i="51" s="1"/>
  <c r="F67" i="51"/>
  <c r="G67" i="51" s="1"/>
  <c r="F63" i="51"/>
  <c r="G63" i="51" s="1"/>
  <c r="F59" i="51"/>
  <c r="G59" i="51" s="1"/>
  <c r="F55" i="51"/>
  <c r="G55" i="51" s="1"/>
  <c r="F51" i="51"/>
  <c r="G51" i="51" s="1"/>
  <c r="F47" i="51"/>
  <c r="G47" i="51" s="1"/>
  <c r="F43" i="51"/>
  <c r="G43" i="51" s="1"/>
  <c r="F39" i="51"/>
  <c r="G39" i="51" s="1"/>
  <c r="F35" i="51"/>
  <c r="G35" i="51" s="1"/>
  <c r="F23" i="51"/>
  <c r="G23" i="51" s="1"/>
  <c r="F11" i="51"/>
  <c r="G11" i="51" s="1"/>
  <c r="F7" i="51"/>
  <c r="G7" i="51" s="1"/>
  <c r="F6" i="51"/>
  <c r="G6" i="51" s="1"/>
  <c r="D7" i="48" l="1"/>
  <c r="E7" i="48" s="1"/>
  <c r="D8" i="48"/>
  <c r="E8" i="48" s="1"/>
  <c r="D9" i="48"/>
  <c r="E9" i="48" s="1"/>
  <c r="D10" i="48"/>
  <c r="E10" i="48" s="1"/>
  <c r="D11" i="48"/>
  <c r="E11" i="48" s="1"/>
  <c r="D12" i="48"/>
  <c r="E12" i="48" s="1"/>
  <c r="D13" i="48"/>
  <c r="E13" i="48" s="1"/>
  <c r="D14" i="48"/>
  <c r="E14" i="48" s="1"/>
  <c r="D15" i="48"/>
  <c r="E15" i="48" s="1"/>
  <c r="D16" i="48"/>
  <c r="E16" i="48" s="1"/>
  <c r="D17" i="48"/>
  <c r="E17" i="48" s="1"/>
  <c r="D20" i="48"/>
  <c r="E20" i="48" s="1"/>
  <c r="D21" i="48"/>
  <c r="E21" i="48" s="1"/>
  <c r="D22" i="48"/>
  <c r="E22" i="48" s="1"/>
  <c r="D23" i="48"/>
  <c r="E23" i="48" s="1"/>
  <c r="D24" i="48"/>
  <c r="E24" i="48" s="1"/>
  <c r="D25" i="48"/>
  <c r="E25" i="48" s="1"/>
  <c r="D28" i="48"/>
  <c r="E28" i="48" s="1"/>
  <c r="D29" i="48"/>
  <c r="E29" i="48" s="1"/>
  <c r="D30" i="48"/>
  <c r="E30" i="48" s="1"/>
  <c r="D32" i="48"/>
  <c r="E32" i="48" s="1"/>
  <c r="D34" i="48"/>
  <c r="E34" i="48" s="1"/>
  <c r="D36" i="48"/>
  <c r="E36" i="48" s="1"/>
  <c r="D38" i="48"/>
  <c r="E38" i="48" s="1"/>
  <c r="D40" i="48"/>
  <c r="E40" i="48" s="1"/>
  <c r="D45" i="48"/>
  <c r="E45" i="48" s="1"/>
  <c r="D47" i="48"/>
  <c r="E47" i="48" s="1"/>
  <c r="D49" i="48"/>
  <c r="E49" i="48" s="1"/>
  <c r="D53" i="48"/>
  <c r="E53" i="48" s="1"/>
  <c r="D56" i="48"/>
  <c r="E56" i="48" s="1"/>
  <c r="D58" i="48"/>
  <c r="E58" i="48" s="1"/>
  <c r="D60" i="48"/>
  <c r="E60" i="48" s="1"/>
  <c r="D61" i="48"/>
  <c r="E61" i="48" s="1"/>
  <c r="D62" i="48"/>
  <c r="E62" i="48" s="1"/>
  <c r="D64" i="48"/>
  <c r="E64" i="48" s="1"/>
  <c r="D65" i="48"/>
  <c r="E65" i="48" s="1"/>
  <c r="D66" i="48"/>
  <c r="E66" i="48" s="1"/>
  <c r="D67" i="48"/>
  <c r="E67" i="48" s="1"/>
  <c r="D68" i="48"/>
  <c r="E68" i="48" s="1"/>
  <c r="D69" i="48"/>
  <c r="E69" i="48" s="1"/>
  <c r="D70" i="48"/>
  <c r="E70" i="48" s="1"/>
  <c r="D71" i="48"/>
  <c r="E71" i="48" s="1"/>
  <c r="D73" i="48"/>
  <c r="E73" i="48" s="1"/>
  <c r="D74" i="48"/>
  <c r="E74" i="48" s="1"/>
  <c r="D75" i="48"/>
  <c r="E75" i="48" s="1"/>
  <c r="D76" i="48"/>
  <c r="E76" i="48" s="1"/>
  <c r="D78" i="48"/>
  <c r="E78" i="48" s="1"/>
  <c r="D79" i="48"/>
  <c r="E79" i="48" s="1"/>
  <c r="D80" i="48"/>
  <c r="E80" i="48" s="1"/>
  <c r="D81" i="48"/>
  <c r="E81" i="48" s="1"/>
  <c r="D82" i="48"/>
  <c r="E82" i="48" s="1"/>
  <c r="D83" i="48"/>
  <c r="E83" i="48" s="1"/>
  <c r="D84" i="48"/>
  <c r="E84" i="48" s="1"/>
  <c r="D85" i="48"/>
  <c r="E85" i="48" s="1"/>
  <c r="D86" i="48"/>
  <c r="E86" i="48" s="1"/>
  <c r="D87" i="48"/>
  <c r="E87" i="48" s="1"/>
  <c r="D88" i="48"/>
  <c r="E88" i="48" s="1"/>
  <c r="D89" i="48"/>
  <c r="E89" i="48" s="1"/>
  <c r="D93" i="48"/>
  <c r="E93" i="48" s="1"/>
  <c r="D95" i="48"/>
  <c r="E95" i="48" s="1"/>
  <c r="D97" i="48"/>
  <c r="E97" i="48" s="1"/>
  <c r="D103" i="48"/>
  <c r="E103" i="48" s="1"/>
  <c r="D104" i="48"/>
  <c r="E104" i="48" s="1"/>
  <c r="D105" i="48"/>
  <c r="E105" i="48" s="1"/>
  <c r="D6" i="48"/>
  <c r="E6" i="48" s="1"/>
  <c r="D78" i="39"/>
  <c r="E78" i="39" s="1"/>
  <c r="D80" i="39"/>
  <c r="E80" i="39" s="1"/>
  <c r="F80" i="39" s="1"/>
  <c r="D81" i="39"/>
  <c r="E81" i="39" s="1"/>
  <c r="F81" i="39" s="1"/>
  <c r="F14" i="48" l="1"/>
  <c r="G14" i="48" s="1"/>
  <c r="F13" i="48"/>
  <c r="G13" i="48" s="1"/>
  <c r="F84" i="48"/>
  <c r="G84" i="48" s="1"/>
  <c r="F76" i="48"/>
  <c r="G76" i="48" s="1"/>
  <c r="F68" i="48"/>
  <c r="G68" i="48" s="1"/>
  <c r="F60" i="48"/>
  <c r="G60" i="48" s="1"/>
  <c r="F36" i="48"/>
  <c r="G36" i="48" s="1"/>
  <c r="F28" i="48"/>
  <c r="G28" i="48" s="1"/>
  <c r="F20" i="48"/>
  <c r="G20" i="48" s="1"/>
  <c r="F12" i="48"/>
  <c r="G12" i="48" s="1"/>
  <c r="F22" i="48"/>
  <c r="G22" i="48" s="1"/>
  <c r="F21" i="48"/>
  <c r="G21" i="48" s="1"/>
  <c r="F83" i="48"/>
  <c r="G83" i="48" s="1"/>
  <c r="F75" i="48"/>
  <c r="G75" i="48" s="1"/>
  <c r="F67" i="48"/>
  <c r="G67" i="48" s="1"/>
  <c r="F11" i="48"/>
  <c r="G11" i="48" s="1"/>
  <c r="F78" i="48"/>
  <c r="G78" i="48" s="1"/>
  <c r="F70" i="48"/>
  <c r="G70" i="48" s="1"/>
  <c r="F62" i="48"/>
  <c r="G62" i="48" s="1"/>
  <c r="F30" i="48"/>
  <c r="G30" i="48" s="1"/>
  <c r="F93" i="48"/>
  <c r="G93" i="48" s="1"/>
  <c r="F85" i="48"/>
  <c r="G85" i="48" s="1"/>
  <c r="F69" i="48"/>
  <c r="G69" i="48" s="1"/>
  <c r="F82" i="48"/>
  <c r="G82" i="48" s="1"/>
  <c r="F74" i="48"/>
  <c r="G74" i="48" s="1"/>
  <c r="F66" i="48"/>
  <c r="G66" i="48" s="1"/>
  <c r="F58" i="48"/>
  <c r="G58" i="48" s="1"/>
  <c r="F34" i="48"/>
  <c r="G34" i="48" s="1"/>
  <c r="F10" i="48"/>
  <c r="G10" i="48" s="1"/>
  <c r="F29" i="48"/>
  <c r="G29" i="48" s="1"/>
  <c r="F105" i="48"/>
  <c r="G105" i="48" s="1"/>
  <c r="F97" i="48"/>
  <c r="G97" i="48" s="1"/>
  <c r="F89" i="48"/>
  <c r="G89" i="48" s="1"/>
  <c r="F81" i="48"/>
  <c r="G81" i="48" s="1"/>
  <c r="F73" i="48"/>
  <c r="G73" i="48" s="1"/>
  <c r="F65" i="48"/>
  <c r="G65" i="48" s="1"/>
  <c r="F49" i="48"/>
  <c r="G49" i="48" s="1"/>
  <c r="F25" i="48"/>
  <c r="G25" i="48" s="1"/>
  <c r="F17" i="48"/>
  <c r="G17" i="48" s="1"/>
  <c r="F9" i="48"/>
  <c r="G9" i="48" s="1"/>
  <c r="F53" i="48"/>
  <c r="G53" i="48" s="1"/>
  <c r="F104" i="48"/>
  <c r="G104" i="48" s="1"/>
  <c r="F88" i="48"/>
  <c r="G88" i="48" s="1"/>
  <c r="F80" i="48"/>
  <c r="G80" i="48" s="1"/>
  <c r="F64" i="48"/>
  <c r="G64" i="48" s="1"/>
  <c r="F56" i="48"/>
  <c r="G56" i="48" s="1"/>
  <c r="F40" i="48"/>
  <c r="G40" i="48" s="1"/>
  <c r="F32" i="48"/>
  <c r="G32" i="48" s="1"/>
  <c r="F24" i="48"/>
  <c r="G24" i="48" s="1"/>
  <c r="F16" i="48"/>
  <c r="G16" i="48" s="1"/>
  <c r="F8" i="48"/>
  <c r="G8" i="48" s="1"/>
  <c r="F86" i="48"/>
  <c r="G86" i="48" s="1"/>
  <c r="F38" i="48"/>
  <c r="G38" i="48" s="1"/>
  <c r="F61" i="48"/>
  <c r="G61" i="48" s="1"/>
  <c r="F45" i="48"/>
  <c r="G45" i="48" s="1"/>
  <c r="F103" i="48"/>
  <c r="G103" i="48" s="1"/>
  <c r="F95" i="48"/>
  <c r="G95" i="48" s="1"/>
  <c r="F87" i="48"/>
  <c r="G87" i="48" s="1"/>
  <c r="F79" i="48"/>
  <c r="G79" i="48" s="1"/>
  <c r="F71" i="48"/>
  <c r="G71" i="48" s="1"/>
  <c r="F47" i="48"/>
  <c r="G47" i="48" s="1"/>
  <c r="F23" i="48"/>
  <c r="G23" i="48" s="1"/>
  <c r="F15" i="48"/>
  <c r="G15" i="48" s="1"/>
  <c r="F7" i="48"/>
  <c r="G7" i="48" s="1"/>
  <c r="F6" i="48"/>
  <c r="G6" i="48" s="1"/>
  <c r="G81" i="39"/>
  <c r="F78" i="39"/>
  <c r="G78" i="39" s="1"/>
  <c r="G80" i="39"/>
  <c r="D7" i="39" l="1"/>
  <c r="E7" i="39" s="1"/>
  <c r="D8" i="39"/>
  <c r="E8" i="39" s="1"/>
  <c r="D9" i="39"/>
  <c r="E9" i="39" s="1"/>
  <c r="D10" i="39"/>
  <c r="E10" i="39" s="1"/>
  <c r="D11" i="39"/>
  <c r="E11" i="39" s="1"/>
  <c r="D12" i="39"/>
  <c r="E12" i="39" s="1"/>
  <c r="D13" i="39"/>
  <c r="E13" i="39" s="1"/>
  <c r="D14" i="39"/>
  <c r="E14" i="39" s="1"/>
  <c r="D15" i="39"/>
  <c r="E15" i="39" s="1"/>
  <c r="D16" i="39"/>
  <c r="E16" i="39" s="1"/>
  <c r="D17" i="39"/>
  <c r="E17" i="39" s="1"/>
  <c r="D20" i="39"/>
  <c r="E20" i="39" s="1"/>
  <c r="D21" i="39"/>
  <c r="E21" i="39" s="1"/>
  <c r="D22" i="39"/>
  <c r="E22" i="39" s="1"/>
  <c r="D23" i="39"/>
  <c r="E23" i="39" s="1"/>
  <c r="D24" i="39"/>
  <c r="E24" i="39" s="1"/>
  <c r="D25" i="39"/>
  <c r="E25" i="39" s="1"/>
  <c r="D28" i="39"/>
  <c r="E28" i="39" s="1"/>
  <c r="D29" i="39"/>
  <c r="E29" i="39" s="1"/>
  <c r="D30" i="39"/>
  <c r="E30" i="39" s="1"/>
  <c r="D32" i="39"/>
  <c r="E32" i="39" s="1"/>
  <c r="D34" i="39"/>
  <c r="E34" i="39" s="1"/>
  <c r="D36" i="39"/>
  <c r="E36" i="39" s="1"/>
  <c r="D38" i="39"/>
  <c r="E38" i="39" s="1"/>
  <c r="D40" i="39"/>
  <c r="E40" i="39" s="1"/>
  <c r="D45" i="39"/>
  <c r="E45" i="39" s="1"/>
  <c r="D47" i="39"/>
  <c r="E47" i="39" s="1"/>
  <c r="D49" i="39"/>
  <c r="E49" i="39" s="1"/>
  <c r="D53" i="39"/>
  <c r="E53" i="39" s="1"/>
  <c r="D56" i="39"/>
  <c r="E56" i="39" s="1"/>
  <c r="D58" i="39"/>
  <c r="E58" i="39" s="1"/>
  <c r="D60" i="39"/>
  <c r="E60" i="39" s="1"/>
  <c r="D61" i="39"/>
  <c r="E61" i="39" s="1"/>
  <c r="D62" i="39"/>
  <c r="E62" i="39" s="1"/>
  <c r="D64" i="39"/>
  <c r="E64" i="39" s="1"/>
  <c r="D65" i="39"/>
  <c r="E65" i="39" s="1"/>
  <c r="D66" i="39"/>
  <c r="E66" i="39" s="1"/>
  <c r="D67" i="39"/>
  <c r="E67" i="39" s="1"/>
  <c r="D68" i="39"/>
  <c r="E68" i="39" s="1"/>
  <c r="D69" i="39"/>
  <c r="E69" i="39" s="1"/>
  <c r="D70" i="39"/>
  <c r="E70" i="39" s="1"/>
  <c r="D71" i="39"/>
  <c r="E71" i="39" s="1"/>
  <c r="D73" i="39"/>
  <c r="E73" i="39" s="1"/>
  <c r="D74" i="39"/>
  <c r="E74" i="39" s="1"/>
  <c r="D75" i="39"/>
  <c r="E75" i="39" s="1"/>
  <c r="D76" i="39"/>
  <c r="E76" i="39" s="1"/>
  <c r="D79" i="39"/>
  <c r="E79" i="39" s="1"/>
  <c r="D82" i="39"/>
  <c r="E82" i="39" s="1"/>
  <c r="D83" i="39"/>
  <c r="E83" i="39" s="1"/>
  <c r="D84" i="39"/>
  <c r="E84" i="39" s="1"/>
  <c r="D85" i="39"/>
  <c r="E85" i="39" s="1"/>
  <c r="D86" i="39"/>
  <c r="E86" i="39" s="1"/>
  <c r="D87" i="39"/>
  <c r="E87" i="39" s="1"/>
  <c r="D88" i="39"/>
  <c r="E88" i="39" s="1"/>
  <c r="D89" i="39"/>
  <c r="E89" i="39" s="1"/>
  <c r="D93" i="39"/>
  <c r="E93" i="39" s="1"/>
  <c r="D95" i="39"/>
  <c r="E95" i="39" s="1"/>
  <c r="D97" i="39"/>
  <c r="E97" i="39" s="1"/>
  <c r="D103" i="39"/>
  <c r="E103" i="39" s="1"/>
  <c r="D104" i="39"/>
  <c r="E104" i="39" s="1"/>
  <c r="D105" i="39"/>
  <c r="E105" i="39" s="1"/>
  <c r="D6" i="39"/>
  <c r="E6" i="39" s="1"/>
  <c r="F70" i="39" l="1"/>
  <c r="G70" i="39" s="1"/>
  <c r="F22" i="39"/>
  <c r="G22" i="39" s="1"/>
  <c r="F103" i="39"/>
  <c r="G103" i="39" s="1"/>
  <c r="F95" i="39"/>
  <c r="G95" i="39" s="1"/>
  <c r="F87" i="39"/>
  <c r="G87" i="39" s="1"/>
  <c r="F69" i="39"/>
  <c r="G69" i="39" s="1"/>
  <c r="F61" i="39"/>
  <c r="G61" i="39" s="1"/>
  <c r="F53" i="39"/>
  <c r="G53" i="39" s="1"/>
  <c r="F45" i="39"/>
  <c r="G45" i="39" s="1"/>
  <c r="F29" i="39"/>
  <c r="G29" i="39" s="1"/>
  <c r="F21" i="39"/>
  <c r="G21" i="39" s="1"/>
  <c r="F13" i="39"/>
  <c r="G13" i="39" s="1"/>
  <c r="F14" i="39"/>
  <c r="G14" i="39" s="1"/>
  <c r="F86" i="39"/>
  <c r="G86" i="39" s="1"/>
  <c r="F76" i="39"/>
  <c r="G76" i="39" s="1"/>
  <c r="F68" i="39"/>
  <c r="G68" i="39" s="1"/>
  <c r="F60" i="39"/>
  <c r="G60" i="39" s="1"/>
  <c r="F36" i="39"/>
  <c r="G36" i="39" s="1"/>
  <c r="F28" i="39"/>
  <c r="G28" i="39" s="1"/>
  <c r="F20" i="39"/>
  <c r="G20" i="39" s="1"/>
  <c r="F12" i="39"/>
  <c r="G12" i="39" s="1"/>
  <c r="F38" i="39"/>
  <c r="G38" i="39" s="1"/>
  <c r="F93" i="39"/>
  <c r="G93" i="39" s="1"/>
  <c r="F85" i="39"/>
  <c r="G85" i="39" s="1"/>
  <c r="F75" i="39"/>
  <c r="G75" i="39" s="1"/>
  <c r="F67" i="39"/>
  <c r="G67" i="39" s="1"/>
  <c r="F11" i="39"/>
  <c r="G11" i="39" s="1"/>
  <c r="F104" i="39"/>
  <c r="G104" i="39" s="1"/>
  <c r="F30" i="39"/>
  <c r="G30" i="39" s="1"/>
  <c r="F84" i="39"/>
  <c r="G84" i="39" s="1"/>
  <c r="F74" i="39"/>
  <c r="G74" i="39" s="1"/>
  <c r="F66" i="39"/>
  <c r="G66" i="39" s="1"/>
  <c r="F58" i="39"/>
  <c r="G58" i="39" s="1"/>
  <c r="F34" i="39"/>
  <c r="G34" i="39" s="1"/>
  <c r="F10" i="39"/>
  <c r="G10" i="39" s="1"/>
  <c r="F83" i="39"/>
  <c r="G83" i="39" s="1"/>
  <c r="F73" i="39"/>
  <c r="G73" i="39" s="1"/>
  <c r="F65" i="39"/>
  <c r="G65" i="39" s="1"/>
  <c r="F49" i="39"/>
  <c r="G49" i="39" s="1"/>
  <c r="F25" i="39"/>
  <c r="G25" i="39" s="1"/>
  <c r="F17" i="39"/>
  <c r="G17" i="39" s="1"/>
  <c r="F9" i="39"/>
  <c r="G9" i="39" s="1"/>
  <c r="F82" i="39"/>
  <c r="G82" i="39" s="1"/>
  <c r="F64" i="39"/>
  <c r="G64" i="39" s="1"/>
  <c r="F56" i="39"/>
  <c r="G56" i="39" s="1"/>
  <c r="F40" i="39"/>
  <c r="G40" i="39" s="1"/>
  <c r="F32" i="39"/>
  <c r="G32" i="39" s="1"/>
  <c r="F24" i="39"/>
  <c r="G24" i="39" s="1"/>
  <c r="F16" i="39"/>
  <c r="G16" i="39" s="1"/>
  <c r="F8" i="39"/>
  <c r="G8" i="39" s="1"/>
  <c r="F88" i="39"/>
  <c r="G88" i="39" s="1"/>
  <c r="F62" i="39"/>
  <c r="G62" i="39" s="1"/>
  <c r="F105" i="39"/>
  <c r="G105" i="39" s="1"/>
  <c r="F97" i="39"/>
  <c r="G97" i="39" s="1"/>
  <c r="F89" i="39"/>
  <c r="G89" i="39" s="1"/>
  <c r="F79" i="39"/>
  <c r="G79" i="39" s="1"/>
  <c r="F71" i="39"/>
  <c r="G71" i="39" s="1"/>
  <c r="F47" i="39"/>
  <c r="G47" i="39" s="1"/>
  <c r="F23" i="39"/>
  <c r="G23" i="39" s="1"/>
  <c r="F15" i="39"/>
  <c r="G15" i="39" s="1"/>
  <c r="F7" i="39"/>
  <c r="G7" i="39" s="1"/>
  <c r="F6" i="39" l="1"/>
  <c r="G6" i="39" s="1"/>
  <c r="D7" i="18" l="1"/>
  <c r="E7" i="18" s="1"/>
  <c r="D9" i="18"/>
  <c r="E9" i="18" s="1"/>
  <c r="D10" i="18"/>
  <c r="E10" i="18" s="1"/>
  <c r="F10" i="18" s="1"/>
  <c r="D12" i="18"/>
  <c r="E12" i="18" s="1"/>
  <c r="F12" i="18" s="1"/>
  <c r="D14" i="18"/>
  <c r="E14" i="18" s="1"/>
  <c r="F14" i="18" s="1"/>
  <c r="D15" i="18"/>
  <c r="E15" i="18" s="1"/>
  <c r="D16" i="18"/>
  <c r="E16" i="18" s="1"/>
  <c r="F16" i="18" s="1"/>
  <c r="D17" i="18"/>
  <c r="E17" i="18" s="1"/>
  <c r="D18" i="18"/>
  <c r="E18" i="18" s="1"/>
  <c r="F18" i="18" s="1"/>
  <c r="D19" i="18"/>
  <c r="E19" i="18" s="1"/>
  <c r="D20" i="18"/>
  <c r="E20" i="18" s="1"/>
  <c r="F20" i="18" s="1"/>
  <c r="D21" i="18"/>
  <c r="E21" i="18" s="1"/>
  <c r="D22" i="18"/>
  <c r="E22" i="18" s="1"/>
  <c r="F22" i="18" s="1"/>
  <c r="D23" i="18"/>
  <c r="E23" i="18" s="1"/>
  <c r="D25" i="18"/>
  <c r="E25" i="18" s="1"/>
  <c r="D26" i="18"/>
  <c r="E26" i="18" s="1"/>
  <c r="F26" i="18" s="1"/>
  <c r="D28" i="18"/>
  <c r="E28" i="18" s="1"/>
  <c r="F28" i="18" s="1"/>
  <c r="D29" i="18"/>
  <c r="E29" i="18" s="1"/>
  <c r="D31" i="18"/>
  <c r="E31" i="18" s="1"/>
  <c r="D33" i="18"/>
  <c r="E33" i="18" s="1"/>
  <c r="D34" i="18"/>
  <c r="E34" i="18" s="1"/>
  <c r="F34" i="18" s="1"/>
  <c r="D35" i="18"/>
  <c r="E35" i="18" s="1"/>
  <c r="D36" i="18"/>
  <c r="E36" i="18" s="1"/>
  <c r="F36" i="18" s="1"/>
  <c r="D37" i="18"/>
  <c r="E37" i="18" s="1"/>
  <c r="D38" i="18"/>
  <c r="E38" i="18" s="1"/>
  <c r="F38" i="18" s="1"/>
  <c r="D39" i="18"/>
  <c r="E39" i="18" s="1"/>
  <c r="D40" i="18"/>
  <c r="E40" i="18" s="1"/>
  <c r="F40" i="18" s="1"/>
  <c r="D41" i="18"/>
  <c r="E41" i="18" s="1"/>
  <c r="D42" i="18"/>
  <c r="E42" i="18" s="1"/>
  <c r="F42" i="18" s="1"/>
  <c r="D44" i="18"/>
  <c r="E44" i="18" s="1"/>
  <c r="F44" i="18" s="1"/>
  <c r="D45" i="18"/>
  <c r="E45" i="18" s="1"/>
  <c r="D46" i="18"/>
  <c r="E46" i="18" s="1"/>
  <c r="F46" i="18" s="1"/>
  <c r="D47" i="18"/>
  <c r="E47" i="18" s="1"/>
  <c r="D48" i="18"/>
  <c r="E48" i="18" s="1"/>
  <c r="F48" i="18" s="1"/>
  <c r="D49" i="18"/>
  <c r="E49" i="18" s="1"/>
  <c r="D50" i="18"/>
  <c r="E50" i="18" s="1"/>
  <c r="F50" i="18" s="1"/>
  <c r="D51" i="18"/>
  <c r="E51" i="18" s="1"/>
  <c r="D52" i="18"/>
  <c r="E52" i="18" s="1"/>
  <c r="F52" i="18" s="1"/>
  <c r="D53" i="18"/>
  <c r="E53" i="18" s="1"/>
  <c r="D54" i="18"/>
  <c r="E54" i="18" s="1"/>
  <c r="F54" i="18" s="1"/>
  <c r="D55" i="18"/>
  <c r="E55" i="18" s="1"/>
  <c r="D56" i="18"/>
  <c r="E56" i="18" s="1"/>
  <c r="F56" i="18" s="1"/>
  <c r="D57" i="18"/>
  <c r="E57" i="18" s="1"/>
  <c r="D58" i="18"/>
  <c r="E58" i="18" s="1"/>
  <c r="F58" i="18" s="1"/>
  <c r="D59" i="18"/>
  <c r="E59" i="18" s="1"/>
  <c r="D60" i="18"/>
  <c r="E60" i="18" s="1"/>
  <c r="F60" i="18" s="1"/>
  <c r="G60" i="18" s="1"/>
  <c r="D61" i="18"/>
  <c r="E61" i="18" s="1"/>
  <c r="D62" i="18"/>
  <c r="E62" i="18" s="1"/>
  <c r="F62" i="18" s="1"/>
  <c r="D63" i="18"/>
  <c r="E63" i="18" s="1"/>
  <c r="D64" i="18"/>
  <c r="E64" i="18" s="1"/>
  <c r="F64" i="18" s="1"/>
  <c r="D65" i="18"/>
  <c r="E65" i="18" s="1"/>
  <c r="D66" i="18"/>
  <c r="E66" i="18" s="1"/>
  <c r="F66" i="18" s="1"/>
  <c r="D68" i="18"/>
  <c r="E68" i="18" s="1"/>
  <c r="F68" i="18" s="1"/>
  <c r="D69" i="18"/>
  <c r="E69" i="18" s="1"/>
  <c r="D70" i="18"/>
  <c r="E70" i="18" s="1"/>
  <c r="F70" i="18" s="1"/>
  <c r="D71" i="18"/>
  <c r="E71" i="18" s="1"/>
  <c r="D72" i="18"/>
  <c r="E72" i="18" s="1"/>
  <c r="F72" i="18" s="1"/>
  <c r="D73" i="18"/>
  <c r="E73" i="18" s="1"/>
  <c r="D74" i="18"/>
  <c r="E74" i="18" s="1"/>
  <c r="F74" i="18" s="1"/>
  <c r="D76" i="18"/>
  <c r="E76" i="18" s="1"/>
  <c r="F76" i="18" s="1"/>
  <c r="D78" i="18"/>
  <c r="E78" i="18" s="1"/>
  <c r="F78" i="18" s="1"/>
  <c r="D79" i="18"/>
  <c r="E79" i="18" s="1"/>
  <c r="D80" i="18"/>
  <c r="E80" i="18" s="1"/>
  <c r="F80" i="18" s="1"/>
  <c r="D81" i="18"/>
  <c r="E81" i="18" s="1"/>
  <c r="D82" i="18"/>
  <c r="E82" i="18" s="1"/>
  <c r="F82" i="18" s="1"/>
  <c r="D84" i="18"/>
  <c r="E84" i="18" s="1"/>
  <c r="F84" i="18" s="1"/>
  <c r="D86" i="18"/>
  <c r="E86" i="18" s="1"/>
  <c r="F86" i="18" s="1"/>
  <c r="D87" i="18"/>
  <c r="E87" i="18" s="1"/>
  <c r="D88" i="18"/>
  <c r="E88" i="18" s="1"/>
  <c r="F88" i="18" s="1"/>
  <c r="D89" i="18"/>
  <c r="E89" i="18" s="1"/>
  <c r="D90" i="18"/>
  <c r="E90" i="18" s="1"/>
  <c r="F90" i="18" s="1"/>
  <c r="D92" i="18"/>
  <c r="E92" i="18" s="1"/>
  <c r="F92" i="18" s="1"/>
  <c r="D94" i="18"/>
  <c r="E94" i="18" s="1"/>
  <c r="F94" i="18" s="1"/>
  <c r="D95" i="18"/>
  <c r="E95" i="18" s="1"/>
  <c r="D120" i="18"/>
  <c r="E120" i="18" s="1"/>
  <c r="F120" i="18" s="1"/>
  <c r="D121" i="18"/>
  <c r="E121" i="18" s="1"/>
  <c r="F121" i="18" s="1"/>
  <c r="D122" i="18"/>
  <c r="E122" i="18" s="1"/>
  <c r="F122" i="18" s="1"/>
  <c r="D123" i="18"/>
  <c r="E123" i="18" s="1"/>
  <c r="F123" i="18" s="1"/>
  <c r="D124" i="18"/>
  <c r="E124" i="18" s="1"/>
  <c r="F124" i="18" s="1"/>
  <c r="D125" i="18"/>
  <c r="E125" i="18" s="1"/>
  <c r="F125" i="18" s="1"/>
  <c r="D130" i="18"/>
  <c r="E130" i="18" s="1"/>
  <c r="F130" i="18" s="1"/>
  <c r="D131" i="18"/>
  <c r="E131" i="18" s="1"/>
  <c r="F131" i="18" s="1"/>
  <c r="D132" i="18"/>
  <c r="E132" i="18" s="1"/>
  <c r="F132" i="18" s="1"/>
  <c r="D133" i="18"/>
  <c r="E133" i="18" s="1"/>
  <c r="F133" i="18" s="1"/>
  <c r="D140" i="18"/>
  <c r="E140" i="18" s="1"/>
  <c r="F140" i="18" s="1"/>
  <c r="D142" i="18"/>
  <c r="E142" i="18" s="1"/>
  <c r="F142" i="18" s="1"/>
  <c r="D150" i="18"/>
  <c r="E150" i="18" s="1"/>
  <c r="F150" i="18" s="1"/>
  <c r="D158" i="18"/>
  <c r="E158" i="18" s="1"/>
  <c r="D159" i="18"/>
  <c r="E159" i="18" s="1"/>
  <c r="D160" i="18"/>
  <c r="E160" i="18" s="1"/>
  <c r="D161" i="18"/>
  <c r="E161" i="18" s="1"/>
  <c r="D162" i="18"/>
  <c r="E162" i="18" s="1"/>
  <c r="D164" i="18"/>
  <c r="E164" i="18" s="1"/>
  <c r="D168" i="18"/>
  <c r="E168" i="18" s="1"/>
  <c r="D169" i="18"/>
  <c r="E169" i="18" s="1"/>
  <c r="D170" i="18"/>
  <c r="E170" i="18" s="1"/>
  <c r="D171" i="18"/>
  <c r="E171" i="18" s="1"/>
  <c r="D172" i="18"/>
  <c r="E172" i="18" s="1"/>
  <c r="D174" i="18"/>
  <c r="E174" i="18" s="1"/>
  <c r="D176" i="18"/>
  <c r="E176" i="18" s="1"/>
  <c r="D177" i="18"/>
  <c r="E177" i="18" s="1"/>
  <c r="D6" i="7"/>
  <c r="E6" i="7" s="1"/>
  <c r="F6" i="7" s="1"/>
  <c r="D7" i="7"/>
  <c r="E7" i="7" s="1"/>
  <c r="D8" i="7"/>
  <c r="E8" i="7" s="1"/>
  <c r="F8" i="7" s="1"/>
  <c r="D9" i="7"/>
  <c r="E9" i="7" s="1"/>
  <c r="F9" i="7" s="1"/>
  <c r="D10" i="7"/>
  <c r="E10" i="7" s="1"/>
  <c r="F10" i="7" s="1"/>
  <c r="D11" i="7"/>
  <c r="E11" i="7" s="1"/>
  <c r="D12" i="7"/>
  <c r="E12" i="7" s="1"/>
  <c r="F12" i="7" s="1"/>
  <c r="D13" i="7"/>
  <c r="E13" i="7" s="1"/>
  <c r="D14" i="7"/>
  <c r="E14" i="7" s="1"/>
  <c r="F14" i="7" s="1"/>
  <c r="D15" i="7"/>
  <c r="E15" i="7" s="1"/>
  <c r="D16" i="7"/>
  <c r="E16" i="7" s="1"/>
  <c r="F16" i="7" s="1"/>
  <c r="D17" i="7"/>
  <c r="E17" i="7" s="1"/>
  <c r="D18" i="7"/>
  <c r="E18" i="7" s="1"/>
  <c r="F18" i="7" s="1"/>
  <c r="D19" i="7"/>
  <c r="E19" i="7" s="1"/>
  <c r="D20" i="7"/>
  <c r="E20" i="7" s="1"/>
  <c r="F20" i="7" s="1"/>
  <c r="D22" i="7"/>
  <c r="E22" i="7" s="1"/>
  <c r="F22" i="7" s="1"/>
  <c r="D23" i="7"/>
  <c r="E23" i="7" s="1"/>
  <c r="D24" i="7"/>
  <c r="E24" i="7" s="1"/>
  <c r="F24" i="7" s="1"/>
  <c r="D25" i="7"/>
  <c r="E25" i="7" s="1"/>
  <c r="D26" i="7"/>
  <c r="E26" i="7" s="1"/>
  <c r="F26" i="7" s="1"/>
  <c r="D27" i="7"/>
  <c r="E27" i="7" s="1"/>
  <c r="D28" i="7"/>
  <c r="E28" i="7" s="1"/>
  <c r="F28" i="7" s="1"/>
  <c r="D29" i="7"/>
  <c r="E29" i="7" s="1"/>
  <c r="D30" i="7"/>
  <c r="E30" i="7" s="1"/>
  <c r="F30" i="7" s="1"/>
  <c r="D31" i="7"/>
  <c r="E31" i="7" s="1"/>
  <c r="D32" i="7"/>
  <c r="E32" i="7" s="1"/>
  <c r="F32" i="7" s="1"/>
  <c r="D34" i="7"/>
  <c r="E34" i="7" s="1"/>
  <c r="F34" i="7" s="1"/>
  <c r="D37" i="7"/>
  <c r="E37" i="7" s="1"/>
  <c r="D38" i="7"/>
  <c r="E38" i="7" s="1"/>
  <c r="F38" i="7" s="1"/>
  <c r="D39" i="7"/>
  <c r="E39" i="7" s="1"/>
  <c r="D40" i="7"/>
  <c r="E40" i="7" s="1"/>
  <c r="F40" i="7" s="1"/>
  <c r="D41" i="7"/>
  <c r="E41" i="7" s="1"/>
  <c r="G52" i="18" l="1"/>
  <c r="G92" i="18"/>
  <c r="G121" i="18"/>
  <c r="G76" i="18"/>
  <c r="G26" i="18"/>
  <c r="G131" i="18"/>
  <c r="G58" i="18"/>
  <c r="G84" i="18"/>
  <c r="G44" i="18"/>
  <c r="G123" i="18"/>
  <c r="G90" i="18"/>
  <c r="G50" i="18"/>
  <c r="G34" i="18"/>
  <c r="G82" i="18"/>
  <c r="G68" i="18"/>
  <c r="G133" i="18"/>
  <c r="G16" i="18"/>
  <c r="G125" i="18"/>
  <c r="G74" i="18"/>
  <c r="G66" i="18"/>
  <c r="G40" i="18"/>
  <c r="G14" i="18"/>
  <c r="F172" i="18"/>
  <c r="G172" i="18" s="1"/>
  <c r="F164" i="18"/>
  <c r="G164" i="18" s="1"/>
  <c r="F171" i="18"/>
  <c r="G171" i="18" s="1"/>
  <c r="F170" i="18"/>
  <c r="G170" i="18" s="1"/>
  <c r="F162" i="18"/>
  <c r="G162" i="18" s="1"/>
  <c r="F177" i="18"/>
  <c r="G177" i="18" s="1"/>
  <c r="F169" i="18"/>
  <c r="G169" i="18" s="1"/>
  <c r="F161" i="18"/>
  <c r="G161" i="18" s="1"/>
  <c r="F176" i="18"/>
  <c r="G176" i="18" s="1"/>
  <c r="F168" i="18"/>
  <c r="G168" i="18" s="1"/>
  <c r="F160" i="18"/>
  <c r="G160" i="18" s="1"/>
  <c r="F159" i="18"/>
  <c r="G159" i="18" s="1"/>
  <c r="F174" i="18"/>
  <c r="G174" i="18" s="1"/>
  <c r="F158" i="18"/>
  <c r="G158" i="18" s="1"/>
  <c r="F95" i="18"/>
  <c r="G95" i="18" s="1"/>
  <c r="F79" i="18"/>
  <c r="G79" i="18" s="1"/>
  <c r="F63" i="18"/>
  <c r="G63" i="18" s="1"/>
  <c r="F47" i="18"/>
  <c r="G47" i="18" s="1"/>
  <c r="F37" i="18"/>
  <c r="G37" i="18" s="1"/>
  <c r="F23" i="18"/>
  <c r="G23" i="18" s="1"/>
  <c r="G140" i="18"/>
  <c r="G132" i="18"/>
  <c r="G124" i="18"/>
  <c r="G120" i="18"/>
  <c r="G94" i="18"/>
  <c r="F89" i="18"/>
  <c r="G89" i="18" s="1"/>
  <c r="G78" i="18"/>
  <c r="F73" i="18"/>
  <c r="G73" i="18" s="1"/>
  <c r="G62" i="18"/>
  <c r="F57" i="18"/>
  <c r="G57" i="18" s="1"/>
  <c r="G46" i="18"/>
  <c r="G36" i="18"/>
  <c r="F31" i="18"/>
  <c r="G31" i="18" s="1"/>
  <c r="G22" i="18"/>
  <c r="F21" i="18"/>
  <c r="G21" i="18" s="1"/>
  <c r="G10" i="18"/>
  <c r="G88" i="18"/>
  <c r="G72" i="18"/>
  <c r="G56" i="18"/>
  <c r="F51" i="18"/>
  <c r="G51" i="18" s="1"/>
  <c r="G42" i="18"/>
  <c r="F25" i="18"/>
  <c r="G25" i="18" s="1"/>
  <c r="G20" i="18"/>
  <c r="F15" i="18"/>
  <c r="G15" i="18" s="1"/>
  <c r="F69" i="18"/>
  <c r="G69" i="18" s="1"/>
  <c r="F61" i="18"/>
  <c r="G61" i="18" s="1"/>
  <c r="F45" i="18"/>
  <c r="G45" i="18" s="1"/>
  <c r="F35" i="18"/>
  <c r="G35" i="18" s="1"/>
  <c r="F9" i="18"/>
  <c r="G9" i="18" s="1"/>
  <c r="F87" i="18"/>
  <c r="G87" i="18" s="1"/>
  <c r="F71" i="18"/>
  <c r="G71" i="18" s="1"/>
  <c r="F55" i="18"/>
  <c r="G55" i="18" s="1"/>
  <c r="F41" i="18"/>
  <c r="G41" i="18" s="1"/>
  <c r="F29" i="18"/>
  <c r="G29" i="18" s="1"/>
  <c r="F19" i="18"/>
  <c r="G19" i="18" s="1"/>
  <c r="G150" i="18"/>
  <c r="G142" i="18"/>
  <c r="G130" i="18"/>
  <c r="G122" i="18"/>
  <c r="G86" i="18"/>
  <c r="F81" i="18"/>
  <c r="G81" i="18" s="1"/>
  <c r="G70" i="18"/>
  <c r="F65" i="18"/>
  <c r="G65" i="18" s="1"/>
  <c r="G54" i="18"/>
  <c r="F49" i="18"/>
  <c r="G49" i="18" s="1"/>
  <c r="F39" i="18"/>
  <c r="G39" i="18" s="1"/>
  <c r="G28" i="18"/>
  <c r="G18" i="18"/>
  <c r="F53" i="18"/>
  <c r="G53" i="18" s="1"/>
  <c r="F17" i="18"/>
  <c r="G17" i="18" s="1"/>
  <c r="G80" i="18"/>
  <c r="G64" i="18"/>
  <c r="F59" i="18"/>
  <c r="G59" i="18" s="1"/>
  <c r="G48" i="18"/>
  <c r="G38" i="18"/>
  <c r="F33" i="18"/>
  <c r="G33" i="18" s="1"/>
  <c r="G12" i="18"/>
  <c r="F7" i="18"/>
  <c r="G7" i="18" s="1"/>
  <c r="F17" i="7"/>
  <c r="G17" i="7" s="1"/>
  <c r="F13" i="7"/>
  <c r="G13" i="7" s="1"/>
  <c r="F15" i="7"/>
  <c r="G15" i="7" s="1"/>
  <c r="F11" i="7"/>
  <c r="G11" i="7" s="1"/>
  <c r="G9" i="7"/>
  <c r="F19" i="7"/>
  <c r="G19" i="7" s="1"/>
  <c r="F29" i="7"/>
  <c r="G29" i="7" s="1"/>
  <c r="F39" i="7"/>
  <c r="G39" i="7" s="1"/>
  <c r="F23" i="7"/>
  <c r="G23" i="7" s="1"/>
  <c r="F27" i="7"/>
  <c r="G27" i="7" s="1"/>
  <c r="F37" i="7"/>
  <c r="G37" i="7" s="1"/>
  <c r="F31" i="7"/>
  <c r="G31" i="7" s="1"/>
  <c r="F7" i="7"/>
  <c r="G7" i="7" s="1"/>
  <c r="F41" i="7"/>
  <c r="G41" i="7" s="1"/>
  <c r="F25" i="7"/>
  <c r="G25" i="7" s="1"/>
  <c r="G40" i="7"/>
  <c r="G38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D117" i="25" l="1"/>
  <c r="E117" i="25" s="1"/>
  <c r="F117" i="25" s="1"/>
  <c r="G117" i="25" s="1"/>
  <c r="D116" i="25"/>
  <c r="E116" i="25" s="1"/>
  <c r="D114" i="25"/>
  <c r="E114" i="25" s="1"/>
  <c r="F114" i="25" s="1"/>
  <c r="G114" i="25" s="1"/>
  <c r="D112" i="25"/>
  <c r="E112" i="25" s="1"/>
  <c r="D110" i="25"/>
  <c r="E110" i="25" s="1"/>
  <c r="D109" i="25"/>
  <c r="E109" i="25" s="1"/>
  <c r="F109" i="25" s="1"/>
  <c r="G109" i="25" s="1"/>
  <c r="D107" i="25"/>
  <c r="E107" i="25" s="1"/>
  <c r="D105" i="25"/>
  <c r="E105" i="25" s="1"/>
  <c r="D103" i="25"/>
  <c r="E103" i="25" s="1"/>
  <c r="F103" i="25" s="1"/>
  <c r="G103" i="25" s="1"/>
  <c r="D101" i="25"/>
  <c r="E101" i="25" s="1"/>
  <c r="F101" i="25" s="1"/>
  <c r="G101" i="25" s="1"/>
  <c r="D99" i="25"/>
  <c r="E99" i="25" s="1"/>
  <c r="D98" i="25"/>
  <c r="E98" i="25" s="1"/>
  <c r="D96" i="25"/>
  <c r="E96" i="25" s="1"/>
  <c r="D95" i="25"/>
  <c r="E95" i="25" s="1"/>
  <c r="D93" i="25"/>
  <c r="E93" i="25" s="1"/>
  <c r="F93" i="25" s="1"/>
  <c r="G93" i="25" s="1"/>
  <c r="D92" i="25"/>
  <c r="E92" i="25" s="1"/>
  <c r="D90" i="25"/>
  <c r="E90" i="25" s="1"/>
  <c r="D5" i="7"/>
  <c r="E5" i="7" s="1"/>
  <c r="D6" i="18"/>
  <c r="D41" i="25"/>
  <c r="E41" i="25" s="1"/>
  <c r="D43" i="25"/>
  <c r="E43" i="25" s="1"/>
  <c r="D45" i="25"/>
  <c r="E45" i="25" s="1"/>
  <c r="D47" i="25"/>
  <c r="E47" i="25" s="1"/>
  <c r="D49" i="25"/>
  <c r="E49" i="25" s="1"/>
  <c r="D51" i="25"/>
  <c r="E51" i="25" s="1"/>
  <c r="F51" i="25" s="1"/>
  <c r="G51" i="25" s="1"/>
  <c r="D52" i="25"/>
  <c r="E52" i="25" s="1"/>
  <c r="F52" i="25" s="1"/>
  <c r="G52" i="25" s="1"/>
  <c r="D8" i="25"/>
  <c r="E8" i="25" s="1"/>
  <c r="D10" i="25"/>
  <c r="E10" i="25" s="1"/>
  <c r="F10" i="25" s="1"/>
  <c r="G10" i="25" s="1"/>
  <c r="D12" i="25"/>
  <c r="E12" i="25" s="1"/>
  <c r="D14" i="25"/>
  <c r="E14" i="25" s="1"/>
  <c r="D16" i="25"/>
  <c r="E16" i="25" s="1"/>
  <c r="D18" i="25"/>
  <c r="E18" i="25" s="1"/>
  <c r="F18" i="25" s="1"/>
  <c r="G18" i="25" s="1"/>
  <c r="D20" i="25"/>
  <c r="E20" i="25" s="1"/>
  <c r="D22" i="25"/>
  <c r="E22" i="25" s="1"/>
  <c r="D24" i="25"/>
  <c r="E24" i="25" s="1"/>
  <c r="D25" i="25"/>
  <c r="E25" i="25" s="1"/>
  <c r="F25" i="25" s="1"/>
  <c r="G25" i="25" s="1"/>
  <c r="D27" i="25"/>
  <c r="E27" i="25" s="1"/>
  <c r="F27" i="25" s="1"/>
  <c r="G27" i="25" s="1"/>
  <c r="D29" i="25"/>
  <c r="E29" i="25" s="1"/>
  <c r="D30" i="25"/>
  <c r="E30" i="25" s="1"/>
  <c r="D6" i="25"/>
  <c r="E6" i="25" s="1"/>
  <c r="F6" i="25" s="1"/>
  <c r="G6" i="25" s="1"/>
  <c r="D39" i="25"/>
  <c r="E39" i="25" s="1"/>
  <c r="F39" i="25" s="1"/>
  <c r="G39" i="25" s="1"/>
  <c r="D62" i="25"/>
  <c r="E62" i="25" s="1"/>
  <c r="D64" i="25"/>
  <c r="E64" i="25" s="1"/>
  <c r="D66" i="25"/>
  <c r="E66" i="25" s="1"/>
  <c r="D68" i="25"/>
  <c r="E68" i="25" s="1"/>
  <c r="F68" i="25" s="1"/>
  <c r="G68" i="25" s="1"/>
  <c r="D70" i="25"/>
  <c r="E70" i="25" s="1"/>
  <c r="D72" i="25"/>
  <c r="E72" i="25" s="1"/>
  <c r="D74" i="25"/>
  <c r="E74" i="25" s="1"/>
  <c r="D76" i="25"/>
  <c r="E76" i="25" s="1"/>
  <c r="F76" i="25" s="1"/>
  <c r="G76" i="25" s="1"/>
  <c r="D78" i="25"/>
  <c r="E78" i="25" s="1"/>
  <c r="F78" i="25" s="1"/>
  <c r="G78" i="25" s="1"/>
  <c r="D80" i="25"/>
  <c r="E80" i="25" s="1"/>
  <c r="D82" i="25"/>
  <c r="E82" i="25" s="1"/>
  <c r="D83" i="25"/>
  <c r="E83" i="25" s="1"/>
  <c r="F83" i="25" s="1"/>
  <c r="G83" i="25" s="1"/>
  <c r="D60" i="25"/>
  <c r="E60" i="25" s="1"/>
  <c r="F60" i="25" s="1"/>
  <c r="E6" i="2"/>
  <c r="F90" i="25" l="1"/>
  <c r="G90" i="25" s="1"/>
  <c r="E6" i="18"/>
  <c r="F6" i="18" s="1"/>
  <c r="F96" i="25"/>
  <c r="G96" i="25" s="1"/>
  <c r="F110" i="25"/>
  <c r="G110" i="25" s="1"/>
  <c r="F92" i="25"/>
  <c r="G92" i="25" s="1"/>
  <c r="F98" i="25"/>
  <c r="G98" i="25" s="1"/>
  <c r="F112" i="25"/>
  <c r="G112" i="25" s="1"/>
  <c r="F107" i="25"/>
  <c r="G107" i="25" s="1"/>
  <c r="F99" i="25"/>
  <c r="G99" i="25" s="1"/>
  <c r="F105" i="25"/>
  <c r="G105" i="25" s="1"/>
  <c r="F95" i="25"/>
  <c r="G95" i="25" s="1"/>
  <c r="F116" i="25"/>
  <c r="G116" i="25" s="1"/>
  <c r="F72" i="25"/>
  <c r="G72" i="25" s="1"/>
  <c r="G60" i="25"/>
  <c r="F82" i="25"/>
  <c r="G82" i="25" s="1"/>
  <c r="F66" i="25"/>
  <c r="G66" i="25" s="1"/>
  <c r="F80" i="25"/>
  <c r="G80" i="25" s="1"/>
  <c r="F64" i="25"/>
  <c r="G64" i="25" s="1"/>
  <c r="F62" i="25"/>
  <c r="G62" i="25" s="1"/>
  <c r="F70" i="25"/>
  <c r="G70" i="25" s="1"/>
  <c r="F74" i="25"/>
  <c r="G74" i="25" s="1"/>
  <c r="F47" i="25"/>
  <c r="G47" i="25" s="1"/>
  <c r="F43" i="25"/>
  <c r="G43" i="25" s="1"/>
  <c r="F41" i="25"/>
  <c r="G41" i="25" s="1"/>
  <c r="F45" i="25"/>
  <c r="G45" i="25" s="1"/>
  <c r="F49" i="25"/>
  <c r="G49" i="25" s="1"/>
  <c r="F30" i="25"/>
  <c r="G30" i="25" s="1"/>
  <c r="F16" i="25"/>
  <c r="G16" i="25" s="1"/>
  <c r="F29" i="25"/>
  <c r="G29" i="25" s="1"/>
  <c r="F14" i="25"/>
  <c r="G14" i="25" s="1"/>
  <c r="F12" i="25"/>
  <c r="G12" i="25" s="1"/>
  <c r="F24" i="25"/>
  <c r="G24" i="25" s="1"/>
  <c r="F8" i="25"/>
  <c r="G8" i="25" s="1"/>
  <c r="F22" i="25"/>
  <c r="G22" i="25" s="1"/>
  <c r="F20" i="25"/>
  <c r="G20" i="25" s="1"/>
  <c r="F5" i="7"/>
  <c r="G5" i="7" s="1"/>
  <c r="F6" i="2"/>
  <c r="G6" i="18" l="1"/>
</calcChain>
</file>

<file path=xl/sharedStrings.xml><?xml version="1.0" encoding="utf-8"?>
<sst xmlns="http://schemas.openxmlformats.org/spreadsheetml/2006/main" count="11170" uniqueCount="1570">
  <si>
    <t>GCV 3 Wheeler</t>
  </si>
  <si>
    <t>Condition</t>
  </si>
  <si>
    <t>Payin</t>
  </si>
  <si>
    <t>TDS (1.5%)</t>
  </si>
  <si>
    <t>Gross Payout</t>
  </si>
  <si>
    <t>Out TDS</t>
  </si>
  <si>
    <t>Final Payout</t>
  </si>
  <si>
    <t>Shriram (Package, TP) (Non EV)</t>
  </si>
  <si>
    <t>(upto 15 years)</t>
  </si>
  <si>
    <t>Shriram (Package, TP) (EV)</t>
  </si>
  <si>
    <t>(upto 15 years) (upto 2000 Watt)</t>
  </si>
  <si>
    <t>(upto 15 years) (above 2000 Watt)</t>
  </si>
  <si>
    <t>Royal (Package) (EV)</t>
  </si>
  <si>
    <t>CHENGALPATTU</t>
  </si>
  <si>
    <t>CHENNAI</t>
  </si>
  <si>
    <t>COIMBATORE</t>
  </si>
  <si>
    <t>ERODE</t>
  </si>
  <si>
    <t>KANCHIPURAM</t>
  </si>
  <si>
    <t>KANYAKUMARI</t>
  </si>
  <si>
    <t>REST OF TAMIL NADU</t>
  </si>
  <si>
    <t>Nil</t>
  </si>
  <si>
    <t>SALEM</t>
  </si>
  <si>
    <t>THOOTHUKUDI</t>
  </si>
  <si>
    <t>TIRUNELVELI</t>
  </si>
  <si>
    <t>TIRUPPUR</t>
  </si>
  <si>
    <t>TIRUVALLUR</t>
  </si>
  <si>
    <t>VIRUDHUNAGAR</t>
  </si>
  <si>
    <t>Pondy</t>
  </si>
  <si>
    <t>Royal (TP) (EV)</t>
  </si>
  <si>
    <t>Royal (TP) (Non EV)</t>
  </si>
  <si>
    <t>Royal (Package) (Non EV)</t>
  </si>
  <si>
    <t>Chola (CPA Mandatory) (Non-EV &amp;&amp; EV)</t>
  </si>
  <si>
    <t>(Package)</t>
  </si>
  <si>
    <t>ROTN</t>
  </si>
  <si>
    <t>Chennai</t>
  </si>
  <si>
    <t>Coimbatore</t>
  </si>
  <si>
    <t>ICICI (Package) (EV)</t>
  </si>
  <si>
    <t>Chennai &amp;&amp; Coimbatore RTO</t>
  </si>
  <si>
    <t>Universal (Package, TP)</t>
  </si>
  <si>
    <t>TN</t>
  </si>
  <si>
    <t>PY</t>
  </si>
  <si>
    <t>GCV upto 2Ton</t>
  </si>
  <si>
    <t>Royal (Upto 2,300 Ton) (Package) (non EV)</t>
  </si>
  <si>
    <t>CHENNAI (RTO TN-01,02,03,04,05,06,07,09,10,11,12,13,14,22,85)</t>
  </si>
  <si>
    <t>CHENGALPATTU (RTO - TN 19)</t>
  </si>
  <si>
    <t>KANCHIPURAM (RTO TN - 21,87)</t>
  </si>
  <si>
    <t>TIRUVALLUR (RTO TN - 18,20)</t>
  </si>
  <si>
    <t>KANYAKUMARI (RTO TN - 74,75)</t>
  </si>
  <si>
    <t>THOOTHUKUDI (RTO TN - 69, 92, 96)</t>
  </si>
  <si>
    <t>TIRUNELVELI (RTO TN - 72, 76, 79)</t>
  </si>
  <si>
    <t>VIRUDHUNAGAR (RTO TN - 67)</t>
  </si>
  <si>
    <t>COIMBATORE (RTO TN - 37, 38, 40, 41, 66, 99)</t>
  </si>
  <si>
    <t>ERODE (RTO TN - 33, 36, 86)</t>
  </si>
  <si>
    <t>SALEM (RTO TN - 27, 30, 54, 77, 90)</t>
  </si>
  <si>
    <t>TIRUPPUR (RTO TN - 39, 42, 78)</t>
  </si>
  <si>
    <t>REST OF TAMIL NADU (RTO TN - 15,16,23,24,25,28,29,31,32,34,43,45,46,47,48,49,50,51,52,55,56,57,58,59,60,61,63,64,65,68,70,73,81,82,83,84,88,91,93,94,95,97)</t>
  </si>
  <si>
    <t>Royal (Upto 2,300 Ton) (TP) (non EV)</t>
  </si>
  <si>
    <t>Royal (Package) (EV) (upto 3,500 Ton)</t>
  </si>
  <si>
    <t>Tamil Nadu</t>
  </si>
  <si>
    <t>Royal (TP) (EV) (upto 3,500 Ton)</t>
  </si>
  <si>
    <t>SBI (New) (Package) (upto 2,000 Ton) (declined bolero and EV)</t>
  </si>
  <si>
    <t>(For Chennai RTO - TN-01,02,03,04,05,07,09,10)</t>
  </si>
  <si>
    <t>(For RTO - TN-11,13,14,18,20,22,58,59,64,85)</t>
  </si>
  <si>
    <t>(For RTO - TN-23,49,55,58,59,64,67,75,61,21)</t>
  </si>
  <si>
    <t>(For RTO - PY-01,02,03,04,05)</t>
  </si>
  <si>
    <t>SBI (old) (Package) (upto 2,000 Ton) (declined bolero and EV)</t>
  </si>
  <si>
    <t>SBI (old) (TP) (upto 2,000 Ton) (declined bolero and EV)</t>
  </si>
  <si>
    <t>GCV 2 to 2.5 Ton</t>
  </si>
  <si>
    <t>Shriram (Package, TP) (upto 2,800 Ton) (Only Tata make)</t>
  </si>
  <si>
    <t>(upto 5 years) (Declined RTO - TN-29,39,50,52,56)</t>
  </si>
  <si>
    <t>Shriram (Package, TP) (upto 2,800 Ton) (Other make)</t>
  </si>
  <si>
    <t>Shriram (Package) (upto 2,800 Ton) (All make)</t>
  </si>
  <si>
    <t>(age 6 to 15 years) (Accepted RTO - TN-01,02,03,04,05,06,07,09,10,11,12,13,14,18,19,20,22,85,87,66,38,37,99,39,40,41,42)</t>
  </si>
  <si>
    <t>Shriram (TP) (upto 2,800 Ton) (All make)</t>
  </si>
  <si>
    <t>(age 6 to 25 years) (Accepted RTO - TN-01,02,03,04,05,06,07,09,10,11,12,13,14,18,19,20,22,85,87,66,38,37,99,39,40,41,42)</t>
  </si>
  <si>
    <t>(age 6 to 15 years) (ROTN) (Declined RTO - TN-29,39,50,52,56)</t>
  </si>
  <si>
    <t>(age 6 to 25 years) (ROTN) (Declined RTO - TN-29,39,50,52,56)</t>
  </si>
  <si>
    <t>SBI (New) (Package) (2,001 to 2,500 Ton) (for Tata Make)</t>
  </si>
  <si>
    <t>SBI (old) (Package) (2,001 to 2,500 Ton) (for Tata Make)</t>
  </si>
  <si>
    <t>SBI (old) (TP) (2,001 to 2,500 Ton) (for Tata Make)</t>
  </si>
  <si>
    <t>(Chennai RTO TN - 01, 02, 03, 04, 05, 06, 07, 09, 10, 11, 12, 13, 14, 18, 19, 20, 21, 22) &amp;&amp; (CBE RTO - TN - 37, 38, 39, 40, 41, 42, 66, 99)</t>
  </si>
  <si>
    <t>Erode, Madurai, Pondy</t>
  </si>
  <si>
    <t>Reliance (2,001 to 2,500 Ton) (Package) (For TATA and Maruti)</t>
  </si>
  <si>
    <t>Reliance (2,001 to 2,500 Ton) (TP) (For TATA and Maruti)</t>
  </si>
  <si>
    <t>Reliance (upto 2,500 Ton) (Package) (For Mahindra and Ashok)</t>
  </si>
  <si>
    <t>Reliance (upto 2,500 Ton) (TP) (For Mahindra and Ashok)</t>
  </si>
  <si>
    <t>Magma (package) (upto 2.5 Ton)</t>
  </si>
  <si>
    <t>Chennai &amp;&amp; Surrounding</t>
  </si>
  <si>
    <t>Coimbatore + Madurai + Trichy</t>
  </si>
  <si>
    <t>Rest of Tamil Nadu</t>
  </si>
  <si>
    <t>Magma (TP) (upto 2.5 Ton)</t>
  </si>
  <si>
    <t>Raheja (upto 2.5 Ton)</t>
  </si>
  <si>
    <t>Package</t>
  </si>
  <si>
    <t>TP</t>
  </si>
  <si>
    <t>ICICI (Package) (only New) (&lt; 2,450 Ton)</t>
  </si>
  <si>
    <t>ICICI (Package) (old) (&lt; 2,450 Ton)</t>
  </si>
  <si>
    <t>Chennai RTO</t>
  </si>
  <si>
    <t>Future Generali (Package, TP) (upto 2,500 Ton) (Only TN RTOs)</t>
  </si>
  <si>
    <t>on OD</t>
  </si>
  <si>
    <t>on TP</t>
  </si>
  <si>
    <t>-</t>
  </si>
  <si>
    <t>Liberty (Package, TP) (Upto 2,500 Ton) (Age 1-15 years)</t>
  </si>
  <si>
    <t>For RTO {TN-01,02,03,04,05,06,07,09,10,11,12,13,14,18,22,85,20,21}</t>
  </si>
  <si>
    <t>For RTO {TN-37,38,66,99,45,48,58,59,64,72,81}</t>
  </si>
  <si>
    <t>GCV 2.5 to 3 Ton</t>
  </si>
  <si>
    <t>Royal (2,301 to 3,500 Ton) (Package) (non EV)</t>
  </si>
  <si>
    <t>Royal (2,301 to 3,500 Ton) (TP) (non EV)</t>
  </si>
  <si>
    <t>Chola (CPA Mandatory) (upto 3.5 Ton) (For Tata/Maruti/Mahindra and it accepted models Ace, Super Ace, Yodha, Xenon, Magic, Intra, Super Carry, Mahindra Jeeto,Tractor ,Supro)</t>
  </si>
  <si>
    <t>(TP)</t>
  </si>
  <si>
    <t>Chola (CPA Mandatory) (upto 3.5 Ton) (other makes &amp; models &amp; EV)</t>
  </si>
  <si>
    <t>Magma (TP) (2,501 to 2,800 Ton)</t>
  </si>
  <si>
    <t>Magma (TP) (2,801 to 3,500 Ton)</t>
  </si>
  <si>
    <t>Magma (Package) (2,801 to 3,500 Ton)</t>
  </si>
  <si>
    <t>ICICI (Package) (New) (2,451 to 3,500 Ton)</t>
  </si>
  <si>
    <t>ICICI (Package) (old) (2,451 to 3,500 Ton)</t>
  </si>
  <si>
    <t>Tata AIG (Package, TP) (2,501 to 3,500 Ton) (for Chennai ID)</t>
  </si>
  <si>
    <t>Universal (Package, TP) (upto 3,500 Ton)</t>
  </si>
  <si>
    <t>GCV 3 to 7 Ton</t>
  </si>
  <si>
    <t>Royal (3,501 to 7,500 Ton) (Package) (non EV)</t>
  </si>
  <si>
    <t>CHENGALPATTU  (on OD)</t>
  </si>
  <si>
    <t>TIRUVALLUR  (on OD)</t>
  </si>
  <si>
    <t>ERODE  (on OD)</t>
  </si>
  <si>
    <t>SALEM  (on OD)</t>
  </si>
  <si>
    <t>TIRUPPUR  (on OD)</t>
  </si>
  <si>
    <t>REST OF TAMIL NADU  (on OD)</t>
  </si>
  <si>
    <t>Pondy  (on OD)</t>
  </si>
  <si>
    <t>Royal (3,501 to 7,500 Ton) (TP) (non EV)</t>
  </si>
  <si>
    <t>Only ROTN, (declined - Chennai &amp; Coimbatore RTO)</t>
  </si>
  <si>
    <t>Raheja (3,501 to 7,500 Ton)</t>
  </si>
  <si>
    <t>Universal (Package, TP) (3,501 to 7,500 Ton)</t>
  </si>
  <si>
    <t>Shriram (Package) (3,501 to 7,500 Ton)</t>
  </si>
  <si>
    <t>Shriram (TP) (3,501 to 7,500 Ton)</t>
  </si>
  <si>
    <t>(upto 25 years)</t>
  </si>
  <si>
    <t>GCV 7 to 12 Ton</t>
  </si>
  <si>
    <t>Shriram (Package) (7,501 to 12,000 Ton)</t>
  </si>
  <si>
    <t>Shriram (TP) (7,501 to 12,000 Ton)</t>
  </si>
  <si>
    <t>Royal (7,501 to 12,000 Ton) (TP) (non EV)</t>
  </si>
  <si>
    <t>Magma (Package) (7,501 to 12,000 Ton)</t>
  </si>
  <si>
    <t>Chennai &amp; Surrounding</t>
  </si>
  <si>
    <t>Magma (TP) (7,501 to 12,000 Ton)</t>
  </si>
  <si>
    <t>Chola (CPA Mandatory) (7,501 to 12,000 Ton)</t>
  </si>
  <si>
    <t>GCV 12 to 25 Ton</t>
  </si>
  <si>
    <t>Shriram (Package) (12,001 to 20,000 Ton) (Only System discount)</t>
  </si>
  <si>
    <t>Shriram (TP) (12,001 to 20,000 Ton) (Only System discount)</t>
  </si>
  <si>
    <t>Royal (12,001 to 20,000 Ton) (Package) (non EV)</t>
  </si>
  <si>
    <t>CHENNAI (on OD)</t>
  </si>
  <si>
    <t>CHENGALPATTU (on OD)</t>
  </si>
  <si>
    <t>KANCHIPURAM (on OD)</t>
  </si>
  <si>
    <t>KANYAKUMARI (on OD)</t>
  </si>
  <si>
    <t>THOOTHUKUDI (on OD)</t>
  </si>
  <si>
    <t>TIRUNELVELI (on OD)</t>
  </si>
  <si>
    <t>VIRUDHUNAGAR (on OD)</t>
  </si>
  <si>
    <t>COIMBATORE (on OD)</t>
  </si>
  <si>
    <t>Royal (12,001 to 20,000 Ton) (TP) (non EV)</t>
  </si>
  <si>
    <t>Chola (CPA Mandatory) (12,001 to 16,000 Ton)</t>
  </si>
  <si>
    <t>Chola (CPA Mandatory) (16,001 to 20,000 Ton)</t>
  </si>
  <si>
    <t>Magma (TP) (12,001 to 20,000 Ton) (Age &gt;= 5)</t>
  </si>
  <si>
    <t>(Declined RTO TN-15,16,31,32,45,46,48,49,51,55,61,63,68,81,82,91) &amp;&amp; (PY -01,02,03,04,05)</t>
  </si>
  <si>
    <t>Future Generali (Package, TP) (12,001 to 20,000 Ton) (Only PY RTOs)</t>
  </si>
  <si>
    <t>GCV 25 to 40 Ton</t>
  </si>
  <si>
    <t>Royal (20,001 to 40,000 Ton) (Package) (non EV) (upto 5 years)</t>
  </si>
  <si>
    <t>Royal (20,001 to 40,000 Ton) (Package) (non EV) (above 5 years) (other than Tata and Ashok Make)</t>
  </si>
  <si>
    <t>Royal (20,001 to 40,000 Ton) (Package) (non EV) (above 5 years) (Tata and Ashok Make) (without Nil-Deep) (upto 75%)</t>
  </si>
  <si>
    <t xml:space="preserve">TIRUVALLUR </t>
  </si>
  <si>
    <t xml:space="preserve">ERODE </t>
  </si>
  <si>
    <t xml:space="preserve">SALEM </t>
  </si>
  <si>
    <t xml:space="preserve">TIRUPPUR </t>
  </si>
  <si>
    <t xml:space="preserve">REST OF TAMIL NADU </t>
  </si>
  <si>
    <t>Royal (20,001 to 40,000 Ton) (Package) (non EV) (above 5 years) (Tata and Ashok Make) (without Nil-Deep) (76% to 80%)</t>
  </si>
  <si>
    <t>Royal (20,001 to 40,000 Ton) (Package) (non EV) (above 5 years) (Tata and Ashok Make) (without Nil-Deep) (81% to 85%)</t>
  </si>
  <si>
    <t>Royal (20,001 to 40,000 Ton) (TP) (non EV)</t>
  </si>
  <si>
    <t>Shriram (Package) (20,001 to 42,500 Ton) (Only System discount)</t>
  </si>
  <si>
    <t>Shriram (TP) (20,001 to 42,500 Ton) (Only System discount)</t>
  </si>
  <si>
    <t>SBI (new) (Package) (20,001 to 40,000 Ton) (For Tata &amp;&amp; Ashok Make)</t>
  </si>
  <si>
    <t>SBI (new) (TP) (20,001 to 40,000 Ton) (For Tata &amp;&amp; Ashok Make)</t>
  </si>
  <si>
    <t>GCV Above 40 Ton</t>
  </si>
  <si>
    <t>Shriram (Package) (42,501 to 50,000 Ton) (Only System discount)</t>
  </si>
  <si>
    <t>Shriram (TP) (42,501 to 50,000 Ton) (Only System discount)</t>
  </si>
  <si>
    <t>Shriram (Package) (Above 50,001 Ton) (Only System discount)</t>
  </si>
  <si>
    <t>Shriram (TP) (Above 50,001 Ton) (Only System discount)</t>
  </si>
  <si>
    <t>Tata AIG (Package, TP) (Above 45,001 Ton) (for Chennai ID)</t>
  </si>
  <si>
    <t>Future Generali (Package, TP) (above 40,000 Ton) (Only PY RTOs)</t>
  </si>
  <si>
    <t>Flatbed</t>
  </si>
  <si>
    <t>Reliance</t>
  </si>
  <si>
    <t>Raheja</t>
  </si>
  <si>
    <t>Miscellaneous Vehicle</t>
  </si>
  <si>
    <t>Shriram (Tractor) (Only New Package)</t>
  </si>
  <si>
    <t>Shriram (Tractor) (Old Package)</t>
  </si>
  <si>
    <t>(Age upto 15 years)</t>
  </si>
  <si>
    <t>Magma (Harvestor) (old) (package)</t>
  </si>
  <si>
    <t>Magma (Tractor) (old) (package)</t>
  </si>
  <si>
    <t>Magma (Harvestor) (New) (TP)</t>
  </si>
  <si>
    <t>Magma (Tractor) (New) (TP)</t>
  </si>
  <si>
    <t>Magma (Harvestor) (old) (TP)</t>
  </si>
  <si>
    <t>Magma (Tractor) (old) (TP)</t>
  </si>
  <si>
    <t>Chola (CPA Mandatory) (Tractor New)</t>
  </si>
  <si>
    <t>Chola (CPA Mandatory) (Tractor Renewal)</t>
  </si>
  <si>
    <t>Chola (CPA Mandatory) (Loader, Excavators/Earth Movers, Crane, Bulldozers/Bullgraders, Road Rollers, Fork Lift Trucks)</t>
  </si>
  <si>
    <t>(Package) (TP)</t>
  </si>
  <si>
    <t>Chola (CPA Mandatory) (Harvester)</t>
  </si>
  <si>
    <t>Raheja (Tractor)</t>
  </si>
  <si>
    <t>(For - PY-01,02,03,04,05)</t>
  </si>
  <si>
    <t>(For - ROTN)</t>
  </si>
  <si>
    <t>Universal (Tractor) (for New, Old package, TP)</t>
  </si>
  <si>
    <t>Universal (Tractor) (New)</t>
  </si>
  <si>
    <t>Universal (Tractor) (old package, TP)</t>
  </si>
  <si>
    <t>PCV Edu Bus</t>
  </si>
  <si>
    <t>Royal (Package)</t>
  </si>
  <si>
    <t>Royal (TP)</t>
  </si>
  <si>
    <t>Magma (Package)</t>
  </si>
  <si>
    <t>Magma (TP)</t>
  </si>
  <si>
    <t>Chola</t>
  </si>
  <si>
    <t>Reliance (package, TP) (Under School Name) (Base Grid)</t>
  </si>
  <si>
    <t>Tata AIG (Package, TP) (for chennai ID) (policy should be on school name)</t>
  </si>
  <si>
    <t>ROTN RTO (Seating Capacity 12 to 15 Seater)</t>
  </si>
  <si>
    <t>ROTN RTO (Seating Capacity 16 to 30 Seater)</t>
  </si>
  <si>
    <t>ROTN RTO (Seating Capacity 31 to 50 Seater)</t>
  </si>
  <si>
    <t>ROTN RTO (Seating Capacity above 50 Seater)</t>
  </si>
  <si>
    <t>PCV Staff Bus</t>
  </si>
  <si>
    <t>Shriram (Package, TP) (upto 15 years)</t>
  </si>
  <si>
    <t>(Accepted RTO - TN-01,02,03,04,05,06,07,09,10,11,12,13,14,18,19,20,22,85,87,66,38,37,99,39,40,41,42)</t>
  </si>
  <si>
    <t>(ROTN)</t>
  </si>
  <si>
    <t>(age below 15 years)</t>
  </si>
  <si>
    <t>(age below 25 years)</t>
  </si>
  <si>
    <t>Chola (CPA Mandatory)</t>
  </si>
  <si>
    <t>PCV Auto</t>
  </si>
  <si>
    <t>Shriram (Package, TP) (Other than Diesel) (Only New)</t>
  </si>
  <si>
    <t>Shriram (Package, TP) (EV) (only old)</t>
  </si>
  <si>
    <t>(Age upto 15 years) (upto 2000 watt)</t>
  </si>
  <si>
    <t>Royal (TP) (Non - EV)</t>
  </si>
  <si>
    <t>Royal (package) (Non - EV)</t>
  </si>
  <si>
    <t>Magma (TP) (EV)</t>
  </si>
  <si>
    <t>Coimbatore, Madurai, Trichy</t>
  </si>
  <si>
    <t>Magma (TP) (Non EV) (New)</t>
  </si>
  <si>
    <t>Magma (TP) (Non EV) (Old)</t>
  </si>
  <si>
    <t>(For TN-01,02,03,04,05,06,07,09,10)</t>
  </si>
  <si>
    <t>(For TN-11,12,13,14,18,20,22,85,58,59,64</t>
  </si>
  <si>
    <t>Future Generali (Package, TP) (only TN RTOs)</t>
  </si>
  <si>
    <t>Diesel</t>
  </si>
  <si>
    <t>EV</t>
  </si>
  <si>
    <t>Petrol/LPG/CNG</t>
  </si>
  <si>
    <t>PCV Taxi</t>
  </si>
  <si>
    <t>Shriram (Package) (Upto 6+1 Seaters) (upto 15 years)</t>
  </si>
  <si>
    <t>Shriram (TP) (Upto 6+1 Seaters) (upto 25 years)</t>
  </si>
  <si>
    <t>Shriram (Package, TP) (7 - 10 Seaters) (upto 15 years)</t>
  </si>
  <si>
    <t>(Declined RTO TN-82,30,23,55,42,50,86,39,33,54 &amp;&amp; PY-05)</t>
  </si>
  <si>
    <t>(Package) (Nil Dep) (For TN-01,02,03,04,05,06,07,09,10)</t>
  </si>
  <si>
    <t>(Package) (Non Nil Dep) (For TN-01,02,03,04,05,06,07,09,10)</t>
  </si>
  <si>
    <t>(TP) (For TN-01,02,03,04,05,06,07,09,10)</t>
  </si>
  <si>
    <t>Universal (Package) (Non EV) (upto 8 Seaters)</t>
  </si>
  <si>
    <t>Universal (Package) (EV) (upto 8 Seaters)</t>
  </si>
  <si>
    <t>Universal (TP) (upto 8 Seaters)</t>
  </si>
  <si>
    <t>Pvt Car</t>
  </si>
  <si>
    <t>Shriram (package, OD) (upto 15 years) (petrol) (without NCB)</t>
  </si>
  <si>
    <t>(Commission on OD)</t>
  </si>
  <si>
    <t>Shriram (package, OD) (upto 15 years) (petrol) (with NCB)</t>
  </si>
  <si>
    <t>Shriram (1+3) (petrol) (only for Honda, Hyundai &amp;&amp; Kia Make)</t>
  </si>
  <si>
    <t>Royal (Old Package) (Rollover, Renewal)</t>
  </si>
  <si>
    <t>Rest of TamilNadu</t>
  </si>
  <si>
    <t>Royal (OD)</t>
  </si>
  <si>
    <t>Royal (TP) (Non Diesel) (Above 1000 CC)</t>
  </si>
  <si>
    <t>Royal (TP) (Diesel) (Above 1500 CC)</t>
  </si>
  <si>
    <t>Royal (New) (Petrol) (1000 - 1500 CC)</t>
  </si>
  <si>
    <t>(Chennai RTO Only) (Accepted Makes Hyundai, Toyota, Mahindra, KIA, Tata, Maruti, Honda)</t>
  </si>
  <si>
    <t>Royal (New) (Diesel) (Above 1500 CC)</t>
  </si>
  <si>
    <t>(Accepted RTO Chennai, Erode, Vellore) (Accepted Makes Hyundai, Toyota, Mahindra, KIA, Tata, Maruti, Honda)</t>
  </si>
  <si>
    <t>Magma (1+1) (Zero NCB) (Petrol)</t>
  </si>
  <si>
    <t>For RTO (TN-01,02,03,04,05,06,07,09,10,11,12,13,14,18,19,20,21,22,85,87,08)</t>
  </si>
  <si>
    <t>For RTO (TN-37,38,39,40,41,42,45,58,59,64,66,78,81,99)</t>
  </si>
  <si>
    <t>Magma (1+1) (Diesel)</t>
  </si>
  <si>
    <t>Magma (OD) (Petrol)</t>
  </si>
  <si>
    <t>Magma (OD) (NCB) (Diesel)</t>
  </si>
  <si>
    <t>Chola (upto 1000cc) (Package)</t>
  </si>
  <si>
    <t>(CPA Mandatory)</t>
  </si>
  <si>
    <t>Chola (1000 to 1500 cc) (Package)</t>
  </si>
  <si>
    <t>Chola (Above 1500cc) (Package)</t>
  </si>
  <si>
    <t>Chola (upto 1000cc) (Petrol) (OD)</t>
  </si>
  <si>
    <t>Chola (1000 to 1500 cc) (Petrol) (OD)</t>
  </si>
  <si>
    <t>Chola (Above 1500cc) (Petrol) (OD)</t>
  </si>
  <si>
    <t>Chola (upto 1000cc) (Diesel) (OD)</t>
  </si>
  <si>
    <t>Chola (1000 to 1500 cc) (Diesel) (OD)</t>
  </si>
  <si>
    <t>Chola (Above 1500cc) (Diesel) (OD)</t>
  </si>
  <si>
    <t>Raheja (1+3)</t>
  </si>
  <si>
    <t>Raheja (1+1) (NCB)</t>
  </si>
  <si>
    <t>Raheja (1+1) (Non NCB)</t>
  </si>
  <si>
    <t>Raheja (OD) (NCB)</t>
  </si>
  <si>
    <t>Raheja (OD) (Non NCB)</t>
  </si>
  <si>
    <t xml:space="preserve">ICICI (1+3) (Declined Models - Bolero,Tavera,Qualis,Indica,Indigo, Omni, Eeco, , TATA Sumo, Hyundai Getz, GM, Chevrolet and absolete Models) </t>
  </si>
  <si>
    <t>Rest of Tamilnadu</t>
  </si>
  <si>
    <t xml:space="preserve">ICICI (1+1) (with NCB) (petrol and CNG) (Declined Models - Bolero,Tavera,Qualis,Indica,Indigo, Omni, Eeco, , TATA Sumo, Hyundai Getz, GM, Chevrolet and absolete Models) </t>
  </si>
  <si>
    <t xml:space="preserve">ICICI (1+1) (with NCB) (Diesel and EV) (Declined Models - Bolero,Tavera,Qualis,Indica,Indigo, Omni, Eeco, , TATA Sumo, Hyundai Getz, GM, Chevrolet and absolete Models) </t>
  </si>
  <si>
    <t xml:space="preserve">ICICI (OD) (NCB) (Declined Models - Bolero,Tavera,Qualis,Indica,Indigo, Omni, Eeco, , TATA Sumo, Hyundai Getz, GM, Chevrolet and absolete Models) </t>
  </si>
  <si>
    <t xml:space="preserve">ICICI (Non NCB) (Declined Models - Bolero,Tavera,Qualis,Indica,Indigo, Omni, Eeco, , TATA Sumo, Hyundai Getz, GM, Chevrolet and absolete Models) </t>
  </si>
  <si>
    <t>ICICI (TP) (Petrol)</t>
  </si>
  <si>
    <t>ICICI (TP) (Diesel)</t>
  </si>
  <si>
    <t>HDFC (Package) (Petrol, Hybrid, EV)</t>
  </si>
  <si>
    <t>HDFC (Package) (Diesel, CNG, LPG)</t>
  </si>
  <si>
    <t>HDFC (OD) (Petrol)</t>
  </si>
  <si>
    <t>HDFC (OD) (Diesel, CNG, LPG) (With NCB)</t>
  </si>
  <si>
    <t>HDFC (OD) (Diesel, CNG, LPG) (With Non NCB)</t>
  </si>
  <si>
    <t>TATA AIG (1+3)</t>
  </si>
  <si>
    <t>(for Chennai ID)</t>
  </si>
  <si>
    <t>TATA AIG (1+1)</t>
  </si>
  <si>
    <t>TATA AIG (SAOD)</t>
  </si>
  <si>
    <t>SBI (Package) (NCB)</t>
  </si>
  <si>
    <t>(Rest of TN)</t>
  </si>
  <si>
    <t>SBI (Package) (Non NCB)</t>
  </si>
  <si>
    <t>SBI (SAOD) (NCB)</t>
  </si>
  <si>
    <t>SBI (SAOD) (Non NCB)</t>
  </si>
  <si>
    <t>Universal (Package) (NCB)</t>
  </si>
  <si>
    <t>TN &amp; PY</t>
  </si>
  <si>
    <t>Universal (Package) (Non NCB)</t>
  </si>
  <si>
    <t>Universal (OD) (Non NCB)</t>
  </si>
  <si>
    <t>Universal (TP)(Diesel, BioFuel)</t>
  </si>
  <si>
    <t>Universal (TP)(Petrol, EV)</t>
  </si>
  <si>
    <t>Universal (Package) (without any addon coverage) (age above 5 years)</t>
  </si>
  <si>
    <t>TN (commission on Net)</t>
  </si>
  <si>
    <t>PY (commission on Net)</t>
  </si>
  <si>
    <t>TW - Bike</t>
  </si>
  <si>
    <t>Royal (Package) (upto 150 cc) (only Old) (non EV)</t>
  </si>
  <si>
    <t>Royal (TP) (EV) (only Old)</t>
  </si>
  <si>
    <t>Chola (New) (upto 150 CC) (CPA Mandatory)(TN) (commission on First Year Premium)</t>
  </si>
  <si>
    <t>Hero, Yamaha</t>
  </si>
  <si>
    <t>TVS</t>
  </si>
  <si>
    <t>Suzuki</t>
  </si>
  <si>
    <t>Honda</t>
  </si>
  <si>
    <t>Chola (New) (150 to 350 CC) (CPA Mandatory)(TN) (commission on First Year Premium)</t>
  </si>
  <si>
    <t>RE</t>
  </si>
  <si>
    <t>Chola (Old)(Package) (upto 150 CC) (CPA Mandatory)(TN)</t>
  </si>
  <si>
    <t>Hero, TVS, Yamaha</t>
  </si>
  <si>
    <t>Bajaj</t>
  </si>
  <si>
    <t>Other Makes</t>
  </si>
  <si>
    <t>Chola (Old)(Package) (150 to 350 CC) (CPA Mandatory)(TN)</t>
  </si>
  <si>
    <t>Hero, TVS, Yamaha, RE</t>
  </si>
  <si>
    <t>Reliance (OD)</t>
  </si>
  <si>
    <t>Magma (OD) (75 - 150 CC)</t>
  </si>
  <si>
    <t>Magma (OD) (150 - 350 CC)</t>
  </si>
  <si>
    <t>Magma (OD) (above 350 CC)</t>
  </si>
  <si>
    <t>For Other Than TVS Make</t>
  </si>
  <si>
    <t>For TVS Make</t>
  </si>
  <si>
    <t>TW - Scooter</t>
  </si>
  <si>
    <t>Royal (TP) (only Old) (non EV)</t>
  </si>
  <si>
    <t>TamilNadu &amp;&amp; Pondy</t>
  </si>
  <si>
    <t>Royal (package) (only Old) (non EV)</t>
  </si>
  <si>
    <t>Tiruppur, Salem, Namakkal, Erode, Coimbatore Districts)</t>
  </si>
  <si>
    <t>MADURAI</t>
  </si>
  <si>
    <t>TIRUCHY</t>
  </si>
  <si>
    <t>Rest of TN</t>
  </si>
  <si>
    <t>Royal (SAOD)</t>
  </si>
  <si>
    <t>Magma (OD)</t>
  </si>
  <si>
    <t>Magma (1+1)</t>
  </si>
  <si>
    <t>Chola (New) (CPA Mandatory)(for TN RTO) (commission on First Year Premium)</t>
  </si>
  <si>
    <t>Hero</t>
  </si>
  <si>
    <t>Yamaha</t>
  </si>
  <si>
    <t>Chola (Old)(Package)(CPA Mandatory)(for TN RTO)</t>
  </si>
  <si>
    <t>Hero, TVS, Suzuki, Yamaha</t>
  </si>
  <si>
    <t>Honda, Bajaj, Other Makes</t>
  </si>
  <si>
    <t>Chola (TP)(CPA Mandatory)(for TN RTO)</t>
  </si>
  <si>
    <t>Chola (New)(EV) (7KW)(CPA Mandatory)(for TN RTO) (commission on First Year Premium)</t>
  </si>
  <si>
    <t>Shriram (1+1) (petrol)</t>
  </si>
  <si>
    <t>(Age 6 to 15 years)</t>
  </si>
  <si>
    <t>Shriram (TP) (75 - 150 cc) (petrol)</t>
  </si>
  <si>
    <t>Tata AIG (TP) (for Chennai ID)</t>
  </si>
  <si>
    <t>Out TDS (2%)</t>
  </si>
  <si>
    <t>Payout</t>
  </si>
  <si>
    <t>Shriram (Package, TP) (EV) (upto 15 years) (upto 2,000 watts)</t>
  </si>
  <si>
    <t>(Declined RTO KA-25,52,09,11,12)</t>
  </si>
  <si>
    <t>Royal (package) (non EV)</t>
  </si>
  <si>
    <t>For KA - 43, 54</t>
  </si>
  <si>
    <t>For KA - 22, 25, 26, 27, 29</t>
  </si>
  <si>
    <t>For KA - 01, 02, 03, 04, 05, 41, 50, 51, 52, 53, 57, 58, 59, 60, 61</t>
  </si>
  <si>
    <t>For Mysuru RTO</t>
  </si>
  <si>
    <t>Rest of KA</t>
  </si>
  <si>
    <t>For KA - 06, 44, 64</t>
  </si>
  <si>
    <t>Royal (TP) (non EV)</t>
  </si>
  <si>
    <t>Royal (package) (EV)</t>
  </si>
  <si>
    <t>ICICI (Package) (New) (Non EV)</t>
  </si>
  <si>
    <t>Rest of karnataka</t>
  </si>
  <si>
    <t>Mangalore</t>
  </si>
  <si>
    <t>Mysore</t>
  </si>
  <si>
    <t>Bangalore</t>
  </si>
  <si>
    <t>For RTO KA01</t>
  </si>
  <si>
    <t>For RTO KA02</t>
  </si>
  <si>
    <t>Shriram (Package) (upto 2,000 Ton) (upto 15 years)</t>
  </si>
  <si>
    <t>Shriram (TP) (upto 2,000 Ton) (upto 25 years)</t>
  </si>
  <si>
    <t>Royal (Package) (upto 2,300 Ton) (non EV) (without Nil Deep)</t>
  </si>
  <si>
    <t>Royal (TP) (upto 2,300 Ton) (non EV)</t>
  </si>
  <si>
    <t>Royal (Package) (upto 3,500 Ton) (EV)</t>
  </si>
  <si>
    <t>Royal (TP) (upto 3,500 Ton) (EV)</t>
  </si>
  <si>
    <t>SBI (new) (Package) (upto 2,000 Ton) (declined bolero and EV)</t>
  </si>
  <si>
    <t>(For KA - 01, 02, 03, 04, 05, 41, 43, 50, 51, 53, 57, 58, 59, 60, 61.)</t>
  </si>
  <si>
    <t>Shriram (Package) (2,001 to 2,800 Ton) (upto 15 years)</t>
  </si>
  <si>
    <t>Shriram (TP) (2,001 to 2,800 Ton) (upto 25 years)</t>
  </si>
  <si>
    <t>SBI (New) (Package) (2,001 to 2,500 Ton) (for Tata make)</t>
  </si>
  <si>
    <t>SBI (old) (Package) (2,001 to 2,500 Ton) (for Tata make)</t>
  </si>
  <si>
    <t>SBI (old) (TP) (2,001 to 2,500 Ton) (for Tata make)</t>
  </si>
  <si>
    <t>Magma (Package) (upto 2.5 Ton)</t>
  </si>
  <si>
    <t>Mysore + Manglore + Belgaum</t>
  </si>
  <si>
    <t>Rest of Karnataka</t>
  </si>
  <si>
    <t>ICICI (Package) (Old) (&lt; 2,450 Ton)</t>
  </si>
  <si>
    <t>For Bangalore RTO</t>
  </si>
  <si>
    <t>For KA01 RTO</t>
  </si>
  <si>
    <t>For KA02 RTO</t>
  </si>
  <si>
    <t>Future Generali (Package, TP) (upto 2,500 Ton)</t>
  </si>
  <si>
    <t>Royal (Package) (2,301 to 3,500 Ton) (non EV) (without Nil Deep)</t>
  </si>
  <si>
    <t>Royal (TP) (2,301 to 3,500 Ton) (non EV)</t>
  </si>
  <si>
    <t>Magma (Package) (2,501 to 2,800 Ton)</t>
  </si>
  <si>
    <t>Chola (CPA Mandatory) (upto 3.5 Ton) (other makes &amp; model &amp; EV)</t>
  </si>
  <si>
    <t>(for Bangalore RTO)</t>
  </si>
  <si>
    <t>Royal (package) (3,501 to 7,500 Ton) (non EV) (without Nil Deep)</t>
  </si>
  <si>
    <t>Rest of KA (Comission on OD)</t>
  </si>
  <si>
    <t>For Mysuru RTO (Comission on OD)</t>
  </si>
  <si>
    <t>For KA - 22, 25, 26, 27, 29 (Comission on OD)</t>
  </si>
  <si>
    <t>For KA - 06, 44, 64 (Comission on OD)</t>
  </si>
  <si>
    <t>For KA - 43, 54 (Comission on OD)</t>
  </si>
  <si>
    <t>Royal (TP) (3,501 to 7,500 Ton) (non EV)</t>
  </si>
  <si>
    <t>Chola (CPA Mandatory) (3501 to 7500 Ton)</t>
  </si>
  <si>
    <t>Universal (3,501 to 20,000 Ton) (Package, TP)</t>
  </si>
  <si>
    <t>Royal (package) (7,501 to 12,000 Ton) (non EV) (without Nil Deep)</t>
  </si>
  <si>
    <t>(commission on OD)</t>
  </si>
  <si>
    <t>Royal (TP) (7,501 to 12,000 Ton) (non EV)</t>
  </si>
  <si>
    <t>Chola (CPA Mandatory) (7501 to 12,000 Ton)</t>
  </si>
  <si>
    <t>ICICI (Package) (7,501 to 12,000 Ton)</t>
  </si>
  <si>
    <t>Shriram (Package) (7,501 to 12,000 Ton) (upto 15 years) (with NCB &amp;&amp; with CPA)</t>
  </si>
  <si>
    <t>Shriram (TP) (7,501 to 12,000 Ton) (upto 25 years) (with NCB &amp;&amp; with CPA)</t>
  </si>
  <si>
    <t>Shriram (Package) (7,501 to 12,000 Ton) (upto 15 years) (without NCB &amp;&amp; without CPA)</t>
  </si>
  <si>
    <t>Shriram (TP) (7,501 to 12,000 Ton) (upto 25 years) (without NCB &amp;&amp; without CPA)</t>
  </si>
  <si>
    <t>Shriram (Package) (12,001 to 20,000 Ton) (upto 15 years)</t>
  </si>
  <si>
    <t>(Accepted RTO, KA - 01,02,03,04,05,41,42,43,50,51,52,53,57,59,60)</t>
  </si>
  <si>
    <t>Shriram (TP) (12,001 to 20,000 Ton) (upto 25 years)</t>
  </si>
  <si>
    <t>Royal (Package) (12,001 to 20,000 Ton) (non EV) (other than Tata and Ashok) (above 5 years)</t>
  </si>
  <si>
    <t>Royal (Package) (12,001 to 20,000 Ton) (non EV) (Tata and Ashok) (without Nil Deep) (above 5 years) (upto 75%)</t>
  </si>
  <si>
    <t>Royal (Package) (12,001 to 20,000 Ton) (non EV) (Tata and Ashok) (without Nil Deep) (above 5 years) (76% to 80%)</t>
  </si>
  <si>
    <t>Royal (Package) (12,001 to 20,000 Ton) (non EV) (Tata and Ashok) (without Nil Deep) (above 5 years) (81% to 85%)</t>
  </si>
  <si>
    <t>Royal (Package) (12,001 to 20,000 Ton) (non EV) (Tata and Ashok) (without Nil Deep) (above 5 years) (86% to 90%)</t>
  </si>
  <si>
    <t>Royal (TP) (12,001 to 20,000 Ton) (non EV)</t>
  </si>
  <si>
    <t>Chola (CPA Mandatory) (12,001 to 20,000 Ton)</t>
  </si>
  <si>
    <t>Magama (Package) (12,001 to 20,000 Ton) (Age below 5 Years)</t>
  </si>
  <si>
    <t>Magama (Package) (12,001 to 20,000 Ton) (Age &gt;= 5 Years)</t>
  </si>
  <si>
    <t>Magama (TP) (12,001 to 20,000 Ton) (Age below 5 Years)</t>
  </si>
  <si>
    <t>Magama (TP) (12,001 to 20,000 Ton) (Age &gt;= 5 Years)</t>
  </si>
  <si>
    <t>Tata AIG (TP) (12,001 to 20,000 Ton) (for Chennai ID)</t>
  </si>
  <si>
    <t>Shriram (Package) (20,001 to 42,500 Ton) (upto 15 years)</t>
  </si>
  <si>
    <t>Shriram (TP) (20,001 to 42,500 Ton) (upto 25 years)</t>
  </si>
  <si>
    <t>Royal (Package) (20,001 to 40,000 Ton) (non EV) (other than Tata and Ashok)</t>
  </si>
  <si>
    <t>For KA - 43, 54 (on OD)</t>
  </si>
  <si>
    <t>For KA - 22, 25, 26, 27, 29 (on OD)</t>
  </si>
  <si>
    <t>For KA - 01, 02, 03, 04, 05, 41, 50, 51, 52, 53, 57, 58, 59, 60, 61 (on OD)</t>
  </si>
  <si>
    <t>For Mysuru RTO (on OD)</t>
  </si>
  <si>
    <t>Rest of KA (on OD)</t>
  </si>
  <si>
    <t>For KA - 06, 44, 64 (on OD)</t>
  </si>
  <si>
    <t>Royal (Package) (20,001 to 40,000 Ton) (non EV) (only for Tata and Ashok)</t>
  </si>
  <si>
    <t>Royal (TP) (20,001 to 40,000 Ton) (non EV)</t>
  </si>
  <si>
    <t>Chola (CPA Mandatory) (20,001 to 40,000 Ton)</t>
  </si>
  <si>
    <t>Magama (TP) (20,001 to 40,000 Ton) (Age &gt;= 5 Years)</t>
  </si>
  <si>
    <t>Tata AIG (TP) (20,001 to 45,000 Ton) (for Chennai ID)</t>
  </si>
  <si>
    <t>Universal (Package, TP) (20,001 to 45,000 Ton)</t>
  </si>
  <si>
    <t>Shriram (Package) (42,501 to 50,000 Ton) (upto 15 years)</t>
  </si>
  <si>
    <t>Shriram (TP) (42,501 to 50,000 Ton) (upto 25 years)</t>
  </si>
  <si>
    <t>Shriram (Package) (Above 50,001 Ton) (upto 15 years)</t>
  </si>
  <si>
    <t>Shriram (TP) (Above 50,001 Ton) (upto 25 years)</t>
  </si>
  <si>
    <t>Universal (Package, TP) (Above 45,000 Ton)</t>
  </si>
  <si>
    <t>Shriram (Package, TP) (upto 15 years) (Misc Others)</t>
  </si>
  <si>
    <t>JCB manufacture only- Excluding Cranes, Tractor and Ambulance (Excluding Crane, Tractor and Ambulance)</t>
  </si>
  <si>
    <t>Shriram (Package) (Misc Tractor) (for New)</t>
  </si>
  <si>
    <t>Shriram (Package) (Misc Tractor) (for old vehicle)</t>
  </si>
  <si>
    <t>Magma (Tractor) (Harvester) (New) (Package)</t>
  </si>
  <si>
    <t>Magma (Tractor) (Harvester) (Old) (Package)</t>
  </si>
  <si>
    <t>Magma (Harvester) (New) (TP)</t>
  </si>
  <si>
    <t>Magma (Harvester) (old) (TP)</t>
  </si>
  <si>
    <t>Reliance (Package) (Other Misc) (Only JCB, L&amp;T and Ceterpillar)</t>
  </si>
  <si>
    <t>rest of KA</t>
  </si>
  <si>
    <t>Reliance (New) (Package) (Tractor without Trailer)</t>
  </si>
  <si>
    <t>ICICI (Package) (Other Misc) (Declined Cranes)</t>
  </si>
  <si>
    <t>Universal (Tractor) (Package) (New &amp; old)</t>
  </si>
  <si>
    <t>Universal (Tractor) (TP)</t>
  </si>
  <si>
    <t>Chola (Package) (TP)</t>
  </si>
  <si>
    <t>Tata AIG (Package, TP) (for Chennai ID) (Seating capacity above 12) (policy should be on school name)</t>
  </si>
  <si>
    <t>(Accepted RTO - KA - 01, 02, 03, 04, 05, 41, 42, 43, 50, 51, 52, 53, 57, 59, 60)</t>
  </si>
  <si>
    <t>(ROKA)</t>
  </si>
  <si>
    <t xml:space="preserve">Magma (TP) </t>
  </si>
  <si>
    <t>Tata AIG (Package, TP) (for Chennai ID)</t>
  </si>
  <si>
    <t>Shriram (Package, TP) (EV) (Age upto 15 years) (upto 2000 watts)</t>
  </si>
  <si>
    <t>Shriram (Package, TP) (EV) (Age upto 15 years) (above 2000 watts)</t>
  </si>
  <si>
    <t>Shriram (Package) (upto 15 years) (Non Diesel)</t>
  </si>
  <si>
    <t>Bangalore RTO</t>
  </si>
  <si>
    <t>Shriram (TP) (upto 25 years) (Non Diesel)</t>
  </si>
  <si>
    <t>KA -19, 13, 21, 32</t>
  </si>
  <si>
    <t>ROKA, (Declined RTO KA-13,47,28)</t>
  </si>
  <si>
    <t>(for RTO KA01)</t>
  </si>
  <si>
    <t>(for RTO KA02)</t>
  </si>
  <si>
    <t>For Bangalore &amp;&amp; Mysore RTO</t>
  </si>
  <si>
    <t>ICICI (Package) (Diesel)</t>
  </si>
  <si>
    <t>Magma (TP) (New)</t>
  </si>
  <si>
    <t>Magma (TP) (Old)</t>
  </si>
  <si>
    <t>Future Generali (Package, TP)</t>
  </si>
  <si>
    <t>Shriram (Package, TP) (upto 6+1 Seater) (upto 15 years)</t>
  </si>
  <si>
    <t>ROKA, (Declined RTO KA-11,44)</t>
  </si>
  <si>
    <t>Shriram (Package, TP) (upto 7 to 10 Seater) (upto 15 years)</t>
  </si>
  <si>
    <t>(Declined RTO KA-10,17,27,33,41)</t>
  </si>
  <si>
    <t>(Package) (Nil Dep) (For KA - 01, 02, 03, 04, 05, 41, 43, 50, 51, 53, 57, 58, 59, 60, 61.)</t>
  </si>
  <si>
    <t>(Package) (Non Nil Dep) (For KA - 01, 02, 03, 04, 05, 41, 43, 50, 51, 53, 57, 58, 59, 60, 61.)</t>
  </si>
  <si>
    <t>(TP) (For KA - 01, 02, 03, 04, 05, 41, 43, 50, 51, 53, 57, 58, 59, 60, 61.)</t>
  </si>
  <si>
    <t>Shriram (OD) (Diesel) (NCB Case) (upto 15 years)</t>
  </si>
  <si>
    <t>Shriram (Package) (Petrol) (upto 15 years)</t>
  </si>
  <si>
    <t>Shriram (OD) (Petrol) (NCB Cases) (upto 15 years)</t>
  </si>
  <si>
    <t>Shriram (1+3) (petrol) (Only Honda, Hyundai, Kia Make)</t>
  </si>
  <si>
    <t>Royal (TP) (Non Diesel) (below 1000 CC)</t>
  </si>
  <si>
    <t>Royal (TP) (Non Diesel) (above 1000 CC)</t>
  </si>
  <si>
    <t>BANGALORE</t>
  </si>
  <si>
    <t xml:space="preserve">DAKSHINA KANNADA </t>
  </si>
  <si>
    <t>MYSORE</t>
  </si>
  <si>
    <t>NORTH KANNADA</t>
  </si>
  <si>
    <t>REST OF KARNATAKA</t>
  </si>
  <si>
    <t>Royal (TP) (Diesel) (above 1500 CC)</t>
  </si>
  <si>
    <t>Royal (New) (Above 1500 CC) (Diesel)</t>
  </si>
  <si>
    <t>(Accepted RTO - Bangalore, Mysore) (Accepted Makes Hyundai, Toyota, Mahindra, KIA, Tata, Maruti, Honda)</t>
  </si>
  <si>
    <t>Magma (1+3) (Petrol)</t>
  </si>
  <si>
    <t>For RTO (KA-01,02,03,04,05,41,43,50,51,52,53,57,58,59,60,61)</t>
  </si>
  <si>
    <t>Magma (1+1) (Diesel) (NCB)</t>
  </si>
  <si>
    <t>Magma (1+1) (Diesel) (Zero NCB)</t>
  </si>
  <si>
    <t>Magma (1+1) (Petrol) (NCB)</t>
  </si>
  <si>
    <t>Magma (1+1) (Petrol) (Zero NCB)</t>
  </si>
  <si>
    <t>For RTO (KA-09,19,20,21,22,45,55)</t>
  </si>
  <si>
    <t>Magma (OD) (Petrol) (NCB)</t>
  </si>
  <si>
    <t>Magma (OD) (Diesel) (NCB)</t>
  </si>
  <si>
    <t>Magma (TP) (1000 - 1500 CC) (Diesel)</t>
  </si>
  <si>
    <t>Magma (TP) (1000 - 1500 CC) (Petrol)</t>
  </si>
  <si>
    <t>Magma (TP) (&gt; 1500 CC) (Diesel)</t>
  </si>
  <si>
    <t>Magma (TP) (&gt; 1500 CC) (Petrol)</t>
  </si>
  <si>
    <t>Chola (Above 1500cc) (TP)</t>
  </si>
  <si>
    <t xml:space="preserve">ICICI (1+1) (petrol &amp;&amp; CNG) (NCB) (Declined Models - Bolero,Tavera,Qualis,Indica,Indigo, Omni, Eeco, , TATA Sumo, Hyundai Getz, GM, Chevrolet and absolete Models) </t>
  </si>
  <si>
    <t xml:space="preserve">ICICI (1+1) (diesel &amp;&amp; EV) (NCB) (Declined Models - Bolero,Tavera,Qualis,Indica,Indigo, Omni, Eeco, , TATA Sumo, Hyundai Getz, GM, Chevrolet and absolete Models) </t>
  </si>
  <si>
    <t>KA</t>
  </si>
  <si>
    <t>Universal (TP)(Diesel, Biofuel)</t>
  </si>
  <si>
    <t>KA (commission on Net)</t>
  </si>
  <si>
    <t>Royal (Package) (only OLD) (upto 150 CC) (non EV)</t>
  </si>
  <si>
    <t>Chola (New) (upto 150 CC) (CPA Mandatory) (Bangalore) (commission on First Year Premium)</t>
  </si>
  <si>
    <t>Other Make</t>
  </si>
  <si>
    <t>Chola (New) (150 to 350 CC) (CPA Mandatory) (Bangalore) (commission on First Year Premium)</t>
  </si>
  <si>
    <t>Chola (Old) (Package)(upto 150 CC) (CPA Mandatory) (Bangalore)</t>
  </si>
  <si>
    <t>Chola (Old) (Package)(150 to 350 CC) (CPA Mandatory) (Bangalore)</t>
  </si>
  <si>
    <t>for Bangalore RTO</t>
  </si>
  <si>
    <t>Magma (package) (75 - 150 CC)</t>
  </si>
  <si>
    <t>Royal (Package) (only OLD) (non EV)</t>
  </si>
  <si>
    <t>Royal (TP) (only OLD) (non EV)</t>
  </si>
  <si>
    <t>Chola (New) (CPA Mandatory) (Bangalore) (commission on First Year Premium)</t>
  </si>
  <si>
    <t>Chola (Old) (Package) (CPA Mandatory) (Bangalore)</t>
  </si>
  <si>
    <t>Honda, Bajaj, Other Make</t>
  </si>
  <si>
    <t>Chola (TP) (CPA Mandatory) (Bangalore)</t>
  </si>
  <si>
    <t>Chola (EV) (7KW) (New) (CPA Mandatory) (commission on First Year Premium)</t>
  </si>
  <si>
    <t>(age 6 to 15 years)</t>
  </si>
  <si>
    <t>For RTO KASARAGOD</t>
  </si>
  <si>
    <t>ERNAKULAM</t>
  </si>
  <si>
    <t>KANNUR</t>
  </si>
  <si>
    <t>KASARAGOD</t>
  </si>
  <si>
    <t>KOLLAM</t>
  </si>
  <si>
    <t>KOTTAYAM</t>
  </si>
  <si>
    <t>MALAPPURAM</t>
  </si>
  <si>
    <t>PALAKKAD</t>
  </si>
  <si>
    <t>REST OF KERALA</t>
  </si>
  <si>
    <t>THIRUVANANTHAPURAM</t>
  </si>
  <si>
    <t>THRISSUR</t>
  </si>
  <si>
    <t>For RTO  - 10,11,12,13,14,18,53,54,55,56,57,58,59,60,65,71,72,73,78,85,</t>
  </si>
  <si>
    <t>For RTO  - 2,3,4,5,6,7,8,9,17,23,24,25,26,27,28,29,30,31,32,33,34,35,36,37,38,39,40,41,44,45,46,47,48,50,51,52,61,62,63,64,66,67,81,</t>
  </si>
  <si>
    <t>For RTO  - 76,77,79,84,86</t>
  </si>
  <si>
    <t>For RTO  - 1,15,16,19,20,21,22,42,43,49,68,69,70,74,75,80,82,83,</t>
  </si>
  <si>
    <t>Royal (Package) (upto 2,300 ton) (Non EV)</t>
  </si>
  <si>
    <t xml:space="preserve">Royal (TP) (upto 2,300 ton) (Non EV) </t>
  </si>
  <si>
    <t>Shriram (Package) (upto 2,500 Ton)</t>
  </si>
  <si>
    <t>upto 15 years</t>
  </si>
  <si>
    <t>Shriram (TP) (upto 2,500 Ton)</t>
  </si>
  <si>
    <t>upto 25 years</t>
  </si>
  <si>
    <t>Shriram (Package) (2,501 to 2,800 Ton)</t>
  </si>
  <si>
    <t>Shriram (TP) (2,501 to 2,800 Ton)</t>
  </si>
  <si>
    <t>SBI (new) (Package) (2,001 to 2,500 Ton) (for Other than Tata Make)</t>
  </si>
  <si>
    <t>SBI (old) (Package) (2,001 to 2,500 Ton) (for Other than Tata Make)</t>
  </si>
  <si>
    <t>SBI (old) (TP) (2,001 to 2,500 Ton) (for Other than Tata Make)</t>
  </si>
  <si>
    <t>Royal (Package) (2,301 to 3,500 ton) (Non EV)</t>
  </si>
  <si>
    <t>Royal (TP) (2,301 to 3,500 ton) (Non EV)</t>
  </si>
  <si>
    <t>(On OD)</t>
  </si>
  <si>
    <t>(On TP)</t>
  </si>
  <si>
    <t>Magma (package) (TP) (upto 2.5 Ton)</t>
  </si>
  <si>
    <t>ICICI (Package, TP) (Old) (&lt; 2450 Ton)  (Policy Should be issued on Kerala ID) (Non-New)</t>
  </si>
  <si>
    <t>(for tata make only)</t>
  </si>
  <si>
    <t>Royal (upto 3,500 Ton) (package) (EV)</t>
  </si>
  <si>
    <t>Royal (upto 3,500 Ton) (TP) (EV)</t>
  </si>
  <si>
    <t>Shriram (Package) (3,501 to 7,500 Ton) (with NCB)</t>
  </si>
  <si>
    <t>Shriram (Package) (3,501 to 7,500 Ton) (without NCB)</t>
  </si>
  <si>
    <t>Royal (Package) (3,501 to 7,500 ton) (Non EV)</t>
  </si>
  <si>
    <t>ERNAKULAM (commission on OD)</t>
  </si>
  <si>
    <t>THRISSUR (commission on OD)</t>
  </si>
  <si>
    <t>PALAKKAD (commission on OD)</t>
  </si>
  <si>
    <t>THIRUVANANTHAPURAM (commission on OD)</t>
  </si>
  <si>
    <t>KOLLAM (commission on OD)</t>
  </si>
  <si>
    <t>Royal (TP) (3,501 to 7,500 ton) (Non EV)</t>
  </si>
  <si>
    <t>Royal (Package) (7,501 to 12,000 ton) (Non EV)</t>
  </si>
  <si>
    <t>MALAPPURAM (commission on OD)</t>
  </si>
  <si>
    <t>KOTTAYAM (commission on OD)</t>
  </si>
  <si>
    <t>REST OF KERALA (commission on OD)</t>
  </si>
  <si>
    <t>Royal (TP) (7,501 to 12,000 ton) (Non EV)</t>
  </si>
  <si>
    <t>Universal (Package, TP) (7,501 to 20,000 Ton)</t>
  </si>
  <si>
    <t>Shriram (Package) (12,001 to 20,000 Ton)</t>
  </si>
  <si>
    <t>(9 to 15 years)</t>
  </si>
  <si>
    <t>Shriram (TP) (12,001 to 20,000 Ton)</t>
  </si>
  <si>
    <t>(9 to 25 years)</t>
  </si>
  <si>
    <t>Royal (Package) (12,001 to 20,000 ton) (Non EV)</t>
  </si>
  <si>
    <t>KANNUR (commission on OD)</t>
  </si>
  <si>
    <t>KASARAGOD (commission on OD)</t>
  </si>
  <si>
    <t>Royal (TP) (12,001 to 20,000 ton) (Non EV)</t>
  </si>
  <si>
    <t>Magma (Package) (12,001 to 20,000 Ton) (Age &gt;= 5 Years)</t>
  </si>
  <si>
    <t>Magma (TP) (12,001 to 20,000 Ton) (Age &gt;= 5 Years)</t>
  </si>
  <si>
    <t>(declined -02) (Only Tata and Ashok Make accepted)</t>
  </si>
  <si>
    <t>Shriram (Package) (20,001 to 30,000 Ton)</t>
  </si>
  <si>
    <t>Shriram (TP) (20,001 to 30,000 Ton)</t>
  </si>
  <si>
    <t>Royal (Package) (20,001 to 40,000 ton) (Non EV)</t>
  </si>
  <si>
    <t>Royal (TP) (20,001 to 40,000 ton) (Non EV)</t>
  </si>
  <si>
    <t>Shriram (Package, TP) (JCB only)</t>
  </si>
  <si>
    <t>upto 10 years</t>
  </si>
  <si>
    <t>Universal (Tractor) (Rollover)</t>
  </si>
  <si>
    <t>(Seating Capacity 12 to 15 Seater)</t>
  </si>
  <si>
    <t>(Seating Capacity 16 to 30 Seater)</t>
  </si>
  <si>
    <t>(Seating Capacity 31 to 50 Seater)</t>
  </si>
  <si>
    <t>(Seating Capacity above 50 Seater)</t>
  </si>
  <si>
    <t>( 18 - 36 Seaters)</t>
  </si>
  <si>
    <t>Shriram (Package) (non EV) (upto 15 years) (Diesel)</t>
  </si>
  <si>
    <t>(Declined RTO -  - 11, 18, 32)</t>
  </si>
  <si>
    <t>Shriram (TP) (non EV) (upto 25 years) (Diesel)</t>
  </si>
  <si>
    <t>Shriram (Package) (non EV) (upto 15 years) (Other than diesel)</t>
  </si>
  <si>
    <t>Shriram (TP) (non EV) (upto 25 years) (Other than diesel)</t>
  </si>
  <si>
    <t>Royal (Package) (non EV)</t>
  </si>
  <si>
    <t>Thiruvananthapuram &amp;&amp; Kochi</t>
  </si>
  <si>
    <t xml:space="preserve">Shriram (Package) (6+1 Seater) </t>
  </si>
  <si>
    <t>upto 15 years (Declined RTO  - 25, 37, 58)</t>
  </si>
  <si>
    <t>Shriram (TP) (6+1 Seater)</t>
  </si>
  <si>
    <t>upto 25 years (Declined RTO  - 25, 37, 58)</t>
  </si>
  <si>
    <t>Shriram (Package) (7 to 10 Seater)</t>
  </si>
  <si>
    <t>Shriram (TP) (7 to 10 Seater)</t>
  </si>
  <si>
    <t>(Package) (Nil Dep) (For  - 01)</t>
  </si>
  <si>
    <t>(Package) (Non Nil Dep) (For  - 01)</t>
  </si>
  <si>
    <t>(TP) (For  - 01)</t>
  </si>
  <si>
    <t>Shriram (Package, OD) (Diesel) (upto 15 years) (NCB =&gt;25%)</t>
  </si>
  <si>
    <t>Shriram (Package, OD) (Petrol) (upto 15 years) (with NCB)</t>
  </si>
  <si>
    <t>(commission on OD) (Maruti Alto Declined)</t>
  </si>
  <si>
    <t>Shriram (TP) (age 4 to 25 years) (petrol)</t>
  </si>
  <si>
    <t>(Accepted Makes Hyundai, Toyota, Mahindra, KIA, Tata, Maruti, Honda)</t>
  </si>
  <si>
    <t>Royal (TP) (Non Diesel) (above 1000CC)</t>
  </si>
  <si>
    <t>CALICUT</t>
  </si>
  <si>
    <t>ERNAKULAM/KOCHI</t>
  </si>
  <si>
    <t>Royal (TP) (Diesel) (above 1500CC)</t>
  </si>
  <si>
    <t>Magma (1+1) (Petrol) (zero NCB)</t>
  </si>
  <si>
    <t>Magma (1+1) (Diesel) (zero NCB)</t>
  </si>
  <si>
    <t>(For Chennai ID)</t>
  </si>
  <si>
    <t>Chola (New) (upto 350 CC) (CPA Mandatory) (commission on First Year Premium)</t>
  </si>
  <si>
    <t>Chola (old) (package) (upto 350 CC) (CPA Mandatory)</t>
  </si>
  <si>
    <t>TVS, Suzuki</t>
  </si>
  <si>
    <t>ICICI (OD) (Policy Should be issued on Kerala ID)</t>
  </si>
  <si>
    <t>For Royal Enfield</t>
  </si>
  <si>
    <t>Chola (New) (CPA Mandatory) (commission on First Year Premium)</t>
  </si>
  <si>
    <t>Shriram (Package) (Non EV) (upto 15 years) (on OD)</t>
  </si>
  <si>
    <t>Andhra &amp; Telangana</t>
  </si>
  <si>
    <t>Shriram (Package, TP) (EV) (upto 15 years) (upto 2,000 Watt)</t>
  </si>
  <si>
    <t>Andhra</t>
  </si>
  <si>
    <t>Telangana</t>
  </si>
  <si>
    <t>Shriram (Package, TP) (EV) (upto 15 years) (Above 2,000 Watt)</t>
  </si>
  <si>
    <t>ANANTAPUR</t>
  </si>
  <si>
    <t>CHITTOOR</t>
  </si>
  <si>
    <t>EAST GODAVARI</t>
  </si>
  <si>
    <t>GUNTUR</t>
  </si>
  <si>
    <t>KADAPA</t>
  </si>
  <si>
    <t>NELLORE</t>
  </si>
  <si>
    <t>ONGOLE</t>
  </si>
  <si>
    <t>REST OF  ANDHRA PRADESH</t>
  </si>
  <si>
    <t>VISAKHAPATNAM</t>
  </si>
  <si>
    <t>WEST GODAVARI</t>
  </si>
  <si>
    <t>HYDERABAD</t>
  </si>
  <si>
    <t>MAHBUBNAGAR</t>
  </si>
  <si>
    <t>MEDAK</t>
  </si>
  <si>
    <t>NIZAMABAD</t>
  </si>
  <si>
    <t>REST OF  TELANGANA</t>
  </si>
  <si>
    <t>Chola (Package) (CPA Mandatory)</t>
  </si>
  <si>
    <t>EV &amp; Non EV</t>
  </si>
  <si>
    <t>Chola (TP) (CPA Mandatory)</t>
  </si>
  <si>
    <t>Hyderabad</t>
  </si>
  <si>
    <t>Rest of Telangana</t>
  </si>
  <si>
    <t>Warangal</t>
  </si>
  <si>
    <t>Rest of Andhra</t>
  </si>
  <si>
    <t>Vijaywada</t>
  </si>
  <si>
    <t>Vishakapattanam</t>
  </si>
  <si>
    <t>ICICI (Package) (Old) (Non EV)</t>
  </si>
  <si>
    <t>Future Generali (Package, TP) (Andhra)</t>
  </si>
  <si>
    <t>(on OD)</t>
  </si>
  <si>
    <t>(on TP)</t>
  </si>
  <si>
    <t>Future Generali (Package, TP) (Telangana)</t>
  </si>
  <si>
    <t>Royal (package) (upto 2,300 Ton) (non EV)</t>
  </si>
  <si>
    <t>Shriram (Package) (upto 15 years)  (upto 2,000 Ton) (for other models) (expect bolero)</t>
  </si>
  <si>
    <t>Andhra (Decline RTO AP-27)</t>
  </si>
  <si>
    <t>Shriram (TP) (upto 20 years) (upto 2,000 Ton) (for other models) (expect bolero)</t>
  </si>
  <si>
    <t>Shriram (Package) (upto 15 years)  (2,001 to 2,800 Ton) (for other models) (expect bolero)</t>
  </si>
  <si>
    <t>Shriram (TP) (upto 20 years) (2,001 to 2,800 Ton) (for other models) (expect bolero)</t>
  </si>
  <si>
    <t>Shriram (Package, TP) (upto 15 Years) (upto 2,800 Ton)</t>
  </si>
  <si>
    <t>Shriram (Package, TP) (Age 5 to 10 years)  (upto 2,800 Ton) (for Bolero Model)</t>
  </si>
  <si>
    <t>SBI (New) (Package) (2,001 to 2,500 Ton) (for other than Tata make) (declined bolero and EV)</t>
  </si>
  <si>
    <t>SBI (old) (Package) (2,001 to 2,500 Ton) (for other than Tata make) (declined bolero and EV)</t>
  </si>
  <si>
    <t>SBI (old) (TP) (2,001 to 2,500 Ton) (for other than Tata make) (declined bolero and EV)</t>
  </si>
  <si>
    <t>Royal (package) (upto 3,500 Ton) (EV)</t>
  </si>
  <si>
    <t>Magma (Package) (upto 2.5 TON)</t>
  </si>
  <si>
    <t>Magma (TP) (upto 2.5 TON)</t>
  </si>
  <si>
    <t>Tata AIG (Package, TP) (upto 2.5 Ton) (for Chennai ID)</t>
  </si>
  <si>
    <t>Future Generali (Package, TP) (Andhra) (upto 2.5 Ton)</t>
  </si>
  <si>
    <t>Future Generali (Package, TP) (Telangana) (upto 2.5 Ton)</t>
  </si>
  <si>
    <t>Shriram (Package) (2,801 to 3,500 Ton)</t>
  </si>
  <si>
    <t>(upto 15 years) (Telangana)</t>
  </si>
  <si>
    <t>Shriram (TP) (2,801 to 3,500 Ton)</t>
  </si>
  <si>
    <t>(upto 25 years) (Telangana)</t>
  </si>
  <si>
    <t>Shriram (package) (2,801 to 3,500 Ton)</t>
  </si>
  <si>
    <t>(upto 15 years) (Andhra) (Decline RTO AP-27,30,05,04,02)</t>
  </si>
  <si>
    <t>(upto 20 years) (Andhra) (Decline RTO AP-27,30,05,04,02)</t>
  </si>
  <si>
    <t>Future Generali (Package, TP) (Andhra) (2,501 to 3,500 Ton) (excluding Bolero)</t>
  </si>
  <si>
    <t>Future Generali (Package, TP) (Telangana) (2,501 to 3,500 Ton) (excluding Bolero)</t>
  </si>
  <si>
    <t>Royal (Package) (2,301 to 3,500 Ton) (non EV)</t>
  </si>
  <si>
    <t>Magma (Package) (2,501 to 2,800 TON)</t>
  </si>
  <si>
    <t>Magma (TP) (2,501 to 2,800 TON)</t>
  </si>
  <si>
    <t>Magma (Package) (2,801 to 3,500 TON)</t>
  </si>
  <si>
    <t>Magma (TP) (2,801 to 3,500 TON)</t>
  </si>
  <si>
    <t>(Doable RTO List - AP-01,05,06,07,12,15,16,17,20,22,23,24,25,28,29,30,31,32,33,35,36,37,39,40)</t>
  </si>
  <si>
    <t>ICICI (Package) (Only New) (2,451 to 3,500 Ton)</t>
  </si>
  <si>
    <t>ICICI (Package) (Old) (2,451 to 3,500 Ton)</t>
  </si>
  <si>
    <t>Royal (Package) (3,501 to 7,500 Ton) (non EV)</t>
  </si>
  <si>
    <t>ANANTAPUR (Commission on OD)</t>
  </si>
  <si>
    <t>CHITTOOR (commission on OD)</t>
  </si>
  <si>
    <t>NIZAMABAD  (Commission on OD)</t>
  </si>
  <si>
    <t>MAHBUBNAGAR (commission on OD)</t>
  </si>
  <si>
    <t>REST OF  TELANGANA  (Commission on OD)</t>
  </si>
  <si>
    <t>Magma (Package) (3,501 to 7,500 Ton)</t>
  </si>
  <si>
    <t>ICICI (Package) (3,501 to 7,500 Ton)</t>
  </si>
  <si>
    <t>SBI (Package) (3,501 to 5,000 Ton) (Excluding Eicher &amp; Mahindra)</t>
  </si>
  <si>
    <t>SBI (TP) (3,501 to 5,000 Ton) (Excluding Eicher &amp; Mahindra)</t>
  </si>
  <si>
    <t>(doable RTO List - AP-05,06,07,16,17,30,31,32,33,35)</t>
  </si>
  <si>
    <t>Universal (Package, TP) ( 3,501 to 7,500 Ton)</t>
  </si>
  <si>
    <t>Future Generali (Package, TP) (Andhra) (3,501 to 7,500 Ton)</t>
  </si>
  <si>
    <t>(upto 15 years) (Andhra)</t>
  </si>
  <si>
    <t>(upto 25 years) (Andhra)</t>
  </si>
  <si>
    <t>Vijayawada</t>
  </si>
  <si>
    <t>Universal (Package, TP) (7,501 to 12,000 Ton)</t>
  </si>
  <si>
    <t>SBI (Package) (7,501 to 12,000 Ton) (Excluding Eicher)</t>
  </si>
  <si>
    <t>SBI (TP) (7,501 to 12,000 Ton) (Excluding Eicher)</t>
  </si>
  <si>
    <t>Universal (Package, TP) (Above 7,501 Ton)</t>
  </si>
  <si>
    <t>Future Generali (Package, TP) (Telangana) (7,501 to 12,000 Ton)</t>
  </si>
  <si>
    <t>Shriram (Package) (12,001 to 42,500 Ton) (Andhra)</t>
  </si>
  <si>
    <t>Upto 15 years</t>
  </si>
  <si>
    <t>Shriram (TP) (12,001 to 42,500 Ton) (Andhra)</t>
  </si>
  <si>
    <t>Upto 25 years</t>
  </si>
  <si>
    <t>Shriram (Package) (12,001 to 42,500 Ton) (Telangana)</t>
  </si>
  <si>
    <t>Shriram (TP) (12,001 to 42,500 Ton) (Telangana)</t>
  </si>
  <si>
    <t>Royal (Package) (12,001 to 20,000 Ton) (non EV) (with Nil Deep) (upto 5 years)</t>
  </si>
  <si>
    <t>Royal (Package) (12,001 to 20,000 Ton) (non EV) ( For tata and ashok) (without Nil Deep) (upto 5 years)</t>
  </si>
  <si>
    <t>Royal (Package) (12,001 to 20,000 Ton) (non EV) ( Other than tata and ashok) (above 5 years)</t>
  </si>
  <si>
    <t>Royal (Package) (12,001 to 20,000 Ton) (non EV) ( for tata and ashok) (without nil deep) (above 5 years) (81% to 85%)</t>
  </si>
  <si>
    <t>Royal (Package) (12,001 to 20,000 Ton) (non EV) ( for tata and ashok) (without nil deep) (above 5 years) (86% to 90%)</t>
  </si>
  <si>
    <t>Magma (Package) (12,001 to 20,000 Ton) (Age below 5 Years)</t>
  </si>
  <si>
    <t>Magma (TP) (12,001 to 20,000 Ton) (Age below 5 Years)</t>
  </si>
  <si>
    <t>Reliance ( 12,001 to 20,000 Ton) (TP)</t>
  </si>
  <si>
    <t>SBI (new) (Package) (12,001 to 20,000 Ton) (For Tata &amp;&amp; Ashok Make)</t>
  </si>
  <si>
    <t>SBI (new) (TP) (12,001 to 20,000 Ton) (For Tata &amp;&amp; Ashok Make)</t>
  </si>
  <si>
    <t>SBI (old) (Package) (12,001 to 20,000 Ton) (For Tata &amp;&amp; Ashok Make) (age 1 to 5 years)</t>
  </si>
  <si>
    <t>SBI  (old) (TP) (12,001 to 20,000 Ton) (For Tata &amp;&amp; Ashok Make) (age 1 to 5 years)</t>
  </si>
  <si>
    <t>SBI  (old) (Package) (12,001 to 20,000 Ton) (For Tata &amp;&amp; Ashok Make) (age above 5 years)</t>
  </si>
  <si>
    <t>SBI  (old) (TP) (12,001 to 20,000 Ton) (For Tata &amp;&amp; Ashok Make) (age above 5 years)</t>
  </si>
  <si>
    <t>SBI (new) (Package) (12,001 to 20,000 Ton) (For Other Make)</t>
  </si>
  <si>
    <t>SBI (new) (TP) (12,001 to 20,000 Ton) (For Other Make)</t>
  </si>
  <si>
    <t>SBI (old) (Package) (12,001 to 20,000 Ton) (For Other Make) (age 1 to 5 years)</t>
  </si>
  <si>
    <t>SBI (old) (TP) (12,001 to 20,000 Ton) (For Other Make) (age 1 to 5 years)</t>
  </si>
  <si>
    <t>SBI (old) (Package) (12,001 to 20,000 Ton) (For Other Make) (age above 5 years)</t>
  </si>
  <si>
    <t>SBI (old) (TP) (12,001 to 20,000 Ton) (For Other Make) (age above 5 years)</t>
  </si>
  <si>
    <t>Future Generali (Package, TP) (Andhra) (12,001 to 20,000 Ton)</t>
  </si>
  <si>
    <t>Royal (Package) (20,001 to 40,000 Ton) (non EV) (with Nil Deep) (upto 5 years)</t>
  </si>
  <si>
    <t>Royal (Package) (20,001 to 40,000 Ton) (non EV(for Tata and Ashok) (without Nil Deep) (upto 5 years)</t>
  </si>
  <si>
    <t>Royal (Package) (20,001 to 40,000 Ton) (non EV) (other than Tata and Ashok) (Above 5 years)</t>
  </si>
  <si>
    <t>Royal (Package) (20,001 to 40,000 Ton) (non EV) (for Tata and Ashok) (with Nil Deep) (Above 5 years)</t>
  </si>
  <si>
    <t>Royal (Package) (20,001 to 40,000 Ton) (non EV) (for Tata and Ashok) (without Nil Deep) (Above 5 years) (upto 85%)</t>
  </si>
  <si>
    <t>Royal (Package) (20,001 to 40,000 Ton) (non EV) (for Tata and Ashok) (without Nil Deep) (Above 5 years) (86% to 90%)</t>
  </si>
  <si>
    <t>Magma (Package) (20,001 to 40,000 Ton) (Age Below 5 years)</t>
  </si>
  <si>
    <t>Magma (Package) (20,001 to 40,000 Ton) (Age &gt;= 5 years)</t>
  </si>
  <si>
    <t>Magma (TP) (20,001 to 40,000 Ton) (Age Below 5 years)</t>
  </si>
  <si>
    <t>Magma (TP) (20,001 to 40,000 Ton) (Age above 5 years)</t>
  </si>
  <si>
    <t>Chola (CPA Mandatory) (20,001 to 40,000)</t>
  </si>
  <si>
    <t>Reliance ( 20,001 to 40,000 Ton) (TP)</t>
  </si>
  <si>
    <t>SBI (old) (Package) (20,001 to 40,000 Ton) (For Tata &amp;&amp; Ashok Make) (age 1 to 5 years)</t>
  </si>
  <si>
    <t>SBI  (old) (TP) (20,001 to 40,000 Ton) (For Tata &amp;&amp; Ashok Make) (age 1 to 5 years)</t>
  </si>
  <si>
    <t>SBI  (old) (Package) (20,001 to 40,000 Ton) (For Tata &amp;&amp; Ashok Make) (age above 5 years)</t>
  </si>
  <si>
    <t>SBI  (old) (TP) (20,001 to 40,000 Ton) (For Tata &amp;&amp; Ashok Make) (age above 5 years)</t>
  </si>
  <si>
    <t>SBI (new) (Package) (20,001 to 40,000 Ton) (For Other Make)</t>
  </si>
  <si>
    <t>SBI (new) (TP) (20,001 to 40,000 Ton) (For Other Make)</t>
  </si>
  <si>
    <t>SBI (old) (Package) (20,001 to 40,000 Ton) (For Other Make) (age 1 to 5 years)</t>
  </si>
  <si>
    <t>SBI (old) (TP) (20,001 to 40,000 Ton) (For Other Make) (age 1 to 5 years)</t>
  </si>
  <si>
    <t>SBI (old) (Package) (20,001 to 40,000 Ton) (For Other Make) (age above 5 years)</t>
  </si>
  <si>
    <t>SBI (old) (TP) (20,001 to 40,000 Ton) (For Other Make) (age above 5 years)</t>
  </si>
  <si>
    <t>Future Generali (Package, TP) (Telangana) (20,001 to 40,000 Ton)</t>
  </si>
  <si>
    <t>Shriram (Package) (42,501 to 50,000 Ton) (Andhra)</t>
  </si>
  <si>
    <t>Shriram (TP) (42,501 to 50,000 Ton) (Andhra)</t>
  </si>
  <si>
    <t>Shriram (Package) (42,501 to 50,000 Ton) (Telangana)</t>
  </si>
  <si>
    <t>Shriram (TP) (42,501 to 50,000 Ton) (Telangana)</t>
  </si>
  <si>
    <t>Magma (Package) (Above 40,001 Ton)</t>
  </si>
  <si>
    <t>Magma (TP) (Above 40,001 Ton)</t>
  </si>
  <si>
    <t>Chola (CPA Mandatory) (40,001 to 43,000 Ton)</t>
  </si>
  <si>
    <t>Chola (CPA Mandatory) (43,001 to 47,500 Ton)</t>
  </si>
  <si>
    <t>SBI (Package) (Above 40,001 Ton) (For Tata &amp;&amp; Ashok Make) (age upto 5 years)</t>
  </si>
  <si>
    <t>SBI (TP) (Above 40,001 Ton) (For Tata &amp;&amp; Ashok Make) (age upto 5 years)</t>
  </si>
  <si>
    <t>SBI (Package) (Above 40,001 Ton) (For Tata &amp;&amp; Ashok Make) (age above 5 years)</t>
  </si>
  <si>
    <t>SBI (TP) (Above 40,001 Ton) (For Tata &amp;&amp; Ashok Make) (age above 5 years)</t>
  </si>
  <si>
    <t>SBI (Package) (Above 40,001 Ton) (For Other Make) (age upto 5 years)</t>
  </si>
  <si>
    <t>SBI (TP) (Above 40,001 Ton) (For Other Make) (age upto 5 years)</t>
  </si>
  <si>
    <t>SBI (Package) (Above 40,001 Ton) (For Other Make) (age above 5 years)</t>
  </si>
  <si>
    <t>SBI (TP) (Above 40,001 Ton) (For Other Make) (age above 5 years)</t>
  </si>
  <si>
    <t>Royal (Package) (Tractor)</t>
  </si>
  <si>
    <t>Royal (TP) (Tractor)</t>
  </si>
  <si>
    <t>Shriram (Tractor) (package, TP) (upto 15 years)</t>
  </si>
  <si>
    <t>Shriram (Tractor without trailer) (Only New Package)</t>
  </si>
  <si>
    <t>Magma (Package) (New) (Tractor &amp;&amp; Harvestor)</t>
  </si>
  <si>
    <t>Magma (TP) (New) (Tractor)</t>
  </si>
  <si>
    <t>Magma (TP) (New) (Harvestor)</t>
  </si>
  <si>
    <t>Magma (Package) (Old) (Tractor &amp;&amp; Harvestor)</t>
  </si>
  <si>
    <t>Magma (TP) (Old) (Tractor)</t>
  </si>
  <si>
    <t>Magma (TP) (Old) (Harvestor)</t>
  </si>
  <si>
    <t>ICICI (Package) (Misc Others) (Excluding Cranes)</t>
  </si>
  <si>
    <t>ICICI (Package) (Only New) (Tractor)</t>
  </si>
  <si>
    <t>ICICI (Package) (Old) (Tractor)</t>
  </si>
  <si>
    <t>Rest of Andhra (age above 6 years)</t>
  </si>
  <si>
    <t>Universal (Tractor) (New) (Rollover)</t>
  </si>
  <si>
    <t>Andhra, Telangana (excluding warangal)</t>
  </si>
  <si>
    <t>warangal</t>
  </si>
  <si>
    <t>Tata AIG (Package, TP) (for Chennai ID) (Seating Capacity above 12) (policy should be on school name)</t>
  </si>
  <si>
    <t>(Accepted RTO - AP- 28, 29, 09, 10, 11, 12, 13, 14 &amp;&amp; TS- 07, 08, 09, 10, 11, 12, 13, 14, 15 )</t>
  </si>
  <si>
    <t>Rest of AP &amp;&amp; TL</t>
  </si>
  <si>
    <t>Tata AIG (Package, TP) (for Chennai ID) (Seating Capacity above 12)</t>
  </si>
  <si>
    <t>Shriram (Package, TP) (Only Bajaj Makes) (Diesel)</t>
  </si>
  <si>
    <t>(upto 5 years) (andhra) (declined RTO - AP-07,21,02,24,23,25)</t>
  </si>
  <si>
    <t>Shriram (Package, TP) (Other than Bajaj Makes) (Diesel)</t>
  </si>
  <si>
    <t>(6 to 15 years) (andhra) (declined RTO - AP-07,21,02,24,23,25)</t>
  </si>
  <si>
    <t>Shriram (Package, TP) (Bajaj and TVS Makes) (Diesel)</t>
  </si>
  <si>
    <t>(upto 15 years) (telangana) (declined RTO TS-05,16,17)</t>
  </si>
  <si>
    <t>Shriram (Package, TP) (Other than Diesel)</t>
  </si>
  <si>
    <t>(upto 15 years) (andhra) (declined RTO - AP-07,21,02,24,23,25)</t>
  </si>
  <si>
    <t>Shriram (Package, TP) (EV) (Age upto 15 years) (upto 2,000 Watt)</t>
  </si>
  <si>
    <t>Shriram (Package, TP) (EV) (Age upto 15 years) (Above 2,000 Watt)</t>
  </si>
  <si>
    <t>Hyderabad, Vizag</t>
  </si>
  <si>
    <t>Guntur</t>
  </si>
  <si>
    <t>Krishna</t>
  </si>
  <si>
    <t>Vizag</t>
  </si>
  <si>
    <t>Magma (Package) (only Old)</t>
  </si>
  <si>
    <t>Magma (new) (TP)</t>
  </si>
  <si>
    <t>Magma (old) (TP)</t>
  </si>
  <si>
    <t>Chola (CPA Mandatory) (includes EV)</t>
  </si>
  <si>
    <t>ICICI (Package) (Old) (Petrol, CNG)</t>
  </si>
  <si>
    <t>ICICI (Package) (New) (Petrol, CNG)</t>
  </si>
  <si>
    <t>Shriram (Package) (6+1 Seater) (andhra)</t>
  </si>
  <si>
    <t>Shriram (TP) (6+1 Seater) (andhra)</t>
  </si>
  <si>
    <t>upto 20 years</t>
  </si>
  <si>
    <t>Shriram (Package, TP) (6+1 Seater) (rest of telangana) (declined Hyderabad rto code)</t>
  </si>
  <si>
    <t>Shriram (Package, TP) (6+1 Seater) (hyderabad)</t>
  </si>
  <si>
    <t>Shriram (Package) (7 to 10 Seater) (andhra)</t>
  </si>
  <si>
    <t>upto 15 years (Declined RTO AP-05)</t>
  </si>
  <si>
    <t>Shriram (TP) (7 to 10 Seater) (andhra)</t>
  </si>
  <si>
    <t>upto 20 years (Declined RTO AP-05)</t>
  </si>
  <si>
    <t>Shriram (Package, TP) (7 to 10 Seater) (Telangana)</t>
  </si>
  <si>
    <t>Realiance (Package) (Petrol, EV, CNG) (below 6 Seater) (NND) (CPA Mandatory)</t>
  </si>
  <si>
    <t>Realiance (Package) (Diesel) (below 6 Seater) (NND) (CPA Mandatory)</t>
  </si>
  <si>
    <t>Realiance (TP) (Petrol, EV, CNG) (below 6 Seater) (NND) (CPA Mandatory)</t>
  </si>
  <si>
    <t>(Package) (Nil Dep) (For AP-07,17,39 TS-09,10,11,12,13)</t>
  </si>
  <si>
    <t>(Package) (Non Nil Dep) (For AP-07,17,39 TS-09,10,11,12,13)</t>
  </si>
  <si>
    <t>(TP) (For AP-07,17,39 TS-09,10,11,12,13)</t>
  </si>
  <si>
    <t>Andhra (on OD)</t>
  </si>
  <si>
    <t>Shriram (Package) (Diesel) (upto 15 years)</t>
  </si>
  <si>
    <t>Shriram (1+3) (Petrol) (only Honda, Hyundai &amp;&amp; Kia Makes)</t>
  </si>
  <si>
    <t>Shriram (Package, OD) (Petrol) (upto 15 years)</t>
  </si>
  <si>
    <t>Telangana (on OD)</t>
  </si>
  <si>
    <t>Shriram (TP) (Petrol) (Age 4 to 15 years)</t>
  </si>
  <si>
    <t>Shriram (Package, OD) (Diesel) (upto 15 years)</t>
  </si>
  <si>
    <t>Royal (New) (1000 - 1500 CC) (Petrol)</t>
  </si>
  <si>
    <t>(Accepted Make - Hyundai, Toyota, Mahindra, KIA, Tata, Maruti, Honda) (Accepted RTO - Hyderabad, Rangareddy, Vishakapatnam, East &amp; West Godavari, Krishna, Guntur)</t>
  </si>
  <si>
    <t>(Accepted Make - Hyundai, Toyota, Mahindra, KIA, Tata, Maruti, Honda) (Accepted RTO - Hyderabad, Rangareddy, Vishakapatnam, East &amp; West Godavari, Krishna, Guntur, Chittoor, Medak, Nellore)</t>
  </si>
  <si>
    <t>EAST &amp; WEST GODAVARI</t>
  </si>
  <si>
    <t>KRISHNA</t>
  </si>
  <si>
    <t>REST OF AP</t>
  </si>
  <si>
    <t>VISAKHAPATANAM</t>
  </si>
  <si>
    <t>REST OF TELANGANA</t>
  </si>
  <si>
    <t>Magma (TP) (&lt;1000 CC) (Diesel)</t>
  </si>
  <si>
    <t>Magma (TP) (&lt;1000 CC) (Petrol)</t>
  </si>
  <si>
    <t>Magma (TP) (Above 1500 CC) (Petrol)</t>
  </si>
  <si>
    <t>Magma (TP) (Above 1500 CC) (Diesel)</t>
  </si>
  <si>
    <t>Chola (1000 to 1500 cc) (TP)</t>
  </si>
  <si>
    <t>Rest of Andhra Pradesh</t>
  </si>
  <si>
    <t xml:space="preserve">Visakhapatnam </t>
  </si>
  <si>
    <t>Rest of Andhra Pradesh (Maruthi)</t>
  </si>
  <si>
    <t>Future Generali (Package, SAOD)</t>
  </si>
  <si>
    <t>Universal (TP) (Diesel &amp; Biofuel)</t>
  </si>
  <si>
    <t>Universal (TP) (EV &amp; Petrol)</t>
  </si>
  <si>
    <t>AP&amp;&amp;TS (commission on Net)</t>
  </si>
  <si>
    <t>Royal (package) (only Old) (upto 150 cc) (non EV)</t>
  </si>
  <si>
    <t>Shriram (1+1) (upto 150 cc) (Age 6 to 15 years) (Non EV)</t>
  </si>
  <si>
    <t>Shriram (TP) (upto 150 cc) (Age 6 to 15 years) (Non EV)</t>
  </si>
  <si>
    <t>Shriram (TP) (Non EV)</t>
  </si>
  <si>
    <t>Chola (New)(upto 350 cc) (AP)(CPA Mandatory) (commission on First Year Premium)</t>
  </si>
  <si>
    <t>Chola (New)(upto 150 cc) (AP)(CPA Mandatory) (commission on First Year Premium)</t>
  </si>
  <si>
    <t>Chola (old)(Package)(upto 350 CC) (AP)(CPA Mandatory)</t>
  </si>
  <si>
    <t>Hero, TVS, Suzuki</t>
  </si>
  <si>
    <t>Chola (New)(upto 350 cc) (TS)(CPA Mandatory) (commission on First Year Premium)</t>
  </si>
  <si>
    <t>Chola (New)(upto 150 cc) (TS)(CPA Mandatory) (commission on First Year Premium)</t>
  </si>
  <si>
    <t>Magma (1+1) (75-150 cc)</t>
  </si>
  <si>
    <t>rest of AP &amp;&amp; TS</t>
  </si>
  <si>
    <t>Chola (New) (CPA Mandatory)(AP) (commission on First Year Premium)</t>
  </si>
  <si>
    <t>TVS,</t>
  </si>
  <si>
    <t>Chola (old)(Package)(CPA Mandatory)(AP)</t>
  </si>
  <si>
    <t>Other Makes, Honda, Bajaj</t>
  </si>
  <si>
    <t>Chola (TP)(CPA Mandatory)(AP)</t>
  </si>
  <si>
    <t>Chola (New)(EV)(AP)(TS) (commission on First Year Premium)</t>
  </si>
  <si>
    <t>Chola (New)(CPA Mandatory)(TS) (commission on First Year Premium)</t>
  </si>
  <si>
    <t>Chola (old)(Package)(CPA Mandatory)(TS)</t>
  </si>
  <si>
    <t>Hero, Yamaha, TVS, Suzuki</t>
  </si>
  <si>
    <t>Bajaj, Honda, Other Makes</t>
  </si>
  <si>
    <t>Chola (TP)(CPA Mandatory)(TS)</t>
  </si>
  <si>
    <t>TDS (10%)</t>
  </si>
  <si>
    <t>Iffco (Package, TP)</t>
  </si>
  <si>
    <t>GCV upto 2.5 Ton</t>
  </si>
  <si>
    <t>Iffco (Package, TP) (Upto 2,500 Ton)</t>
  </si>
  <si>
    <t>on Net</t>
  </si>
  <si>
    <t>GCV 2.5 to 3.5 Ton</t>
  </si>
  <si>
    <t>Iffco (Package, TP) (2,501 to 3,500 Ton)</t>
  </si>
  <si>
    <t>GCV 3.5 to 7.5 Ton</t>
  </si>
  <si>
    <t>Iffco (Package, TP) (3,501 to 7,500 Ton)</t>
  </si>
  <si>
    <t>GCV 7.5 to 12 Ton</t>
  </si>
  <si>
    <t>Iffco (Package, TP) (7,501 to 12,000 Ton)</t>
  </si>
  <si>
    <t>Iffco (Package, TP) (12,001 to 25,000 Ton)</t>
  </si>
  <si>
    <t>Iffco (Package, TP) (25,001 to 40,000 Ton)</t>
  </si>
  <si>
    <t>Iffco (Package) (Above 40,001 Ton)</t>
  </si>
  <si>
    <t>Iffco (Package, TP) (Excavator)</t>
  </si>
  <si>
    <t>Iffco (Package) (Non EV)</t>
  </si>
  <si>
    <t>Iffco (Package) (EV)</t>
  </si>
  <si>
    <t>Iffco (Package, TP) (Upto 10 Seater)</t>
  </si>
  <si>
    <t>Iffco (Package)</t>
  </si>
  <si>
    <t>Iffco (SAOD)</t>
  </si>
  <si>
    <t>On Net</t>
  </si>
  <si>
    <t>Iffco (Package, TP) (upto 2.5 Ton)</t>
  </si>
  <si>
    <t>Iffco (Package, TP) (EV)</t>
  </si>
  <si>
    <t>Iffco (Package) (7 to 10 seater)</t>
  </si>
  <si>
    <t>GCV 12 to 20 Ton</t>
  </si>
  <si>
    <t>Iffco (Package, TP) (12,001 to 20,000 Ton)</t>
  </si>
  <si>
    <t>GCV 20 to 40 Ton</t>
  </si>
  <si>
    <t>Iffco (Package, TP) (20,001 to 40,000 Ton)</t>
  </si>
  <si>
    <t>Iffco (package) (Excluding Tractor)</t>
  </si>
  <si>
    <t>Iffco (Package, TP) (includes EV)</t>
  </si>
  <si>
    <t>Iffco (package, TP) (upto 10 Seater)</t>
  </si>
  <si>
    <t>Iffco (Package) (Upto 2,500 Ton)</t>
  </si>
  <si>
    <t>Iffco (TP) (Upto 2,500 Ton)</t>
  </si>
  <si>
    <t>Iffco (Package) (2,501 to 3,500 Ton)</t>
  </si>
  <si>
    <t>Iffco (TP) (2,501 to 3,500 Ton)</t>
  </si>
  <si>
    <t>Iffco (Package) (3,501 to 7,500 Ton)</t>
  </si>
  <si>
    <t>Iffco (TP) (3,501 to 7,500 Ton)</t>
  </si>
  <si>
    <t>Iffco (Package) (Above 40,000 Ton)</t>
  </si>
  <si>
    <t>Andhra &amp;&amp; Telangana</t>
  </si>
  <si>
    <t>Iffco (TP)</t>
  </si>
  <si>
    <t>Iffco (Package) (includes EV)</t>
  </si>
  <si>
    <t>Andhra, Telangana</t>
  </si>
  <si>
    <t>Private Car &amp;&amp; Two Wheeler</t>
  </si>
  <si>
    <t>Private Car (1+3)</t>
  </si>
  <si>
    <t>Private Car (1+1) (Age 1 to 10 Years)</t>
  </si>
  <si>
    <t>Private Car (1+1) (Age above 10 Years)</t>
  </si>
  <si>
    <t>Private Car (TP)</t>
  </si>
  <si>
    <t>Private Car (OD) (Age 1 to 10 Years)</t>
  </si>
  <si>
    <t>Bike &amp; Scooter (1+5)</t>
  </si>
  <si>
    <t>Bike &amp; Scooter (1+1) (age 1 to 10 years)</t>
  </si>
  <si>
    <t>Bike &amp; Scooter (1+1) (age above 10 years)</t>
  </si>
  <si>
    <t>Bike &amp; Scooter (OD) (age 1 to 10 years)</t>
  </si>
  <si>
    <t>Bike &amp; Scooter (TP)</t>
  </si>
  <si>
    <t>CV Segment</t>
  </si>
  <si>
    <t>For GCV (Upto 2,000 Ton) (for New vehicle) (Package)</t>
  </si>
  <si>
    <t>(commission on TP)</t>
  </si>
  <si>
    <t>For GCV (Upto 2,000 Ton) (for Non New vehicle) (Package)</t>
  </si>
  <si>
    <t>For GCV (Upto 2,000 Ton) (TP)</t>
  </si>
  <si>
    <t>For GCV (2,001 to 7,500 Ton) (for New vehicle) (Package)</t>
  </si>
  <si>
    <t>For GCV (2,001 to 7,500 Ton) (for Non New vehicle) (Package)</t>
  </si>
  <si>
    <t>For GCV (2,001 to 7,500 Ton) (TP)</t>
  </si>
  <si>
    <t>For School Bus (for New vehicle) (Package)</t>
  </si>
  <si>
    <t>For School Bus (for Non New vehicle) (Package)</t>
  </si>
  <si>
    <t>For School Bus (TP)</t>
  </si>
  <si>
    <t>Private Car</t>
  </si>
  <si>
    <t>Two Wheeler</t>
  </si>
  <si>
    <t>Misc Vehicles</t>
  </si>
  <si>
    <t>TW (1+5) (for first year)</t>
  </si>
  <si>
    <t>Commission on OD</t>
  </si>
  <si>
    <t>Commission on TP</t>
  </si>
  <si>
    <t>TW (1+5) (from second year)</t>
  </si>
  <si>
    <t>TW (OD) (upto 10 years)</t>
  </si>
  <si>
    <t>TW (OD) (above 10 years)</t>
  </si>
  <si>
    <t>TW (1+1) (upto 3 years)</t>
  </si>
  <si>
    <t>TW (1+1) (above 3 to 10 years)</t>
  </si>
  <si>
    <t>TW (1+1) (above 10 to 15 years)</t>
  </si>
  <si>
    <t>TW (1+1) (above 15 years)</t>
  </si>
  <si>
    <t>TW (TP) (upto 3 years)</t>
  </si>
  <si>
    <t>TW (TP) (above 3 years)</t>
  </si>
  <si>
    <t>Pvt Car (1+3) (for first year)</t>
  </si>
  <si>
    <t>Pvt Car (1+3) (from second year)</t>
  </si>
  <si>
    <t>Pvt Car (OD) (upto 10 years)</t>
  </si>
  <si>
    <t>Pvt Car (OD) (above 10 years)</t>
  </si>
  <si>
    <t>Pvt Car (1+1) (upto 3 years)</t>
  </si>
  <si>
    <t>Pvt Car (1+1) (above 3 to 10 years)</t>
  </si>
  <si>
    <t>Pvt Car (1+1) (above 10 to 15 years)</t>
  </si>
  <si>
    <t>Pvt Car (1+1) (above 15 years)</t>
  </si>
  <si>
    <t>Pvt Car (TP) (upto 3 years)</t>
  </si>
  <si>
    <t>Pvt Car (TP) (above 3 years)</t>
  </si>
  <si>
    <t>Commercial Vehicle</t>
  </si>
  <si>
    <t>For (Edu Bus) (new vehicle) (1+1)</t>
  </si>
  <si>
    <t>For (Edu Bus) (non new vehicle) (1+1)</t>
  </si>
  <si>
    <t>For (Edu Bus) (TP) (upto 3 years)</t>
  </si>
  <si>
    <t>For (Edu Bus) (TP) (above 3 years)</t>
  </si>
  <si>
    <t>For (GCV upto 3,000 Ton) (new vehicle) (1+1)</t>
  </si>
  <si>
    <t>For (GCV upto 3,000 Ton) (upto 10 years) (1+1)</t>
  </si>
  <si>
    <t>For (GCV upto 3,000 Ton) (above 10 to 15 years) (1+1)</t>
  </si>
  <si>
    <t>For (GCV upto 3,000 Ton) (above 15 years) (1+1)</t>
  </si>
  <si>
    <t>For (GCV upto 3,000 Ton) (TP) (upto 3 years)</t>
  </si>
  <si>
    <t>For (GCV upto 3,000 Ton) (TP) (above 3 years)</t>
  </si>
  <si>
    <t>For (GCV 3,001 to 7,500 Ton) (new vehicle) (1+1)</t>
  </si>
  <si>
    <t>For (GCV 3,001 to 7,500 Ton) (upto 10 years) (1+1)</t>
  </si>
  <si>
    <t>For (GCV 3,001 to 7,500 Ton) (above 10 to 15 years) (1+1)</t>
  </si>
  <si>
    <t>For (GCV 3,001 to 7,500 Ton) (above 15 years) (1+1)</t>
  </si>
  <si>
    <t>For (GCV 3,001 to 7,500 Ton) (TP) (upto 3 years)</t>
  </si>
  <si>
    <t>For (GCV 3,001 to 7,500 Ton) (TP) (above 3 years)</t>
  </si>
  <si>
    <t>For (GCV 7,501 to 12,000 Ton) (new vehicle) (1+1)</t>
  </si>
  <si>
    <t>For (GCV 7,501 to 12,000 Ton) (upto 10 years) (1+1)</t>
  </si>
  <si>
    <t>For (GCV 7,501 to 12,000 Ton) (above 10 to 15 years) (1+1)</t>
  </si>
  <si>
    <t>For (GCV 7,501 to 12,000 Ton) (above 15 years) (1+1)</t>
  </si>
  <si>
    <t>For (GCV 7,501 to 12,000 Ton) (TP) (upto 3 years)</t>
  </si>
  <si>
    <t>For (GCV 7,501 to 12,000 Ton) (TP) (above 3 years)</t>
  </si>
  <si>
    <t>For (GCV 12,001 to 20,000 Ton) (upto 10 years) (1+1)</t>
  </si>
  <si>
    <t>For (GCV 12,001 to 20,000 Ton) (above 10 to 15 years) (1+1)</t>
  </si>
  <si>
    <t>For (GCV 12,001 to 20,000 Ton) (above 15 years) (1+1)</t>
  </si>
  <si>
    <t>For (GCV 12,001 to 20,000 Ton) (TP) (upto 3 years)</t>
  </si>
  <si>
    <t>For (GCV 12,001 to 20,000 Ton) (TP) (above 3 years)</t>
  </si>
  <si>
    <t>For (GCV 20,001 to 34,000 Ton) (upto 10 years) (1+1)</t>
  </si>
  <si>
    <t>For (GCV 20,001 to 34,000 Ton) (above 10 to 15 years) (1+1)</t>
  </si>
  <si>
    <t>For (GCV 20,001 to 34,000 Ton) (above 15 years) (1+1)</t>
  </si>
  <si>
    <t>For (GCV 20,001 to 34,000 Ton) (TP) (upto 3 years)</t>
  </si>
  <si>
    <t>For (GCV 20,001 to 34,000 Ton) (TP) (above 3 years)</t>
  </si>
  <si>
    <t>For (GCV 34,001 to 40,000 Ton) (upto 10 years) (1+1)</t>
  </si>
  <si>
    <t>For (GCV 34,001 to 40,000 Ton) (above 10 to 15 years) (1+1)</t>
  </si>
  <si>
    <t>For (GCV 34,001 to 40,000 Ton) (above 15 years) (1+1)</t>
  </si>
  <si>
    <t>For (GCV 34,001 to 40,000 Ton) (TP) (upto 3 years)</t>
  </si>
  <si>
    <t>For (GCV 34,001 to 40,000 Ton) (TP) (above 3 years)</t>
  </si>
  <si>
    <t>For (GCV 40,001 to 48,000 Ton) (upto 10 years) (1+1)</t>
  </si>
  <si>
    <t>For (GCV 40,001 to 48,000 Ton) (above 10 to 15 years) (1+1)</t>
  </si>
  <si>
    <t>For (GCV 40,001 to 48,000 Ton) (above 15 years) (1+1)</t>
  </si>
  <si>
    <t>For (GCV 40,001 to 48,000 Ton) (TP) (upto 3 years)</t>
  </si>
  <si>
    <t>For (GCV 40,001 to 48,000 Ton) (TP) (above 3 years)</t>
  </si>
  <si>
    <t>For (GCV Above 48,001 Ton) (upto 10 years) (1+1)</t>
  </si>
  <si>
    <t>For (GCV Above 48,001 Ton) (above 10 to 15 years) (1+1)</t>
  </si>
  <si>
    <t>For (GCV Above 48,001 Ton) (above 15 years) (1+1)</t>
  </si>
  <si>
    <t>For (GCV Above 48,001 Ton) (TP) (upto 3 years)</t>
  </si>
  <si>
    <t>For (GCV Above 48,001 Ton) (TP) (above 3 years)</t>
  </si>
  <si>
    <t>For (Taxi upto 6 passenger) (above 10 to 15 years) (1+1)</t>
  </si>
  <si>
    <t>For (Taxi upto 6 passenger) (above 15 years) (1+1)</t>
  </si>
  <si>
    <t>For (Taxi upto 6 passenger) (TP)</t>
  </si>
  <si>
    <t>upto 3 years</t>
  </si>
  <si>
    <t>above 3 years</t>
  </si>
  <si>
    <t>For (Taxi Above 36 passenger) (upto 10 years) (1+1)</t>
  </si>
  <si>
    <t>For (Taxi Above 36 passenger) (above 10 to 15 years) (1+1)</t>
  </si>
  <si>
    <t>For (Taxi Above 36 passenger) (above 15 years) (1+1)</t>
  </si>
  <si>
    <t>For (Taxi Above 36 passenger) (TP)</t>
  </si>
  <si>
    <t>For (Auto) (new vehicle) (1+1)</t>
  </si>
  <si>
    <t>For (Auto) (upto 10 years) (1+1)</t>
  </si>
  <si>
    <t>For (Auto) (above 10 to 15 years) (1+1)</t>
  </si>
  <si>
    <t>For (Auto) (above 15 years) (1+1)</t>
  </si>
  <si>
    <t>For (Auto) (TP)</t>
  </si>
  <si>
    <t>For (Agriculture Tractor &amp;&amp; E-Rickshaw &amp;&amp; E-Cart) (above 10 to 15 years) (1+1)</t>
  </si>
  <si>
    <t>For (Agriculture Tractor &amp;&amp; E-Rickshaw &amp;&amp; E-Cart) (above 15 years) (1+1)</t>
  </si>
  <si>
    <t>For (Agriculture Tractor &amp;&amp; E-Rickshaw &amp;&amp; E-Cart) (TP)</t>
  </si>
  <si>
    <t>Bundle Policies (1+3) (commission on OD &amp;&amp; TP)</t>
  </si>
  <si>
    <t>(Diesel) (Upto 1500cc) (on OD) (Non EV)</t>
  </si>
  <si>
    <t>(Diesel) (Upto 1500cc) (on TP) (Non EV)</t>
  </si>
  <si>
    <t>(Petrol) (Upto 2500cc) (on OD) (Non EV)</t>
  </si>
  <si>
    <t>(Petrol) (Upto 2500cc) (on TP) (Non EV)</t>
  </si>
  <si>
    <t>(Diesel) (Above 1500cc to 2500 cc) (on OD) (Non EV)</t>
  </si>
  <si>
    <t>(Diesel) (Above 1500cc to 2500 cc) (on TP) (Non EV)</t>
  </si>
  <si>
    <t>(For above 2500 cc)  (For make tata, maruti, mahindra, toyato, hyundai, honda, kia) (on OD) (non EV)</t>
  </si>
  <si>
    <t>(For above 2500 cc)  (For make tata, maruti, mahindra, toyato, hyundai, honda, kia) (on TP) (non EV)</t>
  </si>
  <si>
    <t>(For above 2500cc) (Except Tata,Maruti,Mahindra,Toyota,Hyundai,Honda &amp; Kia) (on OD) (non EV)</t>
  </si>
  <si>
    <t>(For above 2500cc) (Except Tata,Maruti,Mahindra,Toyota,Hyundai,Honda &amp; Kia) (on TP) (non EV)</t>
  </si>
  <si>
    <t>(For EV) (on OD)</t>
  </si>
  <si>
    <t>(For EV) (on TP)</t>
  </si>
  <si>
    <t>Package Policies (1+1) (commission on OD &amp;&amp; TP)</t>
  </si>
  <si>
    <t>(Diesel) (Upto 1500cc) (on OD)</t>
  </si>
  <si>
    <t>(Diesel) (Upto 1500cc) (on TP)</t>
  </si>
  <si>
    <t>(Petrol) (Upto 2500cc) (on OD)</t>
  </si>
  <si>
    <t>(Petrol) (Upto 2500cc) (on TP)</t>
  </si>
  <si>
    <t>(Diesel) (Above 1500cc to 2500 cc) (on OD)</t>
  </si>
  <si>
    <t>(Diesel) (Above 1500cc to 2500 cc) (on TP)</t>
  </si>
  <si>
    <t>SAOD</t>
  </si>
  <si>
    <t>SATP</t>
  </si>
  <si>
    <t>TW (upto 350cc) (1+5)/(1+1)/TP (Non-EV)</t>
  </si>
  <si>
    <t>(For Tamil Nadu, Kerala, karnataka, Madhya Pradesh, Assam)</t>
  </si>
  <si>
    <t>(For Other States)</t>
  </si>
  <si>
    <t>TW (above 350cc) (1+5)/(1+1)/TP (Non-EV)</t>
  </si>
  <si>
    <t>TW (1+5)/(1+1)/TP (EV)</t>
  </si>
  <si>
    <t>TW (SAOD) (Non-EV &amp;&amp; EV)</t>
  </si>
  <si>
    <t>PCV</t>
  </si>
  <si>
    <t>PCV Auto (Package, TP) (non-EV &amp;&amp; EV)</t>
  </si>
  <si>
    <t>PCV TAXI (&lt;=10 Seater) (Package, TP) (non-EV)</t>
  </si>
  <si>
    <t>(For Haryana, Rajasthan)</t>
  </si>
  <si>
    <t>PCV TAXI (11 to 20 Seater) (Package, TP) (non-EV)</t>
  </si>
  <si>
    <t>(For Tamil Nadu, Karnataka)</t>
  </si>
  <si>
    <t>PCV TAXI (21 to 30 Seater) (Package, TP) (non-EV)</t>
  </si>
  <si>
    <t>(For Tamil Nadu, Madhya Pradesh, Uttar Pradesh)</t>
  </si>
  <si>
    <t>PCV TAXI (Above 30 Seater) (Package, TP) (non-EV)</t>
  </si>
  <si>
    <t>(For all States)</t>
  </si>
  <si>
    <t>PCV TAXI (Package, TP) (EV)</t>
  </si>
  <si>
    <t>(For Tamil Nadu, Madhya Pradesh, Uttar Pradesh, Haryana, Karnataka, Rajasthan)</t>
  </si>
  <si>
    <t>PCV - Edu &amp;&amp; Staff BUS (Package, TP) (Non-EV &amp;&amp; EV)</t>
  </si>
  <si>
    <t>(For Haryana, Karnataka, Rajasthan, Tamil Nadu, Uttar Pradesh, Madhya Pradesh)</t>
  </si>
  <si>
    <t>GCV</t>
  </si>
  <si>
    <t>(for Haryana, Madhya Pradesh, Rajasthan, Tamil Nadu, Uttar Pradesh, Karnataka, Kerala)</t>
  </si>
  <si>
    <t>(for Other States)</t>
  </si>
  <si>
    <t>GCV (Upto 2,000 Ton) (Package, TP) (Non-EV &amp;&amp; EV)</t>
  </si>
  <si>
    <t>(for Uttar Pradesh)</t>
  </si>
  <si>
    <t>GCV  (2,001 to 3,500 Ton) (Package, TP) (Non-EV &amp;&amp; EV)</t>
  </si>
  <si>
    <t>(for Haryana, Madhya Pradesh, Rajasthan, Tamil Nadu, Uttar Pradesh)</t>
  </si>
  <si>
    <t>GCV  (3,501 to 7,500 Ton) (Package, TP) (Non-EV &amp;&amp; EV)</t>
  </si>
  <si>
    <t>GCV  (7,501 to 10,000 Ton) (Package, TP) (Non-EV &amp;&amp; EV)</t>
  </si>
  <si>
    <t>GCV  (10,001 to 12,000 Ton) (Package, TP) (Non-EV &amp;&amp; EV)</t>
  </si>
  <si>
    <t>GCV  (12,001 to 20,000 Ton) (Package, TP) (Non-EV &amp;&amp; EV)</t>
  </si>
  <si>
    <t>GCV  (20,001 to 25,000 Ton) (Package, TP) (Non-EV &amp;&amp; EV)</t>
  </si>
  <si>
    <t>GCV  (above 40,000 Ton) (Package, TP) (Non-EV &amp;&amp; EV)</t>
  </si>
  <si>
    <t>MISC Vehicles (Package, TP)</t>
  </si>
  <si>
    <t>For Ambulances</t>
  </si>
  <si>
    <t>For Agriculture Tractors</t>
  </si>
  <si>
    <t>For Other Misc Vehicles</t>
  </si>
  <si>
    <t>GrossPayout</t>
  </si>
  <si>
    <t>Shriram (Package) (Other than Diesel) (Only Old)</t>
  </si>
  <si>
    <t>(Upto 15 years)</t>
  </si>
  <si>
    <t>Shriram (TP) (Other than Diesel) (Only Old)</t>
  </si>
  <si>
    <t>(Upto 30 years)</t>
  </si>
  <si>
    <t>(for Other than Bangalore RTO)</t>
  </si>
  <si>
    <t>ICICI (Old) (Package) (Non EV)</t>
  </si>
  <si>
    <t>ICICI (Package, TP) (Other Misc CE) (Excluding Cranes)</t>
  </si>
  <si>
    <t>ICICI (Package, TP) (above 1000 CC)</t>
  </si>
  <si>
    <t>ICICI (Package, TP) (Seating capacity 18 - 36)</t>
  </si>
  <si>
    <t>ICICI (Package, TP) (Seating capacity Above 36)</t>
  </si>
  <si>
    <t>ICICI (Package, TP) (Tractor)</t>
  </si>
  <si>
    <t>ICICI (Package) (New) (&lt; 2,450 Ton)</t>
  </si>
  <si>
    <t>ICICI (Package) (Petrol, CNG) (Only Old Vehicle)</t>
  </si>
  <si>
    <t>ICICI (Package, TP) (Seating Capacity below 18)</t>
  </si>
  <si>
    <t>ICICI (Package, TP) (Seating Capacity above 18)</t>
  </si>
  <si>
    <t>(Commission on TP)</t>
  </si>
  <si>
    <t>Royal (7,501 to 12,000 Ton) (Package) (non EV) (other than Tata and Ashok make)</t>
  </si>
  <si>
    <t>Royal (7,501 to 12,000 Ton) (Package) (non EV) (for Tata and Ashok make) (upto 90% Discount) (below 5years) (without Nil Deep)</t>
  </si>
  <si>
    <t>Royal (7,501 to 12,000 Ton) (Package) (non EV) (for Tata and Ashok make) (upto 90% Discount) (above 5years) (without Nil Deep)</t>
  </si>
  <si>
    <t>Royal (Package) (12,001 to 20,000 Ton) (non EV) (upto 5 years) (Other than TATA and ASHOK)</t>
  </si>
  <si>
    <t>Royal (Package) (12,001 to 20,000 Ton) (non EV) (upto 5 years) (For TATA and ASHOK Make)</t>
  </si>
  <si>
    <t>Royal (Package) (12,001 to 20,000 Ton) (non EV) (other than Tata and Ashok) (above 5 years) (with Nil Deep)</t>
  </si>
  <si>
    <t>Royal (TP) (40,001 to 45,000 Ton) (non EV)</t>
  </si>
  <si>
    <t>Reliance (package) (petrol + biofuel)</t>
  </si>
  <si>
    <t>Reliance (package) (Diesel + EV)</t>
  </si>
  <si>
    <t>Reliance (1+1)</t>
  </si>
  <si>
    <t>Reliance (SAOD)</t>
  </si>
  <si>
    <t>Reliance (TP)</t>
  </si>
  <si>
    <t>Reliance (1+5) (excluding EV, Yamaha, HMC) (50% of Commission will be provided in first year, remaining 50% will be provided on second year)</t>
  </si>
  <si>
    <t>Reliance (1+5) (For EV) (50% of Commission will be provided in first year, remaining 50% will be provided on second year)</t>
  </si>
  <si>
    <t>Reliance (1+5) (For Yamaha, HMC) (50% of Commission will be provided in first year, remaining 50% will be provided on second year)</t>
  </si>
  <si>
    <t>Reliance (5+5) (excluding EV, Yamaha, HMC) (50% of Commission will be provided in first year, remaining 50% will be provided on second year)</t>
  </si>
  <si>
    <t>Reliance (5+5) (For EV) (50% of Commission will be provided in first year, remaining 50% will be provided on second year)</t>
  </si>
  <si>
    <t>Reliance (5+5) (For Yamaha, HMC) (50% of Commission will be provided in first year, remaining 50% will be provided on second year)</t>
  </si>
  <si>
    <t>Reliance (upto 2,000 Ton) (Package) (TATA / Maruti)</t>
  </si>
  <si>
    <t>Reliance (upto 2,000 Ton) (TP) (TATA / Maruti)</t>
  </si>
  <si>
    <t>Rest of Andhra &amp;&amp; Telangana</t>
  </si>
  <si>
    <t>Reliance (package, TP) (Under School Name) (if vehicle age &lt; 10 years) (additional payout 2.5%)</t>
  </si>
  <si>
    <t>Reliance (package, TP) (Under School Name) (if Seating capacity 18 to 30) (additional payout 2.5%)</t>
  </si>
  <si>
    <t>Reliance (package, TP) (Under School Name) (if Seating capacity above 30) (additional payout 7.5%)</t>
  </si>
  <si>
    <t>Reliance (package, TP) (Under School Name) (if Seating capacity above 18) (additional payout 2.5%)</t>
  </si>
  <si>
    <t>RTON</t>
  </si>
  <si>
    <t>Tata AIG (New Package) (for Chennai ID) (upto 2,500 Ton)</t>
  </si>
  <si>
    <t>Tata AIG (Old Package) (for Chennai ID) (age &gt;=1 to &lt;=6) (upto 2,500 Ton)</t>
  </si>
  <si>
    <t>Tata AIG (Old Package) (for Chennai ID) (age above 6) (upto 2,500 Ton)</t>
  </si>
  <si>
    <t>Tata AIG (TP) (for Chennai ID) (upto 2,500 Ton)</t>
  </si>
  <si>
    <t>Tata AIG (Package, TP) (Harvestor) (for Chennai ID)</t>
  </si>
  <si>
    <t>ROTN (only brand new package)</t>
  </si>
  <si>
    <t>TATA AIG (New package) (for chennai ID)</t>
  </si>
  <si>
    <t>TATA AIG (Old package) (Age &gt;=1 to &lt;=6) (for chennai ID)</t>
  </si>
  <si>
    <t>TATA AIG (Old package) (Age above 6 years) (for chennai ID)</t>
  </si>
  <si>
    <t>TATA AIG (TP) (for chennai ID)</t>
  </si>
  <si>
    <t>Tata AIG (Package, TP) (for Chennai ID) (Seating capacity 12 to 15)</t>
  </si>
  <si>
    <t>Tata AIG (Package, TP) (for Chennai ID) (Seating capacity above 16)</t>
  </si>
  <si>
    <t>Tata AIG (for old package) (for Chennai ID) (age &gt;=1 to &lt;=6)</t>
  </si>
  <si>
    <t>Tata AIG (for old package) (for Chennai ID) (age above 6 yrs)</t>
  </si>
  <si>
    <t>Tata AIG (Package) (upto 2.5 Ton) (only for New Vehicle) (for Chennai ID)</t>
  </si>
  <si>
    <t>Tata AIG (Package) (upto 2.5 Ton) (Age 1 to 6 years) (for Chennai ID)</t>
  </si>
  <si>
    <t>Tata AIG (Package) (upto 2.5 Ton) (Age above 6 years) (for Chennai ID)</t>
  </si>
  <si>
    <t>Tata AIG (TP) (upto 2.5 Ton) (for Chennai ID)</t>
  </si>
  <si>
    <t>Tata AIG (for new package) (for Chennai ID)</t>
  </si>
  <si>
    <t>Tata AIG (TP) (3,501 to 7,500 Ton) (for Chennai ID)</t>
  </si>
  <si>
    <t>Tata AIG (TP) (7,501 to 12,000 Ton) (for Chennai ID)</t>
  </si>
  <si>
    <t>(For RTO KA01 &amp;&amp; KA02)</t>
  </si>
  <si>
    <t>Tata AIG (Package) (upto 2,500 Ton) (for Chennai ID)</t>
  </si>
  <si>
    <t>(for new vehicle)</t>
  </si>
  <si>
    <t>(for old vehicle) (Age &gt;=1 to &lt;=6 )</t>
  </si>
  <si>
    <t>(for old vehicle) (Age above 6 yrs )</t>
  </si>
  <si>
    <t>Tata AIG (TP) (upto 2,500 Ton) (for Chennai ID)</t>
  </si>
  <si>
    <t>Tata AIG (3,501 to 7,500 Ton) (package) (for Chennai ID)</t>
  </si>
  <si>
    <t>Tata AIG (3,501 to 7,500 Ton) (TP) (for Chennai ID)</t>
  </si>
  <si>
    <t>Tata AIG (7,501 to 12,000 Ton) (New package) (for Chennai ID)</t>
  </si>
  <si>
    <t>Tata AIG (7,501 to 12,000 Ton) (old package) (age &gt;=1 to &lt;=6) (for Chennai ID)</t>
  </si>
  <si>
    <t>Tata AIG (7,501 to 12,000 Ton) (old package) (age above 6 yrs) (for Chennai ID)</t>
  </si>
  <si>
    <t>Tata AIG (7,501 to 12,000 Ton) (TP) (for Chennai ID)</t>
  </si>
  <si>
    <t>Tata AIG (package, TP) (for Chennai ID)</t>
  </si>
  <si>
    <t>Vishakapatnam</t>
  </si>
  <si>
    <t>(For Madhya Pradesh)</t>
  </si>
  <si>
    <t>GCV  (25,001 to 32,000 Ton) (Package, TP) (Non-EV &amp;&amp; EV)</t>
  </si>
  <si>
    <t>GCV  (32,001 to 40,000 Ton) (Package, TP) (Non-EV &amp;&amp; EV)</t>
  </si>
  <si>
    <t>GCV (3W) (Package, TP) (Non-EV)</t>
  </si>
  <si>
    <t>GCV (3W) (Package, TP) (EV)</t>
  </si>
  <si>
    <t>For (Taxi upto 6 passenger) (upto 5 years) (1+1)</t>
  </si>
  <si>
    <t>For (Taxi 7 to 20 passenger) (upto 5 years) (1+1)</t>
  </si>
  <si>
    <t>For (Taxi 7 to 20 passenger) (above 10 to 15 years) (1+1)</t>
  </si>
  <si>
    <t>For (Taxi 7 to 20 passenger) (above 15 years) (1+1)</t>
  </si>
  <si>
    <t>For (Taxi 20 to 36 passenger) (upto 5 years) (1+1)</t>
  </si>
  <si>
    <t>For (Taxi 20 to 36 passenger) (above 10 to 15 years) (1+1)</t>
  </si>
  <si>
    <t>For (Taxi 20 to 36 passenger) (above 15 years) (1+1)</t>
  </si>
  <si>
    <t>For (Taxi 20 to 36 passenger) (TP)</t>
  </si>
  <si>
    <t>For (Taxi upto 6 passenger) (above 5 to 10 years) (1+1)</t>
  </si>
  <si>
    <t>For (Taxi 7 to 20 passenger) (above 5 to 10 years) (1+1)</t>
  </si>
  <si>
    <t>For (Taxi 20 to 36 passenger) (above 5 to 10 years) (1+1)</t>
  </si>
  <si>
    <t>For (Agriculture Tractor &amp;&amp; E-Rickshaw &amp;&amp; E-Cart) (upto 5 years) (1+1)</t>
  </si>
  <si>
    <t>For (Agriculture Tractor &amp;&amp; E-Rickshaw &amp;&amp; E-Cart) (above 5 to 10 years) (1+1)</t>
  </si>
  <si>
    <t>For (Taxi 7 to 20 passenger) (TP)</t>
  </si>
  <si>
    <t>Raheja (2,501 to 3,500 Ton)</t>
  </si>
  <si>
    <t>Raheja (TP)</t>
  </si>
  <si>
    <t>Chennai and Coimbatore</t>
  </si>
  <si>
    <t>Future Generali (Package, TP) (upto 2.5 Ton) (for kerala id) (Age upto 15 years) (Declined Mahindra Bolero Model) (IMT 23 Coverage Upto 15 years)</t>
  </si>
  <si>
    <t>Future Generali (Package, TP) (12,001 to 20,000 Ton) (for kerala id)</t>
  </si>
  <si>
    <t>Future Generali (Package, TP) (7,501 to 12,000 Ton) (for kerala id)</t>
  </si>
  <si>
    <t>Future Generali (Package, TP) (age upto 15 years) (discount 95%) (IMT 23 Coverage upto 15 years) (for kerala ID)</t>
  </si>
  <si>
    <t>For RTO KL-11,09,18,49,50,51,52,56,
57,70,76,77,85</t>
  </si>
  <si>
    <t>For RTO KL-08,10,13,45,46,47,48,53,54,55,58,59,64,65,71,75,78,84,86</t>
  </si>
  <si>
    <t>For RTO KL-03,04,06,07,14,17,26,27,28,29,30,31,32,37,38,39,40,41,42,43,44,60,62,63,66</t>
  </si>
  <si>
    <t>For RTO KL-01,02,05,12,16,19,20,21,22,23,24,25,33,34,35,36,61,67,72,73,74,80,81,82</t>
  </si>
  <si>
    <t>Future Generali (Package, TP) (Declined Atul Make) (IMT 23 Coverage Upto 15 years) (for kerala ID)</t>
  </si>
  <si>
    <t>For GCV (Above 7,501 Ton) (for New vehicle) (Package)</t>
  </si>
  <si>
    <t>For GCV (Above 7,501 Ton) (for Non New vehicle) (Package)</t>
  </si>
  <si>
    <t>For GCV (Above 7,501 Ton) (TP)</t>
  </si>
  <si>
    <t>ICICI (Package, TP) (EV) (Chennai ID)</t>
  </si>
  <si>
    <t>ICICI (olnly New) (Package, TP) (Petrol, CNG) (Chennai ID)</t>
  </si>
  <si>
    <t>ICICI (only Old) (Package, TP) (Petrol, CNG) (Chennai ID)</t>
  </si>
  <si>
    <t>ICICI (Package, TP) (Diesel) (Chennai ID)</t>
  </si>
  <si>
    <t>For Pondy RTO</t>
  </si>
  <si>
    <t>For CUDDALORE, COIMBATORE, VILLUPURAM, VELLORE, NAGAPATTINAM, KANCHIPURAM RTOs</t>
  </si>
  <si>
    <t>(For Chennai and Coimbatore RTOs) (accepted Make Bajaj and Piaggio)</t>
  </si>
  <si>
    <t>(For CHENNAI,COIMBATORE, ERODE,THIRUVALLUR, THIRUCHIRAPPALI, DINDGUL, TIRUPPUR RTOs) (accepted make Piaggio)</t>
  </si>
  <si>
    <t>(For COIMBATORE, THIRUVALLUR RTOs) (accepted make Piaggio)</t>
  </si>
  <si>
    <t>(For Chennai, Coimbatore, Kanchipuram RTOs) (accepted make Piaggio)</t>
  </si>
  <si>
    <t>(For Chennai, Coimbatore, Theni RTOs) (accepted make Piaggio)</t>
  </si>
  <si>
    <t>(For CUDDALORE,COIMBATORE,CHENGALPATTU,TIRUVANNAMALAI,TENKASI, DINDIGUL,TIRUPPUR,TIRUNELVELI,THIRUVALLUR,NILGIRIS RTOs) (accepted make Piaggio)</t>
  </si>
  <si>
    <t>(For TENKASI, THIRUVALLUR RTOs) (accepted make Mahindra)</t>
  </si>
  <si>
    <t>(For CUDDALORE, TIRUVANNAMALAI RTOs) (accepted make Bajaj)</t>
  </si>
  <si>
    <t>(For COIMBATORE, RAMANATHAPURAM, DHARMAPURT RTOs) (accepted make Mahindra, Piaggio)</t>
  </si>
  <si>
    <t>(For TIRUCHIRAPPALLI, KANYAKUMARI, COIMBATORE, PUDUKKOTTAI, VIRUDHUNAGAR, CHENNAI, CHENGALPATTU, THIRUVALLUR RTOs) (accepted make Bajaj, Piaggio)</t>
  </si>
  <si>
    <t>(For TENKASI, MADURAI, KARUR, THANJAVUR, VELLORE, VILLUPURAM, CHENNAI, COIMBATORE, THIRUVALLUR, KANCHIPURAM, THOOTHUKUDI, KARUR RTOs) (accepted make Piaggio)</t>
  </si>
  <si>
    <t>(For PONDICHERRY, ARIYALUR RTOs) (accepted make Mahindra)</t>
  </si>
  <si>
    <t>HDFC (package) (for Chennai RTO) (New Vehicle)</t>
  </si>
  <si>
    <t xml:space="preserve">HDFC (package) (for Chennai RTO) (Non-New Vehicle) </t>
  </si>
  <si>
    <t>HDFC (package) (for ROTN RTO)</t>
  </si>
  <si>
    <t>HDFC (OD)</t>
  </si>
  <si>
    <t>ICICI (TP) (12,001 to 20,000 Ton)  (Above 5 Years) (Policy Should be issued on Kerala ID)</t>
  </si>
  <si>
    <t>ICICI (Package, TP) (Policy Should be issued on Kerala ID)</t>
  </si>
  <si>
    <t>Royal (Package) (7,501 to 12,000 Ton) (non EV) (other than Tata and Ashok)</t>
  </si>
  <si>
    <t>Royal (Package) (7,501 to 12,000 Ton) (non EV) (below 5 years) (for Tata and Ashok Make) (without Nil Deep) (discount upto 90%)</t>
  </si>
  <si>
    <t>Royal (Package) (7,501 to 12,000 Ton) (non EV) (below 5 years) (for Tata and Ashok Make) (with Nil Deep) (discount upto 90%)</t>
  </si>
  <si>
    <t>Royal (Package) (7,501 to 12,000 Ton) (non EV) (above 5 years) (for Tata and Ashok Make) (without Nil Deep) (discount upto 90%)</t>
  </si>
  <si>
    <t>TDS (1.25%)</t>
  </si>
  <si>
    <t>Payout (2.5%)</t>
  </si>
  <si>
    <t>Payout (2.5%) (Excluding TATA AIG &amp;&amp; Reliance)</t>
  </si>
  <si>
    <t>KA - IFFCO January_2025_Payout Grid (Retail)</t>
  </si>
  <si>
    <t>KL - IFFCO January_2025_Payout Grid (Retail)</t>
  </si>
  <si>
    <t>AP &amp;&amp; TS - IFFCO January_2025_Payout Grid (Retail)</t>
  </si>
  <si>
    <t>KL - IFFCO January_2025_Payout Grid (SuperConsolidator)</t>
  </si>
  <si>
    <t>TN - January_2026_Payout Grid (Retail)</t>
  </si>
  <si>
    <t>TN - January_2026_Payout Grid (SuperConsolidator)</t>
  </si>
  <si>
    <t>KA - January_2026_Payout Grid (Retail)</t>
  </si>
  <si>
    <t>KL - January_2026_Payout Grid (Retail)</t>
  </si>
  <si>
    <t>KL - January_2026_Payout Grid (SuperConsolidator)</t>
  </si>
  <si>
    <t>AP &amp;&amp; TS - January_2026_Payout Grid (Retail)</t>
  </si>
  <si>
    <t>TN - IFFCO January_2026_Payout Grid (Retail)</t>
  </si>
  <si>
    <t>TN - IFFCO January_2026_Payout Grid (SuperConsolidator)</t>
  </si>
  <si>
    <t>NewIndia - January 2026 (Retail) Payout Grid - Pan India</t>
  </si>
  <si>
    <t>NewIndia - January 2026 (SuperConsolidator) Payout Grid - Pan India</t>
  </si>
  <si>
    <t>National Insurance - January 2026 (Retail) Payout Grid - Pan India</t>
  </si>
  <si>
    <t>National Insurance - January 2026 (SuperConsolidator) Payout Grid - Pan India</t>
  </si>
  <si>
    <t>United India - January 2026 Payout Grid (Retail)- TN &amp;&amp; KL</t>
  </si>
  <si>
    <t>United India - January 2026 Payout Grid (SuperConsolidator)- TN &amp;&amp; KL</t>
  </si>
  <si>
    <t>United India - January 2026 Payout Grid (Retail) - Excluding TN &amp;&amp; KL State</t>
  </si>
  <si>
    <t>Liberty (Package)</t>
  </si>
  <si>
    <t>Liberty (OD)</t>
  </si>
  <si>
    <t>ICICI (Package) (Only New vehicle) (EV) (Pondy ID)</t>
  </si>
  <si>
    <t>ICICI (Package) (Only New vehicle) (CNG) (Pondy ID)</t>
  </si>
  <si>
    <t>ICICI (Package) (Age 1 to 3 years) (Petrol/LPG/CNG) (Pondy ID)</t>
  </si>
  <si>
    <t>ICICI (Package) (Age 4 to 5 years) (Petrol/LPG/CNG) (Pondy ID)</t>
  </si>
  <si>
    <t>ICICI (Package) (Age 6 to 10 years) (Petrol/LPG/CNG) (Pondy ID)</t>
  </si>
  <si>
    <t>ICICI (Package) (Age above 10 years) (Petrol/LPG/CNG) (Pondy ID)</t>
  </si>
  <si>
    <t>ICICI (Package) (Age 1 to 3 years) (Diesel) (Pondy ID)</t>
  </si>
  <si>
    <t>ICICI (Package) (Age 4 to 5 years) (Diesel) (Pondy ID)</t>
  </si>
  <si>
    <t>ICICI (Package) (Age 6 to 10 years) (Diesel) (Pondy ID)</t>
  </si>
  <si>
    <t>ICICI (Package) (Age above 10 years) (Diesel) (Pondy ID)</t>
  </si>
  <si>
    <t>Zuno (Package, TP) (Upto 2,500 Ton)</t>
  </si>
  <si>
    <t>Zuno (Package, TP) (2,501 to 3,500 Ton)</t>
  </si>
  <si>
    <t>Zuno (Package, TP) (Tractor)</t>
  </si>
  <si>
    <t>Tata AIG (1+5) (for Chennai ID)</t>
  </si>
  <si>
    <t>(for bangalore RTO) (excluding hero) (commission on 1st year premium)</t>
  </si>
  <si>
    <t>(for hyderabad RTO) (excluding hero) (commission on 1st year premium)</t>
  </si>
  <si>
    <t>Payout (2.5%) (Excluding TATA AIG &amp;&amp; Reliance &amp;&amp; Future Generali)</t>
  </si>
  <si>
    <t>TN-01,02,04,05,06,09,10,22</t>
  </si>
  <si>
    <t>TN-03,07,11,12,13,14,18,20,37,38,43,50,58,59,63,64,66,85,99</t>
  </si>
  <si>
    <t>PY-01,03 &amp;&amp; TN-21,23,27,30,33,39,40,41,42,45,54,56,70,72,73,78,81,84,86,90,93</t>
  </si>
  <si>
    <t>PY-02,05 &amp;&amp; TN-15,16,19,24,25,28,29,31,32,34,36,46,47,48,49,51,52,55,57,60,61,65,67,68,69,74,75,76,77,79,82,83,87,88,91,91Y,91Z,92,94,95,96,97</t>
  </si>
  <si>
    <t>Go Digit (1+1) (Non-EV &amp;&amp; EV)</t>
  </si>
  <si>
    <t>Go Digit (TP) (Non-EV &amp;&amp; EV)</t>
  </si>
  <si>
    <t>Go Digit (SAOD) (2nd year vehicle from bundle policy)</t>
  </si>
  <si>
    <t>TN-01,02,03,04,05,06,07,09,10,11,12,13,14,18,22,37,38,39,40,41,42,43,66,78,85,99</t>
  </si>
  <si>
    <t>Go Digit (SAOD) (2nd year vehicle from bundle policy) (Non-EV &amp;&amp; EV)</t>
  </si>
  <si>
    <t>Go Digit (SAOD) (3rd year vehicle from bundle policy) (Non-EV &amp;&amp; EV)</t>
  </si>
  <si>
    <t>Go Digit (SAOD) (4th year vehicle from bundle policy) (Non-EV &amp;&amp; EV)</t>
  </si>
  <si>
    <t>Go Digit (SAOD) (5th year vehicle from bundle policy) (Non-EV &amp;&amp; EV)</t>
  </si>
  <si>
    <t>PY-01,02,03,04,05 &amp;&amp;
TN-15,16,19,20,21,23,24,25,27,28,29,30,31,32,33,34,36,45,46,47,48,49,50,51,52,54,55,56,57,58,59,60,61,63,64,65,67,68,69,70,72,73,74,75,76,77,79,81,82,83,84,86,87,88,90,91,92,93,94,95,96,97</t>
  </si>
  <si>
    <t>Go Digit (SAOD) (2nd year vehicle from bundle policy) (Non-EV)</t>
  </si>
  <si>
    <t>Go Digit (SAOD) (2nd year vehicle from bundle policy) (EV)</t>
  </si>
  <si>
    <t>Go Digit (SAOD) (3rd year vehicle from bundle policy) (Non-EV)</t>
  </si>
  <si>
    <t>Go Digit (SAOD) (3rd year vehicle from bundle policy) (EV)</t>
  </si>
  <si>
    <t>Go Digit (SAOD) (4th year vehicle from bundle policy) (Non-EV)</t>
  </si>
  <si>
    <t>Go Digit (SAOD) (4th year vehicle from bundle policy) (EV)</t>
  </si>
  <si>
    <t>Go Digit (SAOD) (5th year vehicle from bundle policy) (Non-EV)</t>
  </si>
  <si>
    <t>Go Digit (SAOD) (5th year vehicle from bundle policy) (EV)</t>
  </si>
  <si>
    <t>TN &amp;&amp; PY</t>
  </si>
  <si>
    <t>Go Digit (SAOD) (3rd year vehicle from bundle policy)</t>
  </si>
  <si>
    <t>Go Digit (SAOD) (4th year vehicle from bundle policy)</t>
  </si>
  <si>
    <t>Go Digit (SAOD) (5th year vehicle from bundle policy)</t>
  </si>
  <si>
    <t>Private Car (1+3) (commission only for first year premium)</t>
  </si>
  <si>
    <t>Private Car (1+1) (Age 1 to 15 Years)</t>
  </si>
  <si>
    <t>Two Wheeler (1+3) (commission only for first year premium)</t>
  </si>
  <si>
    <t>Two Wheeler (1+1) (Age 1 to 15 Years)</t>
  </si>
  <si>
    <t>Two Wheeler (OD) (Age 1 to 10 Years)</t>
  </si>
  <si>
    <t>Two Wheeler (TP)</t>
  </si>
  <si>
    <t>Misc Vehicles (For Ambulance) (package) (upto 15 years)</t>
  </si>
  <si>
    <t>Misc Vehicles (For Ambulance) (TP)</t>
  </si>
  <si>
    <t>Misc Vehicles (Other than Ambulance) (package) (upto 10 years)</t>
  </si>
  <si>
    <t>Comission on OD</t>
  </si>
  <si>
    <t>Comission on TP</t>
  </si>
  <si>
    <t>Misc Vehicles (Other than Ambulance) (package) (11 to 15 years)</t>
  </si>
  <si>
    <t>Misc Vehicles (Other than Ambulance) (TP)</t>
  </si>
  <si>
    <t>For GCV (Upto 2,000 Ton) (upto 15 years) (Package)</t>
  </si>
  <si>
    <t>For GCV (2,001 to 3,500 Ton) (upto 15 years) (Package)</t>
  </si>
  <si>
    <t>For GCV (2,001 to 3,500 Ton) (TP)</t>
  </si>
  <si>
    <t>For GCV (3,501 to 7,500 Ton) (upto 15 years) (Package)</t>
  </si>
  <si>
    <t>For GCV (3,501 to 7,500 Ton) (TP)</t>
  </si>
  <si>
    <t>For GCV (7,501 to 10,000 Ton) (upto 15 years) (Package)</t>
  </si>
  <si>
    <t>For GCV (7,501 to 10,000 Ton) (TP)</t>
  </si>
  <si>
    <t>For GCV (10,001 to 12,500 Ton) (upto 15 years) (Package)</t>
  </si>
  <si>
    <t>For GCV (10,001 to 12,500 Ton) (TP)</t>
  </si>
  <si>
    <t>For GCV (12,501 to 20,000 Ton) (upto 15 years) (Package)</t>
  </si>
  <si>
    <t>For GCV (12,501 to 20,000 Ton) (TP)</t>
  </si>
  <si>
    <t>For GCV (20,001 to 25,000 Ton) (upto 15 years) (Package)</t>
  </si>
  <si>
    <t>For GCV (20,001 to 25,000 Ton) (TP)</t>
  </si>
  <si>
    <t>For GCV (25,001 to 34,000 Ton) (upto 15 years) (Package)</t>
  </si>
  <si>
    <t>For GCV (25,001 to 34,000 Ton) (TP)</t>
  </si>
  <si>
    <t>For GCV (34,001 to 40,000 Ton) (upto 15 years) (Package)</t>
  </si>
  <si>
    <t>For GCV (34,001 to 40,000 Ton) (TP)</t>
  </si>
  <si>
    <t>PCV Segment</t>
  </si>
  <si>
    <t>For PCV Auto (Package) (only New vehicle)</t>
  </si>
  <si>
    <t>For PCV Auto (Package) (Age 1 to 15 years)</t>
  </si>
  <si>
    <t>For PCV Auto (TP)</t>
  </si>
  <si>
    <t>For taxi (upto 6 seaters) (package) (only New Vehicle)</t>
  </si>
  <si>
    <t>For taxi (upto 6 seaters) (package) (age 1 to 15 years)</t>
  </si>
  <si>
    <t>For taxi (upto 6 seaters) (TP)</t>
  </si>
  <si>
    <t>For taxi (7 to 17 seaters) (package) (only New Vehicle)</t>
  </si>
  <si>
    <t>For taxi (7 to 17 seaters) (package) (age 1 to 15 years)</t>
  </si>
  <si>
    <t>For taxi (7 to 17 seaters) (TP)</t>
  </si>
  <si>
    <t>Edu Bus &amp;&amp; Staff Bus</t>
  </si>
  <si>
    <t>For (Edu &amp;&amp; Staff Bus) (package) (upto 15 years)</t>
  </si>
  <si>
    <t>For (Edu &amp;&amp; Staff Bus) (TP)</t>
  </si>
  <si>
    <t>Private Car (1+3) (commission only for first year premium) (till 11th November 2025)</t>
  </si>
  <si>
    <t>Private Car (1+1) (Age 1 to 15 Years) (till 11th November 2025)</t>
  </si>
  <si>
    <t>Private Car (OD) (Age 1 to 10 Years) (till 11th November 2025)</t>
  </si>
  <si>
    <t>Private Car (TP) (till 11th November 2025)</t>
  </si>
  <si>
    <t>Oriental Insurance - January 2026 (Retail) Payout Grid - Pan India</t>
  </si>
  <si>
    <t>Oriental Insurance - January 2026 (SuperConsolidator) Payout Grid - Pan India</t>
  </si>
  <si>
    <t>Go-Digit (Package, OD)</t>
  </si>
  <si>
    <t>ICICI (OD) (excluding Royal Enfield) (Non EV)</t>
  </si>
  <si>
    <t>ICICI (OD) (for Royal Enfield) (Non EV)</t>
  </si>
  <si>
    <t>ICICI (TP) (for Royal Enfield) (Non EV)</t>
  </si>
  <si>
    <t>ICICI (package) (for EV)</t>
  </si>
  <si>
    <t>ICICI (1+1) (Non EV)</t>
  </si>
  <si>
    <t>ICICI (OD) (Non EV)</t>
  </si>
  <si>
    <t>ICICI (TP) (Non EV)</t>
  </si>
  <si>
    <t>ICICI (EV) (old) (Package, TP)</t>
  </si>
  <si>
    <t>Chennai &amp; Coimbatore</t>
  </si>
  <si>
    <t>ICICI (1+5) (for Yamaha Make) (Non EV)</t>
  </si>
  <si>
    <t>ICICI (OD) (Non EV) (Excluding Royal Enfield)</t>
  </si>
  <si>
    <t>ICICI (OD) (Non EV) (For Royal Enfield)</t>
  </si>
  <si>
    <t>ICICI (1+1) (EV)</t>
  </si>
  <si>
    <t>ICICI (1+5) (For Hero Make) (Non EV)</t>
  </si>
  <si>
    <t>Mysore RTO</t>
  </si>
  <si>
    <t>ICICI (1+5) (For Honda Make) (Non EV)</t>
  </si>
  <si>
    <t>ICICI (1+5) (For Suzuki Make) (Non EV)</t>
  </si>
  <si>
    <t>ICICI (1+5) (For TVS Make) (Non EV)</t>
  </si>
  <si>
    <t>ICICI (1+5) (For EV)</t>
  </si>
  <si>
    <t>ICICI (TP) (EV)</t>
  </si>
  <si>
    <t>ICICI (1+5) (Non EV) (for Honda Make)</t>
  </si>
  <si>
    <t>ICICI (1+5) (Non EV) (for Royal Enfield Make)</t>
  </si>
  <si>
    <t>ICICI (1+5) (Non EV) (for TVS Make)</t>
  </si>
  <si>
    <t>ICICI (1+5) (EV)</t>
  </si>
  <si>
    <t>ICICI (OD) (Non EV) (for Other Make)</t>
  </si>
  <si>
    <t>ICICI (OD) (Non EV) (for Royal Enfield)</t>
  </si>
  <si>
    <t>ICICI (TP) (Non EV) (for Royal Enfield)</t>
  </si>
  <si>
    <t>ICICI (1+5) (For hero Make) (Non EV)</t>
  </si>
  <si>
    <t>ICICI (1+5) (For honda Make) (Non EV)</t>
  </si>
  <si>
    <t>ICICI (1+5) (For suzuki Make) (Non EV)</t>
  </si>
  <si>
    <t>ICICI (1+5) (For Yamaha Make) (Non EV)</t>
  </si>
  <si>
    <t>SBI (new) (Package) (upto 2,000 Ton) (declined bolero and EV) (till 15th Jan 2026)</t>
  </si>
  <si>
    <t>SBI (old) (Package) (upto 2,000 Ton) (declined bolero and EV)  (till 15th Jan 2026)</t>
  </si>
  <si>
    <t>SBI (old) (TP) (upto 2,000 Ton) (declined bolero and EV) (till 15th Jan 2026)</t>
  </si>
  <si>
    <t>SBI (new) (Package) (upto 2,000 Ton) (declined EV Make) (from 16th Jan 2026)</t>
  </si>
  <si>
    <t>(For Rest of KA)</t>
  </si>
  <si>
    <t>SBI (old) (Package) (upto 2,000 Ton) (declined EV Make) (from 16th Jan 2026)</t>
  </si>
  <si>
    <t>SBI (TP) (upto 2,000 Ton) (declined EV Make) (from 16th Jan 2026)</t>
  </si>
  <si>
    <t>SBI (New) (Package) (2,001 to 2,500 Ton) (for Tata make)  (till 15th Jan 2026)</t>
  </si>
  <si>
    <t>SBI (old) (Package) (2,001 to 2,500 Ton) (for Tata make)  (till 15th Jan 2026)</t>
  </si>
  <si>
    <t>SBI (old) (TP) (2,001 to 2,500 Ton) (for Tata make)  (till 15th Jan 2026)</t>
  </si>
  <si>
    <t>SBI (new) (Package) (2,001 to 2,500 Ton) (for Tata Make) (declined EV Make) (from 16th Jan 2026)</t>
  </si>
  <si>
    <t>SBI (old) (Package) (2,001 to 2,500 Ton)  (for Tata Make) (declined EV Make) (from 16th Jan 2026)</t>
  </si>
  <si>
    <t>SBI (TP) (2,001 to 2,500 Ton)  (for Tata Make) (declined EV Make) (from 16th Jan 2026)</t>
  </si>
  <si>
    <t>SBI (New) (Package) (2,001 to 2,500 Ton) (for Other than Tata make) (declined bolero and EV) (till 15th Jan 2026)</t>
  </si>
  <si>
    <t>SBI (old) (Package) (2,001 to 2,500 Ton) (for Other than Tata make) (declined bolero and EV) (till 15th Jan 2026)</t>
  </si>
  <si>
    <t>SBI (old) (TP) (2,001 to 2,500 Ton) (for Other than Tata make) (declined bolero and EV) (till 15th Jan 2026)</t>
  </si>
  <si>
    <t>SBI (new) (Package) (2,001 to 2,500 Ton) (for Other than Tata Make) (declined EV Make) (from 16th Jan 2026)</t>
  </si>
  <si>
    <t>SBI (old) (Package) (2,001 to 2,500 Ton)  (for other than Tata Make) (declined EV Make) (from 16th Jan 2026)</t>
  </si>
  <si>
    <t>SBI (TP) (2,001 to 2,500 Ton)  (for other than Tata Make) (declined EV Make) (from 16th Jan 2026)</t>
  </si>
  <si>
    <t>SBI (Package) (seating capacity &gt;= 18 ) (till 15th Jan 2026)</t>
  </si>
  <si>
    <t>SBI (TP) (seating capacity &gt;= 18 ) (till 15th Jan 2026)</t>
  </si>
  <si>
    <t>SBI (Tractor &amp; Harvestor) (Excluding Trailer) (New) (till 15th Jan 2026)</t>
  </si>
  <si>
    <t>SBI (Tractor &amp; Harvestor) (Excluding Trailer) (Package, TP) (only Old) (till 15th Jan 2026)</t>
  </si>
  <si>
    <t>SBI (Package) (seating capacity &gt;= 18 ) (from 16th Jan 2026)</t>
  </si>
  <si>
    <t>SBI (TP) (seating capacity &gt;= 18 ) (from 16th Jan 2026)</t>
  </si>
  <si>
    <t>SBI (Package) (For Non Diesel) (New) (till 15th Jan 2026)</t>
  </si>
  <si>
    <t>SBI (TP) (For Non Diesel) (New) (till 15th Jan 2026)</t>
  </si>
  <si>
    <t>SBI (Package) (For Non Diesel) (Non New) (till 15th Jan 2026)</t>
  </si>
  <si>
    <t>SBI (TP) (For Non Diesel) (Non New) (till 15th Jan 2026)</t>
  </si>
  <si>
    <t>SBI (Package) (For Non Diesel) (New) (from 16th Jan 2026)</t>
  </si>
  <si>
    <t>SBI (TP) (For Non Diesel) (New) (from 16th Jan 2026)</t>
  </si>
  <si>
    <t>SBI (Package) (For Non Diesel) (Non New) (from 16th Jan 2026)</t>
  </si>
  <si>
    <t>SBI (TP) (For Non Diesel) (Non New) (from 16th Jan 2026)</t>
  </si>
  <si>
    <t>SBI (only old vehicle) (Seating capacity 6+1) (for Innova, Innova crysta, Hycross, Scorpio, Bolero) (till 15th january 2026)</t>
  </si>
  <si>
    <t>SBI (only old vehicle) (Seating capacity 6+1) (for Innova, Innova crysta, Hycross, Scorpio, Bolero) (from 16th january 2026)</t>
  </si>
  <si>
    <t>SBI (Package) (from 16th Jan 2026)</t>
  </si>
  <si>
    <t>SBI (OD) (from 16th Jan 2026)</t>
  </si>
  <si>
    <t>SBI (Package) (2,501 to 3,500 Ton) (for Tata and Ashok Make) (till 15th jan 2026)</t>
  </si>
  <si>
    <t>SBI (TP) (2,501 to 3,500 Ton) (for Tata and Ashok Make) (till 15th jan 2026)</t>
  </si>
  <si>
    <t>SBI (Package) (2,501 to 3,500 Ton) (for Tata and Ashok Make) (from 16th jan 2026)</t>
  </si>
  <si>
    <t>SBI (TP) (2,501 to 3,500 Ton) (for Tata and Ashok Make) (from 16th jan 2026)</t>
  </si>
  <si>
    <t>(Doable RTO List - AP-05,06,07,16,17,30,31,32,33,35,37)</t>
  </si>
  <si>
    <t>(declined RTO List - AP-02,03,04,21,26,27)</t>
  </si>
  <si>
    <t>SBI (Package) (5,001 to 7,500 Ton) (Excluding Eicher &amp; Mahindra) (till 15th Jan 2026)</t>
  </si>
  <si>
    <t>SBI (TP) (5,001 to 7,500 Ton) (Excluding Eicher &amp; Mahindra) (till 15th Jan 2026)</t>
  </si>
  <si>
    <t>SBI (Package) (5,001 to 7,500 Ton) (Excluding Eicher &amp; Mahindra) (from 16th Jan 2026)</t>
  </si>
  <si>
    <t>SBI (TP) (5,001 to 7,500 Ton) (Excluding Eicher &amp; Mahindra) (from 16th Jan 2026)</t>
  </si>
  <si>
    <t>SBI (Tractor &amp; Harvestor) (For New) (till 15th Jan 2026)</t>
  </si>
  <si>
    <t>SBI (Tractor &amp; Harvestor) (Package, TP) (only Old) (till 15th Jan 2026)</t>
  </si>
  <si>
    <t>SBI (Tractor &amp; Harvestor) (For New) (from 16th Jan 2026)</t>
  </si>
  <si>
    <t>SBI (Tractor &amp; Harvestor) (Package, TP) (only Old) (from 16th Jan 2026)</t>
  </si>
  <si>
    <t>SBI (Package) (Non Diesel) (till 15th jan 2026)</t>
  </si>
  <si>
    <t>SBI (TP) (Non Diesel) (till 15th jan 2026)</t>
  </si>
  <si>
    <t>SBI (Package) (Diesel) (New) (till 15th jan 2026)</t>
  </si>
  <si>
    <t>SBI (TP) (Diesel) (New) (till 15th jan 2026)</t>
  </si>
  <si>
    <t>SBI (Package) (Diesel) (Non New) (till 15th jan 2026)</t>
  </si>
  <si>
    <t>SBI (TP) (Diesel) (Non New) (till 15th jan 2026)</t>
  </si>
  <si>
    <t>SBI (Package) (Non Diesel) (from 16th jan 2026)</t>
  </si>
  <si>
    <t>SBI (TP) (Non Diesel) (from 16th jan 2026)</t>
  </si>
  <si>
    <t>SBI (Package) (Diesel) (New) (from 16th jan 2026)</t>
  </si>
  <si>
    <t>SBI (TP) (Diesel) (New) (from 16th jan 2026)</t>
  </si>
  <si>
    <t>SBI (Package) (Diesel) (Non New) (from 16th jan 2026)</t>
  </si>
  <si>
    <t>SBI (TP) (Diesel) (Non New) (from 16th jan 2026)</t>
  </si>
  <si>
    <t>SBI (Package) (Nill Dep) (Upto 6+1) (excluding Innova , Innova crysta,
Hycross, Scorpio, Bolero make) (upto 999 CC) (till 15th Jan 2026)</t>
  </si>
  <si>
    <t>SBI (Package) (Non Nill Dep) (Upto 6+1) (excluding Innova , Innova crysta, Hycross, Scorpio, Bolero make) (upto 999 CC) (till 15th Jan 2026)</t>
  </si>
  <si>
    <t>SBI (TP) (Upto 6+1) (excluding Innova , Innova crysta,
Hycross, Scorpio, Bolero make) (upto 999 CC) (till 15th Jan 2026)</t>
  </si>
  <si>
    <t>SBI (Package) (Nill Dep) (Upto 6+1) (excluding Innova , Innova crysta,
Hycross, Scorpio, Bolero make) (1000 to 1499 CC) (till 15th Jan 2026)</t>
  </si>
  <si>
    <t>SBI (Package) (Non Nill Dep) (Upto 6+1) (excluding Innova , Innova crysta, Hycross, Scorpio, Bolero make) (1000 to 1499 CC) (till 15th Jan 2026)</t>
  </si>
  <si>
    <t>SBI (TP) (Upto 6+1) (excluding Innova , Innova crysta,
Hycross, Scorpio, Bolero make) (1000 to 1499 CC) (till 15th Jan 2026)</t>
  </si>
  <si>
    <t>SBI (Package) (Nill Dep) (Upto 6+1) (excluding Innova , Innova crysta,
Hycross, Scorpio, Bolero make) (above 1500 CC) (till 15th Jan 2026)</t>
  </si>
  <si>
    <t>SBI (Package) (Non Nill Dep) (Upto 6+1) (excluding Innova , Innova crysta, Hycross, Scorpio, Bolero make) (above 1500 CC) (till 15th Jan 2026)</t>
  </si>
  <si>
    <t>SBI (TP) (Upto 6+1) (excluding Innova , Innova crysta,
Hycross, Scorpio, Bolero make) (above 1500 CC) (till 15th Jan 2026)</t>
  </si>
  <si>
    <t>SBI (only old vehicle) (Seating capacity 6+1) (for Innova , Innova crysta, Hycross, Scorpio, Bolero) (till 15th Jan 2026)</t>
  </si>
  <si>
    <t>SBI (Package) (Nill Dep) (Upto 6+1) (excluding Innova , Innova crysta,
Hycross, Scorpio, Bolero make) (upto 999 CC) (from 16th Jan 2026)</t>
  </si>
  <si>
    <t>SBI (Package) (Non Nill Dep) (Upto 6+1) (excluding Innova , Innova crysta, Hycross, Scorpio, Bolero make) (upto 999 CC) (from 16th Jan 2026)</t>
  </si>
  <si>
    <t>SBI (TP) (Upto 6+1) (excluding Innova , Innova crysta,
Hycross, Scorpio, Bolero make) (upto 999 CC) (from 16th Jan 2026)</t>
  </si>
  <si>
    <t>SBI (Package) (Nill Dep) (Upto 6+1) (excluding Innova , Innova crysta,
Hycross, Scorpio, Bolero make) (1000 to 1499 CC) (from 16th Jan 2026)</t>
  </si>
  <si>
    <t>SBI (Package) (Non Nill Dep) (Upto 6+1) (excluding Innova , Innova crysta, Hycross, Scorpio, Bolero make) (1000 to 1499 CC) (from 16th Jan 2026)</t>
  </si>
  <si>
    <t>SBI (TP) (Upto 6+1) (excluding Innova , Innova crysta,
Hycross, Scorpio, Bolero make) (1000 to 1499 CC) (from 16th Jan 2026)</t>
  </si>
  <si>
    <t>SBI (Package) (Nill Dep) (Upto 6+1) (excluding Innova , Innova crysta,
Hycross, Scorpio, Bolero make) (above 1500 CC) (from 16th Jan 2026)</t>
  </si>
  <si>
    <t>SBI (Package) (Non Nill Dep) (Upto 6+1) (excluding Innova , Innova crysta, Hycross, Scorpio, Bolero make) (above 1500 CC) (from 16th Jan 2026)</t>
  </si>
  <si>
    <t>SBI (TP) (Upto 6+1) (excluding Innova , Innova crysta,
Hycross, Scorpio, Bolero make) (above 1500 CC) (from 16th Jan 2026)</t>
  </si>
  <si>
    <t>SBI (only old vehicle) (Seating capacity 6+1) (for Innova , Innova crysta, Hycross, Scorpio, Bolero) (from 16th Jan 2026)</t>
  </si>
  <si>
    <t>SBI (TP) (from 16th Jan 2026)</t>
  </si>
  <si>
    <t>SBI (Package) (Seating capacity &gt;= 18) (till 15th January 2026)</t>
  </si>
  <si>
    <t>SBI (TP) (Seating capacity &gt;= 18) (till 15th January 2026)</t>
  </si>
  <si>
    <t>SBI (Package) (Seating capacity &gt;= 18) (from 16th January 2026)</t>
  </si>
  <si>
    <t>SBI (TP) (Seating capacity &gt;= 18) (from 16th January 2026)</t>
  </si>
  <si>
    <t>(Package) (Nil Dep) (For  - 01, 15)</t>
  </si>
  <si>
    <t>(Package) (Non Nil Dep) (For  - 01, 15)</t>
  </si>
  <si>
    <t>(TP) (For  - 01, 15)</t>
  </si>
  <si>
    <t>SBI (New) (Package) (upto 2,000 Ton) (declined bolero and EV) (till 15th jan 2025)</t>
  </si>
  <si>
    <t>SBI (old) (Package) (upto 2,000 Ton) (declined bolero and EV) (till 15th jan 2025)</t>
  </si>
  <si>
    <t>SBI (old) (TP) (upto 2,000 Ton) (declined bolero and EV) (till 15th jan 2025)</t>
  </si>
  <si>
    <t>SBI (New) (Package) (upto 2,000 Ton) (declined EV) (from 16th jan 2025)</t>
  </si>
  <si>
    <t>SBI (old) (Package) (upto 2,000 Ton) (declined EV) (from 16th jan 2025)</t>
  </si>
  <si>
    <t>SBI (TP) (upto 2,000 Ton) (declined EV) (from 16th jan 2025)</t>
  </si>
  <si>
    <t>SBI (New) (Package) (2,001 to 2,500 Ton) (for Tata Make) (till 15th jan 2026)</t>
  </si>
  <si>
    <t>SBI (old) (Package) (2,001 to 2,500 Ton) (for Tata Make) (till 15th jan 2026)</t>
  </si>
  <si>
    <t>SBI (old) (TP) (2,001 to 2,500 Ton) (for Tata Make) (till 15th jan 2026)</t>
  </si>
  <si>
    <t>SBI (New) (Package) (2,001 to 2,500 Ton) (for Tata Make) (from 16th jan 2026)</t>
  </si>
  <si>
    <t>SBI (old) (Package) (2,001 to 2,500 Ton) (for Tata Make) (from 16th jan 2026)</t>
  </si>
  <si>
    <t>SBI (old) (TP) (2,001 to 2,500 Ton) (for Tata Make) (from 16th jan 2026)</t>
  </si>
  <si>
    <t>SBI (New) (Package) (12,001 to 20,000 Ton) (For Tata &amp;&amp; Ashok Make) (till 15th jan 2026)</t>
  </si>
  <si>
    <t>SBI (New) (TP) (12,001 to 20,000 Ton) (For Tata &amp;&amp; Ashok Make) (till 15th jan 2026)</t>
  </si>
  <si>
    <t>SBI (Package) (12,001 to 20,000 Ton) (For Tata &amp;&amp; Ashok Make) (Age 1 to 5 years) (till 15th jan 2026)</t>
  </si>
  <si>
    <t>SBI (TP) (12,001 to 20,000 Ton) (For Tata &amp;&amp; Ashok Make) (Age 1 to 5 years) (till 15th jan 2026)</t>
  </si>
  <si>
    <t>SBI (Package) (12,001 to 20,000 Ton) (For Tata &amp;&amp; Ashok Make) (Age above 5 years) (till 15th jan 2026)</t>
  </si>
  <si>
    <t>SBI (TP) (12,001 to 20,000 Ton) (For Tata &amp;&amp; Ashok Make) (Age above 5 years) (till 15th jan 2026)</t>
  </si>
  <si>
    <t>SBI (Package) (12,001 to 20,000 Ton) (For Other Make) (Age above 5 years) (till 15th jan 2026)</t>
  </si>
  <si>
    <t>SBI (TP) (12,001 to 20,000 Ton) (For Other Make) (Age above 5 years) (till 15th jan 2026)</t>
  </si>
  <si>
    <t>SBI (New) (Package) (12,001 to 20,000 Ton) (For Tata &amp;&amp; Ashok Make) (from 16th jan 2026)</t>
  </si>
  <si>
    <t>SBI (New) (TP) (12,001 to 20,000 Ton) (For Tata &amp;&amp; Ashok Make) (from 16th jan 2026)</t>
  </si>
  <si>
    <t>SBI (Package) (12,001 to 20,000 Ton) (For Tata &amp;&amp; Ashok Make) (Age 1 to 5 years) (from 16th jan 2026)</t>
  </si>
  <si>
    <t>SBI (TP) (12,001 to 20,000 Ton) (For Tata &amp;&amp; Ashok Make) (Age 1 to 5 years) (from 16th jan 2026)</t>
  </si>
  <si>
    <t>SBI (Package) (12,001 to 20,000 Ton) (For Tata &amp;&amp; Ashok Make) (Age above 5 years) (from 16th jan 2026)</t>
  </si>
  <si>
    <t>SBI (TP) (12,001 to 20,000 Ton) (For Tata &amp;&amp; Ashok Make) (Age above 5 years) (from 16th jan 2026)</t>
  </si>
  <si>
    <t>SBI (Package) (12,001 to 20,000 Ton) (For Other Make) (Age above 5 years) (from 16th jan 2026)</t>
  </si>
  <si>
    <t>SBI (TP) (12,001 to 20,000 Ton) (For Other Make) (Age above 5 years) (from 16th jan 2026)</t>
  </si>
  <si>
    <t>SBI (new) (Package) (20,001 to 40,000 Ton) (For Tata &amp;&amp; Ashok Make) (till 15th jan 2026)</t>
  </si>
  <si>
    <t>SBI (new) (TP) (20,001 to 40,000 Ton) (For Tata &amp;&amp; Ashok Make) (till 15th jan 2026)</t>
  </si>
  <si>
    <t>SBI (Package) (20,001 to 40,000 Ton) (For Tata &amp;&amp; Ashok Make) (Age 1 to 5 years) (till 15th jan 2026)</t>
  </si>
  <si>
    <t>SBI (TP) (20,001 to 40,000 Ton) (For Tata &amp;&amp; Ashok Make) (Age 1 to 5 years) (till 15th jan 2026)</t>
  </si>
  <si>
    <t>SBI (Package) (20,001 to 40,000 Ton) (For Tata &amp;&amp; Ashok Make) (Age above 5 years) (till 15th jan 2026)</t>
  </si>
  <si>
    <t>SBI (TP) (20,001 to 40,000 Ton) (For Tata &amp;&amp; Ashok Make) (Age above 5 years) (till 15th jan 2026)</t>
  </si>
  <si>
    <t>SBI (Package) (20,001 to 40,000 Ton) (For Other Make) (Age above 5 years) (till 15th jan 2026)</t>
  </si>
  <si>
    <t>SBI (TP) (20,001 to 40,000 Ton) (For Other Make) (Age above 5 years) (till 15th jan 2026)</t>
  </si>
  <si>
    <t>SBI (new) (Package) (20,001 to 40,000 Ton) (For Tata &amp;&amp; Ashok Make) (from 16th jan 2026)</t>
  </si>
  <si>
    <t>SBI (new) (TP) (20,001 to 40,000 Ton) (For Tata &amp;&amp; Ashok Make) (from 16th jan 2026)</t>
  </si>
  <si>
    <t>SBI (Package) (20,001 to 40,000 Ton) (For Tata &amp;&amp; Ashok Make) (Age 1 to 5 years) (from 16th jan 2026)</t>
  </si>
  <si>
    <t>SBI (TP) (20,001 to 40,000 Ton) (For Tata &amp;&amp; Ashok Make) (Age 1 to 5 years) (from 16th jan 2026)</t>
  </si>
  <si>
    <t>SBI (Package) (20,001 to 40,000 Ton) (For Tata &amp;&amp; Ashok Make) (Age above 5 years) (from 16th jan 2026)</t>
  </si>
  <si>
    <t>SBI (TP) (20,001 to 40,000 Ton) (For Tata &amp;&amp; Ashok Make) (Age above 5 years) (from 16th jan 2026)</t>
  </si>
  <si>
    <t>SBI (Package) (20,001 to 40,000 Ton) (For Other Make) (Age above 5 years) (from 16th jan 2026)</t>
  </si>
  <si>
    <t>SBI (TP) (20,001 to 40,000 Ton) (For Other Make) (Age above 5 years) (from 16th jan 2026)</t>
  </si>
  <si>
    <t>SBI (only New) (Tractor &amp; Harvestor) (Excluding Trailer) (till 15th Jan 2026)</t>
  </si>
  <si>
    <t>SBI (Package, TP) (only Old) (Tractor &amp; Harvestor) (Excluding Trailer) (till 15th Jan 2026)</t>
  </si>
  <si>
    <t>SBI (only New) (Tractor &amp; Harvestor) (Excluding Trailer) (from 16th Jan 2026)</t>
  </si>
  <si>
    <t>SBI (Package, TP) (only Old) (Tractor &amp; Harvestor) (Excluding Trailer) (from 16th Jan 2026)</t>
  </si>
  <si>
    <t>SBI (Package) (Non Diesel) (only new vehicle) (till 15th Jan 2026)</t>
  </si>
  <si>
    <t>SBI (TP) (Non Diesel) (only new vehicle) (till 15th Jan 2026)</t>
  </si>
  <si>
    <t>SBI (Package) (Non Diesel) (only non-new vehicle) (till 15th Jan 2026)</t>
  </si>
  <si>
    <t>SBI (TP) (Non Diesel) (only non-new vehicle) (till 15th Jan 2026)</t>
  </si>
  <si>
    <t>SBI (Package) (Non Diesel) (only new vehicle) (from 16th Jan 2026)</t>
  </si>
  <si>
    <t>SBI (TP) (Non Diesel) (only new vehicle) (from 16th Jan 2026)</t>
  </si>
  <si>
    <t>SBI (Package) (Non Diesel) (only non-new vehicle) (from 16th Jan 2026)</t>
  </si>
  <si>
    <t>SBI (TP) (Non Diesel) (only non-new vehicle) (from 16th Jan 2026)</t>
  </si>
  <si>
    <t>(for Chennai RTO) (excluding hero)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</si>
</sst>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58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10" fontId="2" fillId="2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/>
    <xf numFmtId="9" fontId="4" fillId="0" borderId="1" xfId="1" applyFont="1" applyBorder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9" fontId="4" fillId="0" borderId="4" xfId="1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64" fontId="0" fillId="0" borderId="0" xfId="0" applyNumberFormat="1"/>
    <xf numFmtId="10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9" fontId="4" fillId="0" borderId="2" xfId="1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10" fontId="4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0" fontId="4" fillId="2" borderId="0" xfId="0" applyNumberFormat="1" applyFont="1" applyFill="1" applyAlignment="1">
      <alignment horizontal="center" vertical="center"/>
    </xf>
    <xf numFmtId="9" fontId="4" fillId="0" borderId="1" xfId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9" fontId="4" fillId="0" borderId="2" xfId="1" applyFont="1" applyBorder="1" applyAlignment="1">
      <alignment horizontal="left" vertical="center" wrapText="1"/>
    </xf>
    <xf numFmtId="9" fontId="4" fillId="0" borderId="4" xfId="1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9" fontId="4" fillId="0" borderId="3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2" xfId="1" applyFont="1" applyBorder="1" applyAlignment="1">
      <alignment horizontal="center" vertical="center" wrapText="1"/>
    </xf>
    <xf numFmtId="9" fontId="4" fillId="0" borderId="3" xfId="1" applyFont="1" applyBorder="1" applyAlignment="1">
      <alignment horizontal="center" vertical="center" wrapText="1"/>
    </xf>
    <xf numFmtId="9" fontId="4" fillId="0" borderId="4" xfId="1" applyFont="1" applyBorder="1" applyAlignment="1">
      <alignment horizontal="center" vertical="center" wrapText="1"/>
    </xf>
  </cellXfs>
  <cellStyles count="3">
    <cellStyle name="Normal" xfId="0" builtinId="0"/>
    <cellStyle name="Normal 2 3" xfId="2" xr:uid="{AF0F433C-5A56-4B22-9543-103D2D4E160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CBF3-638B-48F9-A453-48581BB89FEC}">
  <dimension ref="A2:F917"/>
  <sheetViews>
    <sheetView showGridLines="0" zoomScaleNormal="100" workbookViewId="0">
      <selection activeCell="A2" sqref="A2:A3"/>
    </sheetView>
  </sheetViews>
  <sheetFormatPr defaultRowHeight="14.5" x14ac:dyDescent="0.35"/>
  <cols>
    <col min="1" max="1" width="39.1796875" style="9" customWidth="1"/>
    <col min="2" max="2" width="34.81640625" style="9" bestFit="1" customWidth="1"/>
    <col min="3" max="3" width="5.7265625" bestFit="1" customWidth="1"/>
    <col min="4" max="4" width="9.81640625" bestFit="1" customWidth="1"/>
    <col min="5" max="5" width="6.36328125" bestFit="1" customWidth="1"/>
    <col min="6" max="6" width="9.26953125" bestFit="1" customWidth="1"/>
  </cols>
  <sheetData>
    <row r="2" spans="1:6" ht="23" customHeight="1" x14ac:dyDescent="0.35">
      <c r="A2" s="46" t="s">
        <v>1282</v>
      </c>
      <c r="B2" s="22"/>
      <c r="C2" s="12"/>
      <c r="D2" s="12"/>
      <c r="E2" s="12"/>
      <c r="F2" s="12"/>
    </row>
    <row r="3" spans="1:6" ht="24.5" customHeight="1" x14ac:dyDescent="0.35">
      <c r="A3" s="46"/>
      <c r="B3" s="22"/>
      <c r="C3" s="12"/>
      <c r="D3" s="12"/>
      <c r="E3" s="12"/>
      <c r="F3" s="12"/>
    </row>
    <row r="5" spans="1:6" x14ac:dyDescent="0.35">
      <c r="A5" s="2" t="s">
        <v>0</v>
      </c>
      <c r="B5" s="2" t="s">
        <v>1</v>
      </c>
      <c r="C5" s="3" t="s">
        <v>2</v>
      </c>
      <c r="D5" s="4" t="s">
        <v>4</v>
      </c>
      <c r="E5" s="4" t="s">
        <v>5</v>
      </c>
      <c r="F5" s="4" t="s">
        <v>6</v>
      </c>
    </row>
    <row r="6" spans="1:6" x14ac:dyDescent="0.35">
      <c r="A6" s="5" t="s">
        <v>7</v>
      </c>
      <c r="B6" s="5" t="s">
        <v>8</v>
      </c>
      <c r="C6" s="6">
        <v>0.3</v>
      </c>
      <c r="D6" s="7">
        <f t="shared" ref="D6:D14" si="0">C6-(4.5%)</f>
        <v>0.255</v>
      </c>
      <c r="E6" s="7">
        <f t="shared" ref="E6:E14" si="1">D6*2%</f>
        <v>5.1000000000000004E-3</v>
      </c>
      <c r="F6" s="7">
        <f t="shared" ref="F6:F14" si="2">D6-E6</f>
        <v>0.24990000000000001</v>
      </c>
    </row>
    <row r="7" spans="1:6" x14ac:dyDescent="0.35">
      <c r="A7" s="5" t="s">
        <v>9</v>
      </c>
      <c r="B7" s="5" t="s">
        <v>10</v>
      </c>
      <c r="C7" s="6">
        <v>0.4</v>
      </c>
      <c r="D7" s="7">
        <f t="shared" si="0"/>
        <v>0.35500000000000004</v>
      </c>
      <c r="E7" s="7">
        <f t="shared" si="1"/>
        <v>7.1000000000000013E-3</v>
      </c>
      <c r="F7" s="7">
        <f t="shared" si="2"/>
        <v>0.34790000000000004</v>
      </c>
    </row>
    <row r="8" spans="1:6" x14ac:dyDescent="0.35">
      <c r="A8" s="5" t="s">
        <v>9</v>
      </c>
      <c r="B8" s="5" t="s">
        <v>11</v>
      </c>
      <c r="C8" s="6">
        <v>0.32500000000000001</v>
      </c>
      <c r="D8" s="7">
        <f t="shared" si="0"/>
        <v>0.28000000000000003</v>
      </c>
      <c r="E8" s="7">
        <f t="shared" si="1"/>
        <v>5.6000000000000008E-3</v>
      </c>
      <c r="F8" s="7">
        <f t="shared" si="2"/>
        <v>0.27440000000000003</v>
      </c>
    </row>
    <row r="9" spans="1:6" x14ac:dyDescent="0.35">
      <c r="A9" s="41" t="s">
        <v>12</v>
      </c>
      <c r="B9" s="5" t="s">
        <v>13</v>
      </c>
      <c r="C9" s="6">
        <v>0.09</v>
      </c>
      <c r="D9" s="7">
        <f t="shared" si="0"/>
        <v>4.4999999999999998E-2</v>
      </c>
      <c r="E9" s="7">
        <f t="shared" si="1"/>
        <v>8.9999999999999998E-4</v>
      </c>
      <c r="F9" s="7">
        <f t="shared" si="2"/>
        <v>4.41E-2</v>
      </c>
    </row>
    <row r="10" spans="1:6" x14ac:dyDescent="0.35">
      <c r="A10" s="42"/>
      <c r="B10" s="5" t="s">
        <v>14</v>
      </c>
      <c r="C10" s="6">
        <v>0.26</v>
      </c>
      <c r="D10" s="7">
        <f t="shared" si="0"/>
        <v>0.21500000000000002</v>
      </c>
      <c r="E10" s="7">
        <f t="shared" si="1"/>
        <v>4.3000000000000009E-3</v>
      </c>
      <c r="F10" s="7">
        <f t="shared" si="2"/>
        <v>0.21070000000000003</v>
      </c>
    </row>
    <row r="11" spans="1:6" x14ac:dyDescent="0.35">
      <c r="A11" s="42"/>
      <c r="B11" s="5" t="s">
        <v>15</v>
      </c>
      <c r="C11" s="6">
        <v>0.19</v>
      </c>
      <c r="D11" s="7">
        <f t="shared" si="0"/>
        <v>0.14500000000000002</v>
      </c>
      <c r="E11" s="7">
        <f t="shared" si="1"/>
        <v>2.9000000000000002E-3</v>
      </c>
      <c r="F11" s="7">
        <f t="shared" si="2"/>
        <v>0.1421</v>
      </c>
    </row>
    <row r="12" spans="1:6" x14ac:dyDescent="0.35">
      <c r="A12" s="42"/>
      <c r="B12" s="5" t="s">
        <v>16</v>
      </c>
      <c r="C12" s="6">
        <v>0.08</v>
      </c>
      <c r="D12" s="7">
        <f t="shared" si="0"/>
        <v>3.5000000000000003E-2</v>
      </c>
      <c r="E12" s="7">
        <f t="shared" si="1"/>
        <v>7.000000000000001E-4</v>
      </c>
      <c r="F12" s="7">
        <f t="shared" si="2"/>
        <v>3.4300000000000004E-2</v>
      </c>
    </row>
    <row r="13" spans="1:6" x14ac:dyDescent="0.35">
      <c r="A13" s="42"/>
      <c r="B13" s="5" t="s">
        <v>17</v>
      </c>
      <c r="C13" s="6">
        <v>0.26</v>
      </c>
      <c r="D13" s="7">
        <f t="shared" si="0"/>
        <v>0.21500000000000002</v>
      </c>
      <c r="E13" s="7">
        <f t="shared" si="1"/>
        <v>4.3000000000000009E-3</v>
      </c>
      <c r="F13" s="7">
        <f t="shared" si="2"/>
        <v>0.21070000000000003</v>
      </c>
    </row>
    <row r="14" spans="1:6" x14ac:dyDescent="0.35">
      <c r="A14" s="42"/>
      <c r="B14" s="5" t="s">
        <v>18</v>
      </c>
      <c r="C14" s="6">
        <v>0.21</v>
      </c>
      <c r="D14" s="7">
        <f t="shared" si="0"/>
        <v>0.16499999999999998</v>
      </c>
      <c r="E14" s="7">
        <f t="shared" si="1"/>
        <v>3.2999999999999995E-3</v>
      </c>
      <c r="F14" s="7">
        <f t="shared" si="2"/>
        <v>0.16169999999999998</v>
      </c>
    </row>
    <row r="15" spans="1:6" x14ac:dyDescent="0.35">
      <c r="A15" s="42"/>
      <c r="B15" s="5" t="s">
        <v>19</v>
      </c>
      <c r="C15" s="6">
        <v>0</v>
      </c>
      <c r="D15" s="7" t="s">
        <v>20</v>
      </c>
      <c r="E15" s="7" t="s">
        <v>20</v>
      </c>
      <c r="F15" s="7" t="s">
        <v>20</v>
      </c>
    </row>
    <row r="16" spans="1:6" x14ac:dyDescent="0.35">
      <c r="A16" s="42"/>
      <c r="B16" s="5" t="s">
        <v>21</v>
      </c>
      <c r="C16" s="6">
        <v>0</v>
      </c>
      <c r="D16" s="7" t="s">
        <v>20</v>
      </c>
      <c r="E16" s="7" t="s">
        <v>20</v>
      </c>
      <c r="F16" s="7" t="s">
        <v>20</v>
      </c>
    </row>
    <row r="17" spans="1:6" x14ac:dyDescent="0.35">
      <c r="A17" s="42"/>
      <c r="B17" s="5" t="s">
        <v>22</v>
      </c>
      <c r="C17" s="6">
        <v>0.24</v>
      </c>
      <c r="D17" s="7">
        <f>C17-(4.5%)</f>
        <v>0.19500000000000001</v>
      </c>
      <c r="E17" s="7">
        <f>D17*2%</f>
        <v>3.9000000000000003E-3</v>
      </c>
      <c r="F17" s="7">
        <f>D17-E17</f>
        <v>0.19110000000000002</v>
      </c>
    </row>
    <row r="18" spans="1:6" x14ac:dyDescent="0.35">
      <c r="A18" s="42"/>
      <c r="B18" s="5" t="s">
        <v>23</v>
      </c>
      <c r="C18" s="6">
        <v>0.26</v>
      </c>
      <c r="D18" s="7">
        <f>C18-(4.5%)</f>
        <v>0.21500000000000002</v>
      </c>
      <c r="E18" s="7">
        <f>D18*2%</f>
        <v>4.3000000000000009E-3</v>
      </c>
      <c r="F18" s="7">
        <f>D18-E18</f>
        <v>0.21070000000000003</v>
      </c>
    </row>
    <row r="19" spans="1:6" x14ac:dyDescent="0.35">
      <c r="A19" s="42"/>
      <c r="B19" s="5" t="s">
        <v>24</v>
      </c>
      <c r="C19" s="6">
        <v>0.15</v>
      </c>
      <c r="D19" s="7">
        <f>C19-(4.5%)</f>
        <v>0.105</v>
      </c>
      <c r="E19" s="7">
        <f>D19*2%</f>
        <v>2.0999999999999999E-3</v>
      </c>
      <c r="F19" s="7">
        <f>D19-E19</f>
        <v>0.10289999999999999</v>
      </c>
    </row>
    <row r="20" spans="1:6" x14ac:dyDescent="0.35">
      <c r="A20" s="42"/>
      <c r="B20" s="5" t="s">
        <v>25</v>
      </c>
      <c r="C20" s="6">
        <v>0.16</v>
      </c>
      <c r="D20" s="7">
        <f>C20-(4.5%)</f>
        <v>0.115</v>
      </c>
      <c r="E20" s="7">
        <f>D20*2%</f>
        <v>2.3E-3</v>
      </c>
      <c r="F20" s="7">
        <f>D20-E20</f>
        <v>0.11270000000000001</v>
      </c>
    </row>
    <row r="21" spans="1:6" x14ac:dyDescent="0.35">
      <c r="A21" s="42"/>
      <c r="B21" s="5" t="s">
        <v>26</v>
      </c>
      <c r="C21" s="6">
        <v>0.24</v>
      </c>
      <c r="D21" s="7">
        <f>C21-(4.5%)</f>
        <v>0.19500000000000001</v>
      </c>
      <c r="E21" s="7">
        <f>D21*2%</f>
        <v>3.9000000000000003E-3</v>
      </c>
      <c r="F21" s="7">
        <f>D21-E21</f>
        <v>0.19110000000000002</v>
      </c>
    </row>
    <row r="22" spans="1:6" x14ac:dyDescent="0.35">
      <c r="A22" s="43"/>
      <c r="B22" s="5" t="s">
        <v>27</v>
      </c>
      <c r="C22" s="6">
        <v>0</v>
      </c>
      <c r="D22" s="7" t="s">
        <v>20</v>
      </c>
      <c r="E22" s="7" t="s">
        <v>20</v>
      </c>
      <c r="F22" s="7" t="s">
        <v>20</v>
      </c>
    </row>
    <row r="23" spans="1:6" x14ac:dyDescent="0.35">
      <c r="A23" s="41" t="s">
        <v>28</v>
      </c>
      <c r="B23" s="5" t="s">
        <v>13</v>
      </c>
      <c r="C23" s="6">
        <v>0.05</v>
      </c>
      <c r="D23" s="7" t="s">
        <v>20</v>
      </c>
      <c r="E23" s="7" t="s">
        <v>20</v>
      </c>
      <c r="F23" s="7" t="s">
        <v>20</v>
      </c>
    </row>
    <row r="24" spans="1:6" x14ac:dyDescent="0.35">
      <c r="A24" s="42"/>
      <c r="B24" s="5" t="s">
        <v>14</v>
      </c>
      <c r="C24" s="6">
        <v>0.31</v>
      </c>
      <c r="D24" s="7">
        <f>C24-(4.5%)</f>
        <v>0.26500000000000001</v>
      </c>
      <c r="E24" s="7">
        <f>D24*2%</f>
        <v>5.3E-3</v>
      </c>
      <c r="F24" s="7">
        <f>D24-E24</f>
        <v>0.25969999999999999</v>
      </c>
    </row>
    <row r="25" spans="1:6" x14ac:dyDescent="0.35">
      <c r="A25" s="42"/>
      <c r="B25" s="5" t="s">
        <v>15</v>
      </c>
      <c r="C25" s="6">
        <v>0.20999999999999996</v>
      </c>
      <c r="D25" s="7">
        <f>C25-(4.5%)</f>
        <v>0.16499999999999998</v>
      </c>
      <c r="E25" s="7">
        <f>D25*2%</f>
        <v>3.2999999999999995E-3</v>
      </c>
      <c r="F25" s="7">
        <f>D25-E25</f>
        <v>0.16169999999999998</v>
      </c>
    </row>
    <row r="26" spans="1:6" x14ac:dyDescent="0.35">
      <c r="A26" s="42"/>
      <c r="B26" s="5" t="s">
        <v>16</v>
      </c>
      <c r="C26" s="6">
        <v>0.03</v>
      </c>
      <c r="D26" s="7" t="s">
        <v>20</v>
      </c>
      <c r="E26" s="7" t="s">
        <v>20</v>
      </c>
      <c r="F26" s="7" t="s">
        <v>20</v>
      </c>
    </row>
    <row r="27" spans="1:6" x14ac:dyDescent="0.35">
      <c r="A27" s="42"/>
      <c r="B27" s="5" t="s">
        <v>17</v>
      </c>
      <c r="C27" s="6">
        <v>0.31</v>
      </c>
      <c r="D27" s="7">
        <f>C27-(4.5%)</f>
        <v>0.26500000000000001</v>
      </c>
      <c r="E27" s="7">
        <f>D27*2%</f>
        <v>5.3E-3</v>
      </c>
      <c r="F27" s="7">
        <f>D27-E27</f>
        <v>0.25969999999999999</v>
      </c>
    </row>
    <row r="28" spans="1:6" x14ac:dyDescent="0.35">
      <c r="A28" s="42"/>
      <c r="B28" s="5" t="s">
        <v>18</v>
      </c>
      <c r="C28" s="6">
        <v>0.22999999999999998</v>
      </c>
      <c r="D28" s="7">
        <f>C28-(4.5%)</f>
        <v>0.185</v>
      </c>
      <c r="E28" s="7">
        <f>D28*2%</f>
        <v>3.7000000000000002E-3</v>
      </c>
      <c r="F28" s="7">
        <f>D28-E28</f>
        <v>0.18129999999999999</v>
      </c>
    </row>
    <row r="29" spans="1:6" x14ac:dyDescent="0.35">
      <c r="A29" s="42"/>
      <c r="B29" s="5" t="s">
        <v>19</v>
      </c>
      <c r="C29" s="6">
        <v>0</v>
      </c>
      <c r="D29" s="7" t="s">
        <v>20</v>
      </c>
      <c r="E29" s="7" t="s">
        <v>20</v>
      </c>
      <c r="F29" s="7" t="s">
        <v>20</v>
      </c>
    </row>
    <row r="30" spans="1:6" x14ac:dyDescent="0.35">
      <c r="A30" s="42"/>
      <c r="B30" s="5" t="s">
        <v>21</v>
      </c>
      <c r="C30" s="6">
        <v>0</v>
      </c>
      <c r="D30" s="7" t="s">
        <v>20</v>
      </c>
      <c r="E30" s="7" t="s">
        <v>20</v>
      </c>
      <c r="F30" s="7" t="s">
        <v>20</v>
      </c>
    </row>
    <row r="31" spans="1:6" x14ac:dyDescent="0.35">
      <c r="A31" s="42"/>
      <c r="B31" s="5" t="s">
        <v>22</v>
      </c>
      <c r="C31" s="6">
        <v>0.28000000000000003</v>
      </c>
      <c r="D31" s="7">
        <f>C31-(4.5%)</f>
        <v>0.23500000000000004</v>
      </c>
      <c r="E31" s="7">
        <f>D31*2%</f>
        <v>4.7000000000000011E-3</v>
      </c>
      <c r="F31" s="7">
        <f>D31-E31</f>
        <v>0.23030000000000003</v>
      </c>
    </row>
    <row r="32" spans="1:6" x14ac:dyDescent="0.35">
      <c r="A32" s="42"/>
      <c r="B32" s="5" t="s">
        <v>23</v>
      </c>
      <c r="C32" s="6">
        <v>0.31</v>
      </c>
      <c r="D32" s="7">
        <f>C32-(4.5%)</f>
        <v>0.26500000000000001</v>
      </c>
      <c r="E32" s="7">
        <f>D32*2%</f>
        <v>5.3E-3</v>
      </c>
      <c r="F32" s="7">
        <f>D32-E32</f>
        <v>0.25969999999999999</v>
      </c>
    </row>
    <row r="33" spans="1:6" x14ac:dyDescent="0.35">
      <c r="A33" s="42"/>
      <c r="B33" s="5" t="s">
        <v>24</v>
      </c>
      <c r="C33" s="6">
        <v>0.14999999999999997</v>
      </c>
      <c r="D33" s="7">
        <f>C33-(4.5%)</f>
        <v>0.10499999999999997</v>
      </c>
      <c r="E33" s="7">
        <f>D33*2%</f>
        <v>2.0999999999999994E-3</v>
      </c>
      <c r="F33" s="7">
        <f>D33-E33</f>
        <v>0.10289999999999996</v>
      </c>
    </row>
    <row r="34" spans="1:6" x14ac:dyDescent="0.35">
      <c r="A34" s="42"/>
      <c r="B34" s="5" t="s">
        <v>25</v>
      </c>
      <c r="C34" s="6">
        <v>0.14999999999999997</v>
      </c>
      <c r="D34" s="7">
        <f>C34-(4.5%)</f>
        <v>0.10499999999999997</v>
      </c>
      <c r="E34" s="7">
        <f>D34*2%</f>
        <v>2.0999999999999994E-3</v>
      </c>
      <c r="F34" s="7">
        <f>D34-E34</f>
        <v>0.10289999999999996</v>
      </c>
    </row>
    <row r="35" spans="1:6" x14ac:dyDescent="0.35">
      <c r="A35" s="42"/>
      <c r="B35" s="5" t="s">
        <v>26</v>
      </c>
      <c r="C35" s="6">
        <v>0.28000000000000003</v>
      </c>
      <c r="D35" s="7">
        <f>C35-(4.5%)</f>
        <v>0.23500000000000004</v>
      </c>
      <c r="E35" s="7">
        <f>D35*2%</f>
        <v>4.7000000000000011E-3</v>
      </c>
      <c r="F35" s="7">
        <f>D35-E35</f>
        <v>0.23030000000000003</v>
      </c>
    </row>
    <row r="36" spans="1:6" x14ac:dyDescent="0.35">
      <c r="A36" s="43"/>
      <c r="B36" s="5" t="s">
        <v>27</v>
      </c>
      <c r="C36" s="6">
        <v>0</v>
      </c>
      <c r="D36" s="7" t="s">
        <v>20</v>
      </c>
      <c r="E36" s="7" t="s">
        <v>20</v>
      </c>
      <c r="F36" s="7" t="s">
        <v>20</v>
      </c>
    </row>
    <row r="37" spans="1:6" x14ac:dyDescent="0.35">
      <c r="A37" s="41" t="s">
        <v>29</v>
      </c>
      <c r="B37" s="5" t="s">
        <v>14</v>
      </c>
      <c r="C37" s="7">
        <v>0.13</v>
      </c>
      <c r="D37" s="7">
        <f t="shared" ref="D37:D46" si="3">C37-(4.5%)</f>
        <v>8.5000000000000006E-2</v>
      </c>
      <c r="E37" s="7">
        <f t="shared" ref="E37:E46" si="4">D37*2%</f>
        <v>1.7000000000000001E-3</v>
      </c>
      <c r="F37" s="7">
        <f t="shared" ref="F37:F46" si="5">D37-E37</f>
        <v>8.3300000000000013E-2</v>
      </c>
    </row>
    <row r="38" spans="1:6" x14ac:dyDescent="0.35">
      <c r="A38" s="42"/>
      <c r="B38" s="5" t="s">
        <v>17</v>
      </c>
      <c r="C38" s="7">
        <v>0.13</v>
      </c>
      <c r="D38" s="7">
        <f t="shared" si="3"/>
        <v>8.5000000000000006E-2</v>
      </c>
      <c r="E38" s="7">
        <f t="shared" si="4"/>
        <v>1.7000000000000001E-3</v>
      </c>
      <c r="F38" s="7">
        <f t="shared" si="5"/>
        <v>8.3300000000000013E-2</v>
      </c>
    </row>
    <row r="39" spans="1:6" x14ac:dyDescent="0.35">
      <c r="A39" s="42"/>
      <c r="B39" s="5" t="s">
        <v>22</v>
      </c>
      <c r="C39" s="7">
        <v>0.09</v>
      </c>
      <c r="D39" s="7">
        <f t="shared" si="3"/>
        <v>4.4999999999999998E-2</v>
      </c>
      <c r="E39" s="7">
        <f t="shared" si="4"/>
        <v>8.9999999999999998E-4</v>
      </c>
      <c r="F39" s="7">
        <f t="shared" si="5"/>
        <v>4.41E-2</v>
      </c>
    </row>
    <row r="40" spans="1:6" x14ac:dyDescent="0.35">
      <c r="A40" s="42"/>
      <c r="B40" s="5" t="s">
        <v>23</v>
      </c>
      <c r="C40" s="7">
        <v>0.13</v>
      </c>
      <c r="D40" s="7">
        <f t="shared" si="3"/>
        <v>8.5000000000000006E-2</v>
      </c>
      <c r="E40" s="7">
        <f t="shared" si="4"/>
        <v>1.7000000000000001E-3</v>
      </c>
      <c r="F40" s="7">
        <f t="shared" si="5"/>
        <v>8.3300000000000013E-2</v>
      </c>
    </row>
    <row r="41" spans="1:6" x14ac:dyDescent="0.35">
      <c r="A41" s="43"/>
      <c r="B41" s="5" t="s">
        <v>26</v>
      </c>
      <c r="C41" s="7">
        <v>0.09</v>
      </c>
      <c r="D41" s="7">
        <f t="shared" si="3"/>
        <v>4.4999999999999998E-2</v>
      </c>
      <c r="E41" s="7">
        <f t="shared" si="4"/>
        <v>8.9999999999999998E-4</v>
      </c>
      <c r="F41" s="7">
        <f t="shared" si="5"/>
        <v>4.41E-2</v>
      </c>
    </row>
    <row r="42" spans="1:6" x14ac:dyDescent="0.35">
      <c r="A42" s="41" t="s">
        <v>30</v>
      </c>
      <c r="B42" s="5" t="s">
        <v>14</v>
      </c>
      <c r="C42" s="6">
        <v>7.0000000000000007E-2</v>
      </c>
      <c r="D42" s="7">
        <f t="shared" si="3"/>
        <v>2.5000000000000008E-2</v>
      </c>
      <c r="E42" s="7">
        <f t="shared" si="4"/>
        <v>5.0000000000000023E-4</v>
      </c>
      <c r="F42" s="7">
        <f t="shared" si="5"/>
        <v>2.4500000000000008E-2</v>
      </c>
    </row>
    <row r="43" spans="1:6" x14ac:dyDescent="0.35">
      <c r="A43" s="42"/>
      <c r="B43" s="5" t="s">
        <v>17</v>
      </c>
      <c r="C43" s="6">
        <v>7.0000000000000007E-2</v>
      </c>
      <c r="D43" s="7">
        <f t="shared" si="3"/>
        <v>2.5000000000000008E-2</v>
      </c>
      <c r="E43" s="7">
        <f t="shared" si="4"/>
        <v>5.0000000000000023E-4</v>
      </c>
      <c r="F43" s="7">
        <f t="shared" si="5"/>
        <v>2.4500000000000008E-2</v>
      </c>
    </row>
    <row r="44" spans="1:6" x14ac:dyDescent="0.35">
      <c r="A44" s="43"/>
      <c r="B44" s="5" t="s">
        <v>23</v>
      </c>
      <c r="C44" s="6">
        <v>7.0000000000000007E-2</v>
      </c>
      <c r="D44" s="7">
        <f t="shared" si="3"/>
        <v>2.5000000000000008E-2</v>
      </c>
      <c r="E44" s="7">
        <f t="shared" si="4"/>
        <v>5.0000000000000023E-4</v>
      </c>
      <c r="F44" s="7">
        <f t="shared" si="5"/>
        <v>2.4500000000000008E-2</v>
      </c>
    </row>
    <row r="45" spans="1:6" x14ac:dyDescent="0.35">
      <c r="A45" s="5" t="s">
        <v>31</v>
      </c>
      <c r="B45" s="5" t="s">
        <v>32</v>
      </c>
      <c r="C45" s="6">
        <v>0.27500000000000002</v>
      </c>
      <c r="D45" s="7">
        <f t="shared" si="3"/>
        <v>0.23000000000000004</v>
      </c>
      <c r="E45" s="7">
        <f t="shared" si="4"/>
        <v>4.6000000000000008E-3</v>
      </c>
      <c r="F45" s="7">
        <f t="shared" si="5"/>
        <v>0.22540000000000004</v>
      </c>
    </row>
    <row r="46" spans="1:6" x14ac:dyDescent="0.35">
      <c r="A46" s="48" t="s">
        <v>1141</v>
      </c>
      <c r="B46" s="5" t="s">
        <v>33</v>
      </c>
      <c r="C46" s="6">
        <v>0.55000000000000004</v>
      </c>
      <c r="D46" s="7">
        <f t="shared" si="3"/>
        <v>0.505</v>
      </c>
      <c r="E46" s="7">
        <f t="shared" si="4"/>
        <v>1.01E-2</v>
      </c>
      <c r="F46" s="7">
        <f t="shared" si="5"/>
        <v>0.49490000000000001</v>
      </c>
    </row>
    <row r="47" spans="1:6" x14ac:dyDescent="0.35">
      <c r="A47" s="48"/>
      <c r="B47" s="5" t="s">
        <v>34</v>
      </c>
      <c r="C47" s="6">
        <v>0</v>
      </c>
      <c r="D47" s="7" t="s">
        <v>20</v>
      </c>
      <c r="E47" s="7" t="s">
        <v>20</v>
      </c>
      <c r="F47" s="7" t="s">
        <v>20</v>
      </c>
    </row>
    <row r="48" spans="1:6" x14ac:dyDescent="0.35">
      <c r="A48" s="48"/>
      <c r="B48" s="5" t="s">
        <v>35</v>
      </c>
      <c r="C48" s="6">
        <v>0.55000000000000004</v>
      </c>
      <c r="D48" s="7">
        <f>C48-(4.5%)</f>
        <v>0.505</v>
      </c>
      <c r="E48" s="7">
        <f>D48*2%</f>
        <v>1.01E-2</v>
      </c>
      <c r="F48" s="7">
        <f>D48-E48</f>
        <v>0.49490000000000001</v>
      </c>
    </row>
    <row r="49" spans="1:6" x14ac:dyDescent="0.35">
      <c r="A49" s="48" t="s">
        <v>36</v>
      </c>
      <c r="B49" s="5" t="s">
        <v>33</v>
      </c>
      <c r="C49" s="6">
        <v>0</v>
      </c>
      <c r="D49" s="7" t="s">
        <v>20</v>
      </c>
      <c r="E49" s="7" t="s">
        <v>20</v>
      </c>
      <c r="F49" s="7" t="s">
        <v>20</v>
      </c>
    </row>
    <row r="50" spans="1:6" x14ac:dyDescent="0.35">
      <c r="A50" s="48"/>
      <c r="B50" s="5" t="s">
        <v>34</v>
      </c>
      <c r="C50" s="6">
        <v>0.1</v>
      </c>
      <c r="D50" s="7">
        <f>C50-(4.5%)</f>
        <v>5.5000000000000007E-2</v>
      </c>
      <c r="E50" s="7">
        <f>D50*2%</f>
        <v>1.1000000000000001E-3</v>
      </c>
      <c r="F50" s="7">
        <f>D50-E50</f>
        <v>5.390000000000001E-2</v>
      </c>
    </row>
    <row r="51" spans="1:6" x14ac:dyDescent="0.35">
      <c r="A51" s="48"/>
      <c r="B51" s="5" t="s">
        <v>35</v>
      </c>
      <c r="C51" s="6">
        <v>0.13</v>
      </c>
      <c r="D51" s="7">
        <f>C51-(4.5%)</f>
        <v>8.5000000000000006E-2</v>
      </c>
      <c r="E51" s="7">
        <f>D51*2%</f>
        <v>1.7000000000000001E-3</v>
      </c>
      <c r="F51" s="7">
        <f>D51-E51</f>
        <v>8.3300000000000013E-2</v>
      </c>
    </row>
    <row r="52" spans="1:6" x14ac:dyDescent="0.35">
      <c r="A52" s="41" t="s">
        <v>481</v>
      </c>
      <c r="B52" s="5" t="s">
        <v>34</v>
      </c>
      <c r="C52" s="6">
        <v>0.41</v>
      </c>
      <c r="D52" s="7">
        <f>C52-(4.5%)</f>
        <v>0.36499999999999999</v>
      </c>
      <c r="E52" s="7">
        <f>D52*2%</f>
        <v>7.3000000000000001E-3</v>
      </c>
      <c r="F52" s="7">
        <f>D52-E52</f>
        <v>0.35770000000000002</v>
      </c>
    </row>
    <row r="53" spans="1:6" x14ac:dyDescent="0.35">
      <c r="A53" s="42"/>
      <c r="B53" s="5" t="s">
        <v>35</v>
      </c>
      <c r="C53" s="6">
        <v>0.41499999999999998</v>
      </c>
      <c r="D53" s="7">
        <f>C53-(4.5%)</f>
        <v>0.37</v>
      </c>
      <c r="E53" s="7">
        <f>D53*2%</f>
        <v>7.4000000000000003E-3</v>
      </c>
      <c r="F53" s="7">
        <f>D53-E53</f>
        <v>0.36259999999999998</v>
      </c>
    </row>
    <row r="54" spans="1:6" x14ac:dyDescent="0.35">
      <c r="A54" s="43"/>
      <c r="B54" s="5" t="s">
        <v>33</v>
      </c>
      <c r="C54" s="6">
        <v>0</v>
      </c>
      <c r="D54" s="7" t="s">
        <v>20</v>
      </c>
      <c r="E54" s="7" t="s">
        <v>20</v>
      </c>
      <c r="F54" s="7" t="s">
        <v>20</v>
      </c>
    </row>
    <row r="55" spans="1:6" x14ac:dyDescent="0.35">
      <c r="A55" s="41" t="s">
        <v>38</v>
      </c>
      <c r="B55" s="5" t="s">
        <v>39</v>
      </c>
      <c r="C55" s="6">
        <v>0.35</v>
      </c>
      <c r="D55" s="7">
        <f>C55-(4.5%)</f>
        <v>0.30499999999999999</v>
      </c>
      <c r="E55" s="7">
        <f>D55*2%</f>
        <v>6.1000000000000004E-3</v>
      </c>
      <c r="F55" s="7">
        <f>D55-E55</f>
        <v>0.2989</v>
      </c>
    </row>
    <row r="56" spans="1:6" x14ac:dyDescent="0.35">
      <c r="A56" s="43"/>
      <c r="B56" s="5" t="s">
        <v>40</v>
      </c>
      <c r="C56" s="6">
        <v>0.34</v>
      </c>
      <c r="D56" s="7">
        <f>C56-(4.5%)</f>
        <v>0.29500000000000004</v>
      </c>
      <c r="E56" s="7">
        <f>D56*2%</f>
        <v>5.9000000000000007E-3</v>
      </c>
      <c r="F56" s="7">
        <f>D56-E56</f>
        <v>0.28910000000000002</v>
      </c>
    </row>
    <row r="57" spans="1:6" x14ac:dyDescent="0.35">
      <c r="A57" s="2" t="s">
        <v>41</v>
      </c>
      <c r="B57" s="2" t="s">
        <v>1</v>
      </c>
      <c r="C57" s="3" t="s">
        <v>2</v>
      </c>
      <c r="D57" s="4" t="s">
        <v>4</v>
      </c>
      <c r="E57" s="4" t="s">
        <v>5</v>
      </c>
      <c r="F57" s="4" t="s">
        <v>6</v>
      </c>
    </row>
    <row r="58" spans="1:6" ht="24" x14ac:dyDescent="0.35">
      <c r="A58" s="41" t="s">
        <v>42</v>
      </c>
      <c r="B58" s="5" t="s">
        <v>43</v>
      </c>
      <c r="C58" s="6">
        <v>0.43000000000000005</v>
      </c>
      <c r="D58" s="7">
        <f t="shared" ref="D58:D89" si="6">C58-(4.5%)</f>
        <v>0.38500000000000006</v>
      </c>
      <c r="E58" s="7">
        <f t="shared" ref="E58:E89" si="7">D58*2%</f>
        <v>7.7000000000000011E-3</v>
      </c>
      <c r="F58" s="7">
        <f t="shared" ref="F58:F89" si="8">D58-E58</f>
        <v>0.37730000000000008</v>
      </c>
    </row>
    <row r="59" spans="1:6" x14ac:dyDescent="0.35">
      <c r="A59" s="42"/>
      <c r="B59" s="5" t="s">
        <v>44</v>
      </c>
      <c r="C59" s="6">
        <v>0.43000000000000005</v>
      </c>
      <c r="D59" s="7">
        <f t="shared" si="6"/>
        <v>0.38500000000000006</v>
      </c>
      <c r="E59" s="7">
        <f t="shared" si="7"/>
        <v>7.7000000000000011E-3</v>
      </c>
      <c r="F59" s="7">
        <f t="shared" si="8"/>
        <v>0.37730000000000008</v>
      </c>
    </row>
    <row r="60" spans="1:6" x14ac:dyDescent="0.35">
      <c r="A60" s="42"/>
      <c r="B60" s="5" t="s">
        <v>45</v>
      </c>
      <c r="C60" s="6">
        <v>0.43000000000000005</v>
      </c>
      <c r="D60" s="7">
        <f t="shared" si="6"/>
        <v>0.38500000000000006</v>
      </c>
      <c r="E60" s="7">
        <f t="shared" si="7"/>
        <v>7.7000000000000011E-3</v>
      </c>
      <c r="F60" s="7">
        <f t="shared" si="8"/>
        <v>0.37730000000000008</v>
      </c>
    </row>
    <row r="61" spans="1:6" x14ac:dyDescent="0.35">
      <c r="A61" s="42"/>
      <c r="B61" s="5" t="s">
        <v>46</v>
      </c>
      <c r="C61" s="6">
        <v>0.41000000000000003</v>
      </c>
      <c r="D61" s="7">
        <f t="shared" si="6"/>
        <v>0.36500000000000005</v>
      </c>
      <c r="E61" s="7">
        <f t="shared" si="7"/>
        <v>7.3000000000000009E-3</v>
      </c>
      <c r="F61" s="7">
        <f t="shared" si="8"/>
        <v>0.35770000000000002</v>
      </c>
    </row>
    <row r="62" spans="1:6" x14ac:dyDescent="0.35">
      <c r="A62" s="42"/>
      <c r="B62" s="5" t="s">
        <v>47</v>
      </c>
      <c r="C62" s="6">
        <v>0.41000000000000003</v>
      </c>
      <c r="D62" s="7">
        <f t="shared" si="6"/>
        <v>0.36500000000000005</v>
      </c>
      <c r="E62" s="7">
        <f t="shared" si="7"/>
        <v>7.3000000000000009E-3</v>
      </c>
      <c r="F62" s="7">
        <f t="shared" si="8"/>
        <v>0.35770000000000002</v>
      </c>
    </row>
    <row r="63" spans="1:6" x14ac:dyDescent="0.35">
      <c r="A63" s="42"/>
      <c r="B63" s="5" t="s">
        <v>48</v>
      </c>
      <c r="C63" s="6">
        <v>0.39</v>
      </c>
      <c r="D63" s="7">
        <f t="shared" si="6"/>
        <v>0.34500000000000003</v>
      </c>
      <c r="E63" s="7">
        <f t="shared" si="7"/>
        <v>6.9000000000000008E-3</v>
      </c>
      <c r="F63" s="7">
        <f t="shared" si="8"/>
        <v>0.33810000000000001</v>
      </c>
    </row>
    <row r="64" spans="1:6" x14ac:dyDescent="0.35">
      <c r="A64" s="42"/>
      <c r="B64" s="5" t="s">
        <v>49</v>
      </c>
      <c r="C64" s="6">
        <v>0.43999999999999995</v>
      </c>
      <c r="D64" s="7">
        <f t="shared" si="6"/>
        <v>0.39499999999999996</v>
      </c>
      <c r="E64" s="7">
        <f t="shared" si="7"/>
        <v>7.899999999999999E-3</v>
      </c>
      <c r="F64" s="7">
        <f t="shared" si="8"/>
        <v>0.38709999999999994</v>
      </c>
    </row>
    <row r="65" spans="1:6" x14ac:dyDescent="0.35">
      <c r="A65" s="42"/>
      <c r="B65" s="5" t="s">
        <v>50</v>
      </c>
      <c r="C65" s="6">
        <v>0.42000000000000004</v>
      </c>
      <c r="D65" s="7">
        <f t="shared" si="6"/>
        <v>0.37500000000000006</v>
      </c>
      <c r="E65" s="7">
        <f t="shared" si="7"/>
        <v>7.5000000000000015E-3</v>
      </c>
      <c r="F65" s="7">
        <f t="shared" si="8"/>
        <v>0.36750000000000005</v>
      </c>
    </row>
    <row r="66" spans="1:6" x14ac:dyDescent="0.35">
      <c r="A66" s="42"/>
      <c r="B66" s="5" t="s">
        <v>51</v>
      </c>
      <c r="C66" s="6">
        <v>0.41000000000000003</v>
      </c>
      <c r="D66" s="7">
        <f t="shared" si="6"/>
        <v>0.36500000000000005</v>
      </c>
      <c r="E66" s="7">
        <f t="shared" si="7"/>
        <v>7.3000000000000009E-3</v>
      </c>
      <c r="F66" s="7">
        <f t="shared" si="8"/>
        <v>0.35770000000000002</v>
      </c>
    </row>
    <row r="67" spans="1:6" x14ac:dyDescent="0.35">
      <c r="A67" s="42"/>
      <c r="B67" s="5" t="s">
        <v>52</v>
      </c>
      <c r="C67" s="6">
        <v>0.39</v>
      </c>
      <c r="D67" s="7">
        <f t="shared" si="6"/>
        <v>0.34500000000000003</v>
      </c>
      <c r="E67" s="7">
        <f t="shared" si="7"/>
        <v>6.9000000000000008E-3</v>
      </c>
      <c r="F67" s="7">
        <f t="shared" si="8"/>
        <v>0.33810000000000001</v>
      </c>
    </row>
    <row r="68" spans="1:6" x14ac:dyDescent="0.35">
      <c r="A68" s="42"/>
      <c r="B68" s="5" t="s">
        <v>53</v>
      </c>
      <c r="C68" s="6">
        <v>0.38</v>
      </c>
      <c r="D68" s="7">
        <f t="shared" si="6"/>
        <v>0.33500000000000002</v>
      </c>
      <c r="E68" s="7">
        <f t="shared" si="7"/>
        <v>6.7000000000000002E-3</v>
      </c>
      <c r="F68" s="7">
        <f t="shared" si="8"/>
        <v>0.32830000000000004</v>
      </c>
    </row>
    <row r="69" spans="1:6" x14ac:dyDescent="0.35">
      <c r="A69" s="42"/>
      <c r="B69" s="5" t="s">
        <v>54</v>
      </c>
      <c r="C69" s="6">
        <v>0.39</v>
      </c>
      <c r="D69" s="7">
        <f t="shared" si="6"/>
        <v>0.34500000000000003</v>
      </c>
      <c r="E69" s="7">
        <f t="shared" si="7"/>
        <v>6.9000000000000008E-3</v>
      </c>
      <c r="F69" s="7">
        <f t="shared" si="8"/>
        <v>0.33810000000000001</v>
      </c>
    </row>
    <row r="70" spans="1:6" ht="48" x14ac:dyDescent="0.35">
      <c r="A70" s="42"/>
      <c r="B70" s="5" t="s">
        <v>55</v>
      </c>
      <c r="C70" s="6">
        <v>0.39</v>
      </c>
      <c r="D70" s="7">
        <f t="shared" si="6"/>
        <v>0.34500000000000003</v>
      </c>
      <c r="E70" s="7">
        <f t="shared" si="7"/>
        <v>6.9000000000000008E-3</v>
      </c>
      <c r="F70" s="7">
        <f t="shared" si="8"/>
        <v>0.33810000000000001</v>
      </c>
    </row>
    <row r="71" spans="1:6" x14ac:dyDescent="0.35">
      <c r="A71" s="43"/>
      <c r="B71" s="5" t="s">
        <v>27</v>
      </c>
      <c r="C71" s="6">
        <v>0.14000000000000001</v>
      </c>
      <c r="D71" s="7">
        <f t="shared" si="6"/>
        <v>9.5000000000000015E-2</v>
      </c>
      <c r="E71" s="7">
        <f t="shared" si="7"/>
        <v>1.9000000000000004E-3</v>
      </c>
      <c r="F71" s="7">
        <f t="shared" si="8"/>
        <v>9.3100000000000016E-2</v>
      </c>
    </row>
    <row r="72" spans="1:6" x14ac:dyDescent="0.35">
      <c r="A72" s="41" t="s">
        <v>56</v>
      </c>
      <c r="B72" s="5" t="s">
        <v>13</v>
      </c>
      <c r="C72" s="7">
        <v>0.34</v>
      </c>
      <c r="D72" s="7">
        <f t="shared" si="6"/>
        <v>0.29500000000000004</v>
      </c>
      <c r="E72" s="7">
        <f t="shared" si="7"/>
        <v>5.9000000000000007E-3</v>
      </c>
      <c r="F72" s="7">
        <f t="shared" si="8"/>
        <v>0.28910000000000002</v>
      </c>
    </row>
    <row r="73" spans="1:6" x14ac:dyDescent="0.35">
      <c r="A73" s="42"/>
      <c r="B73" s="5" t="s">
        <v>14</v>
      </c>
      <c r="C73" s="7">
        <v>0.45</v>
      </c>
      <c r="D73" s="7">
        <f t="shared" si="6"/>
        <v>0.40500000000000003</v>
      </c>
      <c r="E73" s="7">
        <f t="shared" si="7"/>
        <v>8.1000000000000013E-3</v>
      </c>
      <c r="F73" s="7">
        <f t="shared" si="8"/>
        <v>0.39690000000000003</v>
      </c>
    </row>
    <row r="74" spans="1:6" x14ac:dyDescent="0.35">
      <c r="A74" s="42"/>
      <c r="B74" s="5" t="s">
        <v>15</v>
      </c>
      <c r="C74" s="7">
        <v>0.42</v>
      </c>
      <c r="D74" s="7">
        <f t="shared" si="6"/>
        <v>0.375</v>
      </c>
      <c r="E74" s="7">
        <f t="shared" si="7"/>
        <v>7.4999999999999997E-3</v>
      </c>
      <c r="F74" s="7">
        <f t="shared" si="8"/>
        <v>0.36749999999999999</v>
      </c>
    </row>
    <row r="75" spans="1:6" x14ac:dyDescent="0.35">
      <c r="A75" s="42"/>
      <c r="B75" s="5" t="s">
        <v>16</v>
      </c>
      <c r="C75" s="7">
        <v>0.32</v>
      </c>
      <c r="D75" s="7">
        <f t="shared" si="6"/>
        <v>0.27500000000000002</v>
      </c>
      <c r="E75" s="7">
        <f t="shared" si="7"/>
        <v>5.5000000000000005E-3</v>
      </c>
      <c r="F75" s="7">
        <f t="shared" si="8"/>
        <v>0.26950000000000002</v>
      </c>
    </row>
    <row r="76" spans="1:6" x14ac:dyDescent="0.35">
      <c r="A76" s="42"/>
      <c r="B76" s="5" t="s">
        <v>17</v>
      </c>
      <c r="C76" s="7">
        <v>0.45</v>
      </c>
      <c r="D76" s="7">
        <f t="shared" si="6"/>
        <v>0.40500000000000003</v>
      </c>
      <c r="E76" s="7">
        <f t="shared" si="7"/>
        <v>8.1000000000000013E-3</v>
      </c>
      <c r="F76" s="7">
        <f t="shared" si="8"/>
        <v>0.39690000000000003</v>
      </c>
    </row>
    <row r="77" spans="1:6" x14ac:dyDescent="0.35">
      <c r="A77" s="42"/>
      <c r="B77" s="5" t="s">
        <v>18</v>
      </c>
      <c r="C77" s="7">
        <v>0.41</v>
      </c>
      <c r="D77" s="7">
        <f t="shared" si="6"/>
        <v>0.36499999999999999</v>
      </c>
      <c r="E77" s="7">
        <f t="shared" si="7"/>
        <v>7.3000000000000001E-3</v>
      </c>
      <c r="F77" s="7">
        <f t="shared" si="8"/>
        <v>0.35770000000000002</v>
      </c>
    </row>
    <row r="78" spans="1:6" x14ac:dyDescent="0.35">
      <c r="A78" s="42"/>
      <c r="B78" s="5" t="s">
        <v>19</v>
      </c>
      <c r="C78" s="7">
        <v>0.24</v>
      </c>
      <c r="D78" s="7">
        <f t="shared" si="6"/>
        <v>0.19500000000000001</v>
      </c>
      <c r="E78" s="7">
        <f t="shared" si="7"/>
        <v>3.9000000000000003E-3</v>
      </c>
      <c r="F78" s="7">
        <f t="shared" si="8"/>
        <v>0.19110000000000002</v>
      </c>
    </row>
    <row r="79" spans="1:6" x14ac:dyDescent="0.35">
      <c r="A79" s="42"/>
      <c r="B79" s="5" t="s">
        <v>21</v>
      </c>
      <c r="C79" s="7">
        <v>0.2</v>
      </c>
      <c r="D79" s="7">
        <f t="shared" si="6"/>
        <v>0.15500000000000003</v>
      </c>
      <c r="E79" s="7">
        <f t="shared" si="7"/>
        <v>3.1000000000000008E-3</v>
      </c>
      <c r="F79" s="7">
        <f t="shared" si="8"/>
        <v>0.15190000000000003</v>
      </c>
    </row>
    <row r="80" spans="1:6" x14ac:dyDescent="0.35">
      <c r="A80" s="42"/>
      <c r="B80" s="5" t="s">
        <v>22</v>
      </c>
      <c r="C80" s="7">
        <v>0.45</v>
      </c>
      <c r="D80" s="7">
        <f t="shared" si="6"/>
        <v>0.40500000000000003</v>
      </c>
      <c r="E80" s="7">
        <f t="shared" si="7"/>
        <v>8.1000000000000013E-3</v>
      </c>
      <c r="F80" s="7">
        <f t="shared" si="8"/>
        <v>0.39690000000000003</v>
      </c>
    </row>
    <row r="81" spans="1:6" x14ac:dyDescent="0.35">
      <c r="A81" s="42"/>
      <c r="B81" s="5" t="s">
        <v>23</v>
      </c>
      <c r="C81" s="7">
        <v>0.45</v>
      </c>
      <c r="D81" s="7">
        <f t="shared" si="6"/>
        <v>0.40500000000000003</v>
      </c>
      <c r="E81" s="7">
        <f t="shared" si="7"/>
        <v>8.1000000000000013E-3</v>
      </c>
      <c r="F81" s="7">
        <f t="shared" si="8"/>
        <v>0.39690000000000003</v>
      </c>
    </row>
    <row r="82" spans="1:6" x14ac:dyDescent="0.35">
      <c r="A82" s="42"/>
      <c r="B82" s="5" t="s">
        <v>24</v>
      </c>
      <c r="C82" s="7">
        <v>0.38</v>
      </c>
      <c r="D82" s="7">
        <f t="shared" si="6"/>
        <v>0.33500000000000002</v>
      </c>
      <c r="E82" s="7">
        <f t="shared" si="7"/>
        <v>6.7000000000000002E-3</v>
      </c>
      <c r="F82" s="7">
        <f t="shared" si="8"/>
        <v>0.32830000000000004</v>
      </c>
    </row>
    <row r="83" spans="1:6" x14ac:dyDescent="0.35">
      <c r="A83" s="42"/>
      <c r="B83" s="5" t="s">
        <v>25</v>
      </c>
      <c r="C83" s="7">
        <v>0.39</v>
      </c>
      <c r="D83" s="7">
        <f t="shared" si="6"/>
        <v>0.34500000000000003</v>
      </c>
      <c r="E83" s="7">
        <f t="shared" si="7"/>
        <v>6.9000000000000008E-3</v>
      </c>
      <c r="F83" s="7">
        <f t="shared" si="8"/>
        <v>0.33810000000000001</v>
      </c>
    </row>
    <row r="84" spans="1:6" x14ac:dyDescent="0.35">
      <c r="A84" s="42"/>
      <c r="B84" s="5" t="s">
        <v>26</v>
      </c>
      <c r="C84" s="7">
        <v>0.45</v>
      </c>
      <c r="D84" s="7">
        <f t="shared" si="6"/>
        <v>0.40500000000000003</v>
      </c>
      <c r="E84" s="7">
        <f t="shared" si="7"/>
        <v>8.1000000000000013E-3</v>
      </c>
      <c r="F84" s="7">
        <f t="shared" si="8"/>
        <v>0.39690000000000003</v>
      </c>
    </row>
    <row r="85" spans="1:6" x14ac:dyDescent="0.35">
      <c r="A85" s="43"/>
      <c r="B85" s="5" t="s">
        <v>27</v>
      </c>
      <c r="C85" s="7">
        <v>0.17</v>
      </c>
      <c r="D85" s="7">
        <f t="shared" si="6"/>
        <v>0.125</v>
      </c>
      <c r="E85" s="7">
        <f t="shared" si="7"/>
        <v>2.5000000000000001E-3</v>
      </c>
      <c r="F85" s="7">
        <f t="shared" si="8"/>
        <v>0.1225</v>
      </c>
    </row>
    <row r="86" spans="1:6" x14ac:dyDescent="0.35">
      <c r="A86" s="41" t="s">
        <v>57</v>
      </c>
      <c r="B86" s="5" t="s">
        <v>58</v>
      </c>
      <c r="C86" s="6">
        <v>0.33</v>
      </c>
      <c r="D86" s="7">
        <f t="shared" si="6"/>
        <v>0.28500000000000003</v>
      </c>
      <c r="E86" s="7">
        <f t="shared" si="7"/>
        <v>5.7000000000000011E-3</v>
      </c>
      <c r="F86" s="7">
        <f t="shared" si="8"/>
        <v>0.27930000000000005</v>
      </c>
    </row>
    <row r="87" spans="1:6" x14ac:dyDescent="0.35">
      <c r="A87" s="43"/>
      <c r="B87" s="5" t="s">
        <v>27</v>
      </c>
      <c r="C87" s="6">
        <v>0.16</v>
      </c>
      <c r="D87" s="7">
        <f t="shared" si="6"/>
        <v>0.115</v>
      </c>
      <c r="E87" s="7">
        <f t="shared" si="7"/>
        <v>2.3E-3</v>
      </c>
      <c r="F87" s="7">
        <f t="shared" si="8"/>
        <v>0.11270000000000001</v>
      </c>
    </row>
    <row r="88" spans="1:6" x14ac:dyDescent="0.35">
      <c r="A88" s="41" t="s">
        <v>59</v>
      </c>
      <c r="B88" s="5" t="s">
        <v>58</v>
      </c>
      <c r="C88" s="7">
        <v>0.45</v>
      </c>
      <c r="D88" s="7">
        <f t="shared" si="6"/>
        <v>0.40500000000000003</v>
      </c>
      <c r="E88" s="7">
        <f t="shared" si="7"/>
        <v>8.1000000000000013E-3</v>
      </c>
      <c r="F88" s="7">
        <f t="shared" si="8"/>
        <v>0.39690000000000003</v>
      </c>
    </row>
    <row r="89" spans="1:6" x14ac:dyDescent="0.35">
      <c r="A89" s="43"/>
      <c r="B89" s="5" t="s">
        <v>27</v>
      </c>
      <c r="C89" s="7">
        <v>0.21999999999999997</v>
      </c>
      <c r="D89" s="7">
        <f t="shared" si="6"/>
        <v>0.17499999999999999</v>
      </c>
      <c r="E89" s="7">
        <f t="shared" si="7"/>
        <v>3.4999999999999996E-3</v>
      </c>
      <c r="F89" s="7">
        <f t="shared" si="8"/>
        <v>0.17149999999999999</v>
      </c>
    </row>
    <row r="90" spans="1:6" x14ac:dyDescent="0.35">
      <c r="A90" s="48" t="s">
        <v>1513</v>
      </c>
      <c r="B90" s="5" t="s">
        <v>61</v>
      </c>
      <c r="C90" s="7">
        <v>0.52500000000000002</v>
      </c>
      <c r="D90" s="7">
        <f t="shared" ref="D90:D113" si="9">C90-(4.5%)</f>
        <v>0.48000000000000004</v>
      </c>
      <c r="E90" s="7">
        <f t="shared" ref="E90:E113" si="10">D90*2%</f>
        <v>9.6000000000000009E-3</v>
      </c>
      <c r="F90" s="7">
        <f t="shared" ref="F90:F113" si="11">D90-E90</f>
        <v>0.47040000000000004</v>
      </c>
    </row>
    <row r="91" spans="1:6" x14ac:dyDescent="0.35">
      <c r="A91" s="48"/>
      <c r="B91" s="5" t="s">
        <v>62</v>
      </c>
      <c r="C91" s="7">
        <v>0.45</v>
      </c>
      <c r="D91" s="7">
        <f t="shared" si="9"/>
        <v>0.40500000000000003</v>
      </c>
      <c r="E91" s="7">
        <f t="shared" si="10"/>
        <v>8.1000000000000013E-3</v>
      </c>
      <c r="F91" s="7">
        <f t="shared" si="11"/>
        <v>0.39690000000000003</v>
      </c>
    </row>
    <row r="92" spans="1:6" x14ac:dyDescent="0.35">
      <c r="A92" s="48"/>
      <c r="B92" s="5" t="s">
        <v>63</v>
      </c>
      <c r="C92" s="7">
        <v>0.31</v>
      </c>
      <c r="D92" s="7">
        <f t="shared" si="9"/>
        <v>0.26500000000000001</v>
      </c>
      <c r="E92" s="7">
        <f t="shared" si="10"/>
        <v>5.3E-3</v>
      </c>
      <c r="F92" s="7">
        <f t="shared" si="11"/>
        <v>0.25969999999999999</v>
      </c>
    </row>
    <row r="93" spans="1:6" x14ac:dyDescent="0.35">
      <c r="A93" s="48"/>
      <c r="B93" s="5" t="s">
        <v>64</v>
      </c>
      <c r="C93" s="7">
        <v>0.31</v>
      </c>
      <c r="D93" s="7">
        <f t="shared" si="9"/>
        <v>0.26500000000000001</v>
      </c>
      <c r="E93" s="7">
        <f t="shared" si="10"/>
        <v>5.3E-3</v>
      </c>
      <c r="F93" s="7">
        <f t="shared" si="11"/>
        <v>0.25969999999999999</v>
      </c>
    </row>
    <row r="94" spans="1:6" x14ac:dyDescent="0.35">
      <c r="A94" s="48" t="s">
        <v>1514</v>
      </c>
      <c r="B94" s="5" t="s">
        <v>61</v>
      </c>
      <c r="C94" s="6">
        <v>0.57499999999999996</v>
      </c>
      <c r="D94" s="7">
        <f t="shared" si="9"/>
        <v>0.52999999999999992</v>
      </c>
      <c r="E94" s="7">
        <f t="shared" si="10"/>
        <v>1.0599999999999998E-2</v>
      </c>
      <c r="F94" s="7">
        <f t="shared" si="11"/>
        <v>0.51939999999999986</v>
      </c>
    </row>
    <row r="95" spans="1:6" x14ac:dyDescent="0.35">
      <c r="A95" s="48"/>
      <c r="B95" s="5" t="s">
        <v>62</v>
      </c>
      <c r="C95" s="6">
        <v>0.5</v>
      </c>
      <c r="D95" s="7">
        <f t="shared" si="9"/>
        <v>0.45500000000000002</v>
      </c>
      <c r="E95" s="7">
        <f t="shared" si="10"/>
        <v>9.1000000000000004E-3</v>
      </c>
      <c r="F95" s="7">
        <f t="shared" si="11"/>
        <v>0.44590000000000002</v>
      </c>
    </row>
    <row r="96" spans="1:6" x14ac:dyDescent="0.35">
      <c r="A96" s="48"/>
      <c r="B96" s="5" t="s">
        <v>63</v>
      </c>
      <c r="C96" s="6">
        <v>0.36</v>
      </c>
      <c r="D96" s="7">
        <f t="shared" si="9"/>
        <v>0.315</v>
      </c>
      <c r="E96" s="7">
        <f t="shared" si="10"/>
        <v>6.3E-3</v>
      </c>
      <c r="F96" s="7">
        <f t="shared" si="11"/>
        <v>0.30869999999999997</v>
      </c>
    </row>
    <row r="97" spans="1:6" x14ac:dyDescent="0.35">
      <c r="A97" s="48"/>
      <c r="B97" s="5" t="s">
        <v>64</v>
      </c>
      <c r="C97" s="6">
        <v>0.36</v>
      </c>
      <c r="D97" s="7">
        <f t="shared" si="9"/>
        <v>0.315</v>
      </c>
      <c r="E97" s="7">
        <f t="shared" si="10"/>
        <v>6.3E-3</v>
      </c>
      <c r="F97" s="7">
        <f t="shared" si="11"/>
        <v>0.30869999999999997</v>
      </c>
    </row>
    <row r="98" spans="1:6" x14ac:dyDescent="0.35">
      <c r="A98" s="48" t="s">
        <v>1515</v>
      </c>
      <c r="B98" s="5" t="s">
        <v>61</v>
      </c>
      <c r="C98" s="6">
        <v>0.57999999999999996</v>
      </c>
      <c r="D98" s="7">
        <f t="shared" si="9"/>
        <v>0.53499999999999992</v>
      </c>
      <c r="E98" s="7">
        <f t="shared" si="10"/>
        <v>1.0699999999999999E-2</v>
      </c>
      <c r="F98" s="7">
        <f t="shared" si="11"/>
        <v>0.52429999999999988</v>
      </c>
    </row>
    <row r="99" spans="1:6" x14ac:dyDescent="0.35">
      <c r="A99" s="48"/>
      <c r="B99" s="5" t="s">
        <v>62</v>
      </c>
      <c r="C99" s="6">
        <v>0.51</v>
      </c>
      <c r="D99" s="7">
        <f t="shared" si="9"/>
        <v>0.46500000000000002</v>
      </c>
      <c r="E99" s="7">
        <f t="shared" si="10"/>
        <v>9.300000000000001E-3</v>
      </c>
      <c r="F99" s="7">
        <f t="shared" si="11"/>
        <v>0.45570000000000005</v>
      </c>
    </row>
    <row r="100" spans="1:6" x14ac:dyDescent="0.35">
      <c r="A100" s="48"/>
      <c r="B100" s="5" t="s">
        <v>63</v>
      </c>
      <c r="C100" s="6">
        <v>0.37</v>
      </c>
      <c r="D100" s="7">
        <f t="shared" si="9"/>
        <v>0.32500000000000001</v>
      </c>
      <c r="E100" s="7">
        <f t="shared" si="10"/>
        <v>6.5000000000000006E-3</v>
      </c>
      <c r="F100" s="7">
        <f t="shared" si="11"/>
        <v>0.31850000000000001</v>
      </c>
    </row>
    <row r="101" spans="1:6" x14ac:dyDescent="0.35">
      <c r="A101" s="48"/>
      <c r="B101" s="5" t="s">
        <v>64</v>
      </c>
      <c r="C101" s="6">
        <v>0.37</v>
      </c>
      <c r="D101" s="7">
        <f t="shared" si="9"/>
        <v>0.32500000000000001</v>
      </c>
      <c r="E101" s="7">
        <f t="shared" si="10"/>
        <v>6.5000000000000006E-3</v>
      </c>
      <c r="F101" s="7">
        <f t="shared" si="11"/>
        <v>0.31850000000000001</v>
      </c>
    </row>
    <row r="102" spans="1:6" x14ac:dyDescent="0.35">
      <c r="A102" s="48" t="s">
        <v>1516</v>
      </c>
      <c r="B102" s="5" t="s">
        <v>61</v>
      </c>
      <c r="C102" s="6">
        <v>0.55500000000000005</v>
      </c>
      <c r="D102" s="7">
        <f t="shared" si="9"/>
        <v>0.51</v>
      </c>
      <c r="E102" s="7">
        <f t="shared" si="10"/>
        <v>1.0200000000000001E-2</v>
      </c>
      <c r="F102" s="7">
        <f t="shared" si="11"/>
        <v>0.49980000000000002</v>
      </c>
    </row>
    <row r="103" spans="1:6" x14ac:dyDescent="0.35">
      <c r="A103" s="48"/>
      <c r="B103" s="5" t="s">
        <v>62</v>
      </c>
      <c r="C103" s="6">
        <v>0.48</v>
      </c>
      <c r="D103" s="7">
        <f t="shared" si="9"/>
        <v>0.435</v>
      </c>
      <c r="E103" s="7">
        <f t="shared" si="10"/>
        <v>8.6999999999999994E-3</v>
      </c>
      <c r="F103" s="7">
        <f t="shared" si="11"/>
        <v>0.42630000000000001</v>
      </c>
    </row>
    <row r="104" spans="1:6" x14ac:dyDescent="0.35">
      <c r="A104" s="48"/>
      <c r="B104" s="5" t="s">
        <v>63</v>
      </c>
      <c r="C104" s="6">
        <v>0.34</v>
      </c>
      <c r="D104" s="7">
        <f t="shared" si="9"/>
        <v>0.29500000000000004</v>
      </c>
      <c r="E104" s="7">
        <f t="shared" si="10"/>
        <v>5.9000000000000007E-3</v>
      </c>
      <c r="F104" s="7">
        <f t="shared" si="11"/>
        <v>0.28910000000000002</v>
      </c>
    </row>
    <row r="105" spans="1:6" x14ac:dyDescent="0.35">
      <c r="A105" s="48"/>
      <c r="B105" s="5" t="s">
        <v>64</v>
      </c>
      <c r="C105" s="6">
        <v>0.34</v>
      </c>
      <c r="D105" s="7">
        <f t="shared" si="9"/>
        <v>0.29500000000000004</v>
      </c>
      <c r="E105" s="7">
        <f t="shared" si="10"/>
        <v>5.9000000000000007E-3</v>
      </c>
      <c r="F105" s="7">
        <f t="shared" si="11"/>
        <v>0.28910000000000002</v>
      </c>
    </row>
    <row r="106" spans="1:6" x14ac:dyDescent="0.35">
      <c r="A106" s="48" t="s">
        <v>1517</v>
      </c>
      <c r="B106" s="5" t="s">
        <v>61</v>
      </c>
      <c r="C106" s="6">
        <v>0.57499999999999996</v>
      </c>
      <c r="D106" s="7">
        <f t="shared" si="9"/>
        <v>0.52999999999999992</v>
      </c>
      <c r="E106" s="7">
        <f t="shared" si="10"/>
        <v>1.0599999999999998E-2</v>
      </c>
      <c r="F106" s="7">
        <f t="shared" si="11"/>
        <v>0.51939999999999986</v>
      </c>
    </row>
    <row r="107" spans="1:6" x14ac:dyDescent="0.35">
      <c r="A107" s="48"/>
      <c r="B107" s="5" t="s">
        <v>62</v>
      </c>
      <c r="C107" s="6">
        <v>0.5</v>
      </c>
      <c r="D107" s="7">
        <f t="shared" si="9"/>
        <v>0.45500000000000002</v>
      </c>
      <c r="E107" s="7">
        <f t="shared" si="10"/>
        <v>9.1000000000000004E-3</v>
      </c>
      <c r="F107" s="7">
        <f t="shared" si="11"/>
        <v>0.44590000000000002</v>
      </c>
    </row>
    <row r="108" spans="1:6" x14ac:dyDescent="0.35">
      <c r="A108" s="48"/>
      <c r="B108" s="5" t="s">
        <v>63</v>
      </c>
      <c r="C108" s="6">
        <v>0.36</v>
      </c>
      <c r="D108" s="7">
        <f t="shared" si="9"/>
        <v>0.315</v>
      </c>
      <c r="E108" s="7">
        <f t="shared" si="10"/>
        <v>6.3E-3</v>
      </c>
      <c r="F108" s="7">
        <f t="shared" si="11"/>
        <v>0.30869999999999997</v>
      </c>
    </row>
    <row r="109" spans="1:6" x14ac:dyDescent="0.35">
      <c r="A109" s="48"/>
      <c r="B109" s="5" t="s">
        <v>64</v>
      </c>
      <c r="C109" s="6">
        <v>0.36</v>
      </c>
      <c r="D109" s="7">
        <f t="shared" si="9"/>
        <v>0.315</v>
      </c>
      <c r="E109" s="7">
        <f t="shared" si="10"/>
        <v>6.3E-3</v>
      </c>
      <c r="F109" s="7">
        <f t="shared" si="11"/>
        <v>0.30869999999999997</v>
      </c>
    </row>
    <row r="110" spans="1:6" x14ac:dyDescent="0.35">
      <c r="A110" s="48" t="s">
        <v>1518</v>
      </c>
      <c r="B110" s="5" t="s">
        <v>61</v>
      </c>
      <c r="C110" s="6">
        <v>0.57999999999999996</v>
      </c>
      <c r="D110" s="7">
        <f t="shared" si="9"/>
        <v>0.53499999999999992</v>
      </c>
      <c r="E110" s="7">
        <f t="shared" si="10"/>
        <v>1.0699999999999999E-2</v>
      </c>
      <c r="F110" s="7">
        <f t="shared" si="11"/>
        <v>0.52429999999999988</v>
      </c>
    </row>
    <row r="111" spans="1:6" x14ac:dyDescent="0.35">
      <c r="A111" s="48"/>
      <c r="B111" s="5" t="s">
        <v>62</v>
      </c>
      <c r="C111" s="6">
        <v>0.51</v>
      </c>
      <c r="D111" s="7">
        <f t="shared" si="9"/>
        <v>0.46500000000000002</v>
      </c>
      <c r="E111" s="7">
        <f t="shared" si="10"/>
        <v>9.300000000000001E-3</v>
      </c>
      <c r="F111" s="7">
        <f t="shared" si="11"/>
        <v>0.45570000000000005</v>
      </c>
    </row>
    <row r="112" spans="1:6" x14ac:dyDescent="0.35">
      <c r="A112" s="48"/>
      <c r="B112" s="5" t="s">
        <v>63</v>
      </c>
      <c r="C112" s="6">
        <v>0.37</v>
      </c>
      <c r="D112" s="7">
        <f t="shared" si="9"/>
        <v>0.32500000000000001</v>
      </c>
      <c r="E112" s="7">
        <f t="shared" si="10"/>
        <v>6.5000000000000006E-3</v>
      </c>
      <c r="F112" s="7">
        <f t="shared" si="11"/>
        <v>0.31850000000000001</v>
      </c>
    </row>
    <row r="113" spans="1:6" x14ac:dyDescent="0.35">
      <c r="A113" s="48"/>
      <c r="B113" s="5" t="s">
        <v>64</v>
      </c>
      <c r="C113" s="6">
        <v>0.37</v>
      </c>
      <c r="D113" s="7">
        <f t="shared" si="9"/>
        <v>0.32500000000000001</v>
      </c>
      <c r="E113" s="7">
        <f t="shared" si="10"/>
        <v>6.5000000000000006E-3</v>
      </c>
      <c r="F113" s="7">
        <f t="shared" si="11"/>
        <v>0.31850000000000001</v>
      </c>
    </row>
    <row r="114" spans="1:6" x14ac:dyDescent="0.35">
      <c r="A114" s="2" t="s">
        <v>67</v>
      </c>
      <c r="B114" s="2" t="s">
        <v>1</v>
      </c>
      <c r="C114" s="3" t="s">
        <v>2</v>
      </c>
      <c r="D114" s="4" t="s">
        <v>4</v>
      </c>
      <c r="E114" s="4" t="s">
        <v>5</v>
      </c>
      <c r="F114" s="4" t="s">
        <v>6</v>
      </c>
    </row>
    <row r="115" spans="1:6" x14ac:dyDescent="0.35">
      <c r="A115" s="5" t="s">
        <v>68</v>
      </c>
      <c r="B115" s="5" t="s">
        <v>69</v>
      </c>
      <c r="C115" s="6">
        <v>0.27500000000000002</v>
      </c>
      <c r="D115" s="7">
        <f t="shared" ref="D115:D146" si="12">C115-(4.5%)</f>
        <v>0.23000000000000004</v>
      </c>
      <c r="E115" s="7">
        <f t="shared" ref="E115:E146" si="13">D115*2%</f>
        <v>4.6000000000000008E-3</v>
      </c>
      <c r="F115" s="7">
        <f t="shared" ref="F115:F146" si="14">D115-E115</f>
        <v>0.22540000000000004</v>
      </c>
    </row>
    <row r="116" spans="1:6" x14ac:dyDescent="0.35">
      <c r="A116" s="5" t="s">
        <v>70</v>
      </c>
      <c r="B116" s="5" t="s">
        <v>69</v>
      </c>
      <c r="C116" s="6">
        <v>0.12</v>
      </c>
      <c r="D116" s="7">
        <f t="shared" si="12"/>
        <v>7.4999999999999997E-2</v>
      </c>
      <c r="E116" s="7">
        <f t="shared" si="13"/>
        <v>1.5E-3</v>
      </c>
      <c r="F116" s="7">
        <f t="shared" si="14"/>
        <v>7.3499999999999996E-2</v>
      </c>
    </row>
    <row r="117" spans="1:6" ht="36" x14ac:dyDescent="0.35">
      <c r="A117" s="5" t="s">
        <v>71</v>
      </c>
      <c r="B117" s="5" t="s">
        <v>72</v>
      </c>
      <c r="C117" s="6">
        <v>0.5</v>
      </c>
      <c r="D117" s="7">
        <f t="shared" si="12"/>
        <v>0.45500000000000002</v>
      </c>
      <c r="E117" s="7">
        <f t="shared" si="13"/>
        <v>9.1000000000000004E-3</v>
      </c>
      <c r="F117" s="7">
        <f t="shared" si="14"/>
        <v>0.44590000000000002</v>
      </c>
    </row>
    <row r="118" spans="1:6" ht="36" x14ac:dyDescent="0.35">
      <c r="A118" s="5" t="s">
        <v>73</v>
      </c>
      <c r="B118" s="5" t="s">
        <v>74</v>
      </c>
      <c r="C118" s="6">
        <v>0.5</v>
      </c>
      <c r="D118" s="7">
        <f t="shared" si="12"/>
        <v>0.45500000000000002</v>
      </c>
      <c r="E118" s="7">
        <f t="shared" si="13"/>
        <v>9.1000000000000004E-3</v>
      </c>
      <c r="F118" s="7">
        <f t="shared" si="14"/>
        <v>0.44590000000000002</v>
      </c>
    </row>
    <row r="119" spans="1:6" ht="24" x14ac:dyDescent="0.35">
      <c r="A119" s="5" t="s">
        <v>71</v>
      </c>
      <c r="B119" s="5" t="s">
        <v>75</v>
      </c>
      <c r="C119" s="6">
        <v>0.46</v>
      </c>
      <c r="D119" s="7">
        <f t="shared" si="12"/>
        <v>0.41500000000000004</v>
      </c>
      <c r="E119" s="7">
        <f t="shared" si="13"/>
        <v>8.3000000000000001E-3</v>
      </c>
      <c r="F119" s="7">
        <f t="shared" si="14"/>
        <v>0.40670000000000006</v>
      </c>
    </row>
    <row r="120" spans="1:6" ht="24" x14ac:dyDescent="0.35">
      <c r="A120" s="5" t="s">
        <v>73</v>
      </c>
      <c r="B120" s="5" t="s">
        <v>76</v>
      </c>
      <c r="C120" s="6">
        <v>0.46</v>
      </c>
      <c r="D120" s="7">
        <f t="shared" si="12"/>
        <v>0.41500000000000004</v>
      </c>
      <c r="E120" s="7">
        <f t="shared" si="13"/>
        <v>8.3000000000000001E-3</v>
      </c>
      <c r="F120" s="7">
        <f t="shared" si="14"/>
        <v>0.40670000000000006</v>
      </c>
    </row>
    <row r="121" spans="1:6" x14ac:dyDescent="0.35">
      <c r="A121" s="48" t="s">
        <v>1519</v>
      </c>
      <c r="B121" s="5" t="s">
        <v>61</v>
      </c>
      <c r="C121" s="6">
        <v>0.52500000000000002</v>
      </c>
      <c r="D121" s="7">
        <f t="shared" si="12"/>
        <v>0.48000000000000004</v>
      </c>
      <c r="E121" s="7">
        <f t="shared" si="13"/>
        <v>9.6000000000000009E-3</v>
      </c>
      <c r="F121" s="7">
        <f t="shared" si="14"/>
        <v>0.47040000000000004</v>
      </c>
    </row>
    <row r="122" spans="1:6" x14ac:dyDescent="0.35">
      <c r="A122" s="48"/>
      <c r="B122" s="5" t="s">
        <v>62</v>
      </c>
      <c r="C122" s="6">
        <v>0.45</v>
      </c>
      <c r="D122" s="7">
        <f t="shared" si="12"/>
        <v>0.40500000000000003</v>
      </c>
      <c r="E122" s="7">
        <f t="shared" si="13"/>
        <v>8.1000000000000013E-3</v>
      </c>
      <c r="F122" s="7">
        <f t="shared" si="14"/>
        <v>0.39690000000000003</v>
      </c>
    </row>
    <row r="123" spans="1:6" x14ac:dyDescent="0.35">
      <c r="A123" s="48"/>
      <c r="B123" s="5" t="s">
        <v>63</v>
      </c>
      <c r="C123" s="6">
        <v>0.31</v>
      </c>
      <c r="D123" s="7">
        <f t="shared" si="12"/>
        <v>0.26500000000000001</v>
      </c>
      <c r="E123" s="7">
        <f t="shared" si="13"/>
        <v>5.3E-3</v>
      </c>
      <c r="F123" s="7">
        <f t="shared" si="14"/>
        <v>0.25969999999999999</v>
      </c>
    </row>
    <row r="124" spans="1:6" x14ac:dyDescent="0.35">
      <c r="A124" s="48"/>
      <c r="B124" s="5" t="s">
        <v>64</v>
      </c>
      <c r="C124" s="6">
        <v>0.31</v>
      </c>
      <c r="D124" s="7">
        <f t="shared" si="12"/>
        <v>0.26500000000000001</v>
      </c>
      <c r="E124" s="7">
        <f t="shared" si="13"/>
        <v>5.3E-3</v>
      </c>
      <c r="F124" s="7">
        <f t="shared" si="14"/>
        <v>0.25969999999999999</v>
      </c>
    </row>
    <row r="125" spans="1:6" x14ac:dyDescent="0.35">
      <c r="A125" s="48" t="s">
        <v>1520</v>
      </c>
      <c r="B125" s="5" t="s">
        <v>61</v>
      </c>
      <c r="C125" s="6">
        <v>0.57499999999999996</v>
      </c>
      <c r="D125" s="7">
        <f t="shared" si="12"/>
        <v>0.52999999999999992</v>
      </c>
      <c r="E125" s="7">
        <f t="shared" si="13"/>
        <v>1.0599999999999998E-2</v>
      </c>
      <c r="F125" s="7">
        <f t="shared" si="14"/>
        <v>0.51939999999999986</v>
      </c>
    </row>
    <row r="126" spans="1:6" x14ac:dyDescent="0.35">
      <c r="A126" s="48"/>
      <c r="B126" s="5" t="s">
        <v>62</v>
      </c>
      <c r="C126" s="6">
        <v>0.5</v>
      </c>
      <c r="D126" s="7">
        <f t="shared" si="12"/>
        <v>0.45500000000000002</v>
      </c>
      <c r="E126" s="7">
        <f t="shared" si="13"/>
        <v>9.1000000000000004E-3</v>
      </c>
      <c r="F126" s="7">
        <f t="shared" si="14"/>
        <v>0.44590000000000002</v>
      </c>
    </row>
    <row r="127" spans="1:6" x14ac:dyDescent="0.35">
      <c r="A127" s="48"/>
      <c r="B127" s="5" t="s">
        <v>63</v>
      </c>
      <c r="C127" s="6">
        <v>0.36</v>
      </c>
      <c r="D127" s="7">
        <f t="shared" si="12"/>
        <v>0.315</v>
      </c>
      <c r="E127" s="7">
        <f t="shared" si="13"/>
        <v>6.3E-3</v>
      </c>
      <c r="F127" s="7">
        <f t="shared" si="14"/>
        <v>0.30869999999999997</v>
      </c>
    </row>
    <row r="128" spans="1:6" x14ac:dyDescent="0.35">
      <c r="A128" s="48"/>
      <c r="B128" s="5" t="s">
        <v>64</v>
      </c>
      <c r="C128" s="6">
        <v>0.36</v>
      </c>
      <c r="D128" s="7">
        <f t="shared" si="12"/>
        <v>0.315</v>
      </c>
      <c r="E128" s="7">
        <f t="shared" si="13"/>
        <v>6.3E-3</v>
      </c>
      <c r="F128" s="7">
        <f t="shared" si="14"/>
        <v>0.30869999999999997</v>
      </c>
    </row>
    <row r="129" spans="1:6" x14ac:dyDescent="0.35">
      <c r="A129" s="48" t="s">
        <v>1521</v>
      </c>
      <c r="B129" s="5" t="s">
        <v>61</v>
      </c>
      <c r="C129" s="6">
        <v>0.57999999999999996</v>
      </c>
      <c r="D129" s="7">
        <f t="shared" si="12"/>
        <v>0.53499999999999992</v>
      </c>
      <c r="E129" s="7">
        <f t="shared" si="13"/>
        <v>1.0699999999999999E-2</v>
      </c>
      <c r="F129" s="7">
        <f t="shared" si="14"/>
        <v>0.52429999999999988</v>
      </c>
    </row>
    <row r="130" spans="1:6" x14ac:dyDescent="0.35">
      <c r="A130" s="48"/>
      <c r="B130" s="5" t="s">
        <v>62</v>
      </c>
      <c r="C130" s="6">
        <v>0.51</v>
      </c>
      <c r="D130" s="7">
        <f t="shared" si="12"/>
        <v>0.46500000000000002</v>
      </c>
      <c r="E130" s="7">
        <f t="shared" si="13"/>
        <v>9.300000000000001E-3</v>
      </c>
      <c r="F130" s="7">
        <f t="shared" si="14"/>
        <v>0.45570000000000005</v>
      </c>
    </row>
    <row r="131" spans="1:6" x14ac:dyDescent="0.35">
      <c r="A131" s="48"/>
      <c r="B131" s="5" t="s">
        <v>63</v>
      </c>
      <c r="C131" s="6">
        <v>0.37</v>
      </c>
      <c r="D131" s="7">
        <f t="shared" si="12"/>
        <v>0.32500000000000001</v>
      </c>
      <c r="E131" s="7">
        <f t="shared" si="13"/>
        <v>6.5000000000000006E-3</v>
      </c>
      <c r="F131" s="7">
        <f t="shared" si="14"/>
        <v>0.31850000000000001</v>
      </c>
    </row>
    <row r="132" spans="1:6" x14ac:dyDescent="0.35">
      <c r="A132" s="48"/>
      <c r="B132" s="5" t="s">
        <v>64</v>
      </c>
      <c r="C132" s="6">
        <v>0.37</v>
      </c>
      <c r="D132" s="7">
        <f t="shared" si="12"/>
        <v>0.32500000000000001</v>
      </c>
      <c r="E132" s="7">
        <f t="shared" si="13"/>
        <v>6.5000000000000006E-3</v>
      </c>
      <c r="F132" s="7">
        <f t="shared" si="14"/>
        <v>0.31850000000000001</v>
      </c>
    </row>
    <row r="133" spans="1:6" x14ac:dyDescent="0.35">
      <c r="A133" s="48" t="s">
        <v>1522</v>
      </c>
      <c r="B133" s="5" t="s">
        <v>61</v>
      </c>
      <c r="C133" s="6">
        <v>0.55500000000000005</v>
      </c>
      <c r="D133" s="7">
        <f t="shared" si="12"/>
        <v>0.51</v>
      </c>
      <c r="E133" s="7">
        <f t="shared" si="13"/>
        <v>1.0200000000000001E-2</v>
      </c>
      <c r="F133" s="7">
        <f t="shared" si="14"/>
        <v>0.49980000000000002</v>
      </c>
    </row>
    <row r="134" spans="1:6" x14ac:dyDescent="0.35">
      <c r="A134" s="48"/>
      <c r="B134" s="5" t="s">
        <v>62</v>
      </c>
      <c r="C134" s="6">
        <v>0.48</v>
      </c>
      <c r="D134" s="7">
        <f t="shared" si="12"/>
        <v>0.435</v>
      </c>
      <c r="E134" s="7">
        <f t="shared" si="13"/>
        <v>8.6999999999999994E-3</v>
      </c>
      <c r="F134" s="7">
        <f t="shared" si="14"/>
        <v>0.42630000000000001</v>
      </c>
    </row>
    <row r="135" spans="1:6" x14ac:dyDescent="0.35">
      <c r="A135" s="48"/>
      <c r="B135" s="5" t="s">
        <v>63</v>
      </c>
      <c r="C135" s="6">
        <v>0.34</v>
      </c>
      <c r="D135" s="7">
        <f t="shared" si="12"/>
        <v>0.29500000000000004</v>
      </c>
      <c r="E135" s="7">
        <f t="shared" si="13"/>
        <v>5.9000000000000007E-3</v>
      </c>
      <c r="F135" s="7">
        <f t="shared" si="14"/>
        <v>0.28910000000000002</v>
      </c>
    </row>
    <row r="136" spans="1:6" x14ac:dyDescent="0.35">
      <c r="A136" s="48"/>
      <c r="B136" s="5" t="s">
        <v>64</v>
      </c>
      <c r="C136" s="6">
        <v>0.34</v>
      </c>
      <c r="D136" s="7">
        <f t="shared" si="12"/>
        <v>0.29500000000000004</v>
      </c>
      <c r="E136" s="7">
        <f t="shared" si="13"/>
        <v>5.9000000000000007E-3</v>
      </c>
      <c r="F136" s="7">
        <f t="shared" si="14"/>
        <v>0.28910000000000002</v>
      </c>
    </row>
    <row r="137" spans="1:6" x14ac:dyDescent="0.35">
      <c r="A137" s="48" t="s">
        <v>1523</v>
      </c>
      <c r="B137" s="5" t="s">
        <v>61</v>
      </c>
      <c r="C137" s="6">
        <v>0.57499999999999996</v>
      </c>
      <c r="D137" s="7">
        <f t="shared" si="12"/>
        <v>0.52999999999999992</v>
      </c>
      <c r="E137" s="7">
        <f t="shared" si="13"/>
        <v>1.0599999999999998E-2</v>
      </c>
      <c r="F137" s="7">
        <f t="shared" si="14"/>
        <v>0.51939999999999986</v>
      </c>
    </row>
    <row r="138" spans="1:6" x14ac:dyDescent="0.35">
      <c r="A138" s="48"/>
      <c r="B138" s="5" t="s">
        <v>62</v>
      </c>
      <c r="C138" s="6">
        <v>0.5</v>
      </c>
      <c r="D138" s="7">
        <f t="shared" si="12"/>
        <v>0.45500000000000002</v>
      </c>
      <c r="E138" s="7">
        <f t="shared" si="13"/>
        <v>9.1000000000000004E-3</v>
      </c>
      <c r="F138" s="7">
        <f t="shared" si="14"/>
        <v>0.44590000000000002</v>
      </c>
    </row>
    <row r="139" spans="1:6" x14ac:dyDescent="0.35">
      <c r="A139" s="48"/>
      <c r="B139" s="5" t="s">
        <v>63</v>
      </c>
      <c r="C139" s="6">
        <v>0.36</v>
      </c>
      <c r="D139" s="7">
        <f t="shared" si="12"/>
        <v>0.315</v>
      </c>
      <c r="E139" s="7">
        <f t="shared" si="13"/>
        <v>6.3E-3</v>
      </c>
      <c r="F139" s="7">
        <f t="shared" si="14"/>
        <v>0.30869999999999997</v>
      </c>
    </row>
    <row r="140" spans="1:6" x14ac:dyDescent="0.35">
      <c r="A140" s="48"/>
      <c r="B140" s="5" t="s">
        <v>64</v>
      </c>
      <c r="C140" s="6">
        <v>0.36</v>
      </c>
      <c r="D140" s="7">
        <f t="shared" si="12"/>
        <v>0.315</v>
      </c>
      <c r="E140" s="7">
        <f t="shared" si="13"/>
        <v>6.3E-3</v>
      </c>
      <c r="F140" s="7">
        <f t="shared" si="14"/>
        <v>0.30869999999999997</v>
      </c>
    </row>
    <row r="141" spans="1:6" x14ac:dyDescent="0.35">
      <c r="A141" s="48" t="s">
        <v>1524</v>
      </c>
      <c r="B141" s="5" t="s">
        <v>61</v>
      </c>
      <c r="C141" s="6">
        <v>0.57999999999999996</v>
      </c>
      <c r="D141" s="7">
        <f t="shared" si="12"/>
        <v>0.53499999999999992</v>
      </c>
      <c r="E141" s="7">
        <f t="shared" si="13"/>
        <v>1.0699999999999999E-2</v>
      </c>
      <c r="F141" s="7">
        <f t="shared" si="14"/>
        <v>0.52429999999999988</v>
      </c>
    </row>
    <row r="142" spans="1:6" x14ac:dyDescent="0.35">
      <c r="A142" s="48"/>
      <c r="B142" s="5" t="s">
        <v>62</v>
      </c>
      <c r="C142" s="6">
        <v>0.51</v>
      </c>
      <c r="D142" s="7">
        <f t="shared" si="12"/>
        <v>0.46500000000000002</v>
      </c>
      <c r="E142" s="7">
        <f t="shared" si="13"/>
        <v>9.300000000000001E-3</v>
      </c>
      <c r="F142" s="7">
        <f t="shared" si="14"/>
        <v>0.45570000000000005</v>
      </c>
    </row>
    <row r="143" spans="1:6" x14ac:dyDescent="0.35">
      <c r="A143" s="48"/>
      <c r="B143" s="5" t="s">
        <v>63</v>
      </c>
      <c r="C143" s="6">
        <v>0.37</v>
      </c>
      <c r="D143" s="7">
        <f t="shared" si="12"/>
        <v>0.32500000000000001</v>
      </c>
      <c r="E143" s="7">
        <f t="shared" si="13"/>
        <v>6.5000000000000006E-3</v>
      </c>
      <c r="F143" s="7">
        <f t="shared" si="14"/>
        <v>0.31850000000000001</v>
      </c>
    </row>
    <row r="144" spans="1:6" x14ac:dyDescent="0.35">
      <c r="A144" s="48"/>
      <c r="B144" s="5" t="s">
        <v>64</v>
      </c>
      <c r="C144" s="6">
        <v>0.37</v>
      </c>
      <c r="D144" s="7">
        <f t="shared" si="12"/>
        <v>0.32500000000000001</v>
      </c>
      <c r="E144" s="7">
        <f t="shared" si="13"/>
        <v>6.5000000000000006E-3</v>
      </c>
      <c r="F144" s="7">
        <f t="shared" si="14"/>
        <v>0.31850000000000001</v>
      </c>
    </row>
    <row r="145" spans="1:6" ht="36" x14ac:dyDescent="0.35">
      <c r="A145" s="40" t="s">
        <v>1170</v>
      </c>
      <c r="B145" s="5" t="s">
        <v>80</v>
      </c>
      <c r="C145" s="6">
        <v>0.4</v>
      </c>
      <c r="D145" s="7">
        <f t="shared" si="12"/>
        <v>0.35500000000000004</v>
      </c>
      <c r="E145" s="7">
        <f t="shared" si="13"/>
        <v>7.1000000000000013E-3</v>
      </c>
      <c r="F145" s="7">
        <f t="shared" si="14"/>
        <v>0.34790000000000004</v>
      </c>
    </row>
    <row r="146" spans="1:6" x14ac:dyDescent="0.35">
      <c r="A146" s="40"/>
      <c r="B146" s="5" t="s">
        <v>81</v>
      </c>
      <c r="C146" s="6">
        <v>0.35</v>
      </c>
      <c r="D146" s="7">
        <f t="shared" si="12"/>
        <v>0.30499999999999999</v>
      </c>
      <c r="E146" s="7">
        <f t="shared" si="13"/>
        <v>6.1000000000000004E-3</v>
      </c>
      <c r="F146" s="7">
        <f t="shared" si="14"/>
        <v>0.2989</v>
      </c>
    </row>
    <row r="147" spans="1:6" x14ac:dyDescent="0.35">
      <c r="A147" s="40"/>
      <c r="B147" s="5" t="s">
        <v>33</v>
      </c>
      <c r="C147" s="6">
        <v>0.375</v>
      </c>
      <c r="D147" s="7">
        <f t="shared" ref="D147:D175" si="15">C147-(4.5%)</f>
        <v>0.33</v>
      </c>
      <c r="E147" s="7">
        <f t="shared" ref="E147:E175" si="16">D147*2%</f>
        <v>6.6000000000000008E-3</v>
      </c>
      <c r="F147" s="7">
        <f t="shared" ref="F147:F175" si="17">D147-E147</f>
        <v>0.32340000000000002</v>
      </c>
    </row>
    <row r="148" spans="1:6" ht="36" x14ac:dyDescent="0.35">
      <c r="A148" s="40" t="s">
        <v>1171</v>
      </c>
      <c r="B148" s="5" t="s">
        <v>80</v>
      </c>
      <c r="C148" s="6">
        <v>0.375</v>
      </c>
      <c r="D148" s="7">
        <f t="shared" si="15"/>
        <v>0.33</v>
      </c>
      <c r="E148" s="7">
        <f t="shared" si="16"/>
        <v>6.6000000000000008E-3</v>
      </c>
      <c r="F148" s="7">
        <f t="shared" si="17"/>
        <v>0.32340000000000002</v>
      </c>
    </row>
    <row r="149" spans="1:6" x14ac:dyDescent="0.35">
      <c r="A149" s="40"/>
      <c r="B149" s="5" t="s">
        <v>81</v>
      </c>
      <c r="C149" s="6">
        <v>0.32500000000000001</v>
      </c>
      <c r="D149" s="7">
        <f t="shared" si="15"/>
        <v>0.28000000000000003</v>
      </c>
      <c r="E149" s="7">
        <f t="shared" si="16"/>
        <v>5.6000000000000008E-3</v>
      </c>
      <c r="F149" s="7">
        <f t="shared" si="17"/>
        <v>0.27440000000000003</v>
      </c>
    </row>
    <row r="150" spans="1:6" x14ac:dyDescent="0.35">
      <c r="A150" s="40"/>
      <c r="B150" s="5" t="s">
        <v>33</v>
      </c>
      <c r="C150" s="6">
        <v>0.35</v>
      </c>
      <c r="D150" s="7">
        <f t="shared" si="15"/>
        <v>0.30499999999999999</v>
      </c>
      <c r="E150" s="7">
        <f t="shared" si="16"/>
        <v>6.1000000000000004E-3</v>
      </c>
      <c r="F150" s="7">
        <f t="shared" si="17"/>
        <v>0.2989</v>
      </c>
    </row>
    <row r="151" spans="1:6" ht="36" x14ac:dyDescent="0.35">
      <c r="A151" s="40" t="s">
        <v>82</v>
      </c>
      <c r="B151" s="5" t="s">
        <v>80</v>
      </c>
      <c r="C151" s="6">
        <v>0.3</v>
      </c>
      <c r="D151" s="7">
        <f t="shared" si="15"/>
        <v>0.255</v>
      </c>
      <c r="E151" s="7">
        <f t="shared" si="16"/>
        <v>5.1000000000000004E-3</v>
      </c>
      <c r="F151" s="7">
        <f t="shared" si="17"/>
        <v>0.24990000000000001</v>
      </c>
    </row>
    <row r="152" spans="1:6" x14ac:dyDescent="0.35">
      <c r="A152" s="40"/>
      <c r="B152" s="5" t="s">
        <v>81</v>
      </c>
      <c r="C152" s="6">
        <v>0.25</v>
      </c>
      <c r="D152" s="7">
        <f t="shared" si="15"/>
        <v>0.20500000000000002</v>
      </c>
      <c r="E152" s="7">
        <f t="shared" si="16"/>
        <v>4.1000000000000003E-3</v>
      </c>
      <c r="F152" s="7">
        <f t="shared" si="17"/>
        <v>0.20090000000000002</v>
      </c>
    </row>
    <row r="153" spans="1:6" x14ac:dyDescent="0.35">
      <c r="A153" s="40"/>
      <c r="B153" s="5" t="s">
        <v>33</v>
      </c>
      <c r="C153" s="6">
        <v>0.27500000000000002</v>
      </c>
      <c r="D153" s="7">
        <f t="shared" si="15"/>
        <v>0.23000000000000004</v>
      </c>
      <c r="E153" s="7">
        <f t="shared" si="16"/>
        <v>4.6000000000000008E-3</v>
      </c>
      <c r="F153" s="7">
        <f t="shared" si="17"/>
        <v>0.22540000000000004</v>
      </c>
    </row>
    <row r="154" spans="1:6" ht="36" x14ac:dyDescent="0.35">
      <c r="A154" s="40" t="s">
        <v>83</v>
      </c>
      <c r="B154" s="5" t="s">
        <v>80</v>
      </c>
      <c r="C154" s="6">
        <v>0.25</v>
      </c>
      <c r="D154" s="7">
        <f t="shared" si="15"/>
        <v>0.20500000000000002</v>
      </c>
      <c r="E154" s="7">
        <f t="shared" si="16"/>
        <v>4.1000000000000003E-3</v>
      </c>
      <c r="F154" s="7">
        <f t="shared" si="17"/>
        <v>0.20090000000000002</v>
      </c>
    </row>
    <row r="155" spans="1:6" x14ac:dyDescent="0.35">
      <c r="A155" s="40"/>
      <c r="B155" s="5" t="s">
        <v>81</v>
      </c>
      <c r="C155" s="6">
        <v>0.2</v>
      </c>
      <c r="D155" s="7">
        <f t="shared" si="15"/>
        <v>0.15500000000000003</v>
      </c>
      <c r="E155" s="7">
        <f t="shared" si="16"/>
        <v>3.1000000000000008E-3</v>
      </c>
      <c r="F155" s="7">
        <f t="shared" si="17"/>
        <v>0.15190000000000003</v>
      </c>
    </row>
    <row r="156" spans="1:6" x14ac:dyDescent="0.35">
      <c r="A156" s="40"/>
      <c r="B156" s="5" t="s">
        <v>33</v>
      </c>
      <c r="C156" s="6">
        <v>0.22500000000000001</v>
      </c>
      <c r="D156" s="7">
        <f t="shared" si="15"/>
        <v>0.18</v>
      </c>
      <c r="E156" s="7">
        <f t="shared" si="16"/>
        <v>3.5999999999999999E-3</v>
      </c>
      <c r="F156" s="7">
        <f t="shared" si="17"/>
        <v>0.1764</v>
      </c>
    </row>
    <row r="157" spans="1:6" ht="36" x14ac:dyDescent="0.35">
      <c r="A157" s="40" t="s">
        <v>84</v>
      </c>
      <c r="B157" s="5" t="s">
        <v>80</v>
      </c>
      <c r="C157" s="6">
        <v>0.3</v>
      </c>
      <c r="D157" s="7">
        <f t="shared" si="15"/>
        <v>0.255</v>
      </c>
      <c r="E157" s="7">
        <f t="shared" si="16"/>
        <v>5.1000000000000004E-3</v>
      </c>
      <c r="F157" s="7">
        <f t="shared" si="17"/>
        <v>0.24990000000000001</v>
      </c>
    </row>
    <row r="158" spans="1:6" x14ac:dyDescent="0.35">
      <c r="A158" s="40"/>
      <c r="B158" s="5" t="s">
        <v>81</v>
      </c>
      <c r="C158" s="6">
        <v>0.25</v>
      </c>
      <c r="D158" s="7">
        <f t="shared" si="15"/>
        <v>0.20500000000000002</v>
      </c>
      <c r="E158" s="7">
        <f t="shared" si="16"/>
        <v>4.1000000000000003E-3</v>
      </c>
      <c r="F158" s="7">
        <f t="shared" si="17"/>
        <v>0.20090000000000002</v>
      </c>
    </row>
    <row r="159" spans="1:6" x14ac:dyDescent="0.35">
      <c r="A159" s="40"/>
      <c r="B159" s="5" t="s">
        <v>33</v>
      </c>
      <c r="C159" s="6">
        <v>0.27500000000000002</v>
      </c>
      <c r="D159" s="7">
        <f t="shared" si="15"/>
        <v>0.23000000000000004</v>
      </c>
      <c r="E159" s="7">
        <f t="shared" si="16"/>
        <v>4.6000000000000008E-3</v>
      </c>
      <c r="F159" s="7">
        <f t="shared" si="17"/>
        <v>0.22540000000000004</v>
      </c>
    </row>
    <row r="160" spans="1:6" ht="36" x14ac:dyDescent="0.35">
      <c r="A160" s="40" t="s">
        <v>85</v>
      </c>
      <c r="B160" s="5" t="s">
        <v>80</v>
      </c>
      <c r="C160" s="6">
        <v>0.25</v>
      </c>
      <c r="D160" s="7">
        <f t="shared" si="15"/>
        <v>0.20500000000000002</v>
      </c>
      <c r="E160" s="7">
        <f t="shared" si="16"/>
        <v>4.1000000000000003E-3</v>
      </c>
      <c r="F160" s="7">
        <f t="shared" si="17"/>
        <v>0.20090000000000002</v>
      </c>
    </row>
    <row r="161" spans="1:6" x14ac:dyDescent="0.35">
      <c r="A161" s="40"/>
      <c r="B161" s="5" t="s">
        <v>81</v>
      </c>
      <c r="C161" s="6">
        <v>0.2</v>
      </c>
      <c r="D161" s="7">
        <f t="shared" si="15"/>
        <v>0.15500000000000003</v>
      </c>
      <c r="E161" s="7">
        <f t="shared" si="16"/>
        <v>3.1000000000000008E-3</v>
      </c>
      <c r="F161" s="7">
        <f t="shared" si="17"/>
        <v>0.15190000000000003</v>
      </c>
    </row>
    <row r="162" spans="1:6" x14ac:dyDescent="0.35">
      <c r="A162" s="40"/>
      <c r="B162" s="5" t="s">
        <v>33</v>
      </c>
      <c r="C162" s="6">
        <v>0.22500000000000001</v>
      </c>
      <c r="D162" s="7">
        <f t="shared" si="15"/>
        <v>0.18</v>
      </c>
      <c r="E162" s="7">
        <f t="shared" si="16"/>
        <v>3.5999999999999999E-3</v>
      </c>
      <c r="F162" s="7">
        <f t="shared" si="17"/>
        <v>0.1764</v>
      </c>
    </row>
    <row r="163" spans="1:6" x14ac:dyDescent="0.35">
      <c r="A163" s="40" t="s">
        <v>86</v>
      </c>
      <c r="B163" s="5" t="s">
        <v>87</v>
      </c>
      <c r="C163" s="6">
        <v>0.28999999999999998</v>
      </c>
      <c r="D163" s="7">
        <f t="shared" si="15"/>
        <v>0.245</v>
      </c>
      <c r="E163" s="7">
        <f t="shared" si="16"/>
        <v>4.8999999999999998E-3</v>
      </c>
      <c r="F163" s="7">
        <f t="shared" si="17"/>
        <v>0.24010000000000001</v>
      </c>
    </row>
    <row r="164" spans="1:6" x14ac:dyDescent="0.35">
      <c r="A164" s="40"/>
      <c r="B164" s="5" t="s">
        <v>88</v>
      </c>
      <c r="C164" s="6">
        <v>0.28999999999999998</v>
      </c>
      <c r="D164" s="7">
        <f t="shared" si="15"/>
        <v>0.245</v>
      </c>
      <c r="E164" s="7">
        <f t="shared" si="16"/>
        <v>4.8999999999999998E-3</v>
      </c>
      <c r="F164" s="7">
        <f t="shared" si="17"/>
        <v>0.24010000000000001</v>
      </c>
    </row>
    <row r="165" spans="1:6" x14ac:dyDescent="0.35">
      <c r="A165" s="40"/>
      <c r="B165" s="5" t="s">
        <v>89</v>
      </c>
      <c r="C165" s="6">
        <v>0.28999999999999998</v>
      </c>
      <c r="D165" s="7">
        <f t="shared" si="15"/>
        <v>0.245</v>
      </c>
      <c r="E165" s="7">
        <f t="shared" si="16"/>
        <v>4.8999999999999998E-3</v>
      </c>
      <c r="F165" s="7">
        <f t="shared" si="17"/>
        <v>0.24010000000000001</v>
      </c>
    </row>
    <row r="166" spans="1:6" x14ac:dyDescent="0.35">
      <c r="A166" s="40" t="s">
        <v>90</v>
      </c>
      <c r="B166" s="5" t="s">
        <v>87</v>
      </c>
      <c r="C166" s="6">
        <v>0.28999999999999998</v>
      </c>
      <c r="D166" s="7">
        <f t="shared" si="15"/>
        <v>0.245</v>
      </c>
      <c r="E166" s="7">
        <f t="shared" si="16"/>
        <v>4.8999999999999998E-3</v>
      </c>
      <c r="F166" s="7">
        <f t="shared" si="17"/>
        <v>0.24010000000000001</v>
      </c>
    </row>
    <row r="167" spans="1:6" x14ac:dyDescent="0.35">
      <c r="A167" s="40"/>
      <c r="B167" s="5" t="s">
        <v>88</v>
      </c>
      <c r="C167" s="6">
        <v>0.28999999999999998</v>
      </c>
      <c r="D167" s="7">
        <f t="shared" si="15"/>
        <v>0.245</v>
      </c>
      <c r="E167" s="7">
        <f t="shared" si="16"/>
        <v>4.8999999999999998E-3</v>
      </c>
      <c r="F167" s="7">
        <f t="shared" si="17"/>
        <v>0.24010000000000001</v>
      </c>
    </row>
    <row r="168" spans="1:6" x14ac:dyDescent="0.35">
      <c r="A168" s="40"/>
      <c r="B168" s="5" t="s">
        <v>89</v>
      </c>
      <c r="C168" s="6">
        <v>0.28999999999999998</v>
      </c>
      <c r="D168" s="7">
        <f t="shared" si="15"/>
        <v>0.245</v>
      </c>
      <c r="E168" s="7">
        <f t="shared" si="16"/>
        <v>4.8999999999999998E-3</v>
      </c>
      <c r="F168" s="7">
        <f t="shared" si="17"/>
        <v>0.24010000000000001</v>
      </c>
    </row>
    <row r="169" spans="1:6" x14ac:dyDescent="0.35">
      <c r="A169" s="44" t="s">
        <v>91</v>
      </c>
      <c r="B169" s="5" t="s">
        <v>92</v>
      </c>
      <c r="C169" s="6">
        <v>0.5</v>
      </c>
      <c r="D169" s="7">
        <f t="shared" si="15"/>
        <v>0.45500000000000002</v>
      </c>
      <c r="E169" s="7">
        <f t="shared" si="16"/>
        <v>9.1000000000000004E-3</v>
      </c>
      <c r="F169" s="7">
        <f t="shared" si="17"/>
        <v>0.44590000000000002</v>
      </c>
    </row>
    <row r="170" spans="1:6" x14ac:dyDescent="0.35">
      <c r="A170" s="45"/>
      <c r="B170" s="5" t="s">
        <v>93</v>
      </c>
      <c r="C170" s="6">
        <v>0.5</v>
      </c>
      <c r="D170" s="7">
        <f t="shared" si="15"/>
        <v>0.45500000000000002</v>
      </c>
      <c r="E170" s="7">
        <f t="shared" si="16"/>
        <v>9.1000000000000004E-3</v>
      </c>
      <c r="F170" s="7">
        <f t="shared" si="17"/>
        <v>0.44590000000000002</v>
      </c>
    </row>
    <row r="171" spans="1:6" x14ac:dyDescent="0.35">
      <c r="A171" s="48" t="s">
        <v>94</v>
      </c>
      <c r="B171" s="5" t="s">
        <v>33</v>
      </c>
      <c r="C171" s="6">
        <v>0.3</v>
      </c>
      <c r="D171" s="7">
        <f t="shared" si="15"/>
        <v>0.255</v>
      </c>
      <c r="E171" s="7">
        <f t="shared" si="16"/>
        <v>5.1000000000000004E-3</v>
      </c>
      <c r="F171" s="7">
        <f t="shared" si="17"/>
        <v>0.24990000000000001</v>
      </c>
    </row>
    <row r="172" spans="1:6" x14ac:dyDescent="0.35">
      <c r="A172" s="48"/>
      <c r="B172" s="5" t="s">
        <v>34</v>
      </c>
      <c r="C172" s="6">
        <v>0.3</v>
      </c>
      <c r="D172" s="7">
        <f t="shared" si="15"/>
        <v>0.255</v>
      </c>
      <c r="E172" s="7">
        <f t="shared" si="16"/>
        <v>5.1000000000000004E-3</v>
      </c>
      <c r="F172" s="7">
        <f t="shared" si="17"/>
        <v>0.24990000000000001</v>
      </c>
    </row>
    <row r="173" spans="1:6" x14ac:dyDescent="0.35">
      <c r="A173" s="48"/>
      <c r="B173" s="5" t="s">
        <v>35</v>
      </c>
      <c r="C173" s="6">
        <v>0.3</v>
      </c>
      <c r="D173" s="7">
        <f t="shared" si="15"/>
        <v>0.255</v>
      </c>
      <c r="E173" s="7">
        <f t="shared" si="16"/>
        <v>5.1000000000000004E-3</v>
      </c>
      <c r="F173" s="7">
        <f t="shared" si="17"/>
        <v>0.24990000000000001</v>
      </c>
    </row>
    <row r="174" spans="1:6" x14ac:dyDescent="0.35">
      <c r="A174" s="48" t="s">
        <v>95</v>
      </c>
      <c r="B174" s="5" t="s">
        <v>33</v>
      </c>
      <c r="C174" s="6">
        <v>0.5</v>
      </c>
      <c r="D174" s="7">
        <f t="shared" si="15"/>
        <v>0.45500000000000002</v>
      </c>
      <c r="E174" s="7">
        <f t="shared" si="16"/>
        <v>9.1000000000000004E-3</v>
      </c>
      <c r="F174" s="7">
        <f t="shared" si="17"/>
        <v>0.44590000000000002</v>
      </c>
    </row>
    <row r="175" spans="1:6" x14ac:dyDescent="0.35">
      <c r="A175" s="48"/>
      <c r="B175" s="5" t="s">
        <v>34</v>
      </c>
      <c r="C175" s="6">
        <v>0.45</v>
      </c>
      <c r="D175" s="7">
        <f t="shared" si="15"/>
        <v>0.40500000000000003</v>
      </c>
      <c r="E175" s="7">
        <f t="shared" si="16"/>
        <v>8.1000000000000013E-3</v>
      </c>
      <c r="F175" s="7">
        <f t="shared" si="17"/>
        <v>0.39690000000000003</v>
      </c>
    </row>
    <row r="176" spans="1:6" x14ac:dyDescent="0.35">
      <c r="A176" s="48"/>
      <c r="B176" s="5" t="s">
        <v>35</v>
      </c>
      <c r="C176" s="6">
        <v>0</v>
      </c>
      <c r="D176" s="7" t="s">
        <v>20</v>
      </c>
      <c r="E176" s="7" t="s">
        <v>20</v>
      </c>
      <c r="F176" s="7" t="s">
        <v>20</v>
      </c>
    </row>
    <row r="177" spans="1:6" x14ac:dyDescent="0.35">
      <c r="A177" s="41" t="s">
        <v>1178</v>
      </c>
      <c r="B177" s="5" t="s">
        <v>34</v>
      </c>
      <c r="C177" s="6">
        <v>0.48</v>
      </c>
      <c r="D177" s="7">
        <f t="shared" ref="D177:D193" si="18">C177-(4.5%)</f>
        <v>0.435</v>
      </c>
      <c r="E177" s="7">
        <f t="shared" ref="E177:E193" si="19">D177*2%</f>
        <v>8.6999999999999994E-3</v>
      </c>
      <c r="F177" s="7">
        <f t="shared" ref="F177:F193" si="20">D177-E177</f>
        <v>0.42630000000000001</v>
      </c>
    </row>
    <row r="178" spans="1:6" x14ac:dyDescent="0.35">
      <c r="A178" s="42"/>
      <c r="B178" s="5" t="s">
        <v>35</v>
      </c>
      <c r="C178" s="6">
        <v>0.51500000000000001</v>
      </c>
      <c r="D178" s="7">
        <f t="shared" si="18"/>
        <v>0.47000000000000003</v>
      </c>
      <c r="E178" s="7">
        <f t="shared" si="19"/>
        <v>9.4000000000000004E-3</v>
      </c>
      <c r="F178" s="7">
        <f t="shared" si="20"/>
        <v>0.46060000000000001</v>
      </c>
    </row>
    <row r="179" spans="1:6" x14ac:dyDescent="0.35">
      <c r="A179" s="43"/>
      <c r="B179" s="5" t="s">
        <v>1177</v>
      </c>
      <c r="C179" s="6">
        <v>0.35499999999999998</v>
      </c>
      <c r="D179" s="7">
        <f t="shared" si="18"/>
        <v>0.31</v>
      </c>
      <c r="E179" s="7">
        <f t="shared" si="19"/>
        <v>6.1999999999999998E-3</v>
      </c>
      <c r="F179" s="7">
        <f t="shared" si="20"/>
        <v>0.30380000000000001</v>
      </c>
    </row>
    <row r="180" spans="1:6" x14ac:dyDescent="0.35">
      <c r="A180" s="41" t="s">
        <v>1179</v>
      </c>
      <c r="B180" s="5" t="s">
        <v>34</v>
      </c>
      <c r="C180" s="6">
        <v>0.53</v>
      </c>
      <c r="D180" s="7">
        <f t="shared" si="18"/>
        <v>0.48500000000000004</v>
      </c>
      <c r="E180" s="7">
        <f t="shared" si="19"/>
        <v>9.7000000000000003E-3</v>
      </c>
      <c r="F180" s="7">
        <f t="shared" si="20"/>
        <v>0.47530000000000006</v>
      </c>
    </row>
    <row r="181" spans="1:6" x14ac:dyDescent="0.35">
      <c r="A181" s="42"/>
      <c r="B181" s="5" t="s">
        <v>35</v>
      </c>
      <c r="C181" s="6">
        <v>0.51500000000000001</v>
      </c>
      <c r="D181" s="7">
        <f t="shared" si="18"/>
        <v>0.47000000000000003</v>
      </c>
      <c r="E181" s="7">
        <f t="shared" si="19"/>
        <v>9.4000000000000004E-3</v>
      </c>
      <c r="F181" s="7">
        <f t="shared" si="20"/>
        <v>0.46060000000000001</v>
      </c>
    </row>
    <row r="182" spans="1:6" x14ac:dyDescent="0.35">
      <c r="A182" s="43"/>
      <c r="B182" s="5" t="s">
        <v>1177</v>
      </c>
      <c r="C182" s="6">
        <v>0.43</v>
      </c>
      <c r="D182" s="7">
        <f t="shared" si="18"/>
        <v>0.38500000000000001</v>
      </c>
      <c r="E182" s="7">
        <f t="shared" si="19"/>
        <v>7.7000000000000002E-3</v>
      </c>
      <c r="F182" s="7">
        <f t="shared" si="20"/>
        <v>0.37730000000000002</v>
      </c>
    </row>
    <row r="183" spans="1:6" x14ac:dyDescent="0.35">
      <c r="A183" s="41" t="s">
        <v>1180</v>
      </c>
      <c r="B183" s="5" t="s">
        <v>34</v>
      </c>
      <c r="C183" s="6">
        <v>0.53</v>
      </c>
      <c r="D183" s="7">
        <f t="shared" si="18"/>
        <v>0.48500000000000004</v>
      </c>
      <c r="E183" s="7">
        <f t="shared" si="19"/>
        <v>9.7000000000000003E-3</v>
      </c>
      <c r="F183" s="7">
        <f t="shared" si="20"/>
        <v>0.47530000000000006</v>
      </c>
    </row>
    <row r="184" spans="1:6" x14ac:dyDescent="0.35">
      <c r="A184" s="42"/>
      <c r="B184" s="5" t="s">
        <v>35</v>
      </c>
      <c r="C184" s="6">
        <v>0.51500000000000001</v>
      </c>
      <c r="D184" s="7">
        <f t="shared" si="18"/>
        <v>0.47000000000000003</v>
      </c>
      <c r="E184" s="7">
        <f t="shared" si="19"/>
        <v>9.4000000000000004E-3</v>
      </c>
      <c r="F184" s="7">
        <f t="shared" si="20"/>
        <v>0.46060000000000001</v>
      </c>
    </row>
    <row r="185" spans="1:6" x14ac:dyDescent="0.35">
      <c r="A185" s="43"/>
      <c r="B185" s="5" t="s">
        <v>1177</v>
      </c>
      <c r="C185" s="6">
        <v>0.46</v>
      </c>
      <c r="D185" s="7">
        <f t="shared" si="18"/>
        <v>0.41500000000000004</v>
      </c>
      <c r="E185" s="7">
        <f t="shared" si="19"/>
        <v>8.3000000000000001E-3</v>
      </c>
      <c r="F185" s="7">
        <f t="shared" si="20"/>
        <v>0.40670000000000006</v>
      </c>
    </row>
    <row r="186" spans="1:6" x14ac:dyDescent="0.35">
      <c r="A186" s="41" t="s">
        <v>1181</v>
      </c>
      <c r="B186" s="5" t="s">
        <v>34</v>
      </c>
      <c r="C186" s="6">
        <v>0.53</v>
      </c>
      <c r="D186" s="7">
        <f t="shared" si="18"/>
        <v>0.48500000000000004</v>
      </c>
      <c r="E186" s="7">
        <f t="shared" si="19"/>
        <v>9.7000000000000003E-3</v>
      </c>
      <c r="F186" s="7">
        <f t="shared" si="20"/>
        <v>0.47530000000000006</v>
      </c>
    </row>
    <row r="187" spans="1:6" x14ac:dyDescent="0.35">
      <c r="A187" s="42"/>
      <c r="B187" s="5" t="s">
        <v>35</v>
      </c>
      <c r="C187" s="6">
        <v>0.51500000000000001</v>
      </c>
      <c r="D187" s="7">
        <f t="shared" si="18"/>
        <v>0.47000000000000003</v>
      </c>
      <c r="E187" s="7">
        <f t="shared" si="19"/>
        <v>9.4000000000000004E-3</v>
      </c>
      <c r="F187" s="7">
        <f t="shared" si="20"/>
        <v>0.46060000000000001</v>
      </c>
    </row>
    <row r="188" spans="1:6" x14ac:dyDescent="0.35">
      <c r="A188" s="43"/>
      <c r="B188" s="5" t="s">
        <v>1177</v>
      </c>
      <c r="C188" s="6">
        <v>0.35499999999999998</v>
      </c>
      <c r="D188" s="7">
        <f t="shared" si="18"/>
        <v>0.31</v>
      </c>
      <c r="E188" s="7">
        <f t="shared" si="19"/>
        <v>6.1999999999999998E-3</v>
      </c>
      <c r="F188" s="7">
        <f t="shared" si="20"/>
        <v>0.30380000000000001</v>
      </c>
    </row>
    <row r="189" spans="1:6" ht="24" customHeight="1" x14ac:dyDescent="0.35">
      <c r="A189" s="41" t="s">
        <v>97</v>
      </c>
      <c r="B189" s="5" t="s">
        <v>98</v>
      </c>
      <c r="C189" s="6">
        <v>0.19500000000000001</v>
      </c>
      <c r="D189" s="7">
        <f t="shared" si="18"/>
        <v>0.15000000000000002</v>
      </c>
      <c r="E189" s="7">
        <f t="shared" si="19"/>
        <v>3.0000000000000005E-3</v>
      </c>
      <c r="F189" s="7">
        <f t="shared" si="20"/>
        <v>0.14700000000000002</v>
      </c>
    </row>
    <row r="190" spans="1:6" x14ac:dyDescent="0.35">
      <c r="A190" s="43"/>
      <c r="B190" s="5" t="s">
        <v>99</v>
      </c>
      <c r="C190" s="6">
        <v>0.3</v>
      </c>
      <c r="D190" s="7">
        <f t="shared" si="18"/>
        <v>0.255</v>
      </c>
      <c r="E190" s="7">
        <f t="shared" si="19"/>
        <v>5.1000000000000004E-3</v>
      </c>
      <c r="F190" s="7">
        <f t="shared" si="20"/>
        <v>0.24990000000000001</v>
      </c>
    </row>
    <row r="191" spans="1:6" ht="36" x14ac:dyDescent="0.35">
      <c r="A191" s="41" t="s">
        <v>101</v>
      </c>
      <c r="B191" s="5" t="s">
        <v>102</v>
      </c>
      <c r="C191" s="6">
        <v>0.6</v>
      </c>
      <c r="D191" s="7">
        <f t="shared" si="18"/>
        <v>0.55499999999999994</v>
      </c>
      <c r="E191" s="7">
        <f t="shared" si="19"/>
        <v>1.1099999999999999E-2</v>
      </c>
      <c r="F191" s="7">
        <f t="shared" si="20"/>
        <v>0.54389999999999994</v>
      </c>
    </row>
    <row r="192" spans="1:6" ht="24.65" customHeight="1" x14ac:dyDescent="0.35">
      <c r="A192" s="43"/>
      <c r="B192" s="5" t="s">
        <v>103</v>
      </c>
      <c r="C192" s="6">
        <v>0.55000000000000004</v>
      </c>
      <c r="D192" s="7">
        <f t="shared" si="18"/>
        <v>0.505</v>
      </c>
      <c r="E192" s="7">
        <f t="shared" si="19"/>
        <v>1.01E-2</v>
      </c>
      <c r="F192" s="7">
        <f t="shared" si="20"/>
        <v>0.49490000000000001</v>
      </c>
    </row>
    <row r="193" spans="1:6" ht="24.65" customHeight="1" x14ac:dyDescent="0.35">
      <c r="A193" s="23" t="s">
        <v>1309</v>
      </c>
      <c r="B193" s="5" t="s">
        <v>100</v>
      </c>
      <c r="C193" s="6">
        <v>0.55000000000000004</v>
      </c>
      <c r="D193" s="7">
        <f t="shared" si="18"/>
        <v>0.505</v>
      </c>
      <c r="E193" s="7">
        <f t="shared" si="19"/>
        <v>1.01E-2</v>
      </c>
      <c r="F193" s="7">
        <f t="shared" si="20"/>
        <v>0.49490000000000001</v>
      </c>
    </row>
    <row r="194" spans="1:6" x14ac:dyDescent="0.35">
      <c r="A194" s="2" t="s">
        <v>104</v>
      </c>
      <c r="B194" s="2" t="s">
        <v>1</v>
      </c>
      <c r="C194" s="3" t="s">
        <v>2</v>
      </c>
      <c r="D194" s="4" t="s">
        <v>4</v>
      </c>
      <c r="E194" s="4" t="s">
        <v>5</v>
      </c>
      <c r="F194" s="4" t="s">
        <v>6</v>
      </c>
    </row>
    <row r="195" spans="1:6" x14ac:dyDescent="0.35">
      <c r="A195" s="48" t="s">
        <v>105</v>
      </c>
      <c r="B195" s="5" t="s">
        <v>14</v>
      </c>
      <c r="C195" s="6">
        <v>0.28000000000000003</v>
      </c>
      <c r="D195" s="7">
        <f t="shared" ref="D195:D204" si="21">C195-(4.5%)</f>
        <v>0.23500000000000004</v>
      </c>
      <c r="E195" s="7">
        <f t="shared" ref="E195:E204" si="22">D195*2%</f>
        <v>4.7000000000000011E-3</v>
      </c>
      <c r="F195" s="7">
        <f t="shared" ref="F195:F204" si="23">D195-E195</f>
        <v>0.23030000000000003</v>
      </c>
    </row>
    <row r="196" spans="1:6" x14ac:dyDescent="0.35">
      <c r="A196" s="48"/>
      <c r="B196" s="5" t="s">
        <v>13</v>
      </c>
      <c r="C196" s="6">
        <v>0.12000000000000001</v>
      </c>
      <c r="D196" s="7">
        <f t="shared" si="21"/>
        <v>7.5000000000000011E-2</v>
      </c>
      <c r="E196" s="7">
        <f t="shared" si="22"/>
        <v>1.5000000000000002E-3</v>
      </c>
      <c r="F196" s="7">
        <f t="shared" si="23"/>
        <v>7.350000000000001E-2</v>
      </c>
    </row>
    <row r="197" spans="1:6" x14ac:dyDescent="0.35">
      <c r="A197" s="48"/>
      <c r="B197" s="5" t="s">
        <v>17</v>
      </c>
      <c r="C197" s="6">
        <v>0.23000000000000004</v>
      </c>
      <c r="D197" s="7">
        <f t="shared" si="21"/>
        <v>0.18500000000000005</v>
      </c>
      <c r="E197" s="7">
        <f t="shared" si="22"/>
        <v>3.700000000000001E-3</v>
      </c>
      <c r="F197" s="7">
        <f t="shared" si="23"/>
        <v>0.18130000000000004</v>
      </c>
    </row>
    <row r="198" spans="1:6" x14ac:dyDescent="0.35">
      <c r="A198" s="48"/>
      <c r="B198" s="5" t="s">
        <v>25</v>
      </c>
      <c r="C198" s="6">
        <v>0.18</v>
      </c>
      <c r="D198" s="7">
        <f t="shared" si="21"/>
        <v>0.13500000000000001</v>
      </c>
      <c r="E198" s="7">
        <f t="shared" si="22"/>
        <v>2.7000000000000001E-3</v>
      </c>
      <c r="F198" s="7">
        <f t="shared" si="23"/>
        <v>0.1323</v>
      </c>
    </row>
    <row r="199" spans="1:6" x14ac:dyDescent="0.35">
      <c r="A199" s="48"/>
      <c r="B199" s="5" t="s">
        <v>18</v>
      </c>
      <c r="C199" s="6">
        <v>0.23000000000000004</v>
      </c>
      <c r="D199" s="7">
        <f t="shared" si="21"/>
        <v>0.18500000000000005</v>
      </c>
      <c r="E199" s="7">
        <f t="shared" si="22"/>
        <v>3.700000000000001E-3</v>
      </c>
      <c r="F199" s="7">
        <f t="shared" si="23"/>
        <v>0.18130000000000004</v>
      </c>
    </row>
    <row r="200" spans="1:6" x14ac:dyDescent="0.35">
      <c r="A200" s="48"/>
      <c r="B200" s="5" t="s">
        <v>22</v>
      </c>
      <c r="C200" s="6">
        <v>0.23000000000000004</v>
      </c>
      <c r="D200" s="7">
        <f t="shared" si="21"/>
        <v>0.18500000000000005</v>
      </c>
      <c r="E200" s="7">
        <f t="shared" si="22"/>
        <v>3.700000000000001E-3</v>
      </c>
      <c r="F200" s="7">
        <f t="shared" si="23"/>
        <v>0.18130000000000004</v>
      </c>
    </row>
    <row r="201" spans="1:6" x14ac:dyDescent="0.35">
      <c r="A201" s="48"/>
      <c r="B201" s="5" t="s">
        <v>23</v>
      </c>
      <c r="C201" s="6">
        <v>0.23000000000000004</v>
      </c>
      <c r="D201" s="7">
        <f t="shared" si="21"/>
        <v>0.18500000000000005</v>
      </c>
      <c r="E201" s="7">
        <f t="shared" si="22"/>
        <v>3.700000000000001E-3</v>
      </c>
      <c r="F201" s="7">
        <f t="shared" si="23"/>
        <v>0.18130000000000004</v>
      </c>
    </row>
    <row r="202" spans="1:6" x14ac:dyDescent="0.35">
      <c r="A202" s="48"/>
      <c r="B202" s="5" t="s">
        <v>26</v>
      </c>
      <c r="C202" s="6">
        <v>0.23000000000000004</v>
      </c>
      <c r="D202" s="7">
        <f t="shared" si="21"/>
        <v>0.18500000000000005</v>
      </c>
      <c r="E202" s="7">
        <f t="shared" si="22"/>
        <v>3.700000000000001E-3</v>
      </c>
      <c r="F202" s="7">
        <f t="shared" si="23"/>
        <v>0.18130000000000004</v>
      </c>
    </row>
    <row r="203" spans="1:6" x14ac:dyDescent="0.35">
      <c r="A203" s="48"/>
      <c r="B203" s="5" t="s">
        <v>15</v>
      </c>
      <c r="C203" s="6">
        <v>0.22000000000000003</v>
      </c>
      <c r="D203" s="7">
        <f t="shared" si="21"/>
        <v>0.17500000000000004</v>
      </c>
      <c r="E203" s="7">
        <f t="shared" si="22"/>
        <v>3.5000000000000009E-3</v>
      </c>
      <c r="F203" s="7">
        <f t="shared" si="23"/>
        <v>0.17150000000000004</v>
      </c>
    </row>
    <row r="204" spans="1:6" x14ac:dyDescent="0.35">
      <c r="A204" s="48"/>
      <c r="B204" s="5" t="s">
        <v>16</v>
      </c>
      <c r="C204" s="6">
        <v>0.11</v>
      </c>
      <c r="D204" s="7">
        <f t="shared" si="21"/>
        <v>6.5000000000000002E-2</v>
      </c>
      <c r="E204" s="7">
        <f t="shared" si="22"/>
        <v>1.3000000000000002E-3</v>
      </c>
      <c r="F204" s="7">
        <f t="shared" si="23"/>
        <v>6.3700000000000007E-2</v>
      </c>
    </row>
    <row r="205" spans="1:6" x14ac:dyDescent="0.35">
      <c r="A205" s="48"/>
      <c r="B205" s="5" t="s">
        <v>21</v>
      </c>
      <c r="C205" s="6">
        <v>3.9999999999999994E-2</v>
      </c>
      <c r="D205" s="7" t="s">
        <v>20</v>
      </c>
      <c r="E205" s="7" t="s">
        <v>20</v>
      </c>
      <c r="F205" s="7" t="s">
        <v>20</v>
      </c>
    </row>
    <row r="206" spans="1:6" x14ac:dyDescent="0.35">
      <c r="A206" s="48"/>
      <c r="B206" s="5" t="s">
        <v>24</v>
      </c>
      <c r="C206" s="6">
        <v>0.18</v>
      </c>
      <c r="D206" s="7">
        <f>C206-(4.5%)</f>
        <v>0.13500000000000001</v>
      </c>
      <c r="E206" s="7">
        <f>D206*2%</f>
        <v>2.7000000000000001E-3</v>
      </c>
      <c r="F206" s="7">
        <f>D206-E206</f>
        <v>0.1323</v>
      </c>
    </row>
    <row r="207" spans="1:6" x14ac:dyDescent="0.35">
      <c r="A207" s="48"/>
      <c r="B207" s="5" t="s">
        <v>19</v>
      </c>
      <c r="C207" s="6">
        <v>0.06</v>
      </c>
      <c r="D207" s="7" t="s">
        <v>20</v>
      </c>
      <c r="E207" s="7" t="s">
        <v>20</v>
      </c>
      <c r="F207" s="7" t="s">
        <v>20</v>
      </c>
    </row>
    <row r="208" spans="1:6" x14ac:dyDescent="0.35">
      <c r="A208" s="48"/>
      <c r="B208" s="5" t="s">
        <v>27</v>
      </c>
      <c r="C208" s="6">
        <v>9.999999999999995E-3</v>
      </c>
      <c r="D208" s="7" t="s">
        <v>20</v>
      </c>
      <c r="E208" s="7" t="s">
        <v>20</v>
      </c>
      <c r="F208" s="7" t="s">
        <v>20</v>
      </c>
    </row>
    <row r="209" spans="1:6" x14ac:dyDescent="0.35">
      <c r="A209" s="48" t="s">
        <v>106</v>
      </c>
      <c r="B209" s="5" t="s">
        <v>13</v>
      </c>
      <c r="C209" s="7">
        <v>0.18</v>
      </c>
      <c r="D209" s="7">
        <f t="shared" ref="D209:D215" si="24">C209-(4.5%)</f>
        <v>0.13500000000000001</v>
      </c>
      <c r="E209" s="7">
        <f t="shared" ref="E209:E215" si="25">D209*2%</f>
        <v>2.7000000000000001E-3</v>
      </c>
      <c r="F209" s="7">
        <f t="shared" ref="F209:F215" si="26">D209-E209</f>
        <v>0.1323</v>
      </c>
    </row>
    <row r="210" spans="1:6" x14ac:dyDescent="0.35">
      <c r="A210" s="48"/>
      <c r="B210" s="5" t="s">
        <v>14</v>
      </c>
      <c r="C210" s="7">
        <v>0.35</v>
      </c>
      <c r="D210" s="7">
        <f t="shared" si="24"/>
        <v>0.30499999999999999</v>
      </c>
      <c r="E210" s="7">
        <f t="shared" si="25"/>
        <v>6.1000000000000004E-3</v>
      </c>
      <c r="F210" s="7">
        <f t="shared" si="26"/>
        <v>0.2989</v>
      </c>
    </row>
    <row r="211" spans="1:6" x14ac:dyDescent="0.35">
      <c r="A211" s="48"/>
      <c r="B211" s="5" t="s">
        <v>15</v>
      </c>
      <c r="C211" s="7">
        <v>0.29000000000000004</v>
      </c>
      <c r="D211" s="7">
        <f t="shared" si="24"/>
        <v>0.24500000000000005</v>
      </c>
      <c r="E211" s="7">
        <f t="shared" si="25"/>
        <v>4.9000000000000007E-3</v>
      </c>
      <c r="F211" s="7">
        <f t="shared" si="26"/>
        <v>0.24010000000000006</v>
      </c>
    </row>
    <row r="212" spans="1:6" x14ac:dyDescent="0.35">
      <c r="A212" s="48"/>
      <c r="B212" s="5" t="s">
        <v>16</v>
      </c>
      <c r="C212" s="7">
        <v>0.16999999999999998</v>
      </c>
      <c r="D212" s="7">
        <f t="shared" si="24"/>
        <v>0.12499999999999999</v>
      </c>
      <c r="E212" s="7">
        <f t="shared" si="25"/>
        <v>2.4999999999999996E-3</v>
      </c>
      <c r="F212" s="7">
        <f t="shared" si="26"/>
        <v>0.12249999999999998</v>
      </c>
    </row>
    <row r="213" spans="1:6" x14ac:dyDescent="0.35">
      <c r="A213" s="48"/>
      <c r="B213" s="5" t="s">
        <v>17</v>
      </c>
      <c r="C213" s="7">
        <v>0.35</v>
      </c>
      <c r="D213" s="7">
        <f t="shared" si="24"/>
        <v>0.30499999999999999</v>
      </c>
      <c r="E213" s="7">
        <f t="shared" si="25"/>
        <v>6.1000000000000004E-3</v>
      </c>
      <c r="F213" s="7">
        <f t="shared" si="26"/>
        <v>0.2989</v>
      </c>
    </row>
    <row r="214" spans="1:6" x14ac:dyDescent="0.35">
      <c r="A214" s="48"/>
      <c r="B214" s="5" t="s">
        <v>18</v>
      </c>
      <c r="C214" s="7">
        <v>0.31</v>
      </c>
      <c r="D214" s="7">
        <f t="shared" si="24"/>
        <v>0.26500000000000001</v>
      </c>
      <c r="E214" s="7">
        <f t="shared" si="25"/>
        <v>5.3E-3</v>
      </c>
      <c r="F214" s="7">
        <f t="shared" si="26"/>
        <v>0.25969999999999999</v>
      </c>
    </row>
    <row r="215" spans="1:6" x14ac:dyDescent="0.35">
      <c r="A215" s="48"/>
      <c r="B215" s="5" t="s">
        <v>19</v>
      </c>
      <c r="C215" s="7">
        <v>0.08</v>
      </c>
      <c r="D215" s="7">
        <f t="shared" si="24"/>
        <v>3.5000000000000003E-2</v>
      </c>
      <c r="E215" s="7">
        <f t="shared" si="25"/>
        <v>7.000000000000001E-4</v>
      </c>
      <c r="F215" s="7">
        <f t="shared" si="26"/>
        <v>3.4300000000000004E-2</v>
      </c>
    </row>
    <row r="216" spans="1:6" x14ac:dyDescent="0.35">
      <c r="A216" s="48"/>
      <c r="B216" s="5" t="s">
        <v>21</v>
      </c>
      <c r="C216" s="7">
        <v>0.03</v>
      </c>
      <c r="D216" s="7" t="s">
        <v>20</v>
      </c>
      <c r="E216" s="7" t="s">
        <v>20</v>
      </c>
      <c r="F216" s="7" t="s">
        <v>20</v>
      </c>
    </row>
    <row r="217" spans="1:6" x14ac:dyDescent="0.35">
      <c r="A217" s="48"/>
      <c r="B217" s="5" t="s">
        <v>22</v>
      </c>
      <c r="C217" s="7">
        <v>0.35000000000000003</v>
      </c>
      <c r="D217" s="7">
        <f>C217-(4.5%)</f>
        <v>0.30500000000000005</v>
      </c>
      <c r="E217" s="7">
        <f>D217*2%</f>
        <v>6.1000000000000013E-3</v>
      </c>
      <c r="F217" s="7">
        <f>D217-E217</f>
        <v>0.29890000000000005</v>
      </c>
    </row>
    <row r="218" spans="1:6" x14ac:dyDescent="0.35">
      <c r="A218" s="48"/>
      <c r="B218" s="5" t="s">
        <v>23</v>
      </c>
      <c r="C218" s="7">
        <v>0.35</v>
      </c>
      <c r="D218" s="7">
        <f>C218-(4.5%)</f>
        <v>0.30499999999999999</v>
      </c>
      <c r="E218" s="7">
        <f>D218*2%</f>
        <v>6.1000000000000004E-3</v>
      </c>
      <c r="F218" s="7">
        <f>D218-E218</f>
        <v>0.2989</v>
      </c>
    </row>
    <row r="219" spans="1:6" x14ac:dyDescent="0.35">
      <c r="A219" s="48"/>
      <c r="B219" s="5" t="s">
        <v>24</v>
      </c>
      <c r="C219" s="7">
        <v>0.25</v>
      </c>
      <c r="D219" s="7">
        <f>C219-(4.5%)</f>
        <v>0.20500000000000002</v>
      </c>
      <c r="E219" s="7">
        <f>D219*2%</f>
        <v>4.1000000000000003E-3</v>
      </c>
      <c r="F219" s="7">
        <f>D219-E219</f>
        <v>0.20090000000000002</v>
      </c>
    </row>
    <row r="220" spans="1:6" x14ac:dyDescent="0.35">
      <c r="A220" s="48"/>
      <c r="B220" s="5" t="s">
        <v>25</v>
      </c>
      <c r="C220" s="7">
        <v>0.26</v>
      </c>
      <c r="D220" s="7">
        <f>C220-(4.5%)</f>
        <v>0.21500000000000002</v>
      </c>
      <c r="E220" s="7">
        <f>D220*2%</f>
        <v>4.3000000000000009E-3</v>
      </c>
      <c r="F220" s="7">
        <f>D220-E220</f>
        <v>0.21070000000000003</v>
      </c>
    </row>
    <row r="221" spans="1:6" x14ac:dyDescent="0.35">
      <c r="A221" s="48"/>
      <c r="B221" s="5" t="s">
        <v>26</v>
      </c>
      <c r="C221" s="7">
        <v>0.35000000000000003</v>
      </c>
      <c r="D221" s="7">
        <f>C221-(4.5%)</f>
        <v>0.30500000000000005</v>
      </c>
      <c r="E221" s="7">
        <f>D221*2%</f>
        <v>6.1000000000000013E-3</v>
      </c>
      <c r="F221" s="7">
        <f>D221-E221</f>
        <v>0.29890000000000005</v>
      </c>
    </row>
    <row r="222" spans="1:6" x14ac:dyDescent="0.35">
      <c r="A222" s="48"/>
      <c r="B222" s="5" t="s">
        <v>27</v>
      </c>
      <c r="C222" s="7">
        <v>0</v>
      </c>
      <c r="D222" s="7" t="s">
        <v>20</v>
      </c>
      <c r="E222" s="7" t="s">
        <v>20</v>
      </c>
      <c r="F222" s="7" t="s">
        <v>20</v>
      </c>
    </row>
    <row r="223" spans="1:6" ht="28" customHeight="1" x14ac:dyDescent="0.35">
      <c r="A223" s="48" t="s">
        <v>107</v>
      </c>
      <c r="B223" s="5" t="s">
        <v>32</v>
      </c>
      <c r="C223" s="6">
        <v>0.45</v>
      </c>
      <c r="D223" s="7">
        <f>C223-(4.5%)</f>
        <v>0.40500000000000003</v>
      </c>
      <c r="E223" s="7">
        <f>D223*2%</f>
        <v>8.1000000000000013E-3</v>
      </c>
      <c r="F223" s="7">
        <f>D223-E223</f>
        <v>0.39690000000000003</v>
      </c>
    </row>
    <row r="224" spans="1:6" ht="31.5" customHeight="1" x14ac:dyDescent="0.35">
      <c r="A224" s="48"/>
      <c r="B224" s="5" t="s">
        <v>108</v>
      </c>
      <c r="C224" s="6">
        <v>0.35</v>
      </c>
      <c r="D224" s="7">
        <f>C224-(4.5%)</f>
        <v>0.30499999999999999</v>
      </c>
      <c r="E224" s="7">
        <f>D224*2%</f>
        <v>6.1000000000000004E-3</v>
      </c>
      <c r="F224" s="7">
        <f>D224-E224</f>
        <v>0.2989</v>
      </c>
    </row>
    <row r="225" spans="1:6" ht="30.65" customHeight="1" x14ac:dyDescent="0.35">
      <c r="A225" s="5" t="s">
        <v>109</v>
      </c>
      <c r="B225" s="5" t="s">
        <v>32</v>
      </c>
      <c r="C225" s="6">
        <v>0.25</v>
      </c>
      <c r="D225" s="7">
        <f>C225-(4.5%)</f>
        <v>0.20500000000000002</v>
      </c>
      <c r="E225" s="7">
        <f>D225*2%</f>
        <v>4.1000000000000003E-3</v>
      </c>
      <c r="F225" s="7">
        <f>D225-E225</f>
        <v>0.20090000000000002</v>
      </c>
    </row>
    <row r="226" spans="1:6" x14ac:dyDescent="0.35">
      <c r="A226" s="40" t="s">
        <v>110</v>
      </c>
      <c r="B226" s="5" t="s">
        <v>87</v>
      </c>
      <c r="C226" s="6">
        <v>0.2</v>
      </c>
      <c r="D226" s="7">
        <f>C226-(4.5%)</f>
        <v>0.15500000000000003</v>
      </c>
      <c r="E226" s="7">
        <f>D226*2%</f>
        <v>3.1000000000000008E-3</v>
      </c>
      <c r="F226" s="7">
        <f>D226-E226</f>
        <v>0.15190000000000003</v>
      </c>
    </row>
    <row r="227" spans="1:6" x14ac:dyDescent="0.35">
      <c r="A227" s="40"/>
      <c r="B227" s="5" t="s">
        <v>88</v>
      </c>
      <c r="C227" s="6">
        <v>0</v>
      </c>
      <c r="D227" s="7" t="s">
        <v>20</v>
      </c>
      <c r="E227" s="7" t="s">
        <v>20</v>
      </c>
      <c r="F227" s="7" t="s">
        <v>20</v>
      </c>
    </row>
    <row r="228" spans="1:6" x14ac:dyDescent="0.35">
      <c r="A228" s="40"/>
      <c r="B228" s="5" t="s">
        <v>89</v>
      </c>
      <c r="C228" s="6">
        <v>0</v>
      </c>
      <c r="D228" s="7" t="s">
        <v>20</v>
      </c>
      <c r="E228" s="7" t="s">
        <v>20</v>
      </c>
      <c r="F228" s="7" t="s">
        <v>20</v>
      </c>
    </row>
    <row r="229" spans="1:6" x14ac:dyDescent="0.35">
      <c r="A229" s="40" t="s">
        <v>111</v>
      </c>
      <c r="B229" s="5" t="s">
        <v>87</v>
      </c>
      <c r="C229" s="6">
        <v>0.27</v>
      </c>
      <c r="D229" s="7">
        <f>C229-(4.5%)</f>
        <v>0.22500000000000003</v>
      </c>
      <c r="E229" s="7">
        <f>D229*2%</f>
        <v>4.5000000000000005E-3</v>
      </c>
      <c r="F229" s="7">
        <f>D229-E229</f>
        <v>0.22050000000000003</v>
      </c>
    </row>
    <row r="230" spans="1:6" x14ac:dyDescent="0.35">
      <c r="A230" s="40"/>
      <c r="B230" s="5" t="s">
        <v>88</v>
      </c>
      <c r="C230" s="6">
        <v>0</v>
      </c>
      <c r="D230" s="7" t="s">
        <v>20</v>
      </c>
      <c r="E230" s="7" t="s">
        <v>20</v>
      </c>
      <c r="F230" s="7" t="s">
        <v>20</v>
      </c>
    </row>
    <row r="231" spans="1:6" x14ac:dyDescent="0.35">
      <c r="A231" s="40"/>
      <c r="B231" s="5" t="s">
        <v>89</v>
      </c>
      <c r="C231" s="6">
        <v>0</v>
      </c>
      <c r="D231" s="7" t="s">
        <v>20</v>
      </c>
      <c r="E231" s="7" t="s">
        <v>20</v>
      </c>
      <c r="F231" s="7" t="s">
        <v>20</v>
      </c>
    </row>
    <row r="232" spans="1:6" x14ac:dyDescent="0.35">
      <c r="A232" s="40" t="s">
        <v>112</v>
      </c>
      <c r="B232" s="5" t="s">
        <v>87</v>
      </c>
      <c r="C232" s="6">
        <v>0.34499999999999997</v>
      </c>
      <c r="D232" s="7">
        <f>C232-(4.5%)</f>
        <v>0.3</v>
      </c>
      <c r="E232" s="7">
        <f>D232*2%</f>
        <v>6.0000000000000001E-3</v>
      </c>
      <c r="F232" s="7">
        <f>D232-E232</f>
        <v>0.29399999999999998</v>
      </c>
    </row>
    <row r="233" spans="1:6" x14ac:dyDescent="0.35">
      <c r="A233" s="40"/>
      <c r="B233" s="5" t="s">
        <v>88</v>
      </c>
      <c r="C233" s="6">
        <v>0</v>
      </c>
      <c r="D233" s="7" t="s">
        <v>20</v>
      </c>
      <c r="E233" s="7" t="s">
        <v>20</v>
      </c>
      <c r="F233" s="7" t="s">
        <v>20</v>
      </c>
    </row>
    <row r="234" spans="1:6" x14ac:dyDescent="0.35">
      <c r="A234" s="40"/>
      <c r="B234" s="5" t="s">
        <v>89</v>
      </c>
      <c r="C234" s="6">
        <v>0</v>
      </c>
      <c r="D234" s="7" t="s">
        <v>20</v>
      </c>
      <c r="E234" s="7" t="s">
        <v>20</v>
      </c>
      <c r="F234" s="7" t="s">
        <v>20</v>
      </c>
    </row>
    <row r="235" spans="1:6" x14ac:dyDescent="0.35">
      <c r="A235" s="44" t="s">
        <v>1232</v>
      </c>
      <c r="B235" s="5" t="s">
        <v>92</v>
      </c>
      <c r="C235" s="6">
        <v>0.27</v>
      </c>
      <c r="D235" s="7">
        <f>C235-(4.5%)</f>
        <v>0.22500000000000003</v>
      </c>
      <c r="E235" s="7">
        <f>D235*2%</f>
        <v>4.5000000000000005E-3</v>
      </c>
      <c r="F235" s="7">
        <f>D235-E235</f>
        <v>0.22050000000000003</v>
      </c>
    </row>
    <row r="236" spans="1:6" x14ac:dyDescent="0.35">
      <c r="A236" s="45"/>
      <c r="B236" s="5" t="s">
        <v>93</v>
      </c>
      <c r="C236" s="6">
        <v>0.27</v>
      </c>
      <c r="D236" s="7">
        <f>C236-(4.5%)</f>
        <v>0.22500000000000003</v>
      </c>
      <c r="E236" s="7">
        <f>D236*2%</f>
        <v>4.5000000000000005E-3</v>
      </c>
      <c r="F236" s="7">
        <f>D236-E236</f>
        <v>0.22050000000000003</v>
      </c>
    </row>
    <row r="237" spans="1:6" x14ac:dyDescent="0.35">
      <c r="A237" s="48" t="s">
        <v>113</v>
      </c>
      <c r="B237" s="5" t="s">
        <v>33</v>
      </c>
      <c r="C237" s="6">
        <v>0.4</v>
      </c>
      <c r="D237" s="7">
        <f>C237-(4.5%)</f>
        <v>0.35500000000000004</v>
      </c>
      <c r="E237" s="7">
        <f>D237*2%</f>
        <v>7.1000000000000013E-3</v>
      </c>
      <c r="F237" s="7">
        <f>D237-E237</f>
        <v>0.34790000000000004</v>
      </c>
    </row>
    <row r="238" spans="1:6" x14ac:dyDescent="0.35">
      <c r="A238" s="48"/>
      <c r="B238" s="5" t="s">
        <v>34</v>
      </c>
      <c r="C238" s="6">
        <v>0.4</v>
      </c>
      <c r="D238" s="7">
        <f>C238-(4.5%)</f>
        <v>0.35500000000000004</v>
      </c>
      <c r="E238" s="7">
        <f>D238*2%</f>
        <v>7.1000000000000013E-3</v>
      </c>
      <c r="F238" s="7">
        <f>D238-E238</f>
        <v>0.34790000000000004</v>
      </c>
    </row>
    <row r="239" spans="1:6" x14ac:dyDescent="0.35">
      <c r="A239" s="48"/>
      <c r="B239" s="5" t="s">
        <v>35</v>
      </c>
      <c r="C239" s="6">
        <v>0</v>
      </c>
      <c r="D239" s="7" t="s">
        <v>20</v>
      </c>
      <c r="E239" s="7" t="s">
        <v>20</v>
      </c>
      <c r="F239" s="7" t="s">
        <v>20</v>
      </c>
    </row>
    <row r="240" spans="1:6" x14ac:dyDescent="0.35">
      <c r="A240" s="41" t="s">
        <v>114</v>
      </c>
      <c r="B240" s="5" t="s">
        <v>33</v>
      </c>
      <c r="C240" s="6">
        <v>0.2</v>
      </c>
      <c r="D240" s="7">
        <f>C240-(4.5%)</f>
        <v>0.15500000000000003</v>
      </c>
      <c r="E240" s="7">
        <f>D240*2%</f>
        <v>3.1000000000000008E-3</v>
      </c>
      <c r="F240" s="7">
        <f>D240-E240</f>
        <v>0.15190000000000003</v>
      </c>
    </row>
    <row r="241" spans="1:6" x14ac:dyDescent="0.35">
      <c r="A241" s="42"/>
      <c r="B241" s="5" t="s">
        <v>34</v>
      </c>
      <c r="C241" s="6">
        <v>0</v>
      </c>
      <c r="D241" s="7" t="s">
        <v>20</v>
      </c>
      <c r="E241" s="7" t="s">
        <v>20</v>
      </c>
      <c r="F241" s="7" t="s">
        <v>20</v>
      </c>
    </row>
    <row r="242" spans="1:6" x14ac:dyDescent="0.35">
      <c r="A242" s="43"/>
      <c r="B242" s="5" t="s">
        <v>35</v>
      </c>
      <c r="C242" s="6">
        <v>0</v>
      </c>
      <c r="D242" s="7" t="s">
        <v>20</v>
      </c>
      <c r="E242" s="7" t="s">
        <v>20</v>
      </c>
      <c r="F242" s="7" t="s">
        <v>20</v>
      </c>
    </row>
    <row r="243" spans="1:6" ht="24" x14ac:dyDescent="0.35">
      <c r="A243" s="5" t="s">
        <v>115</v>
      </c>
      <c r="B243" s="5" t="s">
        <v>96</v>
      </c>
      <c r="C243" s="6">
        <v>0.27500000000000002</v>
      </c>
      <c r="D243" s="7">
        <f>C243-(4.5%)</f>
        <v>0.23000000000000004</v>
      </c>
      <c r="E243" s="7">
        <f>D243*2%</f>
        <v>4.6000000000000008E-3</v>
      </c>
      <c r="F243" s="7">
        <f>D243-E243</f>
        <v>0.22540000000000004</v>
      </c>
    </row>
    <row r="244" spans="1:6" x14ac:dyDescent="0.35">
      <c r="A244" s="41" t="s">
        <v>116</v>
      </c>
      <c r="B244" s="5" t="s">
        <v>39</v>
      </c>
      <c r="C244" s="6">
        <v>0.35</v>
      </c>
      <c r="D244" s="7">
        <f>C244-(4.5%)</f>
        <v>0.30499999999999999</v>
      </c>
      <c r="E244" s="7">
        <f>D244*2%</f>
        <v>6.1000000000000004E-3</v>
      </c>
      <c r="F244" s="7">
        <f>D244-E244</f>
        <v>0.2989</v>
      </c>
    </row>
    <row r="245" spans="1:6" x14ac:dyDescent="0.35">
      <c r="A245" s="43"/>
      <c r="B245" s="5" t="s">
        <v>40</v>
      </c>
      <c r="C245" s="6">
        <v>0.34</v>
      </c>
      <c r="D245" s="7">
        <f>C245-(4.5%)</f>
        <v>0.29500000000000004</v>
      </c>
      <c r="E245" s="7">
        <f>D245*2%</f>
        <v>5.9000000000000007E-3</v>
      </c>
      <c r="F245" s="7">
        <f>D245-E245</f>
        <v>0.28910000000000002</v>
      </c>
    </row>
    <row r="246" spans="1:6" x14ac:dyDescent="0.35">
      <c r="A246" s="23" t="s">
        <v>1310</v>
      </c>
      <c r="B246" s="5" t="s">
        <v>100</v>
      </c>
      <c r="C246" s="6">
        <v>0.47499999999999998</v>
      </c>
      <c r="D246" s="7">
        <f>C246-(4.5%)</f>
        <v>0.43</v>
      </c>
      <c r="E246" s="7">
        <f>D246*2%</f>
        <v>8.6E-3</v>
      </c>
      <c r="F246" s="7">
        <f>D246-E246</f>
        <v>0.4214</v>
      </c>
    </row>
    <row r="247" spans="1:6" x14ac:dyDescent="0.35">
      <c r="A247" s="2" t="s">
        <v>117</v>
      </c>
      <c r="B247" s="2" t="s">
        <v>1</v>
      </c>
      <c r="C247" s="3" t="s">
        <v>2</v>
      </c>
      <c r="D247" s="4" t="s">
        <v>4</v>
      </c>
      <c r="E247" s="4" t="s">
        <v>5</v>
      </c>
      <c r="F247" s="4" t="s">
        <v>6</v>
      </c>
    </row>
    <row r="248" spans="1:6" x14ac:dyDescent="0.35">
      <c r="A248" s="48" t="s">
        <v>118</v>
      </c>
      <c r="B248" s="5" t="s">
        <v>14</v>
      </c>
      <c r="C248" s="6">
        <v>0.1</v>
      </c>
      <c r="D248" s="7">
        <f>C248-(4.5%)</f>
        <v>5.5000000000000007E-2</v>
      </c>
      <c r="E248" s="7">
        <f>D248*2%</f>
        <v>1.1000000000000001E-3</v>
      </c>
      <c r="F248" s="7">
        <f>D248-E248</f>
        <v>5.390000000000001E-2</v>
      </c>
    </row>
    <row r="249" spans="1:6" x14ac:dyDescent="0.35">
      <c r="A249" s="48"/>
      <c r="B249" s="5" t="s">
        <v>119</v>
      </c>
      <c r="C249" s="6">
        <v>0.19500000000000001</v>
      </c>
      <c r="D249" s="7">
        <f>C249-(4.5%)</f>
        <v>0.15000000000000002</v>
      </c>
      <c r="E249" s="7">
        <f>D249*2%</f>
        <v>3.0000000000000005E-3</v>
      </c>
      <c r="F249" s="7">
        <f>D249-E249</f>
        <v>0.14700000000000002</v>
      </c>
    </row>
    <row r="250" spans="1:6" x14ac:dyDescent="0.35">
      <c r="A250" s="48"/>
      <c r="B250" s="5" t="s">
        <v>17</v>
      </c>
      <c r="C250" s="6">
        <v>0.1</v>
      </c>
      <c r="D250" s="7">
        <f>C250-(4.5%)</f>
        <v>5.5000000000000007E-2</v>
      </c>
      <c r="E250" s="7">
        <f>D250*2%</f>
        <v>1.1000000000000001E-3</v>
      </c>
      <c r="F250" s="7">
        <f>D250-E250</f>
        <v>5.390000000000001E-2</v>
      </c>
    </row>
    <row r="251" spans="1:6" x14ac:dyDescent="0.35">
      <c r="A251" s="48"/>
      <c r="B251" s="5" t="s">
        <v>120</v>
      </c>
      <c r="C251" s="6">
        <v>0.19500000000000001</v>
      </c>
      <c r="D251" s="7">
        <f>C251-(4.5%)</f>
        <v>0.15000000000000002</v>
      </c>
      <c r="E251" s="7">
        <f>D251*2%</f>
        <v>3.0000000000000005E-3</v>
      </c>
      <c r="F251" s="7">
        <f>D251-E251</f>
        <v>0.14700000000000002</v>
      </c>
    </row>
    <row r="252" spans="1:6" x14ac:dyDescent="0.35">
      <c r="A252" s="48"/>
      <c r="B252" s="5" t="s">
        <v>18</v>
      </c>
      <c r="C252" s="6">
        <v>0.05</v>
      </c>
      <c r="D252" s="7" t="s">
        <v>20</v>
      </c>
      <c r="E252" s="7" t="s">
        <v>20</v>
      </c>
      <c r="F252" s="7" t="s">
        <v>20</v>
      </c>
    </row>
    <row r="253" spans="1:6" x14ac:dyDescent="0.35">
      <c r="A253" s="48"/>
      <c r="B253" s="5" t="s">
        <v>22</v>
      </c>
      <c r="C253" s="6">
        <v>0.1</v>
      </c>
      <c r="D253" s="7">
        <f>C253-(4.5%)</f>
        <v>5.5000000000000007E-2</v>
      </c>
      <c r="E253" s="7">
        <f>D253*2%</f>
        <v>1.1000000000000001E-3</v>
      </c>
      <c r="F253" s="7">
        <f>D253-E253</f>
        <v>5.390000000000001E-2</v>
      </c>
    </row>
    <row r="254" spans="1:6" x14ac:dyDescent="0.35">
      <c r="A254" s="48"/>
      <c r="B254" s="5" t="s">
        <v>23</v>
      </c>
      <c r="C254" s="6">
        <v>0.1</v>
      </c>
      <c r="D254" s="7">
        <f>C254-(4.5%)</f>
        <v>5.5000000000000007E-2</v>
      </c>
      <c r="E254" s="7">
        <f>D254*2%</f>
        <v>1.1000000000000001E-3</v>
      </c>
      <c r="F254" s="7">
        <f>D254-E254</f>
        <v>5.390000000000001E-2</v>
      </c>
    </row>
    <row r="255" spans="1:6" x14ac:dyDescent="0.35">
      <c r="A255" s="48"/>
      <c r="B255" s="5" t="s">
        <v>26</v>
      </c>
      <c r="C255" s="6">
        <v>0.1</v>
      </c>
      <c r="D255" s="7">
        <f>C255-(4.5%)</f>
        <v>5.5000000000000007E-2</v>
      </c>
      <c r="E255" s="7">
        <f>D255*2%</f>
        <v>1.1000000000000001E-3</v>
      </c>
      <c r="F255" s="7">
        <f>D255-E255</f>
        <v>5.390000000000001E-2</v>
      </c>
    </row>
    <row r="256" spans="1:6" x14ac:dyDescent="0.35">
      <c r="A256" s="48"/>
      <c r="B256" s="5" t="s">
        <v>15</v>
      </c>
      <c r="C256" s="6">
        <v>0.05</v>
      </c>
      <c r="D256" s="7" t="s">
        <v>20</v>
      </c>
      <c r="E256" s="7" t="s">
        <v>20</v>
      </c>
      <c r="F256" s="7" t="s">
        <v>20</v>
      </c>
    </row>
    <row r="257" spans="1:6" x14ac:dyDescent="0.35">
      <c r="A257" s="48"/>
      <c r="B257" s="5" t="s">
        <v>121</v>
      </c>
      <c r="C257" s="6">
        <v>0.19500000000000001</v>
      </c>
      <c r="D257" s="7">
        <f>C257-(4.5%)</f>
        <v>0.15000000000000002</v>
      </c>
      <c r="E257" s="7">
        <f>D257*2%</f>
        <v>3.0000000000000005E-3</v>
      </c>
      <c r="F257" s="7">
        <f>D257-E257</f>
        <v>0.14700000000000002</v>
      </c>
    </row>
    <row r="258" spans="1:6" x14ac:dyDescent="0.35">
      <c r="A258" s="48"/>
      <c r="B258" s="5" t="s">
        <v>122</v>
      </c>
      <c r="C258" s="6">
        <v>0.19500000000000001</v>
      </c>
      <c r="D258" s="7">
        <f>C258-(4.5%)</f>
        <v>0.15000000000000002</v>
      </c>
      <c r="E258" s="7">
        <f>D258*2%</f>
        <v>3.0000000000000005E-3</v>
      </c>
      <c r="F258" s="7">
        <f>D258-E258</f>
        <v>0.14700000000000002</v>
      </c>
    </row>
    <row r="259" spans="1:6" x14ac:dyDescent="0.35">
      <c r="A259" s="48"/>
      <c r="B259" s="5" t="s">
        <v>123</v>
      </c>
      <c r="C259" s="6">
        <v>0.19500000000000001</v>
      </c>
      <c r="D259" s="7">
        <f>C259-(4.5%)</f>
        <v>0.15000000000000002</v>
      </c>
      <c r="E259" s="7">
        <f>D259*2%</f>
        <v>3.0000000000000005E-3</v>
      </c>
      <c r="F259" s="7">
        <f>D259-E259</f>
        <v>0.14700000000000002</v>
      </c>
    </row>
    <row r="260" spans="1:6" x14ac:dyDescent="0.35">
      <c r="A260" s="48"/>
      <c r="B260" s="5" t="s">
        <v>124</v>
      </c>
      <c r="C260" s="6">
        <v>0.19500000000000001</v>
      </c>
      <c r="D260" s="7">
        <f>C260-(4.5%)</f>
        <v>0.15000000000000002</v>
      </c>
      <c r="E260" s="7">
        <f>D260*2%</f>
        <v>3.0000000000000005E-3</v>
      </c>
      <c r="F260" s="7">
        <f>D260-E260</f>
        <v>0.14700000000000002</v>
      </c>
    </row>
    <row r="261" spans="1:6" x14ac:dyDescent="0.35">
      <c r="A261" s="48"/>
      <c r="B261" s="5" t="s">
        <v>125</v>
      </c>
      <c r="C261" s="6">
        <v>0.19500000000000001</v>
      </c>
      <c r="D261" s="7">
        <f>C261-(4.5%)</f>
        <v>0.15000000000000002</v>
      </c>
      <c r="E261" s="7">
        <f>D261*2%</f>
        <v>3.0000000000000005E-3</v>
      </c>
      <c r="F261" s="7">
        <f>D261-E261</f>
        <v>0.14700000000000002</v>
      </c>
    </row>
    <row r="262" spans="1:6" x14ac:dyDescent="0.35">
      <c r="A262" s="48" t="s">
        <v>126</v>
      </c>
      <c r="B262" s="5" t="s">
        <v>13</v>
      </c>
      <c r="C262" s="7">
        <v>0</v>
      </c>
      <c r="D262" s="7" t="s">
        <v>20</v>
      </c>
      <c r="E262" s="7" t="s">
        <v>20</v>
      </c>
      <c r="F262" s="7" t="s">
        <v>20</v>
      </c>
    </row>
    <row r="263" spans="1:6" x14ac:dyDescent="0.35">
      <c r="A263" s="48"/>
      <c r="B263" s="5" t="s">
        <v>14</v>
      </c>
      <c r="C263" s="7">
        <v>0.2</v>
      </c>
      <c r="D263" s="7">
        <f>C263-(4.5%)</f>
        <v>0.15500000000000003</v>
      </c>
      <c r="E263" s="7">
        <f>D263*2%</f>
        <v>3.1000000000000008E-3</v>
      </c>
      <c r="F263" s="7">
        <f>D263-E263</f>
        <v>0.15190000000000003</v>
      </c>
    </row>
    <row r="264" spans="1:6" x14ac:dyDescent="0.35">
      <c r="A264" s="48"/>
      <c r="B264" s="5" t="s">
        <v>15</v>
      </c>
      <c r="C264" s="7">
        <v>0.09</v>
      </c>
      <c r="D264" s="7">
        <f>C264-(4.5%)</f>
        <v>4.4999999999999998E-2</v>
      </c>
      <c r="E264" s="7">
        <f>D264*2%</f>
        <v>8.9999999999999998E-4</v>
      </c>
      <c r="F264" s="7">
        <f>D264-E264</f>
        <v>4.41E-2</v>
      </c>
    </row>
    <row r="265" spans="1:6" x14ac:dyDescent="0.35">
      <c r="A265" s="48"/>
      <c r="B265" s="5" t="s">
        <v>16</v>
      </c>
      <c r="C265" s="7">
        <v>0</v>
      </c>
      <c r="D265" s="7" t="s">
        <v>20</v>
      </c>
      <c r="E265" s="7" t="s">
        <v>20</v>
      </c>
      <c r="F265" s="7" t="s">
        <v>20</v>
      </c>
    </row>
    <row r="266" spans="1:6" x14ac:dyDescent="0.35">
      <c r="A266" s="48"/>
      <c r="B266" s="5" t="s">
        <v>17</v>
      </c>
      <c r="C266" s="7">
        <v>0.2</v>
      </c>
      <c r="D266" s="7">
        <f>C266-(4.5%)</f>
        <v>0.15500000000000003</v>
      </c>
      <c r="E266" s="7">
        <f>D266*2%</f>
        <v>3.1000000000000008E-3</v>
      </c>
      <c r="F266" s="7">
        <f>D266-E266</f>
        <v>0.15190000000000003</v>
      </c>
    </row>
    <row r="267" spans="1:6" x14ac:dyDescent="0.35">
      <c r="A267" s="48"/>
      <c r="B267" s="5" t="s">
        <v>18</v>
      </c>
      <c r="C267" s="7">
        <v>0.12</v>
      </c>
      <c r="D267" s="7">
        <f>C267-(4.5%)</f>
        <v>7.4999999999999997E-2</v>
      </c>
      <c r="E267" s="7">
        <f>D267*2%</f>
        <v>1.5E-3</v>
      </c>
      <c r="F267" s="7">
        <f>D267-E267</f>
        <v>7.3499999999999996E-2</v>
      </c>
    </row>
    <row r="268" spans="1:6" x14ac:dyDescent="0.35">
      <c r="A268" s="48"/>
      <c r="B268" s="5" t="s">
        <v>19</v>
      </c>
      <c r="C268" s="7">
        <v>0</v>
      </c>
      <c r="D268" s="7" t="s">
        <v>20</v>
      </c>
      <c r="E268" s="7" t="s">
        <v>20</v>
      </c>
      <c r="F268" s="7" t="s">
        <v>20</v>
      </c>
    </row>
    <row r="269" spans="1:6" x14ac:dyDescent="0.35">
      <c r="A269" s="48"/>
      <c r="B269" s="5" t="s">
        <v>21</v>
      </c>
      <c r="C269" s="7">
        <v>0</v>
      </c>
      <c r="D269" s="7" t="s">
        <v>20</v>
      </c>
      <c r="E269" s="7" t="s">
        <v>20</v>
      </c>
      <c r="F269" s="7" t="s">
        <v>20</v>
      </c>
    </row>
    <row r="270" spans="1:6" x14ac:dyDescent="0.35">
      <c r="A270" s="48"/>
      <c r="B270" s="5" t="s">
        <v>22</v>
      </c>
      <c r="C270" s="7">
        <v>0.16</v>
      </c>
      <c r="D270" s="7">
        <f>C270-(4.5%)</f>
        <v>0.115</v>
      </c>
      <c r="E270" s="7">
        <f>D270*2%</f>
        <v>2.3E-3</v>
      </c>
      <c r="F270" s="7">
        <f>D270-E270</f>
        <v>0.11270000000000001</v>
      </c>
    </row>
    <row r="271" spans="1:6" x14ac:dyDescent="0.35">
      <c r="A271" s="48"/>
      <c r="B271" s="5" t="s">
        <v>23</v>
      </c>
      <c r="C271" s="7">
        <v>0.2</v>
      </c>
      <c r="D271" s="7">
        <f>C271-(4.5%)</f>
        <v>0.15500000000000003</v>
      </c>
      <c r="E271" s="7">
        <f>D271*2%</f>
        <v>3.1000000000000008E-3</v>
      </c>
      <c r="F271" s="7">
        <f>D271-E271</f>
        <v>0.15190000000000003</v>
      </c>
    </row>
    <row r="272" spans="1:6" x14ac:dyDescent="0.35">
      <c r="A272" s="48"/>
      <c r="B272" s="5" t="s">
        <v>24</v>
      </c>
      <c r="C272" s="7">
        <v>0.04</v>
      </c>
      <c r="D272" s="7" t="s">
        <v>20</v>
      </c>
      <c r="E272" s="7" t="s">
        <v>20</v>
      </c>
      <c r="F272" s="7" t="s">
        <v>20</v>
      </c>
    </row>
    <row r="273" spans="1:6" x14ac:dyDescent="0.35">
      <c r="A273" s="48"/>
      <c r="B273" s="5" t="s">
        <v>25</v>
      </c>
      <c r="C273" s="7">
        <v>0.04</v>
      </c>
      <c r="D273" s="7" t="s">
        <v>20</v>
      </c>
      <c r="E273" s="7" t="s">
        <v>20</v>
      </c>
      <c r="F273" s="7" t="s">
        <v>20</v>
      </c>
    </row>
    <row r="274" spans="1:6" x14ac:dyDescent="0.35">
      <c r="A274" s="48"/>
      <c r="B274" s="5" t="s">
        <v>26</v>
      </c>
      <c r="C274" s="7">
        <v>0.16</v>
      </c>
      <c r="D274" s="7">
        <f>C274-(4.5%)</f>
        <v>0.115</v>
      </c>
      <c r="E274" s="7">
        <f>D274*2%</f>
        <v>2.3E-3</v>
      </c>
      <c r="F274" s="7">
        <f>D274-E274</f>
        <v>0.11270000000000001</v>
      </c>
    </row>
    <row r="275" spans="1:6" x14ac:dyDescent="0.35">
      <c r="A275" s="48"/>
      <c r="B275" s="5" t="s">
        <v>27</v>
      </c>
      <c r="C275" s="7">
        <v>0</v>
      </c>
      <c r="D275" s="7" t="s">
        <v>20</v>
      </c>
      <c r="E275" s="7" t="s">
        <v>20</v>
      </c>
      <c r="F275" s="7" t="s">
        <v>20</v>
      </c>
    </row>
    <row r="276" spans="1:6" ht="24" x14ac:dyDescent="0.35">
      <c r="A276" s="5" t="s">
        <v>735</v>
      </c>
      <c r="B276" s="5" t="s">
        <v>127</v>
      </c>
      <c r="C276" s="6">
        <v>0.2</v>
      </c>
      <c r="D276" s="7">
        <f t="shared" ref="D276:D282" si="27">C276-(4.5%)</f>
        <v>0.15500000000000003</v>
      </c>
      <c r="E276" s="7">
        <f t="shared" ref="E276:E282" si="28">D276*2%</f>
        <v>3.1000000000000008E-3</v>
      </c>
      <c r="F276" s="7">
        <f t="shared" ref="F276:F282" si="29">D276-E276</f>
        <v>0.15190000000000003</v>
      </c>
    </row>
    <row r="277" spans="1:6" x14ac:dyDescent="0.35">
      <c r="A277" s="44" t="s">
        <v>128</v>
      </c>
      <c r="B277" s="5" t="s">
        <v>92</v>
      </c>
      <c r="C277" s="6">
        <v>0.27</v>
      </c>
      <c r="D277" s="7">
        <f t="shared" si="27"/>
        <v>0.22500000000000003</v>
      </c>
      <c r="E277" s="7">
        <f t="shared" si="28"/>
        <v>4.5000000000000005E-3</v>
      </c>
      <c r="F277" s="7">
        <f t="shared" si="29"/>
        <v>0.22050000000000003</v>
      </c>
    </row>
    <row r="278" spans="1:6" x14ac:dyDescent="0.35">
      <c r="A278" s="45"/>
      <c r="B278" s="5" t="s">
        <v>93</v>
      </c>
      <c r="C278" s="6">
        <v>0.27</v>
      </c>
      <c r="D278" s="7">
        <f t="shared" si="27"/>
        <v>0.22500000000000003</v>
      </c>
      <c r="E278" s="7">
        <f t="shared" si="28"/>
        <v>4.5000000000000005E-3</v>
      </c>
      <c r="F278" s="7">
        <f t="shared" si="29"/>
        <v>0.22050000000000003</v>
      </c>
    </row>
    <row r="279" spans="1:6" x14ac:dyDescent="0.35">
      <c r="A279" s="41" t="s">
        <v>129</v>
      </c>
      <c r="B279" s="5" t="s">
        <v>39</v>
      </c>
      <c r="C279" s="6">
        <v>0.12</v>
      </c>
      <c r="D279" s="7">
        <f t="shared" si="27"/>
        <v>7.4999999999999997E-2</v>
      </c>
      <c r="E279" s="7">
        <f t="shared" si="28"/>
        <v>1.5E-3</v>
      </c>
      <c r="F279" s="7">
        <f t="shared" si="29"/>
        <v>7.3499999999999996E-2</v>
      </c>
    </row>
    <row r="280" spans="1:6" x14ac:dyDescent="0.35">
      <c r="A280" s="43"/>
      <c r="B280" s="5" t="s">
        <v>40</v>
      </c>
      <c r="C280" s="6">
        <v>0.12</v>
      </c>
      <c r="D280" s="7">
        <f t="shared" si="27"/>
        <v>7.4999999999999997E-2</v>
      </c>
      <c r="E280" s="7">
        <f t="shared" si="28"/>
        <v>1.5E-3</v>
      </c>
      <c r="F280" s="7">
        <f t="shared" si="29"/>
        <v>7.3499999999999996E-2</v>
      </c>
    </row>
    <row r="281" spans="1:6" x14ac:dyDescent="0.35">
      <c r="A281" s="5" t="s">
        <v>130</v>
      </c>
      <c r="B281" s="5" t="s">
        <v>8</v>
      </c>
      <c r="C281" s="6">
        <v>0.25</v>
      </c>
      <c r="D281" s="7">
        <f t="shared" si="27"/>
        <v>0.20500000000000002</v>
      </c>
      <c r="E281" s="7">
        <f t="shared" si="28"/>
        <v>4.1000000000000003E-3</v>
      </c>
      <c r="F281" s="7">
        <f t="shared" si="29"/>
        <v>0.20090000000000002</v>
      </c>
    </row>
    <row r="282" spans="1:6" x14ac:dyDescent="0.35">
      <c r="A282" s="5" t="s">
        <v>131</v>
      </c>
      <c r="B282" s="5" t="s">
        <v>132</v>
      </c>
      <c r="C282" s="6">
        <v>0.25</v>
      </c>
      <c r="D282" s="7">
        <f t="shared" si="27"/>
        <v>0.20500000000000002</v>
      </c>
      <c r="E282" s="7">
        <f t="shared" si="28"/>
        <v>4.1000000000000003E-3</v>
      </c>
      <c r="F282" s="7">
        <f t="shared" si="29"/>
        <v>0.20090000000000002</v>
      </c>
    </row>
    <row r="283" spans="1:6" x14ac:dyDescent="0.35">
      <c r="A283" s="2" t="s">
        <v>133</v>
      </c>
      <c r="B283" s="2" t="s">
        <v>1</v>
      </c>
      <c r="C283" s="3" t="s">
        <v>2</v>
      </c>
      <c r="D283" s="4" t="s">
        <v>4</v>
      </c>
      <c r="E283" s="4" t="s">
        <v>5</v>
      </c>
      <c r="F283" s="4" t="s">
        <v>6</v>
      </c>
    </row>
    <row r="284" spans="1:6" x14ac:dyDescent="0.35">
      <c r="A284" s="5" t="s">
        <v>134</v>
      </c>
      <c r="B284" s="5" t="s">
        <v>8</v>
      </c>
      <c r="C284" s="6">
        <v>0.15</v>
      </c>
      <c r="D284" s="7">
        <f t="shared" ref="D284:D289" si="30">C284-(4.5%)</f>
        <v>0.105</v>
      </c>
      <c r="E284" s="7">
        <f t="shared" ref="E284:E289" si="31">D284*2%</f>
        <v>2.0999999999999999E-3</v>
      </c>
      <c r="F284" s="7">
        <f t="shared" ref="F284:F289" si="32">D284-E284</f>
        <v>0.10289999999999999</v>
      </c>
    </row>
    <row r="285" spans="1:6" x14ac:dyDescent="0.35">
      <c r="A285" s="5" t="s">
        <v>135</v>
      </c>
      <c r="B285" s="5" t="s">
        <v>132</v>
      </c>
      <c r="C285" s="6">
        <v>0.15</v>
      </c>
      <c r="D285" s="7">
        <f t="shared" si="30"/>
        <v>0.105</v>
      </c>
      <c r="E285" s="7">
        <f t="shared" si="31"/>
        <v>2.0999999999999999E-3</v>
      </c>
      <c r="F285" s="7">
        <f t="shared" si="32"/>
        <v>0.10289999999999999</v>
      </c>
    </row>
    <row r="286" spans="1:6" x14ac:dyDescent="0.35">
      <c r="A286" s="48" t="s">
        <v>1152</v>
      </c>
      <c r="B286" s="5" t="s">
        <v>14</v>
      </c>
      <c r="C286" s="6">
        <v>0.19</v>
      </c>
      <c r="D286" s="7">
        <f t="shared" si="30"/>
        <v>0.14500000000000002</v>
      </c>
      <c r="E286" s="7">
        <f t="shared" si="31"/>
        <v>2.9000000000000002E-3</v>
      </c>
      <c r="F286" s="7">
        <f t="shared" si="32"/>
        <v>0.1421</v>
      </c>
    </row>
    <row r="287" spans="1:6" x14ac:dyDescent="0.35">
      <c r="A287" s="48"/>
      <c r="B287" s="5" t="s">
        <v>119</v>
      </c>
      <c r="C287" s="6">
        <v>0.19500000000000001</v>
      </c>
      <c r="D287" s="7">
        <f t="shared" si="30"/>
        <v>0.15000000000000002</v>
      </c>
      <c r="E287" s="7">
        <f t="shared" si="31"/>
        <v>3.0000000000000005E-3</v>
      </c>
      <c r="F287" s="7">
        <f t="shared" si="32"/>
        <v>0.14700000000000002</v>
      </c>
    </row>
    <row r="288" spans="1:6" x14ac:dyDescent="0.35">
      <c r="A288" s="48"/>
      <c r="B288" s="5" t="s">
        <v>17</v>
      </c>
      <c r="C288" s="6">
        <v>0.17</v>
      </c>
      <c r="D288" s="7">
        <f t="shared" si="30"/>
        <v>0.125</v>
      </c>
      <c r="E288" s="7">
        <f t="shared" si="31"/>
        <v>2.5000000000000001E-3</v>
      </c>
      <c r="F288" s="7">
        <f t="shared" si="32"/>
        <v>0.1225</v>
      </c>
    </row>
    <row r="289" spans="1:6" x14ac:dyDescent="0.35">
      <c r="A289" s="48"/>
      <c r="B289" s="5" t="s">
        <v>120</v>
      </c>
      <c r="C289" s="6">
        <v>0.19500000000000001</v>
      </c>
      <c r="D289" s="7">
        <f t="shared" si="30"/>
        <v>0.15000000000000002</v>
      </c>
      <c r="E289" s="7">
        <f t="shared" si="31"/>
        <v>3.0000000000000005E-3</v>
      </c>
      <c r="F289" s="7">
        <f t="shared" si="32"/>
        <v>0.14700000000000002</v>
      </c>
    </row>
    <row r="290" spans="1:6" x14ac:dyDescent="0.35">
      <c r="A290" s="48"/>
      <c r="B290" s="5" t="s">
        <v>18</v>
      </c>
      <c r="C290" s="6">
        <v>0.02</v>
      </c>
      <c r="D290" s="7" t="s">
        <v>20</v>
      </c>
      <c r="E290" s="7" t="s">
        <v>20</v>
      </c>
      <c r="F290" s="7" t="s">
        <v>20</v>
      </c>
    </row>
    <row r="291" spans="1:6" x14ac:dyDescent="0.35">
      <c r="A291" s="48"/>
      <c r="B291" s="5" t="s">
        <v>22</v>
      </c>
      <c r="C291" s="6">
        <v>0.17</v>
      </c>
      <c r="D291" s="7">
        <f>C291-(4.5%)</f>
        <v>0.125</v>
      </c>
      <c r="E291" s="7">
        <f>D291*2%</f>
        <v>2.5000000000000001E-3</v>
      </c>
      <c r="F291" s="7">
        <f>D291-E291</f>
        <v>0.1225</v>
      </c>
    </row>
    <row r="292" spans="1:6" x14ac:dyDescent="0.35">
      <c r="A292" s="48"/>
      <c r="B292" s="5" t="s">
        <v>23</v>
      </c>
      <c r="C292" s="6">
        <v>0.17</v>
      </c>
      <c r="D292" s="7">
        <f>C292-(4.5%)</f>
        <v>0.125</v>
      </c>
      <c r="E292" s="7">
        <f>D292*2%</f>
        <v>2.5000000000000001E-3</v>
      </c>
      <c r="F292" s="7">
        <f>D292-E292</f>
        <v>0.1225</v>
      </c>
    </row>
    <row r="293" spans="1:6" x14ac:dyDescent="0.35">
      <c r="A293" s="48"/>
      <c r="B293" s="5" t="s">
        <v>26</v>
      </c>
      <c r="C293" s="6">
        <v>0.17</v>
      </c>
      <c r="D293" s="7">
        <f>C293-(4.5%)</f>
        <v>0.125</v>
      </c>
      <c r="E293" s="7">
        <f>D293*2%</f>
        <v>2.5000000000000001E-3</v>
      </c>
      <c r="F293" s="7">
        <f>D293-E293</f>
        <v>0.1225</v>
      </c>
    </row>
    <row r="294" spans="1:6" x14ac:dyDescent="0.35">
      <c r="A294" s="48"/>
      <c r="B294" s="5" t="s">
        <v>15</v>
      </c>
      <c r="C294" s="6">
        <v>2.0000000000000004E-2</v>
      </c>
      <c r="D294" s="7" t="s">
        <v>20</v>
      </c>
      <c r="E294" s="7" t="s">
        <v>20</v>
      </c>
      <c r="F294" s="7" t="s">
        <v>20</v>
      </c>
    </row>
    <row r="295" spans="1:6" x14ac:dyDescent="0.35">
      <c r="A295" s="48"/>
      <c r="B295" s="5" t="s">
        <v>121</v>
      </c>
      <c r="C295" s="6">
        <v>0.19500000000000001</v>
      </c>
      <c r="D295" s="7">
        <f t="shared" ref="D295:D303" si="33">C295-(4.5%)</f>
        <v>0.15000000000000002</v>
      </c>
      <c r="E295" s="7">
        <f t="shared" ref="E295:E303" si="34">D295*2%</f>
        <v>3.0000000000000005E-3</v>
      </c>
      <c r="F295" s="7">
        <f t="shared" ref="F295:F303" si="35">D295-E295</f>
        <v>0.14700000000000002</v>
      </c>
    </row>
    <row r="296" spans="1:6" x14ac:dyDescent="0.35">
      <c r="A296" s="48"/>
      <c r="B296" s="5" t="s">
        <v>122</v>
      </c>
      <c r="C296" s="6">
        <v>0.19500000000000001</v>
      </c>
      <c r="D296" s="7">
        <f t="shared" si="33"/>
        <v>0.15000000000000002</v>
      </c>
      <c r="E296" s="7">
        <f t="shared" si="34"/>
        <v>3.0000000000000005E-3</v>
      </c>
      <c r="F296" s="7">
        <f t="shared" si="35"/>
        <v>0.14700000000000002</v>
      </c>
    </row>
    <row r="297" spans="1:6" x14ac:dyDescent="0.35">
      <c r="A297" s="48"/>
      <c r="B297" s="5" t="s">
        <v>123</v>
      </c>
      <c r="C297" s="6">
        <v>0.19500000000000001</v>
      </c>
      <c r="D297" s="7">
        <f t="shared" si="33"/>
        <v>0.15000000000000002</v>
      </c>
      <c r="E297" s="7">
        <f t="shared" si="34"/>
        <v>3.0000000000000005E-3</v>
      </c>
      <c r="F297" s="7">
        <f t="shared" si="35"/>
        <v>0.14700000000000002</v>
      </c>
    </row>
    <row r="298" spans="1:6" x14ac:dyDescent="0.35">
      <c r="A298" s="48"/>
      <c r="B298" s="5" t="s">
        <v>124</v>
      </c>
      <c r="C298" s="6">
        <v>0.19500000000000001</v>
      </c>
      <c r="D298" s="7">
        <f t="shared" si="33"/>
        <v>0.15000000000000002</v>
      </c>
      <c r="E298" s="7">
        <f t="shared" si="34"/>
        <v>3.0000000000000005E-3</v>
      </c>
      <c r="F298" s="7">
        <f t="shared" si="35"/>
        <v>0.14700000000000002</v>
      </c>
    </row>
    <row r="299" spans="1:6" x14ac:dyDescent="0.35">
      <c r="A299" s="48"/>
      <c r="B299" s="5" t="s">
        <v>125</v>
      </c>
      <c r="C299" s="6">
        <v>0.19500000000000001</v>
      </c>
      <c r="D299" s="7">
        <f t="shared" si="33"/>
        <v>0.15000000000000002</v>
      </c>
      <c r="E299" s="7">
        <f t="shared" si="34"/>
        <v>3.0000000000000005E-3</v>
      </c>
      <c r="F299" s="7">
        <f t="shared" si="35"/>
        <v>0.14700000000000002</v>
      </c>
    </row>
    <row r="300" spans="1:6" x14ac:dyDescent="0.35">
      <c r="A300" s="48" t="s">
        <v>1153</v>
      </c>
      <c r="B300" s="5" t="s">
        <v>14</v>
      </c>
      <c r="C300" s="6">
        <v>0.19</v>
      </c>
      <c r="D300" s="7">
        <f t="shared" si="33"/>
        <v>0.14500000000000002</v>
      </c>
      <c r="E300" s="7">
        <f t="shared" si="34"/>
        <v>2.9000000000000002E-3</v>
      </c>
      <c r="F300" s="7">
        <f t="shared" si="35"/>
        <v>0.1421</v>
      </c>
    </row>
    <row r="301" spans="1:6" x14ac:dyDescent="0.35">
      <c r="A301" s="48"/>
      <c r="B301" s="5" t="s">
        <v>119</v>
      </c>
      <c r="C301" s="6">
        <v>0.19500000000000001</v>
      </c>
      <c r="D301" s="7">
        <f t="shared" si="33"/>
        <v>0.15000000000000002</v>
      </c>
      <c r="E301" s="7">
        <f t="shared" si="34"/>
        <v>3.0000000000000005E-3</v>
      </c>
      <c r="F301" s="7">
        <f t="shared" si="35"/>
        <v>0.14700000000000002</v>
      </c>
    </row>
    <row r="302" spans="1:6" x14ac:dyDescent="0.35">
      <c r="A302" s="48"/>
      <c r="B302" s="5" t="s">
        <v>17</v>
      </c>
      <c r="C302" s="6">
        <v>0.23</v>
      </c>
      <c r="D302" s="7">
        <f t="shared" si="33"/>
        <v>0.185</v>
      </c>
      <c r="E302" s="7">
        <f t="shared" si="34"/>
        <v>3.7000000000000002E-3</v>
      </c>
      <c r="F302" s="7">
        <f t="shared" si="35"/>
        <v>0.18129999999999999</v>
      </c>
    </row>
    <row r="303" spans="1:6" x14ac:dyDescent="0.35">
      <c r="A303" s="48"/>
      <c r="B303" s="5" t="s">
        <v>120</v>
      </c>
      <c r="C303" s="6">
        <v>0.19500000000000001</v>
      </c>
      <c r="D303" s="7">
        <f t="shared" si="33"/>
        <v>0.15000000000000002</v>
      </c>
      <c r="E303" s="7">
        <f t="shared" si="34"/>
        <v>3.0000000000000005E-3</v>
      </c>
      <c r="F303" s="7">
        <f t="shared" si="35"/>
        <v>0.14700000000000002</v>
      </c>
    </row>
    <row r="304" spans="1:6" x14ac:dyDescent="0.35">
      <c r="A304" s="48"/>
      <c r="B304" s="5" t="s">
        <v>18</v>
      </c>
      <c r="C304" s="6">
        <v>0.05</v>
      </c>
      <c r="D304" s="7" t="s">
        <v>20</v>
      </c>
      <c r="E304" s="7" t="s">
        <v>20</v>
      </c>
      <c r="F304" s="7" t="s">
        <v>20</v>
      </c>
    </row>
    <row r="305" spans="1:6" x14ac:dyDescent="0.35">
      <c r="A305" s="48"/>
      <c r="B305" s="5" t="s">
        <v>22</v>
      </c>
      <c r="C305" s="6">
        <v>0.2</v>
      </c>
      <c r="D305" s="7">
        <f>C305-(4.5%)</f>
        <v>0.15500000000000003</v>
      </c>
      <c r="E305" s="7">
        <f>D305*2%</f>
        <v>3.1000000000000008E-3</v>
      </c>
      <c r="F305" s="7">
        <f>D305-E305</f>
        <v>0.15190000000000003</v>
      </c>
    </row>
    <row r="306" spans="1:6" x14ac:dyDescent="0.35">
      <c r="A306" s="48"/>
      <c r="B306" s="5" t="s">
        <v>23</v>
      </c>
      <c r="C306" s="6">
        <v>0.2</v>
      </c>
      <c r="D306" s="7">
        <f>C306-(4.5%)</f>
        <v>0.15500000000000003</v>
      </c>
      <c r="E306" s="7">
        <f>D306*2%</f>
        <v>3.1000000000000008E-3</v>
      </c>
      <c r="F306" s="7">
        <f>D306-E306</f>
        <v>0.15190000000000003</v>
      </c>
    </row>
    <row r="307" spans="1:6" x14ac:dyDescent="0.35">
      <c r="A307" s="48"/>
      <c r="B307" s="5" t="s">
        <v>26</v>
      </c>
      <c r="C307" s="6">
        <v>0.2</v>
      </c>
      <c r="D307" s="7">
        <f>C307-(4.5%)</f>
        <v>0.15500000000000003</v>
      </c>
      <c r="E307" s="7">
        <f>D307*2%</f>
        <v>3.1000000000000008E-3</v>
      </c>
      <c r="F307" s="7">
        <f>D307-E307</f>
        <v>0.15190000000000003</v>
      </c>
    </row>
    <row r="308" spans="1:6" x14ac:dyDescent="0.35">
      <c r="A308" s="48"/>
      <c r="B308" s="5" t="s">
        <v>15</v>
      </c>
      <c r="C308" s="6">
        <v>0.05</v>
      </c>
      <c r="D308" s="7" t="s">
        <v>20</v>
      </c>
      <c r="E308" s="7" t="s">
        <v>20</v>
      </c>
      <c r="F308" s="7" t="s">
        <v>20</v>
      </c>
    </row>
    <row r="309" spans="1:6" x14ac:dyDescent="0.35">
      <c r="A309" s="48"/>
      <c r="B309" s="5" t="s">
        <v>121</v>
      </c>
      <c r="C309" s="6">
        <v>0.19500000000000001</v>
      </c>
      <c r="D309" s="7">
        <f t="shared" ref="D309:D327" si="36">C309-(4.5%)</f>
        <v>0.15000000000000002</v>
      </c>
      <c r="E309" s="7">
        <f t="shared" ref="E309:E327" si="37">D309*2%</f>
        <v>3.0000000000000005E-3</v>
      </c>
      <c r="F309" s="7">
        <f t="shared" ref="F309:F327" si="38">D309-E309</f>
        <v>0.14700000000000002</v>
      </c>
    </row>
    <row r="310" spans="1:6" x14ac:dyDescent="0.35">
      <c r="A310" s="48"/>
      <c r="B310" s="5" t="s">
        <v>122</v>
      </c>
      <c r="C310" s="6">
        <v>0.19500000000000001</v>
      </c>
      <c r="D310" s="7">
        <f t="shared" si="36"/>
        <v>0.15000000000000002</v>
      </c>
      <c r="E310" s="7">
        <f t="shared" si="37"/>
        <v>3.0000000000000005E-3</v>
      </c>
      <c r="F310" s="7">
        <f t="shared" si="38"/>
        <v>0.14700000000000002</v>
      </c>
    </row>
    <row r="311" spans="1:6" x14ac:dyDescent="0.35">
      <c r="A311" s="48"/>
      <c r="B311" s="5" t="s">
        <v>123</v>
      </c>
      <c r="C311" s="6">
        <v>0.19500000000000001</v>
      </c>
      <c r="D311" s="7">
        <f t="shared" si="36"/>
        <v>0.15000000000000002</v>
      </c>
      <c r="E311" s="7">
        <f t="shared" si="37"/>
        <v>3.0000000000000005E-3</v>
      </c>
      <c r="F311" s="7">
        <f t="shared" si="38"/>
        <v>0.14700000000000002</v>
      </c>
    </row>
    <row r="312" spans="1:6" x14ac:dyDescent="0.35">
      <c r="A312" s="48"/>
      <c r="B312" s="5" t="s">
        <v>124</v>
      </c>
      <c r="C312" s="6">
        <v>0.19500000000000001</v>
      </c>
      <c r="D312" s="7">
        <f t="shared" si="36"/>
        <v>0.15000000000000002</v>
      </c>
      <c r="E312" s="7">
        <f t="shared" si="37"/>
        <v>3.0000000000000005E-3</v>
      </c>
      <c r="F312" s="7">
        <f t="shared" si="38"/>
        <v>0.14700000000000002</v>
      </c>
    </row>
    <row r="313" spans="1:6" x14ac:dyDescent="0.35">
      <c r="A313" s="48"/>
      <c r="B313" s="5" t="s">
        <v>125</v>
      </c>
      <c r="C313" s="6">
        <v>0.19500000000000001</v>
      </c>
      <c r="D313" s="7">
        <f t="shared" si="36"/>
        <v>0.15000000000000002</v>
      </c>
      <c r="E313" s="7">
        <f t="shared" si="37"/>
        <v>3.0000000000000005E-3</v>
      </c>
      <c r="F313" s="7">
        <f t="shared" si="38"/>
        <v>0.14700000000000002</v>
      </c>
    </row>
    <row r="314" spans="1:6" x14ac:dyDescent="0.35">
      <c r="A314" s="48" t="s">
        <v>1154</v>
      </c>
      <c r="B314" s="5" t="s">
        <v>14</v>
      </c>
      <c r="C314" s="6">
        <v>0.25</v>
      </c>
      <c r="D314" s="7">
        <f t="shared" si="36"/>
        <v>0.20500000000000002</v>
      </c>
      <c r="E314" s="7">
        <f t="shared" si="37"/>
        <v>4.1000000000000003E-3</v>
      </c>
      <c r="F314" s="7">
        <f t="shared" si="38"/>
        <v>0.20090000000000002</v>
      </c>
    </row>
    <row r="315" spans="1:6" x14ac:dyDescent="0.35">
      <c r="A315" s="48"/>
      <c r="B315" s="5" t="s">
        <v>119</v>
      </c>
      <c r="C315" s="6">
        <v>0.19500000000000001</v>
      </c>
      <c r="D315" s="7">
        <f t="shared" si="36"/>
        <v>0.15000000000000002</v>
      </c>
      <c r="E315" s="7">
        <f t="shared" si="37"/>
        <v>3.0000000000000005E-3</v>
      </c>
      <c r="F315" s="7">
        <f t="shared" si="38"/>
        <v>0.14700000000000002</v>
      </c>
    </row>
    <row r="316" spans="1:6" x14ac:dyDescent="0.35">
      <c r="A316" s="48"/>
      <c r="B316" s="5" t="s">
        <v>17</v>
      </c>
      <c r="C316" s="6">
        <v>0.25</v>
      </c>
      <c r="D316" s="7">
        <f t="shared" si="36"/>
        <v>0.20500000000000002</v>
      </c>
      <c r="E316" s="7">
        <f t="shared" si="37"/>
        <v>4.1000000000000003E-3</v>
      </c>
      <c r="F316" s="7">
        <f t="shared" si="38"/>
        <v>0.20090000000000002</v>
      </c>
    </row>
    <row r="317" spans="1:6" x14ac:dyDescent="0.35">
      <c r="A317" s="48"/>
      <c r="B317" s="5" t="s">
        <v>120</v>
      </c>
      <c r="C317" s="6">
        <v>0.19500000000000001</v>
      </c>
      <c r="D317" s="7">
        <f t="shared" si="36"/>
        <v>0.15000000000000002</v>
      </c>
      <c r="E317" s="7">
        <f t="shared" si="37"/>
        <v>3.0000000000000005E-3</v>
      </c>
      <c r="F317" s="7">
        <f t="shared" si="38"/>
        <v>0.14700000000000002</v>
      </c>
    </row>
    <row r="318" spans="1:6" x14ac:dyDescent="0.35">
      <c r="A318" s="48"/>
      <c r="B318" s="5" t="s">
        <v>18</v>
      </c>
      <c r="C318" s="6">
        <v>0.12</v>
      </c>
      <c r="D318" s="7">
        <f t="shared" si="36"/>
        <v>7.4999999999999997E-2</v>
      </c>
      <c r="E318" s="7">
        <f t="shared" si="37"/>
        <v>1.5E-3</v>
      </c>
      <c r="F318" s="7">
        <f t="shared" si="38"/>
        <v>7.3499999999999996E-2</v>
      </c>
    </row>
    <row r="319" spans="1:6" x14ac:dyDescent="0.35">
      <c r="A319" s="48"/>
      <c r="B319" s="5" t="s">
        <v>22</v>
      </c>
      <c r="C319" s="6">
        <v>0.25</v>
      </c>
      <c r="D319" s="7">
        <f t="shared" si="36"/>
        <v>0.20500000000000002</v>
      </c>
      <c r="E319" s="7">
        <f t="shared" si="37"/>
        <v>4.1000000000000003E-3</v>
      </c>
      <c r="F319" s="7">
        <f t="shared" si="38"/>
        <v>0.20090000000000002</v>
      </c>
    </row>
    <row r="320" spans="1:6" x14ac:dyDescent="0.35">
      <c r="A320" s="48"/>
      <c r="B320" s="5" t="s">
        <v>23</v>
      </c>
      <c r="C320" s="6">
        <v>0.25</v>
      </c>
      <c r="D320" s="7">
        <f t="shared" si="36"/>
        <v>0.20500000000000002</v>
      </c>
      <c r="E320" s="7">
        <f t="shared" si="37"/>
        <v>4.1000000000000003E-3</v>
      </c>
      <c r="F320" s="7">
        <f t="shared" si="38"/>
        <v>0.20090000000000002</v>
      </c>
    </row>
    <row r="321" spans="1:6" x14ac:dyDescent="0.35">
      <c r="A321" s="48"/>
      <c r="B321" s="5" t="s">
        <v>26</v>
      </c>
      <c r="C321" s="6">
        <v>0.25</v>
      </c>
      <c r="D321" s="7">
        <f t="shared" si="36"/>
        <v>0.20500000000000002</v>
      </c>
      <c r="E321" s="7">
        <f t="shared" si="37"/>
        <v>4.1000000000000003E-3</v>
      </c>
      <c r="F321" s="7">
        <f t="shared" si="38"/>
        <v>0.20090000000000002</v>
      </c>
    </row>
    <row r="322" spans="1:6" x14ac:dyDescent="0.35">
      <c r="A322" s="48"/>
      <c r="B322" s="5" t="s">
        <v>15</v>
      </c>
      <c r="C322" s="6">
        <v>0.12</v>
      </c>
      <c r="D322" s="7">
        <f t="shared" si="36"/>
        <v>7.4999999999999997E-2</v>
      </c>
      <c r="E322" s="7">
        <f t="shared" si="37"/>
        <v>1.5E-3</v>
      </c>
      <c r="F322" s="7">
        <f t="shared" si="38"/>
        <v>7.3499999999999996E-2</v>
      </c>
    </row>
    <row r="323" spans="1:6" x14ac:dyDescent="0.35">
      <c r="A323" s="48"/>
      <c r="B323" s="5" t="s">
        <v>121</v>
      </c>
      <c r="C323" s="6">
        <v>0.19500000000000001</v>
      </c>
      <c r="D323" s="7">
        <f t="shared" si="36"/>
        <v>0.15000000000000002</v>
      </c>
      <c r="E323" s="7">
        <f t="shared" si="37"/>
        <v>3.0000000000000005E-3</v>
      </c>
      <c r="F323" s="7">
        <f t="shared" si="38"/>
        <v>0.14700000000000002</v>
      </c>
    </row>
    <row r="324" spans="1:6" x14ac:dyDescent="0.35">
      <c r="A324" s="48"/>
      <c r="B324" s="5" t="s">
        <v>122</v>
      </c>
      <c r="C324" s="6">
        <v>0.19500000000000001</v>
      </c>
      <c r="D324" s="7">
        <f t="shared" si="36"/>
        <v>0.15000000000000002</v>
      </c>
      <c r="E324" s="7">
        <f t="shared" si="37"/>
        <v>3.0000000000000005E-3</v>
      </c>
      <c r="F324" s="7">
        <f t="shared" si="38"/>
        <v>0.14700000000000002</v>
      </c>
    </row>
    <row r="325" spans="1:6" x14ac:dyDescent="0.35">
      <c r="A325" s="48"/>
      <c r="B325" s="5" t="s">
        <v>123</v>
      </c>
      <c r="C325" s="6">
        <v>0.19500000000000001</v>
      </c>
      <c r="D325" s="7">
        <f t="shared" si="36"/>
        <v>0.15000000000000002</v>
      </c>
      <c r="E325" s="7">
        <f t="shared" si="37"/>
        <v>3.0000000000000005E-3</v>
      </c>
      <c r="F325" s="7">
        <f t="shared" si="38"/>
        <v>0.14700000000000002</v>
      </c>
    </row>
    <row r="326" spans="1:6" x14ac:dyDescent="0.35">
      <c r="A326" s="48"/>
      <c r="B326" s="5" t="s">
        <v>124</v>
      </c>
      <c r="C326" s="6">
        <v>0.19500000000000001</v>
      </c>
      <c r="D326" s="7">
        <f t="shared" si="36"/>
        <v>0.15000000000000002</v>
      </c>
      <c r="E326" s="7">
        <f t="shared" si="37"/>
        <v>3.0000000000000005E-3</v>
      </c>
      <c r="F326" s="7">
        <f t="shared" si="38"/>
        <v>0.14700000000000002</v>
      </c>
    </row>
    <row r="327" spans="1:6" x14ac:dyDescent="0.35">
      <c r="A327" s="48"/>
      <c r="B327" s="5" t="s">
        <v>125</v>
      </c>
      <c r="C327" s="6">
        <v>0.19500000000000001</v>
      </c>
      <c r="D327" s="7">
        <f t="shared" si="36"/>
        <v>0.15000000000000002</v>
      </c>
      <c r="E327" s="7">
        <f t="shared" si="37"/>
        <v>3.0000000000000005E-3</v>
      </c>
      <c r="F327" s="7">
        <f t="shared" si="38"/>
        <v>0.14700000000000002</v>
      </c>
    </row>
    <row r="328" spans="1:6" x14ac:dyDescent="0.35">
      <c r="A328" s="48" t="s">
        <v>136</v>
      </c>
      <c r="B328" s="5" t="s">
        <v>13</v>
      </c>
      <c r="C328" s="6">
        <v>0</v>
      </c>
      <c r="D328" s="7" t="s">
        <v>20</v>
      </c>
      <c r="E328" s="7" t="s">
        <v>20</v>
      </c>
      <c r="F328" s="7" t="s">
        <v>20</v>
      </c>
    </row>
    <row r="329" spans="1:6" x14ac:dyDescent="0.35">
      <c r="A329" s="48"/>
      <c r="B329" s="5" t="s">
        <v>14</v>
      </c>
      <c r="C329" s="7">
        <v>0.26</v>
      </c>
      <c r="D329" s="7">
        <f>C329-(4.5%)</f>
        <v>0.21500000000000002</v>
      </c>
      <c r="E329" s="7">
        <f>D329*2%</f>
        <v>4.3000000000000009E-3</v>
      </c>
      <c r="F329" s="7">
        <f>D329-E329</f>
        <v>0.21070000000000003</v>
      </c>
    </row>
    <row r="330" spans="1:6" x14ac:dyDescent="0.35">
      <c r="A330" s="48"/>
      <c r="B330" s="5" t="s">
        <v>15</v>
      </c>
      <c r="C330" s="7">
        <v>0.17</v>
      </c>
      <c r="D330" s="7">
        <f>C330-(4.5%)</f>
        <v>0.125</v>
      </c>
      <c r="E330" s="7">
        <f>D330*2%</f>
        <v>2.5000000000000001E-3</v>
      </c>
      <c r="F330" s="7">
        <f>D330-E330</f>
        <v>0.1225</v>
      </c>
    </row>
    <row r="331" spans="1:6" x14ac:dyDescent="0.35">
      <c r="A331" s="48"/>
      <c r="B331" s="5" t="s">
        <v>16</v>
      </c>
      <c r="C331" s="6">
        <v>0</v>
      </c>
      <c r="D331" s="7" t="s">
        <v>20</v>
      </c>
      <c r="E331" s="7" t="s">
        <v>20</v>
      </c>
      <c r="F331" s="7" t="s">
        <v>20</v>
      </c>
    </row>
    <row r="332" spans="1:6" x14ac:dyDescent="0.35">
      <c r="A332" s="48"/>
      <c r="B332" s="5" t="s">
        <v>17</v>
      </c>
      <c r="C332" s="7">
        <v>0.28000000000000003</v>
      </c>
      <c r="D332" s="7">
        <f>C332-(4.5%)</f>
        <v>0.23500000000000004</v>
      </c>
      <c r="E332" s="7">
        <f>D332*2%</f>
        <v>4.7000000000000011E-3</v>
      </c>
      <c r="F332" s="7">
        <f>D332-E332</f>
        <v>0.23030000000000003</v>
      </c>
    </row>
    <row r="333" spans="1:6" x14ac:dyDescent="0.35">
      <c r="A333" s="48"/>
      <c r="B333" s="5" t="s">
        <v>18</v>
      </c>
      <c r="C333" s="7">
        <v>0.17</v>
      </c>
      <c r="D333" s="7">
        <f>C333-(4.5%)</f>
        <v>0.125</v>
      </c>
      <c r="E333" s="7">
        <f>D333*2%</f>
        <v>2.5000000000000001E-3</v>
      </c>
      <c r="F333" s="7">
        <f>D333-E333</f>
        <v>0.1225</v>
      </c>
    </row>
    <row r="334" spans="1:6" x14ac:dyDescent="0.35">
      <c r="A334" s="48"/>
      <c r="B334" s="5" t="s">
        <v>19</v>
      </c>
      <c r="C334" s="7">
        <v>0.05</v>
      </c>
      <c r="D334" s="7" t="s">
        <v>20</v>
      </c>
      <c r="E334" s="7" t="s">
        <v>20</v>
      </c>
      <c r="F334" s="7" t="s">
        <v>20</v>
      </c>
    </row>
    <row r="335" spans="1:6" x14ac:dyDescent="0.35">
      <c r="A335" s="48"/>
      <c r="B335" s="5" t="s">
        <v>21</v>
      </c>
      <c r="C335" s="7">
        <v>0.1</v>
      </c>
      <c r="D335" s="7">
        <f t="shared" ref="D335:D340" si="39">C335-(4.5%)</f>
        <v>5.5000000000000007E-2</v>
      </c>
      <c r="E335" s="7">
        <f t="shared" ref="E335:E340" si="40">D335*2%</f>
        <v>1.1000000000000001E-3</v>
      </c>
      <c r="F335" s="7">
        <f t="shared" ref="F335:F340" si="41">D335-E335</f>
        <v>5.390000000000001E-2</v>
      </c>
    </row>
    <row r="336" spans="1:6" x14ac:dyDescent="0.35">
      <c r="A336" s="48"/>
      <c r="B336" s="5" t="s">
        <v>22</v>
      </c>
      <c r="C336" s="7">
        <v>0.28000000000000003</v>
      </c>
      <c r="D336" s="7">
        <f t="shared" si="39"/>
        <v>0.23500000000000004</v>
      </c>
      <c r="E336" s="7">
        <f t="shared" si="40"/>
        <v>4.7000000000000011E-3</v>
      </c>
      <c r="F336" s="7">
        <f t="shared" si="41"/>
        <v>0.23030000000000003</v>
      </c>
    </row>
    <row r="337" spans="1:6" x14ac:dyDescent="0.35">
      <c r="A337" s="48"/>
      <c r="B337" s="5" t="s">
        <v>23</v>
      </c>
      <c r="C337" s="7">
        <v>0.28000000000000003</v>
      </c>
      <c r="D337" s="7">
        <f t="shared" si="39"/>
        <v>0.23500000000000004</v>
      </c>
      <c r="E337" s="7">
        <f t="shared" si="40"/>
        <v>4.7000000000000011E-3</v>
      </c>
      <c r="F337" s="7">
        <f t="shared" si="41"/>
        <v>0.23030000000000003</v>
      </c>
    </row>
    <row r="338" spans="1:6" x14ac:dyDescent="0.35">
      <c r="A338" s="48"/>
      <c r="B338" s="5" t="s">
        <v>24</v>
      </c>
      <c r="C338" s="7">
        <v>0.09</v>
      </c>
      <c r="D338" s="7">
        <f t="shared" si="39"/>
        <v>4.4999999999999998E-2</v>
      </c>
      <c r="E338" s="7">
        <f t="shared" si="40"/>
        <v>8.9999999999999998E-4</v>
      </c>
      <c r="F338" s="7">
        <f t="shared" si="41"/>
        <v>4.41E-2</v>
      </c>
    </row>
    <row r="339" spans="1:6" x14ac:dyDescent="0.35">
      <c r="A339" s="48"/>
      <c r="B339" s="5" t="s">
        <v>25</v>
      </c>
      <c r="C339" s="7">
        <v>0.13</v>
      </c>
      <c r="D339" s="7">
        <f t="shared" si="39"/>
        <v>8.5000000000000006E-2</v>
      </c>
      <c r="E339" s="7">
        <f t="shared" si="40"/>
        <v>1.7000000000000001E-3</v>
      </c>
      <c r="F339" s="7">
        <f t="shared" si="41"/>
        <v>8.3300000000000013E-2</v>
      </c>
    </row>
    <row r="340" spans="1:6" x14ac:dyDescent="0.35">
      <c r="A340" s="48"/>
      <c r="B340" s="5" t="s">
        <v>26</v>
      </c>
      <c r="C340" s="7">
        <v>0.28000000000000003</v>
      </c>
      <c r="D340" s="7">
        <f t="shared" si="39"/>
        <v>0.23500000000000004</v>
      </c>
      <c r="E340" s="7">
        <f t="shared" si="40"/>
        <v>4.7000000000000011E-3</v>
      </c>
      <c r="F340" s="7">
        <f t="shared" si="41"/>
        <v>0.23030000000000003</v>
      </c>
    </row>
    <row r="341" spans="1:6" x14ac:dyDescent="0.35">
      <c r="A341" s="48"/>
      <c r="B341" s="5" t="s">
        <v>27</v>
      </c>
      <c r="C341" s="7">
        <v>0.03</v>
      </c>
      <c r="D341" s="7" t="s">
        <v>20</v>
      </c>
      <c r="E341" s="7" t="s">
        <v>20</v>
      </c>
      <c r="F341" s="7" t="s">
        <v>20</v>
      </c>
    </row>
    <row r="342" spans="1:6" x14ac:dyDescent="0.35">
      <c r="A342" s="5" t="s">
        <v>137</v>
      </c>
      <c r="B342" s="5" t="s">
        <v>138</v>
      </c>
      <c r="C342" s="6">
        <v>0.21</v>
      </c>
      <c r="D342" s="7">
        <f>C342-(4.5%)</f>
        <v>0.16499999999999998</v>
      </c>
      <c r="E342" s="7">
        <f>D342*2%</f>
        <v>3.2999999999999995E-3</v>
      </c>
      <c r="F342" s="7">
        <f>D342-E342</f>
        <v>0.16169999999999998</v>
      </c>
    </row>
    <row r="343" spans="1:6" x14ac:dyDescent="0.35">
      <c r="A343" s="41" t="s">
        <v>139</v>
      </c>
      <c r="B343" s="5" t="s">
        <v>138</v>
      </c>
      <c r="C343" s="6">
        <v>0.18</v>
      </c>
      <c r="D343" s="7">
        <f>C343-(4.5%)</f>
        <v>0.13500000000000001</v>
      </c>
      <c r="E343" s="7">
        <f>D343*2%</f>
        <v>2.7000000000000001E-3</v>
      </c>
      <c r="F343" s="7">
        <f>D343-E343</f>
        <v>0.1323</v>
      </c>
    </row>
    <row r="344" spans="1:6" x14ac:dyDescent="0.35">
      <c r="A344" s="42"/>
      <c r="B344" s="5" t="s">
        <v>88</v>
      </c>
      <c r="C344" s="6">
        <v>0</v>
      </c>
      <c r="D344" s="7" t="s">
        <v>20</v>
      </c>
      <c r="E344" s="7" t="s">
        <v>20</v>
      </c>
      <c r="F344" s="7" t="s">
        <v>20</v>
      </c>
    </row>
    <row r="345" spans="1:6" x14ac:dyDescent="0.35">
      <c r="A345" s="43"/>
      <c r="B345" s="5" t="s">
        <v>89</v>
      </c>
      <c r="C345" s="6">
        <v>0.04</v>
      </c>
      <c r="D345" s="7" t="s">
        <v>20</v>
      </c>
      <c r="E345" s="7" t="s">
        <v>20</v>
      </c>
      <c r="F345" s="7" t="s">
        <v>20</v>
      </c>
    </row>
    <row r="346" spans="1:6" x14ac:dyDescent="0.35">
      <c r="A346" s="5" t="s">
        <v>140</v>
      </c>
      <c r="B346" s="5" t="s">
        <v>32</v>
      </c>
      <c r="C346" s="6">
        <v>0.1</v>
      </c>
      <c r="D346" s="7">
        <f>C346-(4.5%)</f>
        <v>5.5000000000000007E-2</v>
      </c>
      <c r="E346" s="7">
        <f>D346*2%</f>
        <v>1.1000000000000001E-3</v>
      </c>
      <c r="F346" s="7">
        <f>D346-E346</f>
        <v>5.390000000000001E-2</v>
      </c>
    </row>
    <row r="347" spans="1:6" x14ac:dyDescent="0.35">
      <c r="A347" s="2" t="s">
        <v>141</v>
      </c>
      <c r="B347" s="2" t="s">
        <v>1</v>
      </c>
      <c r="C347" s="3" t="s">
        <v>2</v>
      </c>
      <c r="D347" s="4" t="s">
        <v>4</v>
      </c>
      <c r="E347" s="4" t="s">
        <v>5</v>
      </c>
      <c r="F347" s="4" t="s">
        <v>6</v>
      </c>
    </row>
    <row r="348" spans="1:6" ht="24" x14ac:dyDescent="0.35">
      <c r="A348" s="5" t="s">
        <v>142</v>
      </c>
      <c r="B348" s="5" t="s">
        <v>8</v>
      </c>
      <c r="C348" s="6">
        <v>0.15</v>
      </c>
      <c r="D348" s="7">
        <f t="shared" ref="D348:D363" si="42">C348-(4.5%)</f>
        <v>0.105</v>
      </c>
      <c r="E348" s="7">
        <f t="shared" ref="E348:E363" si="43">D348*2%</f>
        <v>2.0999999999999999E-3</v>
      </c>
      <c r="F348" s="7">
        <f t="shared" ref="F348:F363" si="44">D348-E348</f>
        <v>0.10289999999999999</v>
      </c>
    </row>
    <row r="349" spans="1:6" ht="24" x14ac:dyDescent="0.35">
      <c r="A349" s="5" t="s">
        <v>143</v>
      </c>
      <c r="B349" s="5" t="s">
        <v>132</v>
      </c>
      <c r="C349" s="6">
        <v>0.15</v>
      </c>
      <c r="D349" s="7">
        <f t="shared" si="42"/>
        <v>0.105</v>
      </c>
      <c r="E349" s="7">
        <f t="shared" si="43"/>
        <v>2.0999999999999999E-3</v>
      </c>
      <c r="F349" s="7">
        <f t="shared" si="44"/>
        <v>0.10289999999999999</v>
      </c>
    </row>
    <row r="350" spans="1:6" x14ac:dyDescent="0.35">
      <c r="A350" s="48" t="s">
        <v>144</v>
      </c>
      <c r="B350" s="5" t="s">
        <v>145</v>
      </c>
      <c r="C350" s="6">
        <v>0.19500000000000001</v>
      </c>
      <c r="D350" s="7">
        <f t="shared" si="42"/>
        <v>0.15000000000000002</v>
      </c>
      <c r="E350" s="7">
        <f t="shared" si="43"/>
        <v>3.0000000000000005E-3</v>
      </c>
      <c r="F350" s="7">
        <f t="shared" si="44"/>
        <v>0.14700000000000002</v>
      </c>
    </row>
    <row r="351" spans="1:6" x14ac:dyDescent="0.35">
      <c r="A351" s="48"/>
      <c r="B351" s="5" t="s">
        <v>146</v>
      </c>
      <c r="C351" s="6">
        <v>0.19500000000000001</v>
      </c>
      <c r="D351" s="7">
        <f t="shared" si="42"/>
        <v>0.15000000000000002</v>
      </c>
      <c r="E351" s="7">
        <f t="shared" si="43"/>
        <v>3.0000000000000005E-3</v>
      </c>
      <c r="F351" s="7">
        <f t="shared" si="44"/>
        <v>0.14700000000000002</v>
      </c>
    </row>
    <row r="352" spans="1:6" x14ac:dyDescent="0.35">
      <c r="A352" s="48"/>
      <c r="B352" s="5" t="s">
        <v>147</v>
      </c>
      <c r="C352" s="6">
        <v>0.19500000000000001</v>
      </c>
      <c r="D352" s="7">
        <f t="shared" si="42"/>
        <v>0.15000000000000002</v>
      </c>
      <c r="E352" s="7">
        <f t="shared" si="43"/>
        <v>3.0000000000000005E-3</v>
      </c>
      <c r="F352" s="7">
        <f t="shared" si="44"/>
        <v>0.14700000000000002</v>
      </c>
    </row>
    <row r="353" spans="1:6" x14ac:dyDescent="0.35">
      <c r="A353" s="48"/>
      <c r="B353" s="5" t="s">
        <v>120</v>
      </c>
      <c r="C353" s="6">
        <v>0.19500000000000001</v>
      </c>
      <c r="D353" s="7">
        <f t="shared" si="42"/>
        <v>0.15000000000000002</v>
      </c>
      <c r="E353" s="7">
        <f t="shared" si="43"/>
        <v>3.0000000000000005E-3</v>
      </c>
      <c r="F353" s="7">
        <f t="shared" si="44"/>
        <v>0.14700000000000002</v>
      </c>
    </row>
    <row r="354" spans="1:6" x14ac:dyDescent="0.35">
      <c r="A354" s="48"/>
      <c r="B354" s="5" t="s">
        <v>148</v>
      </c>
      <c r="C354" s="6">
        <v>0.19500000000000001</v>
      </c>
      <c r="D354" s="7">
        <f t="shared" si="42"/>
        <v>0.15000000000000002</v>
      </c>
      <c r="E354" s="7">
        <f t="shared" si="43"/>
        <v>3.0000000000000005E-3</v>
      </c>
      <c r="F354" s="7">
        <f t="shared" si="44"/>
        <v>0.14700000000000002</v>
      </c>
    </row>
    <row r="355" spans="1:6" x14ac:dyDescent="0.35">
      <c r="A355" s="48"/>
      <c r="B355" s="5" t="s">
        <v>149</v>
      </c>
      <c r="C355" s="6">
        <v>0.19500000000000001</v>
      </c>
      <c r="D355" s="7">
        <f t="shared" si="42"/>
        <v>0.15000000000000002</v>
      </c>
      <c r="E355" s="7">
        <f t="shared" si="43"/>
        <v>3.0000000000000005E-3</v>
      </c>
      <c r="F355" s="7">
        <f t="shared" si="44"/>
        <v>0.14700000000000002</v>
      </c>
    </row>
    <row r="356" spans="1:6" x14ac:dyDescent="0.35">
      <c r="A356" s="48"/>
      <c r="B356" s="5" t="s">
        <v>150</v>
      </c>
      <c r="C356" s="6">
        <v>0.19500000000000001</v>
      </c>
      <c r="D356" s="7">
        <f t="shared" si="42"/>
        <v>0.15000000000000002</v>
      </c>
      <c r="E356" s="7">
        <f t="shared" si="43"/>
        <v>3.0000000000000005E-3</v>
      </c>
      <c r="F356" s="7">
        <f t="shared" si="44"/>
        <v>0.14700000000000002</v>
      </c>
    </row>
    <row r="357" spans="1:6" x14ac:dyDescent="0.35">
      <c r="A357" s="48"/>
      <c r="B357" s="5" t="s">
        <v>151</v>
      </c>
      <c r="C357" s="6">
        <v>0.19500000000000001</v>
      </c>
      <c r="D357" s="7">
        <f t="shared" si="42"/>
        <v>0.15000000000000002</v>
      </c>
      <c r="E357" s="7">
        <f t="shared" si="43"/>
        <v>3.0000000000000005E-3</v>
      </c>
      <c r="F357" s="7">
        <f t="shared" si="44"/>
        <v>0.14700000000000002</v>
      </c>
    </row>
    <row r="358" spans="1:6" x14ac:dyDescent="0.35">
      <c r="A358" s="48"/>
      <c r="B358" s="5" t="s">
        <v>152</v>
      </c>
      <c r="C358" s="6">
        <v>0.19500000000000001</v>
      </c>
      <c r="D358" s="7">
        <f t="shared" si="42"/>
        <v>0.15000000000000002</v>
      </c>
      <c r="E358" s="7">
        <f t="shared" si="43"/>
        <v>3.0000000000000005E-3</v>
      </c>
      <c r="F358" s="7">
        <f t="shared" si="44"/>
        <v>0.14700000000000002</v>
      </c>
    </row>
    <row r="359" spans="1:6" x14ac:dyDescent="0.35">
      <c r="A359" s="48"/>
      <c r="B359" s="5" t="s">
        <v>121</v>
      </c>
      <c r="C359" s="6">
        <v>0.19500000000000001</v>
      </c>
      <c r="D359" s="7">
        <f t="shared" si="42"/>
        <v>0.15000000000000002</v>
      </c>
      <c r="E359" s="7">
        <f t="shared" si="43"/>
        <v>3.0000000000000005E-3</v>
      </c>
      <c r="F359" s="7">
        <f t="shared" si="44"/>
        <v>0.14700000000000002</v>
      </c>
    </row>
    <row r="360" spans="1:6" x14ac:dyDescent="0.35">
      <c r="A360" s="48"/>
      <c r="B360" s="5" t="s">
        <v>122</v>
      </c>
      <c r="C360" s="6">
        <v>0.19500000000000001</v>
      </c>
      <c r="D360" s="7">
        <f t="shared" si="42"/>
        <v>0.15000000000000002</v>
      </c>
      <c r="E360" s="7">
        <f t="shared" si="43"/>
        <v>3.0000000000000005E-3</v>
      </c>
      <c r="F360" s="7">
        <f t="shared" si="44"/>
        <v>0.14700000000000002</v>
      </c>
    </row>
    <row r="361" spans="1:6" x14ac:dyDescent="0.35">
      <c r="A361" s="48"/>
      <c r="B361" s="5" t="s">
        <v>123</v>
      </c>
      <c r="C361" s="6">
        <v>0.19500000000000001</v>
      </c>
      <c r="D361" s="7">
        <f t="shared" si="42"/>
        <v>0.15000000000000002</v>
      </c>
      <c r="E361" s="7">
        <f t="shared" si="43"/>
        <v>3.0000000000000005E-3</v>
      </c>
      <c r="F361" s="7">
        <f t="shared" si="44"/>
        <v>0.14700000000000002</v>
      </c>
    </row>
    <row r="362" spans="1:6" x14ac:dyDescent="0.35">
      <c r="A362" s="48"/>
      <c r="B362" s="5" t="s">
        <v>124</v>
      </c>
      <c r="C362" s="6">
        <v>0.19500000000000001</v>
      </c>
      <c r="D362" s="7">
        <f t="shared" si="42"/>
        <v>0.15000000000000002</v>
      </c>
      <c r="E362" s="7">
        <f t="shared" si="43"/>
        <v>3.0000000000000005E-3</v>
      </c>
      <c r="F362" s="7">
        <f t="shared" si="44"/>
        <v>0.14700000000000002</v>
      </c>
    </row>
    <row r="363" spans="1:6" x14ac:dyDescent="0.35">
      <c r="A363" s="48"/>
      <c r="B363" s="5" t="s">
        <v>125</v>
      </c>
      <c r="C363" s="6">
        <v>0.19500000000000001</v>
      </c>
      <c r="D363" s="7">
        <f t="shared" si="42"/>
        <v>0.15000000000000002</v>
      </c>
      <c r="E363" s="7">
        <f t="shared" si="43"/>
        <v>3.0000000000000005E-3</v>
      </c>
      <c r="F363" s="7">
        <f t="shared" si="44"/>
        <v>0.14700000000000002</v>
      </c>
    </row>
    <row r="364" spans="1:6" x14ac:dyDescent="0.35">
      <c r="A364" s="48" t="s">
        <v>153</v>
      </c>
      <c r="B364" s="5" t="s">
        <v>13</v>
      </c>
      <c r="C364" s="7">
        <v>0.01</v>
      </c>
      <c r="D364" s="7" t="s">
        <v>20</v>
      </c>
      <c r="E364" s="7" t="s">
        <v>20</v>
      </c>
      <c r="F364" s="7" t="s">
        <v>20</v>
      </c>
    </row>
    <row r="365" spans="1:6" x14ac:dyDescent="0.35">
      <c r="A365" s="48"/>
      <c r="B365" s="5" t="s">
        <v>14</v>
      </c>
      <c r="C365" s="7">
        <v>0.01</v>
      </c>
      <c r="D365" s="7" t="s">
        <v>20</v>
      </c>
      <c r="E365" s="7" t="s">
        <v>20</v>
      </c>
      <c r="F365" s="7" t="s">
        <v>20</v>
      </c>
    </row>
    <row r="366" spans="1:6" x14ac:dyDescent="0.35">
      <c r="A366" s="48"/>
      <c r="B366" s="5" t="s">
        <v>15</v>
      </c>
      <c r="C366" s="7">
        <v>0.01</v>
      </c>
      <c r="D366" s="7" t="s">
        <v>20</v>
      </c>
      <c r="E366" s="7" t="s">
        <v>20</v>
      </c>
      <c r="F366" s="7" t="s">
        <v>20</v>
      </c>
    </row>
    <row r="367" spans="1:6" x14ac:dyDescent="0.35">
      <c r="A367" s="48"/>
      <c r="B367" s="5" t="s">
        <v>16</v>
      </c>
      <c r="C367" s="7">
        <v>0.03</v>
      </c>
      <c r="D367" s="7" t="s">
        <v>20</v>
      </c>
      <c r="E367" s="7" t="s">
        <v>20</v>
      </c>
      <c r="F367" s="7" t="s">
        <v>20</v>
      </c>
    </row>
    <row r="368" spans="1:6" x14ac:dyDescent="0.35">
      <c r="A368" s="48"/>
      <c r="B368" s="5" t="s">
        <v>17</v>
      </c>
      <c r="C368" s="7">
        <v>0.25</v>
      </c>
      <c r="D368" s="7">
        <f>C368-(4.5%)</f>
        <v>0.20500000000000002</v>
      </c>
      <c r="E368" s="7">
        <f>D368*2%</f>
        <v>4.1000000000000003E-3</v>
      </c>
      <c r="F368" s="7">
        <f>D368-E368</f>
        <v>0.20090000000000002</v>
      </c>
    </row>
    <row r="369" spans="1:6" x14ac:dyDescent="0.35">
      <c r="A369" s="48"/>
      <c r="B369" s="5" t="s">
        <v>18</v>
      </c>
      <c r="C369" s="7">
        <v>0.01</v>
      </c>
      <c r="D369" s="7" t="s">
        <v>20</v>
      </c>
      <c r="E369" s="7" t="s">
        <v>20</v>
      </c>
      <c r="F369" s="7" t="s">
        <v>20</v>
      </c>
    </row>
    <row r="370" spans="1:6" x14ac:dyDescent="0.35">
      <c r="A370" s="48"/>
      <c r="B370" s="5" t="s">
        <v>19</v>
      </c>
      <c r="C370" s="7">
        <v>0.01</v>
      </c>
      <c r="D370" s="7" t="s">
        <v>20</v>
      </c>
      <c r="E370" s="7" t="s">
        <v>20</v>
      </c>
      <c r="F370" s="7" t="s">
        <v>20</v>
      </c>
    </row>
    <row r="371" spans="1:6" x14ac:dyDescent="0.35">
      <c r="A371" s="48"/>
      <c r="B371" s="5" t="s">
        <v>21</v>
      </c>
      <c r="C371" s="7">
        <v>0.01</v>
      </c>
      <c r="D371" s="7" t="s">
        <v>20</v>
      </c>
      <c r="E371" s="7" t="s">
        <v>20</v>
      </c>
      <c r="F371" s="7" t="s">
        <v>20</v>
      </c>
    </row>
    <row r="372" spans="1:6" x14ac:dyDescent="0.35">
      <c r="A372" s="48"/>
      <c r="B372" s="5" t="s">
        <v>22</v>
      </c>
      <c r="C372" s="7">
        <v>0.25</v>
      </c>
      <c r="D372" s="7">
        <f>C372-(4.5%)</f>
        <v>0.20500000000000002</v>
      </c>
      <c r="E372" s="7">
        <f>D372*2%</f>
        <v>4.1000000000000003E-3</v>
      </c>
      <c r="F372" s="7">
        <f>D372-E372</f>
        <v>0.20090000000000002</v>
      </c>
    </row>
    <row r="373" spans="1:6" x14ac:dyDescent="0.35">
      <c r="A373" s="48"/>
      <c r="B373" s="5" t="s">
        <v>23</v>
      </c>
      <c r="C373" s="7">
        <v>0.25</v>
      </c>
      <c r="D373" s="7">
        <f>C373-(4.5%)</f>
        <v>0.20500000000000002</v>
      </c>
      <c r="E373" s="7">
        <f>D373*2%</f>
        <v>4.1000000000000003E-3</v>
      </c>
      <c r="F373" s="7">
        <f>D373-E373</f>
        <v>0.20090000000000002</v>
      </c>
    </row>
    <row r="374" spans="1:6" x14ac:dyDescent="0.35">
      <c r="A374" s="48"/>
      <c r="B374" s="5" t="s">
        <v>24</v>
      </c>
      <c r="C374" s="7">
        <v>0.01</v>
      </c>
      <c r="D374" s="7" t="s">
        <v>20</v>
      </c>
      <c r="E374" s="7" t="s">
        <v>20</v>
      </c>
      <c r="F374" s="7" t="s">
        <v>20</v>
      </c>
    </row>
    <row r="375" spans="1:6" x14ac:dyDescent="0.35">
      <c r="A375" s="48"/>
      <c r="B375" s="5" t="s">
        <v>25</v>
      </c>
      <c r="C375" s="7">
        <v>0.1</v>
      </c>
      <c r="D375" s="7">
        <f>C375-(4.5%)</f>
        <v>5.5000000000000007E-2</v>
      </c>
      <c r="E375" s="7">
        <f>D375*2%</f>
        <v>1.1000000000000001E-3</v>
      </c>
      <c r="F375" s="7">
        <f>D375-E375</f>
        <v>5.390000000000001E-2</v>
      </c>
    </row>
    <row r="376" spans="1:6" x14ac:dyDescent="0.35">
      <c r="A376" s="48"/>
      <c r="B376" s="5" t="s">
        <v>26</v>
      </c>
      <c r="C376" s="7">
        <v>0.01</v>
      </c>
      <c r="D376" s="7" t="s">
        <v>20</v>
      </c>
      <c r="E376" s="7" t="s">
        <v>20</v>
      </c>
      <c r="F376" s="7" t="s">
        <v>20</v>
      </c>
    </row>
    <row r="377" spans="1:6" x14ac:dyDescent="0.35">
      <c r="A377" s="48"/>
      <c r="B377" s="5" t="s">
        <v>27</v>
      </c>
      <c r="C377" s="7">
        <v>0.01</v>
      </c>
      <c r="D377" s="7" t="s">
        <v>20</v>
      </c>
      <c r="E377" s="7" t="s">
        <v>20</v>
      </c>
      <c r="F377" s="7" t="s">
        <v>20</v>
      </c>
    </row>
    <row r="378" spans="1:6" x14ac:dyDescent="0.35">
      <c r="A378" s="5" t="s">
        <v>154</v>
      </c>
      <c r="B378" s="5" t="s">
        <v>32</v>
      </c>
      <c r="C378" s="6">
        <v>0.08</v>
      </c>
      <c r="D378" s="7">
        <f>C378-(4.5%)</f>
        <v>3.5000000000000003E-2</v>
      </c>
      <c r="E378" s="7">
        <f>D378*2%</f>
        <v>7.000000000000001E-4</v>
      </c>
      <c r="F378" s="7">
        <f>D378-E378</f>
        <v>3.4300000000000004E-2</v>
      </c>
    </row>
    <row r="379" spans="1:6" x14ac:dyDescent="0.35">
      <c r="A379" s="5" t="s">
        <v>155</v>
      </c>
      <c r="B379" s="5" t="s">
        <v>32</v>
      </c>
      <c r="C379" s="6">
        <v>0.1</v>
      </c>
      <c r="D379" s="7">
        <f>C379-(4.5%)</f>
        <v>5.5000000000000007E-2</v>
      </c>
      <c r="E379" s="7">
        <f>D379*2%</f>
        <v>1.1000000000000001E-3</v>
      </c>
      <c r="F379" s="7">
        <f>D379-E379</f>
        <v>5.390000000000001E-2</v>
      </c>
    </row>
    <row r="380" spans="1:6" x14ac:dyDescent="0.35">
      <c r="A380" s="40" t="s">
        <v>156</v>
      </c>
      <c r="B380" s="5" t="s">
        <v>87</v>
      </c>
      <c r="C380" s="6">
        <v>0.03</v>
      </c>
      <c r="D380" s="7" t="s">
        <v>20</v>
      </c>
      <c r="E380" s="7" t="s">
        <v>20</v>
      </c>
      <c r="F380" s="7" t="s">
        <v>20</v>
      </c>
    </row>
    <row r="381" spans="1:6" x14ac:dyDescent="0.35">
      <c r="A381" s="40"/>
      <c r="B381" s="5" t="s">
        <v>88</v>
      </c>
      <c r="C381" s="6">
        <v>0</v>
      </c>
      <c r="D381" s="7" t="s">
        <v>20</v>
      </c>
      <c r="E381" s="7" t="s">
        <v>20</v>
      </c>
      <c r="F381" s="7" t="s">
        <v>20</v>
      </c>
    </row>
    <row r="382" spans="1:6" x14ac:dyDescent="0.35">
      <c r="A382" s="40"/>
      <c r="B382" s="5" t="s">
        <v>89</v>
      </c>
      <c r="C382" s="6">
        <v>0</v>
      </c>
      <c r="D382" s="7" t="s">
        <v>20</v>
      </c>
      <c r="E382" s="7" t="s">
        <v>20</v>
      </c>
      <c r="F382" s="7" t="s">
        <v>20</v>
      </c>
    </row>
    <row r="383" spans="1:6" ht="36" x14ac:dyDescent="0.35">
      <c r="A383" s="5" t="s">
        <v>1525</v>
      </c>
      <c r="B383" s="5" t="s">
        <v>157</v>
      </c>
      <c r="C383" s="6">
        <v>0.13</v>
      </c>
      <c r="D383" s="7">
        <f t="shared" ref="D383:D400" si="45">C383-(4.5%)</f>
        <v>8.5000000000000006E-2</v>
      </c>
      <c r="E383" s="7">
        <f t="shared" ref="E383:E400" si="46">D383*2%</f>
        <v>1.7000000000000001E-3</v>
      </c>
      <c r="F383" s="7">
        <f t="shared" ref="F383:F400" si="47">D383-E383</f>
        <v>8.3300000000000013E-2</v>
      </c>
    </row>
    <row r="384" spans="1:6" ht="36" x14ac:dyDescent="0.35">
      <c r="A384" s="5" t="s">
        <v>1526</v>
      </c>
      <c r="B384" s="5" t="s">
        <v>157</v>
      </c>
      <c r="C384" s="6">
        <v>0.15</v>
      </c>
      <c r="D384" s="7">
        <f t="shared" si="45"/>
        <v>0.105</v>
      </c>
      <c r="E384" s="7">
        <f t="shared" si="46"/>
        <v>2.0999999999999999E-3</v>
      </c>
      <c r="F384" s="7">
        <f t="shared" si="47"/>
        <v>0.10289999999999999</v>
      </c>
    </row>
    <row r="385" spans="1:6" ht="36" x14ac:dyDescent="0.35">
      <c r="A385" s="5" t="s">
        <v>1527</v>
      </c>
      <c r="B385" s="5" t="s">
        <v>157</v>
      </c>
      <c r="C385" s="6">
        <v>0.23</v>
      </c>
      <c r="D385" s="7">
        <f t="shared" si="45"/>
        <v>0.185</v>
      </c>
      <c r="E385" s="7">
        <f t="shared" si="46"/>
        <v>3.7000000000000002E-3</v>
      </c>
      <c r="F385" s="7">
        <f t="shared" si="47"/>
        <v>0.18129999999999999</v>
      </c>
    </row>
    <row r="386" spans="1:6" ht="36" x14ac:dyDescent="0.35">
      <c r="A386" s="5" t="s">
        <v>1528</v>
      </c>
      <c r="B386" s="5" t="s">
        <v>157</v>
      </c>
      <c r="C386" s="6">
        <v>0.25</v>
      </c>
      <c r="D386" s="7">
        <f t="shared" si="45"/>
        <v>0.20500000000000002</v>
      </c>
      <c r="E386" s="7">
        <f t="shared" si="46"/>
        <v>4.1000000000000003E-3</v>
      </c>
      <c r="F386" s="7">
        <f t="shared" si="47"/>
        <v>0.20090000000000002</v>
      </c>
    </row>
    <row r="387" spans="1:6" ht="36" x14ac:dyDescent="0.35">
      <c r="A387" s="5" t="s">
        <v>1529</v>
      </c>
      <c r="B387" s="5" t="s">
        <v>157</v>
      </c>
      <c r="C387" s="6">
        <v>0.27</v>
      </c>
      <c r="D387" s="7">
        <f t="shared" si="45"/>
        <v>0.22500000000000003</v>
      </c>
      <c r="E387" s="7">
        <f t="shared" si="46"/>
        <v>4.5000000000000005E-3</v>
      </c>
      <c r="F387" s="7">
        <f t="shared" si="47"/>
        <v>0.22050000000000003</v>
      </c>
    </row>
    <row r="388" spans="1:6" ht="36" x14ac:dyDescent="0.35">
      <c r="A388" s="5" t="s">
        <v>1530</v>
      </c>
      <c r="B388" s="5" t="s">
        <v>157</v>
      </c>
      <c r="C388" s="6">
        <v>0.28000000000000003</v>
      </c>
      <c r="D388" s="7">
        <f t="shared" si="45"/>
        <v>0.23500000000000004</v>
      </c>
      <c r="E388" s="7">
        <f t="shared" si="46"/>
        <v>4.7000000000000011E-3</v>
      </c>
      <c r="F388" s="7">
        <f t="shared" si="47"/>
        <v>0.23030000000000003</v>
      </c>
    </row>
    <row r="389" spans="1:6" ht="36" x14ac:dyDescent="0.35">
      <c r="A389" s="5" t="s">
        <v>1531</v>
      </c>
      <c r="B389" s="5" t="s">
        <v>157</v>
      </c>
      <c r="C389" s="6">
        <v>0.11</v>
      </c>
      <c r="D389" s="7">
        <f t="shared" si="45"/>
        <v>6.5000000000000002E-2</v>
      </c>
      <c r="E389" s="7">
        <f t="shared" si="46"/>
        <v>1.3000000000000002E-3</v>
      </c>
      <c r="F389" s="7">
        <f t="shared" si="47"/>
        <v>6.3700000000000007E-2</v>
      </c>
    </row>
    <row r="390" spans="1:6" ht="36" x14ac:dyDescent="0.35">
      <c r="A390" s="5" t="s">
        <v>1532</v>
      </c>
      <c r="B390" s="5" t="s">
        <v>157</v>
      </c>
      <c r="C390" s="6">
        <v>0.13</v>
      </c>
      <c r="D390" s="7">
        <f t="shared" si="45"/>
        <v>8.5000000000000006E-2</v>
      </c>
      <c r="E390" s="7">
        <f t="shared" si="46"/>
        <v>1.7000000000000001E-3</v>
      </c>
      <c r="F390" s="7">
        <f t="shared" si="47"/>
        <v>8.3300000000000013E-2</v>
      </c>
    </row>
    <row r="391" spans="1:6" ht="36" x14ac:dyDescent="0.35">
      <c r="A391" s="5" t="s">
        <v>1533</v>
      </c>
      <c r="B391" s="5" t="s">
        <v>157</v>
      </c>
      <c r="C391" s="6">
        <v>0.16</v>
      </c>
      <c r="D391" s="7">
        <f t="shared" si="45"/>
        <v>0.115</v>
      </c>
      <c r="E391" s="7">
        <f t="shared" si="46"/>
        <v>2.3E-3</v>
      </c>
      <c r="F391" s="7">
        <f t="shared" si="47"/>
        <v>0.11270000000000001</v>
      </c>
    </row>
    <row r="392" spans="1:6" ht="36" x14ac:dyDescent="0.35">
      <c r="A392" s="5" t="s">
        <v>1534</v>
      </c>
      <c r="B392" s="5" t="s">
        <v>157</v>
      </c>
      <c r="C392" s="6">
        <v>0.16</v>
      </c>
      <c r="D392" s="7">
        <f t="shared" si="45"/>
        <v>0.115</v>
      </c>
      <c r="E392" s="7">
        <f t="shared" si="46"/>
        <v>2.3E-3</v>
      </c>
      <c r="F392" s="7">
        <f t="shared" si="47"/>
        <v>0.11270000000000001</v>
      </c>
    </row>
    <row r="393" spans="1:6" ht="36" x14ac:dyDescent="0.35">
      <c r="A393" s="5" t="s">
        <v>1535</v>
      </c>
      <c r="B393" s="5" t="s">
        <v>157</v>
      </c>
      <c r="C393" s="6">
        <v>0.23</v>
      </c>
      <c r="D393" s="7">
        <f t="shared" si="45"/>
        <v>0.185</v>
      </c>
      <c r="E393" s="7">
        <f t="shared" si="46"/>
        <v>3.7000000000000002E-3</v>
      </c>
      <c r="F393" s="7">
        <f t="shared" si="47"/>
        <v>0.18129999999999999</v>
      </c>
    </row>
    <row r="394" spans="1:6" ht="36" x14ac:dyDescent="0.35">
      <c r="A394" s="5" t="s">
        <v>1536</v>
      </c>
      <c r="B394" s="5" t="s">
        <v>157</v>
      </c>
      <c r="C394" s="6">
        <v>0.25</v>
      </c>
      <c r="D394" s="7">
        <f t="shared" si="45"/>
        <v>0.20500000000000002</v>
      </c>
      <c r="E394" s="7">
        <f t="shared" si="46"/>
        <v>4.1000000000000003E-3</v>
      </c>
      <c r="F394" s="7">
        <f t="shared" si="47"/>
        <v>0.20090000000000002</v>
      </c>
    </row>
    <row r="395" spans="1:6" ht="36" x14ac:dyDescent="0.35">
      <c r="A395" s="5" t="s">
        <v>1537</v>
      </c>
      <c r="B395" s="5" t="s">
        <v>157</v>
      </c>
      <c r="C395" s="6">
        <v>0.27</v>
      </c>
      <c r="D395" s="7">
        <f t="shared" si="45"/>
        <v>0.22500000000000003</v>
      </c>
      <c r="E395" s="7">
        <f t="shared" si="46"/>
        <v>4.5000000000000005E-3</v>
      </c>
      <c r="F395" s="7">
        <f t="shared" si="47"/>
        <v>0.22050000000000003</v>
      </c>
    </row>
    <row r="396" spans="1:6" ht="36" x14ac:dyDescent="0.35">
      <c r="A396" s="5" t="s">
        <v>1538</v>
      </c>
      <c r="B396" s="5" t="s">
        <v>157</v>
      </c>
      <c r="C396" s="6">
        <v>0.28000000000000003</v>
      </c>
      <c r="D396" s="7">
        <f t="shared" si="45"/>
        <v>0.23500000000000004</v>
      </c>
      <c r="E396" s="7">
        <f t="shared" si="46"/>
        <v>4.7000000000000011E-3</v>
      </c>
      <c r="F396" s="7">
        <f t="shared" si="47"/>
        <v>0.23030000000000003</v>
      </c>
    </row>
    <row r="397" spans="1:6" ht="36" x14ac:dyDescent="0.35">
      <c r="A397" s="5" t="s">
        <v>1539</v>
      </c>
      <c r="B397" s="5" t="s">
        <v>157</v>
      </c>
      <c r="C397" s="6">
        <v>0.11</v>
      </c>
      <c r="D397" s="7">
        <f t="shared" si="45"/>
        <v>6.5000000000000002E-2</v>
      </c>
      <c r="E397" s="7">
        <f t="shared" si="46"/>
        <v>1.3000000000000002E-3</v>
      </c>
      <c r="F397" s="7">
        <f t="shared" si="47"/>
        <v>6.3700000000000007E-2</v>
      </c>
    </row>
    <row r="398" spans="1:6" ht="36" x14ac:dyDescent="0.35">
      <c r="A398" s="5" t="s">
        <v>1540</v>
      </c>
      <c r="B398" s="5" t="s">
        <v>157</v>
      </c>
      <c r="C398" s="6">
        <v>0.13</v>
      </c>
      <c r="D398" s="7">
        <f t="shared" si="45"/>
        <v>8.5000000000000006E-2</v>
      </c>
      <c r="E398" s="7">
        <f t="shared" si="46"/>
        <v>1.7000000000000001E-3</v>
      </c>
      <c r="F398" s="7">
        <f t="shared" si="47"/>
        <v>8.3300000000000013E-2</v>
      </c>
    </row>
    <row r="399" spans="1:6" x14ac:dyDescent="0.35">
      <c r="A399" s="41" t="s">
        <v>158</v>
      </c>
      <c r="B399" s="5" t="s">
        <v>98</v>
      </c>
      <c r="C399" s="6">
        <v>0.19500000000000001</v>
      </c>
      <c r="D399" s="7">
        <f t="shared" si="45"/>
        <v>0.15000000000000002</v>
      </c>
      <c r="E399" s="7">
        <f t="shared" si="46"/>
        <v>3.0000000000000005E-3</v>
      </c>
      <c r="F399" s="7">
        <f t="shared" si="47"/>
        <v>0.14700000000000002</v>
      </c>
    </row>
    <row r="400" spans="1:6" x14ac:dyDescent="0.35">
      <c r="A400" s="43"/>
      <c r="B400" s="5" t="s">
        <v>99</v>
      </c>
      <c r="C400" s="6">
        <v>0.3</v>
      </c>
      <c r="D400" s="7">
        <f t="shared" si="45"/>
        <v>0.255</v>
      </c>
      <c r="E400" s="7">
        <f t="shared" si="46"/>
        <v>5.1000000000000004E-3</v>
      </c>
      <c r="F400" s="7">
        <f t="shared" si="47"/>
        <v>0.24990000000000001</v>
      </c>
    </row>
    <row r="401" spans="1:6" x14ac:dyDescent="0.35">
      <c r="A401" s="2" t="s">
        <v>159</v>
      </c>
      <c r="B401" s="2" t="s">
        <v>1</v>
      </c>
      <c r="C401" s="3" t="s">
        <v>2</v>
      </c>
      <c r="D401" s="4" t="s">
        <v>4</v>
      </c>
      <c r="E401" s="4" t="s">
        <v>5</v>
      </c>
      <c r="F401" s="4" t="s">
        <v>6</v>
      </c>
    </row>
    <row r="402" spans="1:6" x14ac:dyDescent="0.35">
      <c r="A402" s="48" t="s">
        <v>160</v>
      </c>
      <c r="B402" s="5" t="s">
        <v>145</v>
      </c>
      <c r="C402" s="6">
        <v>0.19500000000000001</v>
      </c>
      <c r="D402" s="7">
        <f t="shared" ref="D402:D433" si="48">C402-(4.5%)</f>
        <v>0.15000000000000002</v>
      </c>
      <c r="E402" s="7">
        <f t="shared" ref="E402:E433" si="49">D402*2%</f>
        <v>3.0000000000000005E-3</v>
      </c>
      <c r="F402" s="7">
        <f t="shared" ref="F402:F433" si="50">D402-E402</f>
        <v>0.14700000000000002</v>
      </c>
    </row>
    <row r="403" spans="1:6" x14ac:dyDescent="0.35">
      <c r="A403" s="48"/>
      <c r="B403" s="5" t="s">
        <v>146</v>
      </c>
      <c r="C403" s="6">
        <v>0.19500000000000001</v>
      </c>
      <c r="D403" s="7">
        <f t="shared" si="48"/>
        <v>0.15000000000000002</v>
      </c>
      <c r="E403" s="7">
        <f t="shared" si="49"/>
        <v>3.0000000000000005E-3</v>
      </c>
      <c r="F403" s="7">
        <f t="shared" si="50"/>
        <v>0.14700000000000002</v>
      </c>
    </row>
    <row r="404" spans="1:6" x14ac:dyDescent="0.35">
      <c r="A404" s="48"/>
      <c r="B404" s="5" t="s">
        <v>147</v>
      </c>
      <c r="C404" s="6">
        <v>0.19500000000000001</v>
      </c>
      <c r="D404" s="7">
        <f t="shared" si="48"/>
        <v>0.15000000000000002</v>
      </c>
      <c r="E404" s="7">
        <f t="shared" si="49"/>
        <v>3.0000000000000005E-3</v>
      </c>
      <c r="F404" s="7">
        <f t="shared" si="50"/>
        <v>0.14700000000000002</v>
      </c>
    </row>
    <row r="405" spans="1:6" x14ac:dyDescent="0.35">
      <c r="A405" s="48"/>
      <c r="B405" s="5" t="s">
        <v>120</v>
      </c>
      <c r="C405" s="6">
        <v>0.19500000000000001</v>
      </c>
      <c r="D405" s="7">
        <f t="shared" si="48"/>
        <v>0.15000000000000002</v>
      </c>
      <c r="E405" s="7">
        <f t="shared" si="49"/>
        <v>3.0000000000000005E-3</v>
      </c>
      <c r="F405" s="7">
        <f t="shared" si="50"/>
        <v>0.14700000000000002</v>
      </c>
    </row>
    <row r="406" spans="1:6" x14ac:dyDescent="0.35">
      <c r="A406" s="48"/>
      <c r="B406" s="5" t="s">
        <v>148</v>
      </c>
      <c r="C406" s="6">
        <v>0.19500000000000001</v>
      </c>
      <c r="D406" s="7">
        <f t="shared" si="48"/>
        <v>0.15000000000000002</v>
      </c>
      <c r="E406" s="7">
        <f t="shared" si="49"/>
        <v>3.0000000000000005E-3</v>
      </c>
      <c r="F406" s="7">
        <f t="shared" si="50"/>
        <v>0.14700000000000002</v>
      </c>
    </row>
    <row r="407" spans="1:6" x14ac:dyDescent="0.35">
      <c r="A407" s="48"/>
      <c r="B407" s="5" t="s">
        <v>149</v>
      </c>
      <c r="C407" s="6">
        <v>0.19500000000000001</v>
      </c>
      <c r="D407" s="7">
        <f t="shared" si="48"/>
        <v>0.15000000000000002</v>
      </c>
      <c r="E407" s="7">
        <f t="shared" si="49"/>
        <v>3.0000000000000005E-3</v>
      </c>
      <c r="F407" s="7">
        <f t="shared" si="50"/>
        <v>0.14700000000000002</v>
      </c>
    </row>
    <row r="408" spans="1:6" x14ac:dyDescent="0.35">
      <c r="A408" s="48"/>
      <c r="B408" s="5" t="s">
        <v>150</v>
      </c>
      <c r="C408" s="6">
        <v>0.19500000000000001</v>
      </c>
      <c r="D408" s="7">
        <f t="shared" si="48"/>
        <v>0.15000000000000002</v>
      </c>
      <c r="E408" s="7">
        <f t="shared" si="49"/>
        <v>3.0000000000000005E-3</v>
      </c>
      <c r="F408" s="7">
        <f t="shared" si="50"/>
        <v>0.14700000000000002</v>
      </c>
    </row>
    <row r="409" spans="1:6" x14ac:dyDescent="0.35">
      <c r="A409" s="48"/>
      <c r="B409" s="5" t="s">
        <v>151</v>
      </c>
      <c r="C409" s="6">
        <v>0.19500000000000001</v>
      </c>
      <c r="D409" s="7">
        <f t="shared" si="48"/>
        <v>0.15000000000000002</v>
      </c>
      <c r="E409" s="7">
        <f t="shared" si="49"/>
        <v>3.0000000000000005E-3</v>
      </c>
      <c r="F409" s="7">
        <f t="shared" si="50"/>
        <v>0.14700000000000002</v>
      </c>
    </row>
    <row r="410" spans="1:6" x14ac:dyDescent="0.35">
      <c r="A410" s="48"/>
      <c r="B410" s="5" t="s">
        <v>152</v>
      </c>
      <c r="C410" s="6">
        <v>0.19500000000000001</v>
      </c>
      <c r="D410" s="7">
        <f t="shared" si="48"/>
        <v>0.15000000000000002</v>
      </c>
      <c r="E410" s="7">
        <f t="shared" si="49"/>
        <v>3.0000000000000005E-3</v>
      </c>
      <c r="F410" s="7">
        <f t="shared" si="50"/>
        <v>0.14700000000000002</v>
      </c>
    </row>
    <row r="411" spans="1:6" x14ac:dyDescent="0.35">
      <c r="A411" s="48"/>
      <c r="B411" s="5" t="s">
        <v>121</v>
      </c>
      <c r="C411" s="6">
        <v>0.19500000000000001</v>
      </c>
      <c r="D411" s="7">
        <f t="shared" si="48"/>
        <v>0.15000000000000002</v>
      </c>
      <c r="E411" s="7">
        <f t="shared" si="49"/>
        <v>3.0000000000000005E-3</v>
      </c>
      <c r="F411" s="7">
        <f t="shared" si="50"/>
        <v>0.14700000000000002</v>
      </c>
    </row>
    <row r="412" spans="1:6" x14ac:dyDescent="0.35">
      <c r="A412" s="48"/>
      <c r="B412" s="5" t="s">
        <v>122</v>
      </c>
      <c r="C412" s="6">
        <v>0.19500000000000001</v>
      </c>
      <c r="D412" s="7">
        <f t="shared" si="48"/>
        <v>0.15000000000000002</v>
      </c>
      <c r="E412" s="7">
        <f t="shared" si="49"/>
        <v>3.0000000000000005E-3</v>
      </c>
      <c r="F412" s="7">
        <f t="shared" si="50"/>
        <v>0.14700000000000002</v>
      </c>
    </row>
    <row r="413" spans="1:6" x14ac:dyDescent="0.35">
      <c r="A413" s="48"/>
      <c r="B413" s="5" t="s">
        <v>123</v>
      </c>
      <c r="C413" s="6">
        <v>0.19500000000000001</v>
      </c>
      <c r="D413" s="7">
        <f t="shared" si="48"/>
        <v>0.15000000000000002</v>
      </c>
      <c r="E413" s="7">
        <f t="shared" si="49"/>
        <v>3.0000000000000005E-3</v>
      </c>
      <c r="F413" s="7">
        <f t="shared" si="50"/>
        <v>0.14700000000000002</v>
      </c>
    </row>
    <row r="414" spans="1:6" x14ac:dyDescent="0.35">
      <c r="A414" s="48"/>
      <c r="B414" s="5" t="s">
        <v>124</v>
      </c>
      <c r="C414" s="6">
        <v>0.19500000000000001</v>
      </c>
      <c r="D414" s="7">
        <f t="shared" si="48"/>
        <v>0.15000000000000002</v>
      </c>
      <c r="E414" s="7">
        <f t="shared" si="49"/>
        <v>3.0000000000000005E-3</v>
      </c>
      <c r="F414" s="7">
        <f t="shared" si="50"/>
        <v>0.14700000000000002</v>
      </c>
    </row>
    <row r="415" spans="1:6" x14ac:dyDescent="0.35">
      <c r="A415" s="48"/>
      <c r="B415" s="5" t="s">
        <v>125</v>
      </c>
      <c r="C415" s="6">
        <v>0.19500000000000001</v>
      </c>
      <c r="D415" s="7">
        <f t="shared" si="48"/>
        <v>0.15000000000000002</v>
      </c>
      <c r="E415" s="7">
        <f t="shared" si="49"/>
        <v>3.0000000000000005E-3</v>
      </c>
      <c r="F415" s="7">
        <f t="shared" si="50"/>
        <v>0.14700000000000002</v>
      </c>
    </row>
    <row r="416" spans="1:6" x14ac:dyDescent="0.35">
      <c r="A416" s="48" t="s">
        <v>161</v>
      </c>
      <c r="B416" s="5" t="s">
        <v>145</v>
      </c>
      <c r="C416" s="6">
        <v>0.19500000000000001</v>
      </c>
      <c r="D416" s="7">
        <f t="shared" si="48"/>
        <v>0.15000000000000002</v>
      </c>
      <c r="E416" s="7">
        <f t="shared" si="49"/>
        <v>3.0000000000000005E-3</v>
      </c>
      <c r="F416" s="7">
        <f t="shared" si="50"/>
        <v>0.14700000000000002</v>
      </c>
    </row>
    <row r="417" spans="1:6" x14ac:dyDescent="0.35">
      <c r="A417" s="48"/>
      <c r="B417" s="5" t="s">
        <v>146</v>
      </c>
      <c r="C417" s="6">
        <v>0.19500000000000001</v>
      </c>
      <c r="D417" s="7">
        <f t="shared" si="48"/>
        <v>0.15000000000000002</v>
      </c>
      <c r="E417" s="7">
        <f t="shared" si="49"/>
        <v>3.0000000000000005E-3</v>
      </c>
      <c r="F417" s="7">
        <f t="shared" si="50"/>
        <v>0.14700000000000002</v>
      </c>
    </row>
    <row r="418" spans="1:6" x14ac:dyDescent="0.35">
      <c r="A418" s="48"/>
      <c r="B418" s="5" t="s">
        <v>147</v>
      </c>
      <c r="C418" s="6">
        <v>0.19500000000000001</v>
      </c>
      <c r="D418" s="7">
        <f t="shared" si="48"/>
        <v>0.15000000000000002</v>
      </c>
      <c r="E418" s="7">
        <f t="shared" si="49"/>
        <v>3.0000000000000005E-3</v>
      </c>
      <c r="F418" s="7">
        <f t="shared" si="50"/>
        <v>0.14700000000000002</v>
      </c>
    </row>
    <row r="419" spans="1:6" x14ac:dyDescent="0.35">
      <c r="A419" s="48"/>
      <c r="B419" s="5" t="s">
        <v>120</v>
      </c>
      <c r="C419" s="6">
        <v>0.19500000000000001</v>
      </c>
      <c r="D419" s="7">
        <f t="shared" si="48"/>
        <v>0.15000000000000002</v>
      </c>
      <c r="E419" s="7">
        <f t="shared" si="49"/>
        <v>3.0000000000000005E-3</v>
      </c>
      <c r="F419" s="7">
        <f t="shared" si="50"/>
        <v>0.14700000000000002</v>
      </c>
    </row>
    <row r="420" spans="1:6" x14ac:dyDescent="0.35">
      <c r="A420" s="48"/>
      <c r="B420" s="5" t="s">
        <v>148</v>
      </c>
      <c r="C420" s="6">
        <v>0.19500000000000001</v>
      </c>
      <c r="D420" s="7">
        <f t="shared" si="48"/>
        <v>0.15000000000000002</v>
      </c>
      <c r="E420" s="7">
        <f t="shared" si="49"/>
        <v>3.0000000000000005E-3</v>
      </c>
      <c r="F420" s="7">
        <f t="shared" si="50"/>
        <v>0.14700000000000002</v>
      </c>
    </row>
    <row r="421" spans="1:6" x14ac:dyDescent="0.35">
      <c r="A421" s="48"/>
      <c r="B421" s="5" t="s">
        <v>149</v>
      </c>
      <c r="C421" s="6">
        <v>0.19500000000000001</v>
      </c>
      <c r="D421" s="7">
        <f t="shared" si="48"/>
        <v>0.15000000000000002</v>
      </c>
      <c r="E421" s="7">
        <f t="shared" si="49"/>
        <v>3.0000000000000005E-3</v>
      </c>
      <c r="F421" s="7">
        <f t="shared" si="50"/>
        <v>0.14700000000000002</v>
      </c>
    </row>
    <row r="422" spans="1:6" x14ac:dyDescent="0.35">
      <c r="A422" s="48"/>
      <c r="B422" s="5" t="s">
        <v>150</v>
      </c>
      <c r="C422" s="6">
        <v>0.19500000000000001</v>
      </c>
      <c r="D422" s="7">
        <f t="shared" si="48"/>
        <v>0.15000000000000002</v>
      </c>
      <c r="E422" s="7">
        <f t="shared" si="49"/>
        <v>3.0000000000000005E-3</v>
      </c>
      <c r="F422" s="7">
        <f t="shared" si="50"/>
        <v>0.14700000000000002</v>
      </c>
    </row>
    <row r="423" spans="1:6" x14ac:dyDescent="0.35">
      <c r="A423" s="48"/>
      <c r="B423" s="5" t="s">
        <v>151</v>
      </c>
      <c r="C423" s="6">
        <v>0.19500000000000001</v>
      </c>
      <c r="D423" s="7">
        <f t="shared" si="48"/>
        <v>0.15000000000000002</v>
      </c>
      <c r="E423" s="7">
        <f t="shared" si="49"/>
        <v>3.0000000000000005E-3</v>
      </c>
      <c r="F423" s="7">
        <f t="shared" si="50"/>
        <v>0.14700000000000002</v>
      </c>
    </row>
    <row r="424" spans="1:6" x14ac:dyDescent="0.35">
      <c r="A424" s="48"/>
      <c r="B424" s="5" t="s">
        <v>152</v>
      </c>
      <c r="C424" s="6">
        <v>0.19500000000000001</v>
      </c>
      <c r="D424" s="7">
        <f t="shared" si="48"/>
        <v>0.15000000000000002</v>
      </c>
      <c r="E424" s="7">
        <f t="shared" si="49"/>
        <v>3.0000000000000005E-3</v>
      </c>
      <c r="F424" s="7">
        <f t="shared" si="50"/>
        <v>0.14700000000000002</v>
      </c>
    </row>
    <row r="425" spans="1:6" x14ac:dyDescent="0.35">
      <c r="A425" s="48"/>
      <c r="B425" s="5" t="s">
        <v>121</v>
      </c>
      <c r="C425" s="6">
        <v>0.19500000000000001</v>
      </c>
      <c r="D425" s="7">
        <f t="shared" si="48"/>
        <v>0.15000000000000002</v>
      </c>
      <c r="E425" s="7">
        <f t="shared" si="49"/>
        <v>3.0000000000000005E-3</v>
      </c>
      <c r="F425" s="7">
        <f t="shared" si="50"/>
        <v>0.14700000000000002</v>
      </c>
    </row>
    <row r="426" spans="1:6" x14ac:dyDescent="0.35">
      <c r="A426" s="48"/>
      <c r="B426" s="5" t="s">
        <v>122</v>
      </c>
      <c r="C426" s="6">
        <v>0.19500000000000001</v>
      </c>
      <c r="D426" s="7">
        <f t="shared" si="48"/>
        <v>0.15000000000000002</v>
      </c>
      <c r="E426" s="7">
        <f t="shared" si="49"/>
        <v>3.0000000000000005E-3</v>
      </c>
      <c r="F426" s="7">
        <f t="shared" si="50"/>
        <v>0.14700000000000002</v>
      </c>
    </row>
    <row r="427" spans="1:6" x14ac:dyDescent="0.35">
      <c r="A427" s="48"/>
      <c r="B427" s="5" t="s">
        <v>123</v>
      </c>
      <c r="C427" s="6">
        <v>0.19500000000000001</v>
      </c>
      <c r="D427" s="7">
        <f t="shared" si="48"/>
        <v>0.15000000000000002</v>
      </c>
      <c r="E427" s="7">
        <f t="shared" si="49"/>
        <v>3.0000000000000005E-3</v>
      </c>
      <c r="F427" s="7">
        <f t="shared" si="50"/>
        <v>0.14700000000000002</v>
      </c>
    </row>
    <row r="428" spans="1:6" x14ac:dyDescent="0.35">
      <c r="A428" s="48"/>
      <c r="B428" s="5" t="s">
        <v>124</v>
      </c>
      <c r="C428" s="6">
        <v>0.19500000000000001</v>
      </c>
      <c r="D428" s="7">
        <f t="shared" si="48"/>
        <v>0.15000000000000002</v>
      </c>
      <c r="E428" s="7">
        <f t="shared" si="49"/>
        <v>3.0000000000000005E-3</v>
      </c>
      <c r="F428" s="7">
        <f t="shared" si="50"/>
        <v>0.14700000000000002</v>
      </c>
    </row>
    <row r="429" spans="1:6" x14ac:dyDescent="0.35">
      <c r="A429" s="48"/>
      <c r="B429" s="5" t="s">
        <v>125</v>
      </c>
      <c r="C429" s="6">
        <v>0.19500000000000001</v>
      </c>
      <c r="D429" s="7">
        <f t="shared" si="48"/>
        <v>0.15000000000000002</v>
      </c>
      <c r="E429" s="7">
        <f t="shared" si="49"/>
        <v>3.0000000000000005E-3</v>
      </c>
      <c r="F429" s="7">
        <f t="shared" si="50"/>
        <v>0.14700000000000002</v>
      </c>
    </row>
    <row r="430" spans="1:6" x14ac:dyDescent="0.35">
      <c r="A430" s="48" t="s">
        <v>162</v>
      </c>
      <c r="B430" s="5" t="s">
        <v>14</v>
      </c>
      <c r="C430" s="6">
        <v>0.25</v>
      </c>
      <c r="D430" s="7">
        <f t="shared" si="48"/>
        <v>0.20500000000000002</v>
      </c>
      <c r="E430" s="7">
        <f t="shared" si="49"/>
        <v>4.1000000000000003E-3</v>
      </c>
      <c r="F430" s="7">
        <f t="shared" si="50"/>
        <v>0.20090000000000002</v>
      </c>
    </row>
    <row r="431" spans="1:6" x14ac:dyDescent="0.35">
      <c r="A431" s="48"/>
      <c r="B431" s="5" t="s">
        <v>13</v>
      </c>
      <c r="C431" s="6">
        <v>0.25</v>
      </c>
      <c r="D431" s="7">
        <f t="shared" si="48"/>
        <v>0.20500000000000002</v>
      </c>
      <c r="E431" s="7">
        <f t="shared" si="49"/>
        <v>4.1000000000000003E-3</v>
      </c>
      <c r="F431" s="7">
        <f t="shared" si="50"/>
        <v>0.20090000000000002</v>
      </c>
    </row>
    <row r="432" spans="1:6" x14ac:dyDescent="0.35">
      <c r="A432" s="48"/>
      <c r="B432" s="5" t="s">
        <v>17</v>
      </c>
      <c r="C432" s="6">
        <v>0.25</v>
      </c>
      <c r="D432" s="7">
        <f t="shared" si="48"/>
        <v>0.20500000000000002</v>
      </c>
      <c r="E432" s="7">
        <f t="shared" si="49"/>
        <v>4.1000000000000003E-3</v>
      </c>
      <c r="F432" s="7">
        <f t="shared" si="50"/>
        <v>0.20090000000000002</v>
      </c>
    </row>
    <row r="433" spans="1:6" x14ac:dyDescent="0.35">
      <c r="A433" s="48"/>
      <c r="B433" s="5" t="s">
        <v>163</v>
      </c>
      <c r="C433" s="6">
        <v>0.25</v>
      </c>
      <c r="D433" s="7">
        <f t="shared" si="48"/>
        <v>0.20500000000000002</v>
      </c>
      <c r="E433" s="7">
        <f t="shared" si="49"/>
        <v>4.1000000000000003E-3</v>
      </c>
      <c r="F433" s="7">
        <f t="shared" si="50"/>
        <v>0.20090000000000002</v>
      </c>
    </row>
    <row r="434" spans="1:6" x14ac:dyDescent="0.35">
      <c r="A434" s="48"/>
      <c r="B434" s="5" t="s">
        <v>18</v>
      </c>
      <c r="C434" s="6">
        <v>0.25</v>
      </c>
      <c r="D434" s="7">
        <f t="shared" ref="D434:D465" si="51">C434-(4.5%)</f>
        <v>0.20500000000000002</v>
      </c>
      <c r="E434" s="7">
        <f t="shared" ref="E434:E465" si="52">D434*2%</f>
        <v>4.1000000000000003E-3</v>
      </c>
      <c r="F434" s="7">
        <f t="shared" ref="F434:F465" si="53">D434-E434</f>
        <v>0.20090000000000002</v>
      </c>
    </row>
    <row r="435" spans="1:6" x14ac:dyDescent="0.35">
      <c r="A435" s="48"/>
      <c r="B435" s="5" t="s">
        <v>22</v>
      </c>
      <c r="C435" s="6">
        <v>0.25</v>
      </c>
      <c r="D435" s="7">
        <f t="shared" si="51"/>
        <v>0.20500000000000002</v>
      </c>
      <c r="E435" s="7">
        <f t="shared" si="52"/>
        <v>4.1000000000000003E-3</v>
      </c>
      <c r="F435" s="7">
        <f t="shared" si="53"/>
        <v>0.20090000000000002</v>
      </c>
    </row>
    <row r="436" spans="1:6" x14ac:dyDescent="0.35">
      <c r="A436" s="48"/>
      <c r="B436" s="5" t="s">
        <v>23</v>
      </c>
      <c r="C436" s="6">
        <v>0.25</v>
      </c>
      <c r="D436" s="7">
        <f t="shared" si="51"/>
        <v>0.20500000000000002</v>
      </c>
      <c r="E436" s="7">
        <f t="shared" si="52"/>
        <v>4.1000000000000003E-3</v>
      </c>
      <c r="F436" s="7">
        <f t="shared" si="53"/>
        <v>0.20090000000000002</v>
      </c>
    </row>
    <row r="437" spans="1:6" x14ac:dyDescent="0.35">
      <c r="A437" s="48"/>
      <c r="B437" s="5" t="s">
        <v>26</v>
      </c>
      <c r="C437" s="6">
        <v>0.25</v>
      </c>
      <c r="D437" s="7">
        <f t="shared" si="51"/>
        <v>0.20500000000000002</v>
      </c>
      <c r="E437" s="7">
        <f t="shared" si="52"/>
        <v>4.1000000000000003E-3</v>
      </c>
      <c r="F437" s="7">
        <f t="shared" si="53"/>
        <v>0.20090000000000002</v>
      </c>
    </row>
    <row r="438" spans="1:6" x14ac:dyDescent="0.35">
      <c r="A438" s="48"/>
      <c r="B438" s="5" t="s">
        <v>15</v>
      </c>
      <c r="C438" s="6">
        <v>0.25</v>
      </c>
      <c r="D438" s="7">
        <f t="shared" si="51"/>
        <v>0.20500000000000002</v>
      </c>
      <c r="E438" s="7">
        <f t="shared" si="52"/>
        <v>4.1000000000000003E-3</v>
      </c>
      <c r="F438" s="7">
        <f t="shared" si="53"/>
        <v>0.20090000000000002</v>
      </c>
    </row>
    <row r="439" spans="1:6" x14ac:dyDescent="0.35">
      <c r="A439" s="48"/>
      <c r="B439" s="5" t="s">
        <v>164</v>
      </c>
      <c r="C439" s="6">
        <v>0.25</v>
      </c>
      <c r="D439" s="7">
        <f t="shared" si="51"/>
        <v>0.20500000000000002</v>
      </c>
      <c r="E439" s="7">
        <f t="shared" si="52"/>
        <v>4.1000000000000003E-3</v>
      </c>
      <c r="F439" s="7">
        <f t="shared" si="53"/>
        <v>0.20090000000000002</v>
      </c>
    </row>
    <row r="440" spans="1:6" x14ac:dyDescent="0.35">
      <c r="A440" s="48"/>
      <c r="B440" s="5" t="s">
        <v>165</v>
      </c>
      <c r="C440" s="6">
        <v>0.25</v>
      </c>
      <c r="D440" s="7">
        <f t="shared" si="51"/>
        <v>0.20500000000000002</v>
      </c>
      <c r="E440" s="7">
        <f t="shared" si="52"/>
        <v>4.1000000000000003E-3</v>
      </c>
      <c r="F440" s="7">
        <f t="shared" si="53"/>
        <v>0.20090000000000002</v>
      </c>
    </row>
    <row r="441" spans="1:6" x14ac:dyDescent="0.35">
      <c r="A441" s="48"/>
      <c r="B441" s="5" t="s">
        <v>166</v>
      </c>
      <c r="C441" s="6">
        <v>0.25</v>
      </c>
      <c r="D441" s="7">
        <f t="shared" si="51"/>
        <v>0.20500000000000002</v>
      </c>
      <c r="E441" s="7">
        <f t="shared" si="52"/>
        <v>4.1000000000000003E-3</v>
      </c>
      <c r="F441" s="7">
        <f t="shared" si="53"/>
        <v>0.20090000000000002</v>
      </c>
    </row>
    <row r="442" spans="1:6" x14ac:dyDescent="0.35">
      <c r="A442" s="48"/>
      <c r="B442" s="5" t="s">
        <v>167</v>
      </c>
      <c r="C442" s="6">
        <v>0.25</v>
      </c>
      <c r="D442" s="7">
        <f t="shared" si="51"/>
        <v>0.20500000000000002</v>
      </c>
      <c r="E442" s="7">
        <f t="shared" si="52"/>
        <v>4.1000000000000003E-3</v>
      </c>
      <c r="F442" s="7">
        <f t="shared" si="53"/>
        <v>0.20090000000000002</v>
      </c>
    </row>
    <row r="443" spans="1:6" x14ac:dyDescent="0.35">
      <c r="A443" s="48"/>
      <c r="B443" s="5" t="s">
        <v>125</v>
      </c>
      <c r="C443" s="6">
        <v>0.19500000000000001</v>
      </c>
      <c r="D443" s="7">
        <f t="shared" si="51"/>
        <v>0.15000000000000002</v>
      </c>
      <c r="E443" s="7">
        <f t="shared" si="52"/>
        <v>3.0000000000000005E-3</v>
      </c>
      <c r="F443" s="7">
        <f t="shared" si="53"/>
        <v>0.14700000000000002</v>
      </c>
    </row>
    <row r="444" spans="1:6" x14ac:dyDescent="0.35">
      <c r="A444" s="48" t="s">
        <v>168</v>
      </c>
      <c r="B444" s="5" t="s">
        <v>14</v>
      </c>
      <c r="C444" s="6">
        <v>0.2</v>
      </c>
      <c r="D444" s="7">
        <f t="shared" si="51"/>
        <v>0.15500000000000003</v>
      </c>
      <c r="E444" s="7">
        <f t="shared" si="52"/>
        <v>3.1000000000000008E-3</v>
      </c>
      <c r="F444" s="7">
        <f t="shared" si="53"/>
        <v>0.15190000000000003</v>
      </c>
    </row>
    <row r="445" spans="1:6" x14ac:dyDescent="0.35">
      <c r="A445" s="48"/>
      <c r="B445" s="5" t="s">
        <v>13</v>
      </c>
      <c r="C445" s="6">
        <v>0.2</v>
      </c>
      <c r="D445" s="7">
        <f t="shared" si="51"/>
        <v>0.15500000000000003</v>
      </c>
      <c r="E445" s="7">
        <f t="shared" si="52"/>
        <v>3.1000000000000008E-3</v>
      </c>
      <c r="F445" s="7">
        <f t="shared" si="53"/>
        <v>0.15190000000000003</v>
      </c>
    </row>
    <row r="446" spans="1:6" x14ac:dyDescent="0.35">
      <c r="A446" s="48"/>
      <c r="B446" s="5" t="s">
        <v>17</v>
      </c>
      <c r="C446" s="6">
        <v>0.2</v>
      </c>
      <c r="D446" s="7">
        <f t="shared" si="51"/>
        <v>0.15500000000000003</v>
      </c>
      <c r="E446" s="7">
        <f t="shared" si="52"/>
        <v>3.1000000000000008E-3</v>
      </c>
      <c r="F446" s="7">
        <f t="shared" si="53"/>
        <v>0.15190000000000003</v>
      </c>
    </row>
    <row r="447" spans="1:6" x14ac:dyDescent="0.35">
      <c r="A447" s="48"/>
      <c r="B447" s="5" t="s">
        <v>163</v>
      </c>
      <c r="C447" s="6">
        <v>0.2</v>
      </c>
      <c r="D447" s="7">
        <f t="shared" si="51"/>
        <v>0.15500000000000003</v>
      </c>
      <c r="E447" s="7">
        <f t="shared" si="52"/>
        <v>3.1000000000000008E-3</v>
      </c>
      <c r="F447" s="7">
        <f t="shared" si="53"/>
        <v>0.15190000000000003</v>
      </c>
    </row>
    <row r="448" spans="1:6" x14ac:dyDescent="0.35">
      <c r="A448" s="48"/>
      <c r="B448" s="5" t="s">
        <v>18</v>
      </c>
      <c r="C448" s="6">
        <v>0.2</v>
      </c>
      <c r="D448" s="7">
        <f t="shared" si="51"/>
        <v>0.15500000000000003</v>
      </c>
      <c r="E448" s="7">
        <f t="shared" si="52"/>
        <v>3.1000000000000008E-3</v>
      </c>
      <c r="F448" s="7">
        <f t="shared" si="53"/>
        <v>0.15190000000000003</v>
      </c>
    </row>
    <row r="449" spans="1:6" x14ac:dyDescent="0.35">
      <c r="A449" s="48"/>
      <c r="B449" s="5" t="s">
        <v>22</v>
      </c>
      <c r="C449" s="6">
        <v>0.2</v>
      </c>
      <c r="D449" s="7">
        <f t="shared" si="51"/>
        <v>0.15500000000000003</v>
      </c>
      <c r="E449" s="7">
        <f t="shared" si="52"/>
        <v>3.1000000000000008E-3</v>
      </c>
      <c r="F449" s="7">
        <f t="shared" si="53"/>
        <v>0.15190000000000003</v>
      </c>
    </row>
    <row r="450" spans="1:6" x14ac:dyDescent="0.35">
      <c r="A450" s="48"/>
      <c r="B450" s="5" t="s">
        <v>23</v>
      </c>
      <c r="C450" s="6">
        <v>0.2</v>
      </c>
      <c r="D450" s="7">
        <f t="shared" si="51"/>
        <v>0.15500000000000003</v>
      </c>
      <c r="E450" s="7">
        <f t="shared" si="52"/>
        <v>3.1000000000000008E-3</v>
      </c>
      <c r="F450" s="7">
        <f t="shared" si="53"/>
        <v>0.15190000000000003</v>
      </c>
    </row>
    <row r="451" spans="1:6" x14ac:dyDescent="0.35">
      <c r="A451" s="48"/>
      <c r="B451" s="5" t="s">
        <v>26</v>
      </c>
      <c r="C451" s="6">
        <v>0.2</v>
      </c>
      <c r="D451" s="7">
        <f t="shared" si="51"/>
        <v>0.15500000000000003</v>
      </c>
      <c r="E451" s="7">
        <f t="shared" si="52"/>
        <v>3.1000000000000008E-3</v>
      </c>
      <c r="F451" s="7">
        <f t="shared" si="53"/>
        <v>0.15190000000000003</v>
      </c>
    </row>
    <row r="452" spans="1:6" x14ac:dyDescent="0.35">
      <c r="A452" s="48"/>
      <c r="B452" s="5" t="s">
        <v>15</v>
      </c>
      <c r="C452" s="6">
        <v>0.2</v>
      </c>
      <c r="D452" s="7">
        <f t="shared" si="51"/>
        <v>0.15500000000000003</v>
      </c>
      <c r="E452" s="7">
        <f t="shared" si="52"/>
        <v>3.1000000000000008E-3</v>
      </c>
      <c r="F452" s="7">
        <f t="shared" si="53"/>
        <v>0.15190000000000003</v>
      </c>
    </row>
    <row r="453" spans="1:6" x14ac:dyDescent="0.35">
      <c r="A453" s="48"/>
      <c r="B453" s="5" t="s">
        <v>164</v>
      </c>
      <c r="C453" s="6">
        <v>0.2</v>
      </c>
      <c r="D453" s="7">
        <f t="shared" si="51"/>
        <v>0.15500000000000003</v>
      </c>
      <c r="E453" s="7">
        <f t="shared" si="52"/>
        <v>3.1000000000000008E-3</v>
      </c>
      <c r="F453" s="7">
        <f t="shared" si="53"/>
        <v>0.15190000000000003</v>
      </c>
    </row>
    <row r="454" spans="1:6" x14ac:dyDescent="0.35">
      <c r="A454" s="48"/>
      <c r="B454" s="5" t="s">
        <v>165</v>
      </c>
      <c r="C454" s="6">
        <v>0.2</v>
      </c>
      <c r="D454" s="7">
        <f t="shared" si="51"/>
        <v>0.15500000000000003</v>
      </c>
      <c r="E454" s="7">
        <f t="shared" si="52"/>
        <v>3.1000000000000008E-3</v>
      </c>
      <c r="F454" s="7">
        <f t="shared" si="53"/>
        <v>0.15190000000000003</v>
      </c>
    </row>
    <row r="455" spans="1:6" x14ac:dyDescent="0.35">
      <c r="A455" s="48"/>
      <c r="B455" s="5" t="s">
        <v>166</v>
      </c>
      <c r="C455" s="6">
        <v>0.2</v>
      </c>
      <c r="D455" s="7">
        <f t="shared" si="51"/>
        <v>0.15500000000000003</v>
      </c>
      <c r="E455" s="7">
        <f t="shared" si="52"/>
        <v>3.1000000000000008E-3</v>
      </c>
      <c r="F455" s="7">
        <f t="shared" si="53"/>
        <v>0.15190000000000003</v>
      </c>
    </row>
    <row r="456" spans="1:6" x14ac:dyDescent="0.35">
      <c r="A456" s="48"/>
      <c r="B456" s="5" t="s">
        <v>167</v>
      </c>
      <c r="C456" s="6">
        <v>0.2</v>
      </c>
      <c r="D456" s="7">
        <f t="shared" si="51"/>
        <v>0.15500000000000003</v>
      </c>
      <c r="E456" s="7">
        <f t="shared" si="52"/>
        <v>3.1000000000000008E-3</v>
      </c>
      <c r="F456" s="7">
        <f t="shared" si="53"/>
        <v>0.15190000000000003</v>
      </c>
    </row>
    <row r="457" spans="1:6" x14ac:dyDescent="0.35">
      <c r="A457" s="48"/>
      <c r="B457" s="5" t="s">
        <v>125</v>
      </c>
      <c r="C457" s="6">
        <v>0.19500000000000001</v>
      </c>
      <c r="D457" s="7">
        <f t="shared" si="51"/>
        <v>0.15000000000000002</v>
      </c>
      <c r="E457" s="7">
        <f t="shared" si="52"/>
        <v>3.0000000000000005E-3</v>
      </c>
      <c r="F457" s="7">
        <f t="shared" si="53"/>
        <v>0.14700000000000002</v>
      </c>
    </row>
    <row r="458" spans="1:6" x14ac:dyDescent="0.35">
      <c r="A458" s="48" t="s">
        <v>169</v>
      </c>
      <c r="B458" s="5" t="s">
        <v>14</v>
      </c>
      <c r="C458" s="6">
        <v>0.26</v>
      </c>
      <c r="D458" s="7">
        <f t="shared" si="51"/>
        <v>0.21500000000000002</v>
      </c>
      <c r="E458" s="7">
        <f t="shared" si="52"/>
        <v>4.3000000000000009E-3</v>
      </c>
      <c r="F458" s="7">
        <f t="shared" si="53"/>
        <v>0.21070000000000003</v>
      </c>
    </row>
    <row r="459" spans="1:6" x14ac:dyDescent="0.35">
      <c r="A459" s="48"/>
      <c r="B459" s="5" t="s">
        <v>13</v>
      </c>
      <c r="C459" s="6">
        <v>0.15</v>
      </c>
      <c r="D459" s="7">
        <f t="shared" si="51"/>
        <v>0.105</v>
      </c>
      <c r="E459" s="7">
        <f t="shared" si="52"/>
        <v>2.0999999999999999E-3</v>
      </c>
      <c r="F459" s="7">
        <f t="shared" si="53"/>
        <v>0.10289999999999999</v>
      </c>
    </row>
    <row r="460" spans="1:6" x14ac:dyDescent="0.35">
      <c r="A460" s="48"/>
      <c r="B460" s="5" t="s">
        <v>17</v>
      </c>
      <c r="C460" s="6">
        <v>0.26</v>
      </c>
      <c r="D460" s="7">
        <f t="shared" si="51"/>
        <v>0.21500000000000002</v>
      </c>
      <c r="E460" s="7">
        <f t="shared" si="52"/>
        <v>4.3000000000000009E-3</v>
      </c>
      <c r="F460" s="7">
        <f t="shared" si="53"/>
        <v>0.21070000000000003</v>
      </c>
    </row>
    <row r="461" spans="1:6" x14ac:dyDescent="0.35">
      <c r="A461" s="48"/>
      <c r="B461" s="5" t="s">
        <v>163</v>
      </c>
      <c r="C461" s="6">
        <v>0.26</v>
      </c>
      <c r="D461" s="7">
        <f t="shared" si="51"/>
        <v>0.21500000000000002</v>
      </c>
      <c r="E461" s="7">
        <f t="shared" si="52"/>
        <v>4.3000000000000009E-3</v>
      </c>
      <c r="F461" s="7">
        <f t="shared" si="53"/>
        <v>0.21070000000000003</v>
      </c>
    </row>
    <row r="462" spans="1:6" x14ac:dyDescent="0.35">
      <c r="A462" s="48"/>
      <c r="B462" s="5" t="s">
        <v>18</v>
      </c>
      <c r="C462" s="6">
        <v>0.15</v>
      </c>
      <c r="D462" s="7">
        <f t="shared" si="51"/>
        <v>0.105</v>
      </c>
      <c r="E462" s="7">
        <f t="shared" si="52"/>
        <v>2.0999999999999999E-3</v>
      </c>
      <c r="F462" s="7">
        <f t="shared" si="53"/>
        <v>0.10289999999999999</v>
      </c>
    </row>
    <row r="463" spans="1:6" x14ac:dyDescent="0.35">
      <c r="A463" s="48"/>
      <c r="B463" s="5" t="s">
        <v>22</v>
      </c>
      <c r="C463" s="6">
        <v>0.15</v>
      </c>
      <c r="D463" s="7">
        <f t="shared" si="51"/>
        <v>0.105</v>
      </c>
      <c r="E463" s="7">
        <f t="shared" si="52"/>
        <v>2.0999999999999999E-3</v>
      </c>
      <c r="F463" s="7">
        <f t="shared" si="53"/>
        <v>0.10289999999999999</v>
      </c>
    </row>
    <row r="464" spans="1:6" x14ac:dyDescent="0.35">
      <c r="A464" s="48"/>
      <c r="B464" s="5" t="s">
        <v>23</v>
      </c>
      <c r="C464" s="6">
        <v>0.15</v>
      </c>
      <c r="D464" s="7">
        <f t="shared" si="51"/>
        <v>0.105</v>
      </c>
      <c r="E464" s="7">
        <f t="shared" si="52"/>
        <v>2.0999999999999999E-3</v>
      </c>
      <c r="F464" s="7">
        <f t="shared" si="53"/>
        <v>0.10289999999999999</v>
      </c>
    </row>
    <row r="465" spans="1:6" x14ac:dyDescent="0.35">
      <c r="A465" s="48"/>
      <c r="B465" s="5" t="s">
        <v>26</v>
      </c>
      <c r="C465" s="6">
        <v>0.15</v>
      </c>
      <c r="D465" s="7">
        <f t="shared" si="51"/>
        <v>0.105</v>
      </c>
      <c r="E465" s="7">
        <f t="shared" si="52"/>
        <v>2.0999999999999999E-3</v>
      </c>
      <c r="F465" s="7">
        <f t="shared" si="53"/>
        <v>0.10289999999999999</v>
      </c>
    </row>
    <row r="466" spans="1:6" x14ac:dyDescent="0.35">
      <c r="A466" s="48"/>
      <c r="B466" s="5" t="s">
        <v>15</v>
      </c>
      <c r="C466" s="6">
        <v>0.15</v>
      </c>
      <c r="D466" s="7">
        <f t="shared" ref="D466:D471" si="54">C466-(4.5%)</f>
        <v>0.105</v>
      </c>
      <c r="E466" s="7">
        <f t="shared" ref="E466:E471" si="55">D466*2%</f>
        <v>2.0999999999999999E-3</v>
      </c>
      <c r="F466" s="7">
        <f t="shared" ref="F466:F471" si="56">D466-E466</f>
        <v>0.10289999999999999</v>
      </c>
    </row>
    <row r="467" spans="1:6" x14ac:dyDescent="0.35">
      <c r="A467" s="48"/>
      <c r="B467" s="5" t="s">
        <v>164</v>
      </c>
      <c r="C467" s="6">
        <v>0.15</v>
      </c>
      <c r="D467" s="7">
        <f t="shared" si="54"/>
        <v>0.105</v>
      </c>
      <c r="E467" s="7">
        <f t="shared" si="55"/>
        <v>2.0999999999999999E-3</v>
      </c>
      <c r="F467" s="7">
        <f t="shared" si="56"/>
        <v>0.10289999999999999</v>
      </c>
    </row>
    <row r="468" spans="1:6" x14ac:dyDescent="0.35">
      <c r="A468" s="48"/>
      <c r="B468" s="5" t="s">
        <v>165</v>
      </c>
      <c r="C468" s="6">
        <v>0.15</v>
      </c>
      <c r="D468" s="7">
        <f t="shared" si="54"/>
        <v>0.105</v>
      </c>
      <c r="E468" s="7">
        <f t="shared" si="55"/>
        <v>2.0999999999999999E-3</v>
      </c>
      <c r="F468" s="7">
        <f t="shared" si="56"/>
        <v>0.10289999999999999</v>
      </c>
    </row>
    <row r="469" spans="1:6" x14ac:dyDescent="0.35">
      <c r="A469" s="48"/>
      <c r="B469" s="5" t="s">
        <v>166</v>
      </c>
      <c r="C469" s="6">
        <v>0.15</v>
      </c>
      <c r="D469" s="7">
        <f t="shared" si="54"/>
        <v>0.105</v>
      </c>
      <c r="E469" s="7">
        <f t="shared" si="55"/>
        <v>2.0999999999999999E-3</v>
      </c>
      <c r="F469" s="7">
        <f t="shared" si="56"/>
        <v>0.10289999999999999</v>
      </c>
    </row>
    <row r="470" spans="1:6" x14ac:dyDescent="0.35">
      <c r="A470" s="48"/>
      <c r="B470" s="5" t="s">
        <v>167</v>
      </c>
      <c r="C470" s="6">
        <v>0.15</v>
      </c>
      <c r="D470" s="7">
        <f t="shared" si="54"/>
        <v>0.105</v>
      </c>
      <c r="E470" s="7">
        <f t="shared" si="55"/>
        <v>2.0999999999999999E-3</v>
      </c>
      <c r="F470" s="7">
        <f t="shared" si="56"/>
        <v>0.10289999999999999</v>
      </c>
    </row>
    <row r="471" spans="1:6" x14ac:dyDescent="0.35">
      <c r="A471" s="48"/>
      <c r="B471" s="5" t="s">
        <v>125</v>
      </c>
      <c r="C471" s="6">
        <v>0.19500000000000001</v>
      </c>
      <c r="D471" s="7">
        <f t="shared" si="54"/>
        <v>0.15000000000000002</v>
      </c>
      <c r="E471" s="7">
        <f t="shared" si="55"/>
        <v>3.0000000000000005E-3</v>
      </c>
      <c r="F471" s="7">
        <f t="shared" si="56"/>
        <v>0.14700000000000002</v>
      </c>
    </row>
    <row r="472" spans="1:6" x14ac:dyDescent="0.35">
      <c r="A472" s="48" t="s">
        <v>170</v>
      </c>
      <c r="B472" s="5" t="s">
        <v>13</v>
      </c>
      <c r="C472" s="6">
        <v>0</v>
      </c>
      <c r="D472" s="7" t="s">
        <v>20</v>
      </c>
      <c r="E472" s="7" t="s">
        <v>20</v>
      </c>
      <c r="F472" s="7" t="s">
        <v>20</v>
      </c>
    </row>
    <row r="473" spans="1:6" x14ac:dyDescent="0.35">
      <c r="A473" s="48"/>
      <c r="B473" s="5" t="s">
        <v>14</v>
      </c>
      <c r="C473" s="6">
        <v>0.3</v>
      </c>
      <c r="D473" s="7">
        <f>C473-(4.5%)</f>
        <v>0.255</v>
      </c>
      <c r="E473" s="7">
        <f>D473*2%</f>
        <v>5.1000000000000004E-3</v>
      </c>
      <c r="F473" s="7">
        <f>D473-E473</f>
        <v>0.24990000000000001</v>
      </c>
    </row>
    <row r="474" spans="1:6" x14ac:dyDescent="0.35">
      <c r="A474" s="48"/>
      <c r="B474" s="5" t="s">
        <v>15</v>
      </c>
      <c r="C474" s="6">
        <v>0.26</v>
      </c>
      <c r="D474" s="7">
        <f>C474-(4.5%)</f>
        <v>0.21500000000000002</v>
      </c>
      <c r="E474" s="7">
        <f>D474*2%</f>
        <v>4.3000000000000009E-3</v>
      </c>
      <c r="F474" s="7">
        <f>D474-E474</f>
        <v>0.21070000000000003</v>
      </c>
    </row>
    <row r="475" spans="1:6" x14ac:dyDescent="0.35">
      <c r="A475" s="48"/>
      <c r="B475" s="5" t="s">
        <v>16</v>
      </c>
      <c r="C475" s="6">
        <v>0.20300000000000001</v>
      </c>
      <c r="D475" s="7">
        <f>C475-(4.5%)</f>
        <v>0.15800000000000003</v>
      </c>
      <c r="E475" s="7">
        <f>D475*2%</f>
        <v>3.1600000000000005E-3</v>
      </c>
      <c r="F475" s="7">
        <f>D475-E475</f>
        <v>0.15484000000000003</v>
      </c>
    </row>
    <row r="476" spans="1:6" x14ac:dyDescent="0.35">
      <c r="A476" s="48"/>
      <c r="B476" s="5" t="s">
        <v>17</v>
      </c>
      <c r="C476" s="6">
        <v>0.35</v>
      </c>
      <c r="D476" s="7">
        <f>C476-(4.5%)</f>
        <v>0.30499999999999999</v>
      </c>
      <c r="E476" s="7">
        <f>D476*2%</f>
        <v>6.1000000000000004E-3</v>
      </c>
      <c r="F476" s="7">
        <f>D476-E476</f>
        <v>0.2989</v>
      </c>
    </row>
    <row r="477" spans="1:6" x14ac:dyDescent="0.35">
      <c r="A477" s="48"/>
      <c r="B477" s="5" t="s">
        <v>18</v>
      </c>
      <c r="C477" s="6">
        <v>2E-3</v>
      </c>
      <c r="D477" s="7" t="s">
        <v>20</v>
      </c>
      <c r="E477" s="7" t="s">
        <v>20</v>
      </c>
      <c r="F477" s="7" t="s">
        <v>20</v>
      </c>
    </row>
    <row r="478" spans="1:6" x14ac:dyDescent="0.35">
      <c r="A478" s="48"/>
      <c r="B478" s="5" t="s">
        <v>19</v>
      </c>
      <c r="C478" s="6">
        <v>0.15</v>
      </c>
      <c r="D478" s="7">
        <f>C478-(4.5%)</f>
        <v>0.105</v>
      </c>
      <c r="E478" s="7">
        <f>D478*2%</f>
        <v>2.0999999999999999E-3</v>
      </c>
      <c r="F478" s="7">
        <f>D478-E478</f>
        <v>0.10289999999999999</v>
      </c>
    </row>
    <row r="479" spans="1:6" x14ac:dyDescent="0.35">
      <c r="A479" s="48"/>
      <c r="B479" s="5" t="s">
        <v>21</v>
      </c>
      <c r="C479" s="6">
        <v>5.4000000000000097E-2</v>
      </c>
      <c r="D479" s="7" t="s">
        <v>20</v>
      </c>
      <c r="E479" s="7" t="s">
        <v>20</v>
      </c>
      <c r="F479" s="7" t="s">
        <v>20</v>
      </c>
    </row>
    <row r="480" spans="1:6" x14ac:dyDescent="0.35">
      <c r="A480" s="48"/>
      <c r="B480" s="5" t="s">
        <v>22</v>
      </c>
      <c r="C480" s="6">
        <v>0.28000000000000003</v>
      </c>
      <c r="D480" s="7">
        <f>C480-(4.5%)</f>
        <v>0.23500000000000004</v>
      </c>
      <c r="E480" s="7">
        <f>D480*2%</f>
        <v>4.7000000000000011E-3</v>
      </c>
      <c r="F480" s="7">
        <f>D480-E480</f>
        <v>0.23030000000000003</v>
      </c>
    </row>
    <row r="481" spans="1:6" x14ac:dyDescent="0.35">
      <c r="A481" s="48"/>
      <c r="B481" s="5" t="s">
        <v>23</v>
      </c>
      <c r="C481" s="6">
        <v>0.34599999999999997</v>
      </c>
      <c r="D481" s="7">
        <f>C481-(4.5%)</f>
        <v>0.30099999999999999</v>
      </c>
      <c r="E481" s="7">
        <f>D481*2%</f>
        <v>6.0200000000000002E-3</v>
      </c>
      <c r="F481" s="7">
        <f>D481-E481</f>
        <v>0.29497999999999996</v>
      </c>
    </row>
    <row r="482" spans="1:6" x14ac:dyDescent="0.35">
      <c r="A482" s="48"/>
      <c r="B482" s="5" t="s">
        <v>24</v>
      </c>
      <c r="C482" s="6">
        <v>0.28000000000000003</v>
      </c>
      <c r="D482" s="7">
        <f>C482-(4.5%)</f>
        <v>0.23500000000000004</v>
      </c>
      <c r="E482" s="7">
        <f>D482*2%</f>
        <v>4.7000000000000011E-3</v>
      </c>
      <c r="F482" s="7">
        <f>D482-E482</f>
        <v>0.23030000000000003</v>
      </c>
    </row>
    <row r="483" spans="1:6" x14ac:dyDescent="0.35">
      <c r="A483" s="48"/>
      <c r="B483" s="5" t="s">
        <v>25</v>
      </c>
      <c r="C483" s="6">
        <v>0.2</v>
      </c>
      <c r="D483" s="7">
        <f>C483-(4.5%)</f>
        <v>0.15500000000000003</v>
      </c>
      <c r="E483" s="7">
        <f>D483*2%</f>
        <v>3.1000000000000008E-3</v>
      </c>
      <c r="F483" s="7">
        <f>D483-E483</f>
        <v>0.15190000000000003</v>
      </c>
    </row>
    <row r="484" spans="1:6" x14ac:dyDescent="0.35">
      <c r="A484" s="48"/>
      <c r="B484" s="5" t="s">
        <v>26</v>
      </c>
      <c r="C484" s="6">
        <v>0.28799999999999998</v>
      </c>
      <c r="D484" s="7">
        <f>C484-(4.5%)</f>
        <v>0.24299999999999999</v>
      </c>
      <c r="E484" s="7">
        <f>D484*2%</f>
        <v>4.8599999999999997E-3</v>
      </c>
      <c r="F484" s="7">
        <f>D484-E484</f>
        <v>0.23813999999999999</v>
      </c>
    </row>
    <row r="485" spans="1:6" x14ac:dyDescent="0.35">
      <c r="A485" s="48"/>
      <c r="B485" s="5" t="s">
        <v>27</v>
      </c>
      <c r="C485" s="6">
        <v>0</v>
      </c>
      <c r="D485" s="7" t="s">
        <v>20</v>
      </c>
      <c r="E485" s="7" t="s">
        <v>20</v>
      </c>
      <c r="F485" s="7" t="s">
        <v>20</v>
      </c>
    </row>
    <row r="486" spans="1:6" ht="24" x14ac:dyDescent="0.35">
      <c r="A486" s="5" t="s">
        <v>171</v>
      </c>
      <c r="B486" s="5" t="s">
        <v>8</v>
      </c>
      <c r="C486" s="6">
        <v>0.15</v>
      </c>
      <c r="D486" s="7">
        <f t="shared" ref="D486:D503" si="57">C486-(4.5%)</f>
        <v>0.105</v>
      </c>
      <c r="E486" s="7">
        <f t="shared" ref="E486:E503" si="58">D486*2%</f>
        <v>2.0999999999999999E-3</v>
      </c>
      <c r="F486" s="7">
        <f t="shared" ref="F486:F503" si="59">D486-E486</f>
        <v>0.10289999999999999</v>
      </c>
    </row>
    <row r="487" spans="1:6" ht="24" x14ac:dyDescent="0.35">
      <c r="A487" s="5" t="s">
        <v>172</v>
      </c>
      <c r="B487" s="5" t="s">
        <v>132</v>
      </c>
      <c r="C487" s="6">
        <v>0.15</v>
      </c>
      <c r="D487" s="7">
        <f t="shared" si="57"/>
        <v>0.105</v>
      </c>
      <c r="E487" s="7">
        <f t="shared" si="58"/>
        <v>2.0999999999999999E-3</v>
      </c>
      <c r="F487" s="7">
        <f t="shared" si="59"/>
        <v>0.10289999999999999</v>
      </c>
    </row>
    <row r="488" spans="1:6" ht="36" x14ac:dyDescent="0.35">
      <c r="A488" s="5" t="s">
        <v>1541</v>
      </c>
      <c r="B488" s="5" t="s">
        <v>157</v>
      </c>
      <c r="C488" s="6">
        <v>0.12</v>
      </c>
      <c r="D488" s="7">
        <f t="shared" si="57"/>
        <v>7.4999999999999997E-2</v>
      </c>
      <c r="E488" s="7">
        <f t="shared" si="58"/>
        <v>1.5E-3</v>
      </c>
      <c r="F488" s="7">
        <f t="shared" si="59"/>
        <v>7.3499999999999996E-2</v>
      </c>
    </row>
    <row r="489" spans="1:6" ht="36" x14ac:dyDescent="0.35">
      <c r="A489" s="5" t="s">
        <v>1542</v>
      </c>
      <c r="B489" s="5" t="s">
        <v>157</v>
      </c>
      <c r="C489" s="6">
        <v>0.14000000000000001</v>
      </c>
      <c r="D489" s="7">
        <f t="shared" si="57"/>
        <v>9.5000000000000015E-2</v>
      </c>
      <c r="E489" s="7">
        <f t="shared" si="58"/>
        <v>1.9000000000000004E-3</v>
      </c>
      <c r="F489" s="7">
        <f t="shared" si="59"/>
        <v>9.3100000000000016E-2</v>
      </c>
    </row>
    <row r="490" spans="1:6" ht="36" x14ac:dyDescent="0.35">
      <c r="A490" s="5" t="s">
        <v>1543</v>
      </c>
      <c r="B490" s="5" t="s">
        <v>157</v>
      </c>
      <c r="C490" s="6">
        <v>0.22</v>
      </c>
      <c r="D490" s="7">
        <f t="shared" si="57"/>
        <v>0.17499999999999999</v>
      </c>
      <c r="E490" s="7">
        <f t="shared" si="58"/>
        <v>3.4999999999999996E-3</v>
      </c>
      <c r="F490" s="7">
        <f t="shared" si="59"/>
        <v>0.17149999999999999</v>
      </c>
    </row>
    <row r="491" spans="1:6" ht="36" x14ac:dyDescent="0.35">
      <c r="A491" s="5" t="s">
        <v>1544</v>
      </c>
      <c r="B491" s="5" t="s">
        <v>157</v>
      </c>
      <c r="C491" s="6">
        <v>0.24</v>
      </c>
      <c r="D491" s="7">
        <f t="shared" si="57"/>
        <v>0.19500000000000001</v>
      </c>
      <c r="E491" s="7">
        <f t="shared" si="58"/>
        <v>3.9000000000000003E-3</v>
      </c>
      <c r="F491" s="7">
        <f t="shared" si="59"/>
        <v>0.19110000000000002</v>
      </c>
    </row>
    <row r="492" spans="1:6" ht="36" x14ac:dyDescent="0.35">
      <c r="A492" s="5" t="s">
        <v>1545</v>
      </c>
      <c r="B492" s="5" t="s">
        <v>157</v>
      </c>
      <c r="C492" s="6">
        <v>0.27</v>
      </c>
      <c r="D492" s="7">
        <f t="shared" si="57"/>
        <v>0.22500000000000003</v>
      </c>
      <c r="E492" s="7">
        <f t="shared" si="58"/>
        <v>4.5000000000000005E-3</v>
      </c>
      <c r="F492" s="7">
        <f t="shared" si="59"/>
        <v>0.22050000000000003</v>
      </c>
    </row>
    <row r="493" spans="1:6" ht="36" x14ac:dyDescent="0.35">
      <c r="A493" s="5" t="s">
        <v>1546</v>
      </c>
      <c r="B493" s="5" t="s">
        <v>157</v>
      </c>
      <c r="C493" s="6">
        <v>0.28000000000000003</v>
      </c>
      <c r="D493" s="7">
        <f t="shared" si="57"/>
        <v>0.23500000000000004</v>
      </c>
      <c r="E493" s="7">
        <f t="shared" si="58"/>
        <v>4.7000000000000011E-3</v>
      </c>
      <c r="F493" s="7">
        <f t="shared" si="59"/>
        <v>0.23030000000000003</v>
      </c>
    </row>
    <row r="494" spans="1:6" ht="36" x14ac:dyDescent="0.35">
      <c r="A494" s="5" t="s">
        <v>1547</v>
      </c>
      <c r="B494" s="5" t="s">
        <v>157</v>
      </c>
      <c r="C494" s="6">
        <v>0.13</v>
      </c>
      <c r="D494" s="7">
        <f t="shared" si="57"/>
        <v>8.5000000000000006E-2</v>
      </c>
      <c r="E494" s="7">
        <f t="shared" si="58"/>
        <v>1.7000000000000001E-3</v>
      </c>
      <c r="F494" s="7">
        <f t="shared" si="59"/>
        <v>8.3300000000000013E-2</v>
      </c>
    </row>
    <row r="495" spans="1:6" ht="36" x14ac:dyDescent="0.35">
      <c r="A495" s="5" t="s">
        <v>1548</v>
      </c>
      <c r="B495" s="5" t="s">
        <v>157</v>
      </c>
      <c r="C495" s="6">
        <v>0.18</v>
      </c>
      <c r="D495" s="7">
        <f t="shared" si="57"/>
        <v>0.13500000000000001</v>
      </c>
      <c r="E495" s="7">
        <f t="shared" si="58"/>
        <v>2.7000000000000001E-3</v>
      </c>
      <c r="F495" s="7">
        <f t="shared" si="59"/>
        <v>0.1323</v>
      </c>
    </row>
    <row r="496" spans="1:6" ht="36" x14ac:dyDescent="0.35">
      <c r="A496" s="5" t="s">
        <v>1549</v>
      </c>
      <c r="B496" s="5" t="s">
        <v>157</v>
      </c>
      <c r="C496" s="6">
        <v>0.15</v>
      </c>
      <c r="D496" s="7">
        <f t="shared" si="57"/>
        <v>0.105</v>
      </c>
      <c r="E496" s="7">
        <f t="shared" si="58"/>
        <v>2.0999999999999999E-3</v>
      </c>
      <c r="F496" s="7">
        <f t="shared" si="59"/>
        <v>0.10289999999999999</v>
      </c>
    </row>
    <row r="497" spans="1:6" ht="36" x14ac:dyDescent="0.35">
      <c r="A497" s="5" t="s">
        <v>1550</v>
      </c>
      <c r="B497" s="5" t="s">
        <v>157</v>
      </c>
      <c r="C497" s="6">
        <v>0.17</v>
      </c>
      <c r="D497" s="7">
        <f t="shared" si="57"/>
        <v>0.125</v>
      </c>
      <c r="E497" s="7">
        <f t="shared" si="58"/>
        <v>2.5000000000000001E-3</v>
      </c>
      <c r="F497" s="7">
        <f t="shared" si="59"/>
        <v>0.1225</v>
      </c>
    </row>
    <row r="498" spans="1:6" ht="36" x14ac:dyDescent="0.35">
      <c r="A498" s="5" t="s">
        <v>1551</v>
      </c>
      <c r="B498" s="5" t="s">
        <v>157</v>
      </c>
      <c r="C498" s="6">
        <v>0.22</v>
      </c>
      <c r="D498" s="7">
        <f t="shared" si="57"/>
        <v>0.17499999999999999</v>
      </c>
      <c r="E498" s="7">
        <f t="shared" si="58"/>
        <v>3.4999999999999996E-3</v>
      </c>
      <c r="F498" s="7">
        <f t="shared" si="59"/>
        <v>0.17149999999999999</v>
      </c>
    </row>
    <row r="499" spans="1:6" ht="36" x14ac:dyDescent="0.35">
      <c r="A499" s="5" t="s">
        <v>1552</v>
      </c>
      <c r="B499" s="5" t="s">
        <v>157</v>
      </c>
      <c r="C499" s="6">
        <v>0.24</v>
      </c>
      <c r="D499" s="7">
        <f t="shared" si="57"/>
        <v>0.19500000000000001</v>
      </c>
      <c r="E499" s="7">
        <f t="shared" si="58"/>
        <v>3.9000000000000003E-3</v>
      </c>
      <c r="F499" s="7">
        <f t="shared" si="59"/>
        <v>0.19110000000000002</v>
      </c>
    </row>
    <row r="500" spans="1:6" ht="36" x14ac:dyDescent="0.35">
      <c r="A500" s="5" t="s">
        <v>1553</v>
      </c>
      <c r="B500" s="5" t="s">
        <v>157</v>
      </c>
      <c r="C500" s="6">
        <v>0.27</v>
      </c>
      <c r="D500" s="7">
        <f t="shared" si="57"/>
        <v>0.22500000000000003</v>
      </c>
      <c r="E500" s="7">
        <f t="shared" si="58"/>
        <v>4.5000000000000005E-3</v>
      </c>
      <c r="F500" s="7">
        <f t="shared" si="59"/>
        <v>0.22050000000000003</v>
      </c>
    </row>
    <row r="501" spans="1:6" ht="36" x14ac:dyDescent="0.35">
      <c r="A501" s="5" t="s">
        <v>1554</v>
      </c>
      <c r="B501" s="5" t="s">
        <v>157</v>
      </c>
      <c r="C501" s="6">
        <v>0.28000000000000003</v>
      </c>
      <c r="D501" s="7">
        <f t="shared" si="57"/>
        <v>0.23500000000000004</v>
      </c>
      <c r="E501" s="7">
        <f t="shared" si="58"/>
        <v>4.7000000000000011E-3</v>
      </c>
      <c r="F501" s="7">
        <f t="shared" si="59"/>
        <v>0.23030000000000003</v>
      </c>
    </row>
    <row r="502" spans="1:6" ht="36" x14ac:dyDescent="0.35">
      <c r="A502" s="5" t="s">
        <v>1555</v>
      </c>
      <c r="B502" s="5" t="s">
        <v>157</v>
      </c>
      <c r="C502" s="6">
        <v>0.13</v>
      </c>
      <c r="D502" s="7">
        <f t="shared" si="57"/>
        <v>8.5000000000000006E-2</v>
      </c>
      <c r="E502" s="7">
        <f t="shared" si="58"/>
        <v>1.7000000000000001E-3</v>
      </c>
      <c r="F502" s="7">
        <f t="shared" si="59"/>
        <v>8.3300000000000013E-2</v>
      </c>
    </row>
    <row r="503" spans="1:6" ht="36" x14ac:dyDescent="0.35">
      <c r="A503" s="5" t="s">
        <v>1556</v>
      </c>
      <c r="B503" s="5" t="s">
        <v>157</v>
      </c>
      <c r="C503" s="6">
        <v>0.18</v>
      </c>
      <c r="D503" s="7">
        <f t="shared" si="57"/>
        <v>0.13500000000000001</v>
      </c>
      <c r="E503" s="7">
        <f t="shared" si="58"/>
        <v>2.7000000000000001E-3</v>
      </c>
      <c r="F503" s="7">
        <f t="shared" si="59"/>
        <v>0.1323</v>
      </c>
    </row>
    <row r="504" spans="1:6" x14ac:dyDescent="0.35">
      <c r="A504" s="2" t="s">
        <v>175</v>
      </c>
      <c r="B504" s="2" t="s">
        <v>1</v>
      </c>
      <c r="C504" s="3" t="s">
        <v>2</v>
      </c>
      <c r="D504" s="4" t="s">
        <v>4</v>
      </c>
      <c r="E504" s="4" t="s">
        <v>5</v>
      </c>
      <c r="F504" s="4" t="s">
        <v>6</v>
      </c>
    </row>
    <row r="505" spans="1:6" ht="24" x14ac:dyDescent="0.35">
      <c r="A505" s="5" t="s">
        <v>176</v>
      </c>
      <c r="B505" s="5" t="s">
        <v>8</v>
      </c>
      <c r="C505" s="7">
        <v>0.125</v>
      </c>
      <c r="D505" s="7">
        <f t="shared" ref="D505:D511" si="60">C505-(4.5%)</f>
        <v>0.08</v>
      </c>
      <c r="E505" s="7">
        <f t="shared" ref="E505:E511" si="61">D505*2%</f>
        <v>1.6000000000000001E-3</v>
      </c>
      <c r="F505" s="7">
        <f t="shared" ref="F505:F511" si="62">D505-E505</f>
        <v>7.8399999999999997E-2</v>
      </c>
    </row>
    <row r="506" spans="1:6" ht="24" x14ac:dyDescent="0.35">
      <c r="A506" s="5" t="s">
        <v>177</v>
      </c>
      <c r="B506" s="5" t="s">
        <v>132</v>
      </c>
      <c r="C506" s="7">
        <v>0.125</v>
      </c>
      <c r="D506" s="7">
        <f t="shared" si="60"/>
        <v>0.08</v>
      </c>
      <c r="E506" s="7">
        <f t="shared" si="61"/>
        <v>1.6000000000000001E-3</v>
      </c>
      <c r="F506" s="7">
        <f t="shared" si="62"/>
        <v>7.8399999999999997E-2</v>
      </c>
    </row>
    <row r="507" spans="1:6" ht="24" x14ac:dyDescent="0.35">
      <c r="A507" s="5" t="s">
        <v>178</v>
      </c>
      <c r="B507" s="5" t="s">
        <v>8</v>
      </c>
      <c r="C507" s="7">
        <v>0.125</v>
      </c>
      <c r="D507" s="7">
        <f t="shared" si="60"/>
        <v>0.08</v>
      </c>
      <c r="E507" s="7">
        <f t="shared" si="61"/>
        <v>1.6000000000000001E-3</v>
      </c>
      <c r="F507" s="7">
        <f t="shared" si="62"/>
        <v>7.8399999999999997E-2</v>
      </c>
    </row>
    <row r="508" spans="1:6" x14ac:dyDescent="0.35">
      <c r="A508" s="5" t="s">
        <v>179</v>
      </c>
      <c r="B508" s="5" t="s">
        <v>132</v>
      </c>
      <c r="C508" s="7">
        <v>0.125</v>
      </c>
      <c r="D508" s="7">
        <f t="shared" si="60"/>
        <v>0.08</v>
      </c>
      <c r="E508" s="7">
        <f t="shared" si="61"/>
        <v>1.6000000000000001E-3</v>
      </c>
      <c r="F508" s="7">
        <f t="shared" si="62"/>
        <v>7.8399999999999997E-2</v>
      </c>
    </row>
    <row r="509" spans="1:6" ht="24" x14ac:dyDescent="0.35">
      <c r="A509" s="5" t="s">
        <v>180</v>
      </c>
      <c r="B509" s="5" t="s">
        <v>96</v>
      </c>
      <c r="C509" s="6">
        <v>0.11</v>
      </c>
      <c r="D509" s="7">
        <f t="shared" si="60"/>
        <v>6.5000000000000002E-2</v>
      </c>
      <c r="E509" s="7">
        <f t="shared" si="61"/>
        <v>1.3000000000000002E-3</v>
      </c>
      <c r="F509" s="7">
        <f t="shared" si="62"/>
        <v>6.3700000000000007E-2</v>
      </c>
    </row>
    <row r="510" spans="1:6" x14ac:dyDescent="0.35">
      <c r="A510" s="41" t="s">
        <v>181</v>
      </c>
      <c r="B510" s="5" t="s">
        <v>98</v>
      </c>
      <c r="C510" s="6">
        <v>0.19500000000000001</v>
      </c>
      <c r="D510" s="7">
        <f t="shared" si="60"/>
        <v>0.15000000000000002</v>
      </c>
      <c r="E510" s="7">
        <f t="shared" si="61"/>
        <v>3.0000000000000005E-3</v>
      </c>
      <c r="F510" s="7">
        <f t="shared" si="62"/>
        <v>0.14700000000000002</v>
      </c>
    </row>
    <row r="511" spans="1:6" x14ac:dyDescent="0.35">
      <c r="A511" s="43"/>
      <c r="B511" s="5" t="s">
        <v>99</v>
      </c>
      <c r="C511" s="6">
        <v>0.3</v>
      </c>
      <c r="D511" s="7">
        <f t="shared" si="60"/>
        <v>0.255</v>
      </c>
      <c r="E511" s="7">
        <f t="shared" si="61"/>
        <v>5.1000000000000004E-3</v>
      </c>
      <c r="F511" s="7">
        <f t="shared" si="62"/>
        <v>0.24990000000000001</v>
      </c>
    </row>
    <row r="512" spans="1:6" x14ac:dyDescent="0.35">
      <c r="A512" s="2" t="s">
        <v>182</v>
      </c>
      <c r="B512" s="2" t="s">
        <v>1</v>
      </c>
      <c r="C512" s="3" t="s">
        <v>2</v>
      </c>
      <c r="D512" s="4" t="s">
        <v>4</v>
      </c>
      <c r="E512" s="4" t="s">
        <v>5</v>
      </c>
      <c r="F512" s="4" t="s">
        <v>6</v>
      </c>
    </row>
    <row r="513" spans="1:6" x14ac:dyDescent="0.35">
      <c r="A513" s="41" t="s">
        <v>183</v>
      </c>
      <c r="B513" s="5" t="s">
        <v>92</v>
      </c>
      <c r="C513" s="6">
        <v>0.15</v>
      </c>
      <c r="D513" s="7">
        <f>C513-(4.5%)</f>
        <v>0.105</v>
      </c>
      <c r="E513" s="7">
        <f>D513*2%</f>
        <v>2.0999999999999999E-3</v>
      </c>
      <c r="F513" s="7">
        <f>D513-E513</f>
        <v>0.10289999999999999</v>
      </c>
    </row>
    <row r="514" spans="1:6" x14ac:dyDescent="0.35">
      <c r="A514" s="43"/>
      <c r="B514" s="5" t="s">
        <v>93</v>
      </c>
      <c r="C514" s="6">
        <v>0.1</v>
      </c>
      <c r="D514" s="7">
        <f>C514-(4.5%)</f>
        <v>5.5000000000000007E-2</v>
      </c>
      <c r="E514" s="7">
        <f>D514*2%</f>
        <v>1.1000000000000001E-3</v>
      </c>
      <c r="F514" s="7">
        <f>D514-E514</f>
        <v>5.390000000000001E-2</v>
      </c>
    </row>
    <row r="515" spans="1:6" ht="14.5" customHeight="1" x14ac:dyDescent="0.35">
      <c r="A515" s="44" t="s">
        <v>184</v>
      </c>
      <c r="B515" s="5" t="s">
        <v>92</v>
      </c>
      <c r="C515" s="6">
        <v>0.27</v>
      </c>
      <c r="D515" s="7">
        <f>C515-(4.5%)</f>
        <v>0.22500000000000003</v>
      </c>
      <c r="E515" s="7">
        <f>D515*2%</f>
        <v>4.5000000000000005E-3</v>
      </c>
      <c r="F515" s="7">
        <f>D515-E515</f>
        <v>0.22050000000000003</v>
      </c>
    </row>
    <row r="516" spans="1:6" x14ac:dyDescent="0.35">
      <c r="A516" s="45"/>
      <c r="B516" s="5" t="s">
        <v>93</v>
      </c>
      <c r="C516" s="6">
        <v>0.27</v>
      </c>
      <c r="D516" s="7">
        <f>C516-(4.5%)</f>
        <v>0.22500000000000003</v>
      </c>
      <c r="E516" s="7">
        <f>D516*2%</f>
        <v>4.5000000000000005E-3</v>
      </c>
      <c r="F516" s="7">
        <f>D516-E516</f>
        <v>0.22050000000000003</v>
      </c>
    </row>
    <row r="517" spans="1:6" x14ac:dyDescent="0.35">
      <c r="A517" s="2" t="s">
        <v>185</v>
      </c>
      <c r="B517" s="2" t="s">
        <v>1</v>
      </c>
      <c r="C517" s="3" t="s">
        <v>2</v>
      </c>
      <c r="D517" s="4" t="s">
        <v>4</v>
      </c>
      <c r="E517" s="4" t="s">
        <v>5</v>
      </c>
      <c r="F517" s="4" t="s">
        <v>6</v>
      </c>
    </row>
    <row r="518" spans="1:6" x14ac:dyDescent="0.35">
      <c r="A518" s="5" t="s">
        <v>186</v>
      </c>
      <c r="B518" s="5" t="s">
        <v>100</v>
      </c>
      <c r="C518" s="6">
        <v>0.35</v>
      </c>
      <c r="D518" s="7">
        <f t="shared" ref="D518:D544" si="63">C518-(4.5%)</f>
        <v>0.30499999999999999</v>
      </c>
      <c r="E518" s="7">
        <f t="shared" ref="E518:E544" si="64">D518*2%</f>
        <v>6.1000000000000004E-3</v>
      </c>
      <c r="F518" s="7">
        <f t="shared" ref="F518:F544" si="65">D518-E518</f>
        <v>0.2989</v>
      </c>
    </row>
    <row r="519" spans="1:6" x14ac:dyDescent="0.35">
      <c r="A519" s="5" t="s">
        <v>187</v>
      </c>
      <c r="B519" s="5" t="s">
        <v>188</v>
      </c>
      <c r="C519" s="6">
        <v>0.3</v>
      </c>
      <c r="D519" s="7">
        <f t="shared" si="63"/>
        <v>0.255</v>
      </c>
      <c r="E519" s="7">
        <f t="shared" si="64"/>
        <v>5.1000000000000004E-3</v>
      </c>
      <c r="F519" s="7">
        <f t="shared" si="65"/>
        <v>0.24990000000000001</v>
      </c>
    </row>
    <row r="520" spans="1:6" x14ac:dyDescent="0.35">
      <c r="A520" s="48" t="s">
        <v>189</v>
      </c>
      <c r="B520" s="5" t="s">
        <v>87</v>
      </c>
      <c r="C520" s="6">
        <v>0.28000000000000003</v>
      </c>
      <c r="D520" s="7">
        <f t="shared" si="63"/>
        <v>0.23500000000000004</v>
      </c>
      <c r="E520" s="7">
        <f t="shared" si="64"/>
        <v>4.7000000000000011E-3</v>
      </c>
      <c r="F520" s="7">
        <f t="shared" si="65"/>
        <v>0.23030000000000003</v>
      </c>
    </row>
    <row r="521" spans="1:6" x14ac:dyDescent="0.35">
      <c r="A521" s="48"/>
      <c r="B521" s="5" t="s">
        <v>88</v>
      </c>
      <c r="C521" s="6">
        <v>0.24</v>
      </c>
      <c r="D521" s="7">
        <f t="shared" si="63"/>
        <v>0.19500000000000001</v>
      </c>
      <c r="E521" s="7">
        <f t="shared" si="64"/>
        <v>3.9000000000000003E-3</v>
      </c>
      <c r="F521" s="7">
        <f t="shared" si="65"/>
        <v>0.19110000000000002</v>
      </c>
    </row>
    <row r="522" spans="1:6" x14ac:dyDescent="0.35">
      <c r="A522" s="48"/>
      <c r="B522" s="5" t="s">
        <v>89</v>
      </c>
      <c r="C522" s="6">
        <v>0.35</v>
      </c>
      <c r="D522" s="7">
        <f t="shared" si="63"/>
        <v>0.30499999999999999</v>
      </c>
      <c r="E522" s="7">
        <f t="shared" si="64"/>
        <v>6.1000000000000004E-3</v>
      </c>
      <c r="F522" s="7">
        <f t="shared" si="65"/>
        <v>0.2989</v>
      </c>
    </row>
    <row r="523" spans="1:6" x14ac:dyDescent="0.35">
      <c r="A523" s="48" t="s">
        <v>190</v>
      </c>
      <c r="B523" s="5" t="s">
        <v>87</v>
      </c>
      <c r="C523" s="6">
        <v>0.28000000000000003</v>
      </c>
      <c r="D523" s="7">
        <f t="shared" si="63"/>
        <v>0.23500000000000004</v>
      </c>
      <c r="E523" s="7">
        <f t="shared" si="64"/>
        <v>4.7000000000000011E-3</v>
      </c>
      <c r="F523" s="7">
        <f t="shared" si="65"/>
        <v>0.23030000000000003</v>
      </c>
    </row>
    <row r="524" spans="1:6" x14ac:dyDescent="0.35">
      <c r="A524" s="48"/>
      <c r="B524" s="5" t="s">
        <v>88</v>
      </c>
      <c r="C524" s="6">
        <v>0.24</v>
      </c>
      <c r="D524" s="7">
        <f t="shared" si="63"/>
        <v>0.19500000000000001</v>
      </c>
      <c r="E524" s="7">
        <f t="shared" si="64"/>
        <v>3.9000000000000003E-3</v>
      </c>
      <c r="F524" s="7">
        <f t="shared" si="65"/>
        <v>0.19110000000000002</v>
      </c>
    </row>
    <row r="525" spans="1:6" x14ac:dyDescent="0.35">
      <c r="A525" s="48"/>
      <c r="B525" s="5" t="s">
        <v>89</v>
      </c>
      <c r="C525" s="6">
        <v>0.35</v>
      </c>
      <c r="D525" s="7">
        <f t="shared" si="63"/>
        <v>0.30499999999999999</v>
      </c>
      <c r="E525" s="7">
        <f t="shared" si="64"/>
        <v>6.1000000000000004E-3</v>
      </c>
      <c r="F525" s="7">
        <f t="shared" si="65"/>
        <v>0.2989</v>
      </c>
    </row>
    <row r="526" spans="1:6" x14ac:dyDescent="0.35">
      <c r="A526" s="48" t="s">
        <v>191</v>
      </c>
      <c r="B526" s="5" t="s">
        <v>87</v>
      </c>
      <c r="C526" s="6">
        <v>0.18</v>
      </c>
      <c r="D526" s="7">
        <f t="shared" si="63"/>
        <v>0.13500000000000001</v>
      </c>
      <c r="E526" s="7">
        <f t="shared" si="64"/>
        <v>2.7000000000000001E-3</v>
      </c>
      <c r="F526" s="7">
        <f t="shared" si="65"/>
        <v>0.1323</v>
      </c>
    </row>
    <row r="527" spans="1:6" x14ac:dyDescent="0.35">
      <c r="A527" s="48"/>
      <c r="B527" s="5" t="s">
        <v>88</v>
      </c>
      <c r="C527" s="6">
        <v>0.18</v>
      </c>
      <c r="D527" s="7">
        <f t="shared" si="63"/>
        <v>0.13500000000000001</v>
      </c>
      <c r="E527" s="7">
        <f t="shared" si="64"/>
        <v>2.7000000000000001E-3</v>
      </c>
      <c r="F527" s="7">
        <f t="shared" si="65"/>
        <v>0.1323</v>
      </c>
    </row>
    <row r="528" spans="1:6" x14ac:dyDescent="0.35">
      <c r="A528" s="48"/>
      <c r="B528" s="5" t="s">
        <v>89</v>
      </c>
      <c r="C528" s="6">
        <v>0.18</v>
      </c>
      <c r="D528" s="7">
        <f t="shared" si="63"/>
        <v>0.13500000000000001</v>
      </c>
      <c r="E528" s="7">
        <f t="shared" si="64"/>
        <v>2.7000000000000001E-3</v>
      </c>
      <c r="F528" s="7">
        <f t="shared" si="65"/>
        <v>0.1323</v>
      </c>
    </row>
    <row r="529" spans="1:6" x14ac:dyDescent="0.35">
      <c r="A529" s="48" t="s">
        <v>192</v>
      </c>
      <c r="B529" s="5" t="s">
        <v>87</v>
      </c>
      <c r="C529" s="6">
        <v>0.21</v>
      </c>
      <c r="D529" s="7">
        <f t="shared" si="63"/>
        <v>0.16499999999999998</v>
      </c>
      <c r="E529" s="7">
        <f t="shared" si="64"/>
        <v>3.2999999999999995E-3</v>
      </c>
      <c r="F529" s="7">
        <f t="shared" si="65"/>
        <v>0.16169999999999998</v>
      </c>
    </row>
    <row r="530" spans="1:6" x14ac:dyDescent="0.35">
      <c r="A530" s="48"/>
      <c r="B530" s="5" t="s">
        <v>88</v>
      </c>
      <c r="C530" s="6">
        <v>0.21</v>
      </c>
      <c r="D530" s="7">
        <f t="shared" si="63"/>
        <v>0.16499999999999998</v>
      </c>
      <c r="E530" s="7">
        <f t="shared" si="64"/>
        <v>3.2999999999999995E-3</v>
      </c>
      <c r="F530" s="7">
        <f t="shared" si="65"/>
        <v>0.16169999999999998</v>
      </c>
    </row>
    <row r="531" spans="1:6" x14ac:dyDescent="0.35">
      <c r="A531" s="48"/>
      <c r="B531" s="5" t="s">
        <v>89</v>
      </c>
      <c r="C531" s="6">
        <v>0.22</v>
      </c>
      <c r="D531" s="7">
        <f t="shared" si="63"/>
        <v>0.17499999999999999</v>
      </c>
      <c r="E531" s="7">
        <f t="shared" si="64"/>
        <v>3.4999999999999996E-3</v>
      </c>
      <c r="F531" s="7">
        <f t="shared" si="65"/>
        <v>0.17149999999999999</v>
      </c>
    </row>
    <row r="532" spans="1:6" x14ac:dyDescent="0.35">
      <c r="A532" s="48" t="s">
        <v>193</v>
      </c>
      <c r="B532" s="5" t="s">
        <v>87</v>
      </c>
      <c r="C532" s="6">
        <v>0.13</v>
      </c>
      <c r="D532" s="7">
        <f t="shared" si="63"/>
        <v>8.5000000000000006E-2</v>
      </c>
      <c r="E532" s="7">
        <f t="shared" si="64"/>
        <v>1.7000000000000001E-3</v>
      </c>
      <c r="F532" s="7">
        <f t="shared" si="65"/>
        <v>8.3300000000000013E-2</v>
      </c>
    </row>
    <row r="533" spans="1:6" x14ac:dyDescent="0.35">
      <c r="A533" s="48"/>
      <c r="B533" s="5" t="s">
        <v>88</v>
      </c>
      <c r="C533" s="6">
        <v>0.13</v>
      </c>
      <c r="D533" s="7">
        <f t="shared" si="63"/>
        <v>8.5000000000000006E-2</v>
      </c>
      <c r="E533" s="7">
        <f t="shared" si="64"/>
        <v>1.7000000000000001E-3</v>
      </c>
      <c r="F533" s="7">
        <f t="shared" si="65"/>
        <v>8.3300000000000013E-2</v>
      </c>
    </row>
    <row r="534" spans="1:6" x14ac:dyDescent="0.35">
      <c r="A534" s="48"/>
      <c r="B534" s="5" t="s">
        <v>89</v>
      </c>
      <c r="C534" s="6">
        <v>0.13</v>
      </c>
      <c r="D534" s="7">
        <f t="shared" si="63"/>
        <v>8.5000000000000006E-2</v>
      </c>
      <c r="E534" s="7">
        <f t="shared" si="64"/>
        <v>1.7000000000000001E-3</v>
      </c>
      <c r="F534" s="7">
        <f t="shared" si="65"/>
        <v>8.3300000000000013E-2</v>
      </c>
    </row>
    <row r="535" spans="1:6" x14ac:dyDescent="0.35">
      <c r="A535" s="48" t="s">
        <v>194</v>
      </c>
      <c r="B535" s="5" t="s">
        <v>87</v>
      </c>
      <c r="C535" s="6">
        <v>0.13</v>
      </c>
      <c r="D535" s="7">
        <f t="shared" si="63"/>
        <v>8.5000000000000006E-2</v>
      </c>
      <c r="E535" s="7">
        <f t="shared" si="64"/>
        <v>1.7000000000000001E-3</v>
      </c>
      <c r="F535" s="7">
        <f t="shared" si="65"/>
        <v>8.3300000000000013E-2</v>
      </c>
    </row>
    <row r="536" spans="1:6" x14ac:dyDescent="0.35">
      <c r="A536" s="48"/>
      <c r="B536" s="5" t="s">
        <v>88</v>
      </c>
      <c r="C536" s="6">
        <v>0.14000000000000001</v>
      </c>
      <c r="D536" s="7">
        <f t="shared" si="63"/>
        <v>9.5000000000000015E-2</v>
      </c>
      <c r="E536" s="7">
        <f t="shared" si="64"/>
        <v>1.9000000000000004E-3</v>
      </c>
      <c r="F536" s="7">
        <f t="shared" si="65"/>
        <v>9.3100000000000016E-2</v>
      </c>
    </row>
    <row r="537" spans="1:6" x14ac:dyDescent="0.35">
      <c r="A537" s="48"/>
      <c r="B537" s="5" t="s">
        <v>89</v>
      </c>
      <c r="C537" s="6">
        <v>0.12</v>
      </c>
      <c r="D537" s="7">
        <f t="shared" si="63"/>
        <v>7.4999999999999997E-2</v>
      </c>
      <c r="E537" s="7">
        <f t="shared" si="64"/>
        <v>1.5E-3</v>
      </c>
      <c r="F537" s="7">
        <f t="shared" si="65"/>
        <v>7.3499999999999996E-2</v>
      </c>
    </row>
    <row r="538" spans="1:6" x14ac:dyDescent="0.35">
      <c r="A538" s="5" t="s">
        <v>195</v>
      </c>
      <c r="B538" s="5" t="s">
        <v>32</v>
      </c>
      <c r="C538" s="6">
        <v>0.32</v>
      </c>
      <c r="D538" s="7">
        <f t="shared" si="63"/>
        <v>0.27500000000000002</v>
      </c>
      <c r="E538" s="7">
        <f t="shared" si="64"/>
        <v>5.5000000000000005E-3</v>
      </c>
      <c r="F538" s="7">
        <f t="shared" si="65"/>
        <v>0.26950000000000002</v>
      </c>
    </row>
    <row r="539" spans="1:6" x14ac:dyDescent="0.35">
      <c r="A539" s="5" t="s">
        <v>196</v>
      </c>
      <c r="B539" s="5" t="s">
        <v>32</v>
      </c>
      <c r="C539" s="6">
        <v>0.32</v>
      </c>
      <c r="D539" s="7">
        <f t="shared" si="63"/>
        <v>0.27500000000000002</v>
      </c>
      <c r="E539" s="7">
        <f t="shared" si="64"/>
        <v>5.5000000000000005E-3</v>
      </c>
      <c r="F539" s="7">
        <f t="shared" si="65"/>
        <v>0.26950000000000002</v>
      </c>
    </row>
    <row r="540" spans="1:6" ht="36" x14ac:dyDescent="0.35">
      <c r="A540" s="5" t="s">
        <v>197</v>
      </c>
      <c r="B540" s="5" t="s">
        <v>198</v>
      </c>
      <c r="C540" s="6">
        <v>0.17499999999999999</v>
      </c>
      <c r="D540" s="7">
        <f t="shared" si="63"/>
        <v>0.13</v>
      </c>
      <c r="E540" s="7">
        <f t="shared" si="64"/>
        <v>2.6000000000000003E-3</v>
      </c>
      <c r="F540" s="7">
        <f t="shared" si="65"/>
        <v>0.12740000000000001</v>
      </c>
    </row>
    <row r="541" spans="1:6" x14ac:dyDescent="0.35">
      <c r="A541" s="5" t="s">
        <v>199</v>
      </c>
      <c r="B541" s="5" t="s">
        <v>32</v>
      </c>
      <c r="C541" s="6">
        <v>0.23</v>
      </c>
      <c r="D541" s="7">
        <f t="shared" si="63"/>
        <v>0.185</v>
      </c>
      <c r="E541" s="7">
        <f t="shared" si="64"/>
        <v>3.7000000000000002E-3</v>
      </c>
      <c r="F541" s="7">
        <f t="shared" si="65"/>
        <v>0.18129999999999999</v>
      </c>
    </row>
    <row r="542" spans="1:6" x14ac:dyDescent="0.35">
      <c r="A542" s="44" t="s">
        <v>200</v>
      </c>
      <c r="B542" s="5" t="s">
        <v>92</v>
      </c>
      <c r="C542" s="6">
        <v>0.35</v>
      </c>
      <c r="D542" s="7">
        <f t="shared" si="63"/>
        <v>0.30499999999999999</v>
      </c>
      <c r="E542" s="7">
        <f t="shared" si="64"/>
        <v>6.1000000000000004E-3</v>
      </c>
      <c r="F542" s="7">
        <f t="shared" si="65"/>
        <v>0.2989</v>
      </c>
    </row>
    <row r="543" spans="1:6" x14ac:dyDescent="0.35">
      <c r="A543" s="45"/>
      <c r="B543" s="5" t="s">
        <v>93</v>
      </c>
      <c r="C543" s="6">
        <v>0.35</v>
      </c>
      <c r="D543" s="7">
        <f t="shared" si="63"/>
        <v>0.30499999999999999</v>
      </c>
      <c r="E543" s="7">
        <f t="shared" si="64"/>
        <v>6.1000000000000004E-3</v>
      </c>
      <c r="F543" s="7">
        <f t="shared" si="65"/>
        <v>0.2989</v>
      </c>
    </row>
    <row r="544" spans="1:6" x14ac:dyDescent="0.35">
      <c r="A544" s="44" t="s">
        <v>1146</v>
      </c>
      <c r="B544" s="5" t="s">
        <v>33</v>
      </c>
      <c r="C544" s="6">
        <v>0.25</v>
      </c>
      <c r="D544" s="7">
        <f t="shared" si="63"/>
        <v>0.20500000000000002</v>
      </c>
      <c r="E544" s="7">
        <f t="shared" si="64"/>
        <v>4.1000000000000003E-3</v>
      </c>
      <c r="F544" s="7">
        <f t="shared" si="65"/>
        <v>0.20090000000000002</v>
      </c>
    </row>
    <row r="545" spans="1:6" x14ac:dyDescent="0.35">
      <c r="A545" s="47"/>
      <c r="B545" s="5" t="s">
        <v>34</v>
      </c>
      <c r="C545" s="6">
        <v>0</v>
      </c>
      <c r="D545" s="7" t="s">
        <v>20</v>
      </c>
      <c r="E545" s="7" t="s">
        <v>20</v>
      </c>
      <c r="F545" s="7" t="s">
        <v>20</v>
      </c>
    </row>
    <row r="546" spans="1:6" x14ac:dyDescent="0.35">
      <c r="A546" s="45"/>
      <c r="B546" s="5" t="s">
        <v>35</v>
      </c>
      <c r="C546" s="6">
        <v>0</v>
      </c>
      <c r="D546" s="7" t="s">
        <v>20</v>
      </c>
      <c r="E546" s="7" t="s">
        <v>20</v>
      </c>
      <c r="F546" s="7" t="s">
        <v>20</v>
      </c>
    </row>
    <row r="547" spans="1:6" x14ac:dyDescent="0.35">
      <c r="A547" s="48" t="s">
        <v>1142</v>
      </c>
      <c r="B547" s="5" t="s">
        <v>33</v>
      </c>
      <c r="C547" s="6">
        <v>0.14000000000000001</v>
      </c>
      <c r="D547" s="7">
        <f>C547-(4.5%)</f>
        <v>9.5000000000000015E-2</v>
      </c>
      <c r="E547" s="7">
        <f>D547*2%</f>
        <v>1.9000000000000004E-3</v>
      </c>
      <c r="F547" s="7">
        <f>D547-E547</f>
        <v>9.3100000000000016E-2</v>
      </c>
    </row>
    <row r="548" spans="1:6" x14ac:dyDescent="0.35">
      <c r="A548" s="48"/>
      <c r="B548" s="5" t="s">
        <v>34</v>
      </c>
      <c r="C548" s="6">
        <v>0.35</v>
      </c>
      <c r="D548" s="7">
        <f>C548-(4.5%)</f>
        <v>0.30499999999999999</v>
      </c>
      <c r="E548" s="7">
        <f>D548*2%</f>
        <v>6.1000000000000004E-3</v>
      </c>
      <c r="F548" s="7">
        <f>D548-E548</f>
        <v>0.2989</v>
      </c>
    </row>
    <row r="549" spans="1:6" x14ac:dyDescent="0.35">
      <c r="A549" s="48"/>
      <c r="B549" s="5" t="s">
        <v>35</v>
      </c>
      <c r="C549" s="6">
        <v>0</v>
      </c>
      <c r="D549" s="7" t="s">
        <v>20</v>
      </c>
      <c r="E549" s="7" t="s">
        <v>20</v>
      </c>
      <c r="F549" s="7" t="s">
        <v>20</v>
      </c>
    </row>
    <row r="550" spans="1:6" x14ac:dyDescent="0.35">
      <c r="A550" s="48" t="s">
        <v>1557</v>
      </c>
      <c r="B550" s="5" t="s">
        <v>34</v>
      </c>
      <c r="C550" s="6">
        <v>0.4</v>
      </c>
      <c r="D550" s="7">
        <f t="shared" ref="D550:D567" si="66">C550-(4.5%)</f>
        <v>0.35500000000000004</v>
      </c>
      <c r="E550" s="7">
        <f t="shared" ref="E550:E567" si="67">D550*2%</f>
        <v>7.1000000000000013E-3</v>
      </c>
      <c r="F550" s="7">
        <f t="shared" ref="F550:F567" si="68">D550-E550</f>
        <v>0.34790000000000004</v>
      </c>
    </row>
    <row r="551" spans="1:6" x14ac:dyDescent="0.35">
      <c r="A551" s="48"/>
      <c r="B551" s="5" t="s">
        <v>201</v>
      </c>
      <c r="C551" s="6">
        <v>0.31</v>
      </c>
      <c r="D551" s="7">
        <f t="shared" si="66"/>
        <v>0.26500000000000001</v>
      </c>
      <c r="E551" s="7">
        <f t="shared" si="67"/>
        <v>5.3E-3</v>
      </c>
      <c r="F551" s="7">
        <f t="shared" si="68"/>
        <v>0.25969999999999999</v>
      </c>
    </row>
    <row r="552" spans="1:6" x14ac:dyDescent="0.35">
      <c r="A552" s="48"/>
      <c r="B552" s="5" t="s">
        <v>202</v>
      </c>
      <c r="C552" s="6">
        <v>0.4</v>
      </c>
      <c r="D552" s="7">
        <f t="shared" si="66"/>
        <v>0.35500000000000004</v>
      </c>
      <c r="E552" s="7">
        <f t="shared" si="67"/>
        <v>7.1000000000000013E-3</v>
      </c>
      <c r="F552" s="7">
        <f t="shared" si="68"/>
        <v>0.34790000000000004</v>
      </c>
    </row>
    <row r="553" spans="1:6" x14ac:dyDescent="0.35">
      <c r="A553" s="48" t="s">
        <v>1558</v>
      </c>
      <c r="B553" s="5" t="s">
        <v>34</v>
      </c>
      <c r="C553" s="6">
        <v>0.39</v>
      </c>
      <c r="D553" s="7">
        <f t="shared" si="66"/>
        <v>0.34500000000000003</v>
      </c>
      <c r="E553" s="7">
        <f t="shared" si="67"/>
        <v>6.9000000000000008E-3</v>
      </c>
      <c r="F553" s="7">
        <f t="shared" si="68"/>
        <v>0.33810000000000001</v>
      </c>
    </row>
    <row r="554" spans="1:6" x14ac:dyDescent="0.35">
      <c r="A554" s="48"/>
      <c r="B554" s="5" t="s">
        <v>201</v>
      </c>
      <c r="C554" s="6">
        <v>0.28000000000000003</v>
      </c>
      <c r="D554" s="7">
        <f t="shared" si="66"/>
        <v>0.23500000000000004</v>
      </c>
      <c r="E554" s="7">
        <f t="shared" si="67"/>
        <v>4.7000000000000011E-3</v>
      </c>
      <c r="F554" s="7">
        <f t="shared" si="68"/>
        <v>0.23030000000000003</v>
      </c>
    </row>
    <row r="555" spans="1:6" x14ac:dyDescent="0.35">
      <c r="A555" s="48"/>
      <c r="B555" s="5" t="s">
        <v>202</v>
      </c>
      <c r="C555" s="6">
        <v>0.39</v>
      </c>
      <c r="D555" s="7">
        <f t="shared" si="66"/>
        <v>0.34500000000000003</v>
      </c>
      <c r="E555" s="7">
        <f t="shared" si="67"/>
        <v>6.9000000000000008E-3</v>
      </c>
      <c r="F555" s="7">
        <f t="shared" si="68"/>
        <v>0.33810000000000001</v>
      </c>
    </row>
    <row r="556" spans="1:6" x14ac:dyDescent="0.35">
      <c r="A556" s="48" t="s">
        <v>1559</v>
      </c>
      <c r="B556" s="5" t="s">
        <v>61</v>
      </c>
      <c r="C556" s="6">
        <v>0.3</v>
      </c>
      <c r="D556" s="7">
        <f t="shared" si="66"/>
        <v>0.255</v>
      </c>
      <c r="E556" s="7">
        <f t="shared" si="67"/>
        <v>5.1000000000000004E-3</v>
      </c>
      <c r="F556" s="7">
        <f t="shared" si="68"/>
        <v>0.24990000000000001</v>
      </c>
    </row>
    <row r="557" spans="1:6" x14ac:dyDescent="0.35">
      <c r="A557" s="48"/>
      <c r="B557" s="5" t="s">
        <v>62</v>
      </c>
      <c r="C557" s="6">
        <v>0.3</v>
      </c>
      <c r="D557" s="7">
        <f t="shared" si="66"/>
        <v>0.255</v>
      </c>
      <c r="E557" s="7">
        <f t="shared" si="67"/>
        <v>5.1000000000000004E-3</v>
      </c>
      <c r="F557" s="7">
        <f t="shared" si="68"/>
        <v>0.24990000000000001</v>
      </c>
    </row>
    <row r="558" spans="1:6" x14ac:dyDescent="0.35">
      <c r="A558" s="48"/>
      <c r="B558" s="5" t="s">
        <v>202</v>
      </c>
      <c r="C558" s="6">
        <v>0.3</v>
      </c>
      <c r="D558" s="7">
        <f t="shared" si="66"/>
        <v>0.255</v>
      </c>
      <c r="E558" s="7">
        <f t="shared" si="67"/>
        <v>5.1000000000000004E-3</v>
      </c>
      <c r="F558" s="7">
        <f t="shared" si="68"/>
        <v>0.24990000000000001</v>
      </c>
    </row>
    <row r="559" spans="1:6" x14ac:dyDescent="0.35">
      <c r="A559" s="48" t="s">
        <v>1560</v>
      </c>
      <c r="B559" s="5" t="s">
        <v>61</v>
      </c>
      <c r="C559" s="6">
        <v>0.28999999999999998</v>
      </c>
      <c r="D559" s="7">
        <f t="shared" si="66"/>
        <v>0.245</v>
      </c>
      <c r="E559" s="7">
        <f t="shared" si="67"/>
        <v>4.8999999999999998E-3</v>
      </c>
      <c r="F559" s="7">
        <f t="shared" si="68"/>
        <v>0.24010000000000001</v>
      </c>
    </row>
    <row r="560" spans="1:6" x14ac:dyDescent="0.35">
      <c r="A560" s="48"/>
      <c r="B560" s="5" t="s">
        <v>62</v>
      </c>
      <c r="C560" s="6">
        <v>0.28999999999999998</v>
      </c>
      <c r="D560" s="7">
        <f t="shared" si="66"/>
        <v>0.245</v>
      </c>
      <c r="E560" s="7">
        <f t="shared" si="67"/>
        <v>4.8999999999999998E-3</v>
      </c>
      <c r="F560" s="7">
        <f t="shared" si="68"/>
        <v>0.24010000000000001</v>
      </c>
    </row>
    <row r="561" spans="1:6" x14ac:dyDescent="0.35">
      <c r="A561" s="48"/>
      <c r="B561" s="5" t="s">
        <v>202</v>
      </c>
      <c r="C561" s="6">
        <v>0.28999999999999998</v>
      </c>
      <c r="D561" s="7">
        <f t="shared" si="66"/>
        <v>0.245</v>
      </c>
      <c r="E561" s="7">
        <f t="shared" si="67"/>
        <v>4.8999999999999998E-3</v>
      </c>
      <c r="F561" s="7">
        <f t="shared" si="68"/>
        <v>0.24010000000000001</v>
      </c>
    </row>
    <row r="562" spans="1:6" x14ac:dyDescent="0.35">
      <c r="A562" s="5" t="s">
        <v>203</v>
      </c>
      <c r="B562" s="5" t="s">
        <v>58</v>
      </c>
      <c r="C562" s="6">
        <v>0.3</v>
      </c>
      <c r="D562" s="7">
        <f t="shared" si="66"/>
        <v>0.255</v>
      </c>
      <c r="E562" s="7">
        <f t="shared" si="67"/>
        <v>5.1000000000000004E-3</v>
      </c>
      <c r="F562" s="7">
        <f t="shared" si="68"/>
        <v>0.24990000000000001</v>
      </c>
    </row>
    <row r="563" spans="1:6" x14ac:dyDescent="0.35">
      <c r="A563" s="5" t="s">
        <v>204</v>
      </c>
      <c r="B563" s="5" t="s">
        <v>27</v>
      </c>
      <c r="C563" s="6">
        <v>0.3</v>
      </c>
      <c r="D563" s="7">
        <f t="shared" si="66"/>
        <v>0.255</v>
      </c>
      <c r="E563" s="7">
        <f t="shared" si="67"/>
        <v>5.1000000000000004E-3</v>
      </c>
      <c r="F563" s="7">
        <f t="shared" si="68"/>
        <v>0.24990000000000001</v>
      </c>
    </row>
    <row r="564" spans="1:6" x14ac:dyDescent="0.35">
      <c r="A564" s="5" t="s">
        <v>205</v>
      </c>
      <c r="B564" s="5" t="s">
        <v>27</v>
      </c>
      <c r="C564" s="6">
        <v>0.25</v>
      </c>
      <c r="D564" s="7">
        <f t="shared" si="66"/>
        <v>0.20500000000000002</v>
      </c>
      <c r="E564" s="7">
        <f t="shared" si="67"/>
        <v>4.1000000000000003E-3</v>
      </c>
      <c r="F564" s="7">
        <f t="shared" si="68"/>
        <v>0.20090000000000002</v>
      </c>
    </row>
    <row r="565" spans="1:6" x14ac:dyDescent="0.35">
      <c r="A565" s="41" t="s">
        <v>1182</v>
      </c>
      <c r="B565" s="5" t="s">
        <v>34</v>
      </c>
      <c r="C565" s="6">
        <v>9.5000000000000001E-2</v>
      </c>
      <c r="D565" s="7">
        <f t="shared" si="66"/>
        <v>0.05</v>
      </c>
      <c r="E565" s="7">
        <f t="shared" si="67"/>
        <v>1E-3</v>
      </c>
      <c r="F565" s="7">
        <f t="shared" si="68"/>
        <v>4.9000000000000002E-2</v>
      </c>
    </row>
    <row r="566" spans="1:6" x14ac:dyDescent="0.35">
      <c r="A566" s="42"/>
      <c r="B566" s="5" t="s">
        <v>35</v>
      </c>
      <c r="C566" s="6">
        <v>0.13500000000000001</v>
      </c>
      <c r="D566" s="7">
        <f t="shared" si="66"/>
        <v>9.0000000000000011E-2</v>
      </c>
      <c r="E566" s="7">
        <f t="shared" si="67"/>
        <v>1.8000000000000002E-3</v>
      </c>
      <c r="F566" s="7">
        <f t="shared" si="68"/>
        <v>8.8200000000000014E-2</v>
      </c>
    </row>
    <row r="567" spans="1:6" x14ac:dyDescent="0.35">
      <c r="A567" s="43"/>
      <c r="B567" s="5" t="s">
        <v>1183</v>
      </c>
      <c r="C567" s="6">
        <v>0.14499999999999999</v>
      </c>
      <c r="D567" s="7">
        <f t="shared" si="66"/>
        <v>9.9999999999999992E-2</v>
      </c>
      <c r="E567" s="7">
        <f t="shared" si="67"/>
        <v>2E-3</v>
      </c>
      <c r="F567" s="7">
        <f t="shared" si="68"/>
        <v>9.799999999999999E-2</v>
      </c>
    </row>
    <row r="568" spans="1:6" x14ac:dyDescent="0.35">
      <c r="A568" s="2" t="s">
        <v>206</v>
      </c>
      <c r="B568" s="2" t="s">
        <v>1</v>
      </c>
      <c r="C568" s="3" t="s">
        <v>2</v>
      </c>
      <c r="D568" s="4" t="s">
        <v>4</v>
      </c>
      <c r="E568" s="4" t="s">
        <v>5</v>
      </c>
      <c r="F568" s="4" t="s">
        <v>6</v>
      </c>
    </row>
    <row r="569" spans="1:6" x14ac:dyDescent="0.35">
      <c r="A569" s="5" t="s">
        <v>207</v>
      </c>
      <c r="B569" s="5" t="s">
        <v>100</v>
      </c>
      <c r="C569" s="7">
        <v>0.6</v>
      </c>
      <c r="D569" s="7">
        <f>C569-(4.5%)</f>
        <v>0.55499999999999994</v>
      </c>
      <c r="E569" s="7">
        <f>D569*2%</f>
        <v>1.1099999999999999E-2</v>
      </c>
      <c r="F569" s="7">
        <f>D569-E569</f>
        <v>0.54389999999999994</v>
      </c>
    </row>
    <row r="570" spans="1:6" x14ac:dyDescent="0.35">
      <c r="A570" s="5" t="s">
        <v>208</v>
      </c>
      <c r="B570" s="5" t="s">
        <v>100</v>
      </c>
      <c r="C570" s="7">
        <v>0.6</v>
      </c>
      <c r="D570" s="7">
        <f>C570-(4.5%)</f>
        <v>0.55499999999999994</v>
      </c>
      <c r="E570" s="7">
        <f>D570*2%</f>
        <v>1.1099999999999999E-2</v>
      </c>
      <c r="F570" s="7">
        <f>D570-E570</f>
        <v>0.54389999999999994</v>
      </c>
    </row>
    <row r="571" spans="1:6" x14ac:dyDescent="0.35">
      <c r="A571" s="48" t="s">
        <v>209</v>
      </c>
      <c r="B571" s="5" t="s">
        <v>87</v>
      </c>
      <c r="C571" s="6">
        <v>0</v>
      </c>
      <c r="D571" s="7" t="s">
        <v>20</v>
      </c>
      <c r="E571" s="7" t="s">
        <v>20</v>
      </c>
      <c r="F571" s="7" t="s">
        <v>20</v>
      </c>
    </row>
    <row r="572" spans="1:6" x14ac:dyDescent="0.35">
      <c r="A572" s="48"/>
      <c r="B572" s="5" t="s">
        <v>88</v>
      </c>
      <c r="C572" s="6">
        <v>0.6</v>
      </c>
      <c r="D572" s="7">
        <f t="shared" ref="D572:D582" si="69">C572-(4.5%)</f>
        <v>0.55499999999999994</v>
      </c>
      <c r="E572" s="7">
        <f t="shared" ref="E572:E582" si="70">D572*2%</f>
        <v>1.1099999999999999E-2</v>
      </c>
      <c r="F572" s="7">
        <f t="shared" ref="F572:F582" si="71">D572-E572</f>
        <v>0.54389999999999994</v>
      </c>
    </row>
    <row r="573" spans="1:6" x14ac:dyDescent="0.35">
      <c r="A573" s="48"/>
      <c r="B573" s="5" t="s">
        <v>89</v>
      </c>
      <c r="C573" s="6">
        <v>0.6</v>
      </c>
      <c r="D573" s="7">
        <f t="shared" si="69"/>
        <v>0.55499999999999994</v>
      </c>
      <c r="E573" s="7">
        <f t="shared" si="70"/>
        <v>1.1099999999999999E-2</v>
      </c>
      <c r="F573" s="7">
        <f t="shared" si="71"/>
        <v>0.54389999999999994</v>
      </c>
    </row>
    <row r="574" spans="1:6" x14ac:dyDescent="0.35">
      <c r="A574" s="48" t="s">
        <v>210</v>
      </c>
      <c r="B574" s="5" t="s">
        <v>87</v>
      </c>
      <c r="C574" s="6">
        <v>0.28000000000000003</v>
      </c>
      <c r="D574" s="7">
        <f t="shared" si="69"/>
        <v>0.23500000000000004</v>
      </c>
      <c r="E574" s="7">
        <f t="shared" si="70"/>
        <v>4.7000000000000011E-3</v>
      </c>
      <c r="F574" s="7">
        <f t="shared" si="71"/>
        <v>0.23030000000000003</v>
      </c>
    </row>
    <row r="575" spans="1:6" x14ac:dyDescent="0.35">
      <c r="A575" s="48"/>
      <c r="B575" s="5" t="s">
        <v>88</v>
      </c>
      <c r="C575" s="6">
        <v>0.28000000000000003</v>
      </c>
      <c r="D575" s="7">
        <f t="shared" si="69"/>
        <v>0.23500000000000004</v>
      </c>
      <c r="E575" s="7">
        <f t="shared" si="70"/>
        <v>4.7000000000000011E-3</v>
      </c>
      <c r="F575" s="7">
        <f t="shared" si="71"/>
        <v>0.23030000000000003</v>
      </c>
    </row>
    <row r="576" spans="1:6" x14ac:dyDescent="0.35">
      <c r="A576" s="48"/>
      <c r="B576" s="5" t="s">
        <v>89</v>
      </c>
      <c r="C576" s="6">
        <v>0.28000000000000003</v>
      </c>
      <c r="D576" s="7">
        <f t="shared" si="69"/>
        <v>0.23500000000000004</v>
      </c>
      <c r="E576" s="7">
        <f t="shared" si="70"/>
        <v>4.7000000000000011E-3</v>
      </c>
      <c r="F576" s="7">
        <f t="shared" si="71"/>
        <v>0.23030000000000003</v>
      </c>
    </row>
    <row r="577" spans="1:6" x14ac:dyDescent="0.35">
      <c r="A577" s="5" t="s">
        <v>211</v>
      </c>
      <c r="B577" s="5" t="s">
        <v>198</v>
      </c>
      <c r="C577" s="6">
        <v>0.5</v>
      </c>
      <c r="D577" s="7">
        <f t="shared" si="69"/>
        <v>0.45500000000000002</v>
      </c>
      <c r="E577" s="7">
        <f t="shared" si="70"/>
        <v>9.1000000000000004E-3</v>
      </c>
      <c r="F577" s="7">
        <f t="shared" si="71"/>
        <v>0.44590000000000002</v>
      </c>
    </row>
    <row r="578" spans="1:6" x14ac:dyDescent="0.35">
      <c r="A578" s="29" t="s">
        <v>212</v>
      </c>
      <c r="B578" s="5" t="s">
        <v>100</v>
      </c>
      <c r="C578" s="6">
        <v>0.625</v>
      </c>
      <c r="D578" s="7">
        <f t="shared" si="69"/>
        <v>0.57999999999999996</v>
      </c>
      <c r="E578" s="7">
        <f t="shared" si="70"/>
        <v>1.1599999999999999E-2</v>
      </c>
      <c r="F578" s="7">
        <f t="shared" si="71"/>
        <v>0.56840000000000002</v>
      </c>
    </row>
    <row r="579" spans="1:6" ht="24" x14ac:dyDescent="0.35">
      <c r="A579" s="29" t="s">
        <v>1173</v>
      </c>
      <c r="B579" s="5" t="s">
        <v>100</v>
      </c>
      <c r="C579" s="6">
        <v>0.65</v>
      </c>
      <c r="D579" s="7">
        <f t="shared" si="69"/>
        <v>0.60499999999999998</v>
      </c>
      <c r="E579" s="7">
        <f t="shared" si="70"/>
        <v>1.21E-2</v>
      </c>
      <c r="F579" s="7">
        <f t="shared" si="71"/>
        <v>0.59289999999999998</v>
      </c>
    </row>
    <row r="580" spans="1:6" ht="24" x14ac:dyDescent="0.35">
      <c r="A580" s="29" t="s">
        <v>1174</v>
      </c>
      <c r="B580" s="5" t="s">
        <v>100</v>
      </c>
      <c r="C580" s="6">
        <v>0.65</v>
      </c>
      <c r="D580" s="7">
        <f t="shared" si="69"/>
        <v>0.60499999999999998</v>
      </c>
      <c r="E580" s="7">
        <f t="shared" si="70"/>
        <v>1.21E-2</v>
      </c>
      <c r="F580" s="7">
        <f t="shared" si="71"/>
        <v>0.59289999999999998</v>
      </c>
    </row>
    <row r="581" spans="1:6" ht="24" x14ac:dyDescent="0.35">
      <c r="A581" s="29" t="s">
        <v>1175</v>
      </c>
      <c r="B581" s="5" t="s">
        <v>100</v>
      </c>
      <c r="C581" s="6">
        <v>0.7</v>
      </c>
      <c r="D581" s="7">
        <f t="shared" si="69"/>
        <v>0.65499999999999992</v>
      </c>
      <c r="E581" s="7">
        <f t="shared" si="70"/>
        <v>1.3099999999999999E-2</v>
      </c>
      <c r="F581" s="7">
        <f t="shared" si="71"/>
        <v>0.64189999999999992</v>
      </c>
    </row>
    <row r="582" spans="1:6" ht="24" x14ac:dyDescent="0.35">
      <c r="A582" s="5" t="s">
        <v>213</v>
      </c>
      <c r="B582" s="5" t="s">
        <v>37</v>
      </c>
      <c r="C582" s="6">
        <v>0.74</v>
      </c>
      <c r="D582" s="7">
        <f t="shared" si="69"/>
        <v>0.69499999999999995</v>
      </c>
      <c r="E582" s="7">
        <f t="shared" si="70"/>
        <v>1.3899999999999999E-2</v>
      </c>
      <c r="F582" s="7">
        <f t="shared" si="71"/>
        <v>0.68109999999999993</v>
      </c>
    </row>
    <row r="583" spans="1:6" ht="24" customHeight="1" x14ac:dyDescent="0.35">
      <c r="A583" s="41" t="s">
        <v>213</v>
      </c>
      <c r="B583" s="5" t="s">
        <v>214</v>
      </c>
      <c r="C583" s="6">
        <v>0</v>
      </c>
      <c r="D583" s="7" t="s">
        <v>20</v>
      </c>
      <c r="E583" s="7" t="s">
        <v>20</v>
      </c>
      <c r="F583" s="7" t="s">
        <v>20</v>
      </c>
    </row>
    <row r="584" spans="1:6" x14ac:dyDescent="0.35">
      <c r="A584" s="42"/>
      <c r="B584" s="5" t="s">
        <v>215</v>
      </c>
      <c r="C584" s="6">
        <v>0.61</v>
      </c>
      <c r="D584" s="7">
        <f t="shared" ref="D584:D594" si="72">C584-(4.5%)</f>
        <v>0.56499999999999995</v>
      </c>
      <c r="E584" s="7">
        <f t="shared" ref="E584:E594" si="73">D584*2%</f>
        <v>1.1299999999999999E-2</v>
      </c>
      <c r="F584" s="7">
        <f t="shared" ref="F584:F594" si="74">D584-E584</f>
        <v>0.55369999999999997</v>
      </c>
    </row>
    <row r="585" spans="1:6" x14ac:dyDescent="0.35">
      <c r="A585" s="42"/>
      <c r="B585" s="5" t="s">
        <v>216</v>
      </c>
      <c r="C585" s="6">
        <v>0.67</v>
      </c>
      <c r="D585" s="7">
        <f t="shared" si="72"/>
        <v>0.625</v>
      </c>
      <c r="E585" s="7">
        <f t="shared" si="73"/>
        <v>1.2500000000000001E-2</v>
      </c>
      <c r="F585" s="7">
        <f t="shared" si="74"/>
        <v>0.61250000000000004</v>
      </c>
    </row>
    <row r="586" spans="1:6" x14ac:dyDescent="0.35">
      <c r="A586" s="43"/>
      <c r="B586" s="5" t="s">
        <v>217</v>
      </c>
      <c r="C586" s="6">
        <v>0.72</v>
      </c>
      <c r="D586" s="7">
        <f t="shared" si="72"/>
        <v>0.67499999999999993</v>
      </c>
      <c r="E586" s="7">
        <f t="shared" si="73"/>
        <v>1.3499999999999998E-2</v>
      </c>
      <c r="F586" s="7">
        <f t="shared" si="74"/>
        <v>0.66149999999999998</v>
      </c>
    </row>
    <row r="587" spans="1:6" x14ac:dyDescent="0.35">
      <c r="A587" s="5" t="s">
        <v>1441</v>
      </c>
      <c r="B587" s="5" t="s">
        <v>100</v>
      </c>
      <c r="C587" s="6">
        <v>0.65</v>
      </c>
      <c r="D587" s="7">
        <f t="shared" si="72"/>
        <v>0.60499999999999998</v>
      </c>
      <c r="E587" s="7">
        <f t="shared" si="73"/>
        <v>1.21E-2</v>
      </c>
      <c r="F587" s="7">
        <f t="shared" si="74"/>
        <v>0.59289999999999998</v>
      </c>
    </row>
    <row r="588" spans="1:6" x14ac:dyDescent="0.35">
      <c r="A588" s="5" t="s">
        <v>1442</v>
      </c>
      <c r="B588" s="5" t="s">
        <v>100</v>
      </c>
      <c r="C588" s="6">
        <v>0.67</v>
      </c>
      <c r="D588" s="7">
        <f t="shared" si="72"/>
        <v>0.625</v>
      </c>
      <c r="E588" s="7">
        <f t="shared" si="73"/>
        <v>1.2500000000000001E-2</v>
      </c>
      <c r="F588" s="7">
        <f t="shared" si="74"/>
        <v>0.61250000000000004</v>
      </c>
    </row>
    <row r="589" spans="1:6" ht="24" x14ac:dyDescent="0.35">
      <c r="A589" s="5" t="s">
        <v>1445</v>
      </c>
      <c r="B589" s="5" t="s">
        <v>100</v>
      </c>
      <c r="C589" s="6">
        <v>0.55000000000000004</v>
      </c>
      <c r="D589" s="7">
        <f t="shared" si="72"/>
        <v>0.505</v>
      </c>
      <c r="E589" s="7">
        <f t="shared" si="73"/>
        <v>1.01E-2</v>
      </c>
      <c r="F589" s="7">
        <f t="shared" si="74"/>
        <v>0.49490000000000001</v>
      </c>
    </row>
    <row r="590" spans="1:6" x14ac:dyDescent="0.35">
      <c r="A590" s="5" t="s">
        <v>1446</v>
      </c>
      <c r="B590" s="5" t="s">
        <v>100</v>
      </c>
      <c r="C590" s="6">
        <v>0.56999999999999995</v>
      </c>
      <c r="D590" s="7">
        <f t="shared" si="72"/>
        <v>0.52499999999999991</v>
      </c>
      <c r="E590" s="7">
        <f t="shared" si="73"/>
        <v>1.0499999999999999E-2</v>
      </c>
      <c r="F590" s="7">
        <f t="shared" si="74"/>
        <v>0.51449999999999996</v>
      </c>
    </row>
    <row r="591" spans="1:6" x14ac:dyDescent="0.35">
      <c r="A591" s="5" t="s">
        <v>1144</v>
      </c>
      <c r="B591" s="5" t="s">
        <v>100</v>
      </c>
      <c r="C591" s="6">
        <v>0.6</v>
      </c>
      <c r="D591" s="7">
        <f t="shared" si="72"/>
        <v>0.55499999999999994</v>
      </c>
      <c r="E591" s="7">
        <f t="shared" si="73"/>
        <v>1.1099999999999999E-2</v>
      </c>
      <c r="F591" s="7">
        <f t="shared" si="74"/>
        <v>0.54389999999999994</v>
      </c>
    </row>
    <row r="592" spans="1:6" x14ac:dyDescent="0.35">
      <c r="A592" s="41" t="s">
        <v>1145</v>
      </c>
      <c r="B592" s="5" t="s">
        <v>33</v>
      </c>
      <c r="C592" s="6">
        <v>0.3</v>
      </c>
      <c r="D592" s="7">
        <f t="shared" si="72"/>
        <v>0.255</v>
      </c>
      <c r="E592" s="7">
        <f t="shared" si="73"/>
        <v>5.1000000000000004E-3</v>
      </c>
      <c r="F592" s="7">
        <f t="shared" si="74"/>
        <v>0.24990000000000001</v>
      </c>
    </row>
    <row r="593" spans="1:6" x14ac:dyDescent="0.35">
      <c r="A593" s="42"/>
      <c r="B593" s="5" t="s">
        <v>34</v>
      </c>
      <c r="C593" s="6">
        <v>0.5</v>
      </c>
      <c r="D593" s="7">
        <f t="shared" si="72"/>
        <v>0.45500000000000002</v>
      </c>
      <c r="E593" s="7">
        <f t="shared" si="73"/>
        <v>9.1000000000000004E-3</v>
      </c>
      <c r="F593" s="7">
        <f t="shared" si="74"/>
        <v>0.44590000000000002</v>
      </c>
    </row>
    <row r="594" spans="1:6" x14ac:dyDescent="0.35">
      <c r="A594" s="43"/>
      <c r="B594" s="5" t="s">
        <v>35</v>
      </c>
      <c r="C594" s="6">
        <v>0.6</v>
      </c>
      <c r="D594" s="7">
        <f t="shared" si="72"/>
        <v>0.55499999999999994</v>
      </c>
      <c r="E594" s="7">
        <f t="shared" si="73"/>
        <v>1.1099999999999999E-2</v>
      </c>
      <c r="F594" s="7">
        <f t="shared" si="74"/>
        <v>0.54389999999999994</v>
      </c>
    </row>
    <row r="595" spans="1:6" x14ac:dyDescent="0.35">
      <c r="A595" s="2" t="s">
        <v>218</v>
      </c>
      <c r="B595" s="2" t="s">
        <v>1</v>
      </c>
      <c r="C595" s="3" t="s">
        <v>2</v>
      </c>
      <c r="D595" s="4" t="s">
        <v>4</v>
      </c>
      <c r="E595" s="4" t="s">
        <v>5</v>
      </c>
      <c r="F595" s="4" t="s">
        <v>6</v>
      </c>
    </row>
    <row r="596" spans="1:6" ht="36" x14ac:dyDescent="0.35">
      <c r="A596" s="5" t="s">
        <v>219</v>
      </c>
      <c r="B596" s="5" t="s">
        <v>220</v>
      </c>
      <c r="C596" s="6">
        <v>0.4</v>
      </c>
      <c r="D596" s="7">
        <f t="shared" ref="D596:D602" si="75">C596-(4.5%)</f>
        <v>0.35500000000000004</v>
      </c>
      <c r="E596" s="7">
        <f t="shared" ref="E596:E602" si="76">D596*2%</f>
        <v>7.1000000000000013E-3</v>
      </c>
      <c r="F596" s="7">
        <f t="shared" ref="F596:F602" si="77">D596-E596</f>
        <v>0.34790000000000004</v>
      </c>
    </row>
    <row r="597" spans="1:6" x14ac:dyDescent="0.35">
      <c r="A597" s="5" t="s">
        <v>219</v>
      </c>
      <c r="B597" s="5" t="s">
        <v>221</v>
      </c>
      <c r="C597" s="6">
        <v>0.35</v>
      </c>
      <c r="D597" s="7">
        <f t="shared" si="75"/>
        <v>0.30499999999999999</v>
      </c>
      <c r="E597" s="7">
        <f t="shared" si="76"/>
        <v>6.1000000000000004E-3</v>
      </c>
      <c r="F597" s="7">
        <f t="shared" si="77"/>
        <v>0.2989</v>
      </c>
    </row>
    <row r="598" spans="1:6" x14ac:dyDescent="0.35">
      <c r="A598" s="5" t="s">
        <v>209</v>
      </c>
      <c r="B598" s="5" t="s">
        <v>222</v>
      </c>
      <c r="C598" s="6">
        <v>0.47</v>
      </c>
      <c r="D598" s="7">
        <f t="shared" si="75"/>
        <v>0.42499999999999999</v>
      </c>
      <c r="E598" s="7">
        <f t="shared" si="76"/>
        <v>8.5000000000000006E-3</v>
      </c>
      <c r="F598" s="7">
        <f t="shared" si="77"/>
        <v>0.41649999999999998</v>
      </c>
    </row>
    <row r="599" spans="1:6" x14ac:dyDescent="0.35">
      <c r="A599" s="5" t="s">
        <v>210</v>
      </c>
      <c r="B599" s="5" t="s">
        <v>223</v>
      </c>
      <c r="C599" s="6">
        <v>0.45</v>
      </c>
      <c r="D599" s="7">
        <f t="shared" si="75"/>
        <v>0.40500000000000003</v>
      </c>
      <c r="E599" s="7">
        <f t="shared" si="76"/>
        <v>8.1000000000000013E-3</v>
      </c>
      <c r="F599" s="7">
        <f t="shared" si="77"/>
        <v>0.39690000000000003</v>
      </c>
    </row>
    <row r="600" spans="1:6" x14ac:dyDescent="0.35">
      <c r="A600" s="5" t="s">
        <v>224</v>
      </c>
      <c r="B600" s="5" t="s">
        <v>198</v>
      </c>
      <c r="C600" s="6">
        <v>0.42</v>
      </c>
      <c r="D600" s="7">
        <f t="shared" si="75"/>
        <v>0.375</v>
      </c>
      <c r="E600" s="7">
        <f t="shared" si="76"/>
        <v>7.4999999999999997E-3</v>
      </c>
      <c r="F600" s="7">
        <f t="shared" si="77"/>
        <v>0.36749999999999999</v>
      </c>
    </row>
    <row r="601" spans="1:6" ht="24" customHeight="1" x14ac:dyDescent="0.35">
      <c r="A601" s="41" t="s">
        <v>1188</v>
      </c>
      <c r="B601" s="5" t="s">
        <v>34</v>
      </c>
      <c r="C601" s="6">
        <v>0.41499999999999998</v>
      </c>
      <c r="D601" s="7">
        <f t="shared" si="75"/>
        <v>0.37</v>
      </c>
      <c r="E601" s="7">
        <f t="shared" si="76"/>
        <v>7.4000000000000003E-3</v>
      </c>
      <c r="F601" s="7">
        <f t="shared" si="77"/>
        <v>0.36259999999999998</v>
      </c>
    </row>
    <row r="602" spans="1:6" x14ac:dyDescent="0.35">
      <c r="A602" s="42"/>
      <c r="B602" s="5" t="s">
        <v>35</v>
      </c>
      <c r="C602" s="6">
        <v>0.38500000000000001</v>
      </c>
      <c r="D602" s="7">
        <f t="shared" si="75"/>
        <v>0.34</v>
      </c>
      <c r="E602" s="7">
        <f t="shared" si="76"/>
        <v>6.8000000000000005E-3</v>
      </c>
      <c r="F602" s="7">
        <f t="shared" si="77"/>
        <v>0.33320000000000005</v>
      </c>
    </row>
    <row r="603" spans="1:6" x14ac:dyDescent="0.35">
      <c r="A603" s="43"/>
      <c r="B603" s="5" t="s">
        <v>33</v>
      </c>
      <c r="C603" s="6">
        <v>0</v>
      </c>
      <c r="D603" s="7" t="s">
        <v>20</v>
      </c>
      <c r="E603" s="7" t="s">
        <v>20</v>
      </c>
      <c r="F603" s="7" t="s">
        <v>20</v>
      </c>
    </row>
    <row r="604" spans="1:6" x14ac:dyDescent="0.35">
      <c r="A604" s="41" t="s">
        <v>1189</v>
      </c>
      <c r="B604" s="5" t="s">
        <v>34</v>
      </c>
      <c r="C604" s="6">
        <v>0.435</v>
      </c>
      <c r="D604" s="7">
        <f>C604-(4.5%)</f>
        <v>0.39</v>
      </c>
      <c r="E604" s="7">
        <f>D604*2%</f>
        <v>7.8000000000000005E-3</v>
      </c>
      <c r="F604" s="7">
        <f>D604-E604</f>
        <v>0.38220000000000004</v>
      </c>
    </row>
    <row r="605" spans="1:6" x14ac:dyDescent="0.35">
      <c r="A605" s="42"/>
      <c r="B605" s="5" t="s">
        <v>35</v>
      </c>
      <c r="C605" s="6">
        <v>0.41</v>
      </c>
      <c r="D605" s="7">
        <f>C605-(4.5%)</f>
        <v>0.36499999999999999</v>
      </c>
      <c r="E605" s="7">
        <f>D605*2%</f>
        <v>7.3000000000000001E-3</v>
      </c>
      <c r="F605" s="7">
        <f>D605-E605</f>
        <v>0.35770000000000002</v>
      </c>
    </row>
    <row r="606" spans="1:6" x14ac:dyDescent="0.35">
      <c r="A606" s="43"/>
      <c r="B606" s="5" t="s">
        <v>33</v>
      </c>
      <c r="C606" s="6">
        <v>0</v>
      </c>
      <c r="D606" s="7" t="s">
        <v>20</v>
      </c>
      <c r="E606" s="7" t="s">
        <v>20</v>
      </c>
      <c r="F606" s="7" t="s">
        <v>20</v>
      </c>
    </row>
    <row r="607" spans="1:6" x14ac:dyDescent="0.35">
      <c r="A607" s="2" t="s">
        <v>225</v>
      </c>
      <c r="B607" s="2" t="s">
        <v>1</v>
      </c>
      <c r="C607" s="3" t="s">
        <v>2</v>
      </c>
      <c r="D607" s="4" t="s">
        <v>4</v>
      </c>
      <c r="E607" s="4" t="s">
        <v>5</v>
      </c>
      <c r="F607" s="4" t="s">
        <v>6</v>
      </c>
    </row>
    <row r="608" spans="1:6" x14ac:dyDescent="0.35">
      <c r="A608" s="5" t="s">
        <v>226</v>
      </c>
      <c r="B608" s="5" t="s">
        <v>100</v>
      </c>
      <c r="C608" s="6">
        <v>0.47499999999999998</v>
      </c>
      <c r="D608" s="7">
        <f t="shared" ref="D608:D625" si="78">C608-(4.5%)</f>
        <v>0.43</v>
      </c>
      <c r="E608" s="7">
        <f t="shared" ref="E608:E625" si="79">D608*2%</f>
        <v>8.6E-3</v>
      </c>
      <c r="F608" s="7">
        <f t="shared" ref="F608:F625" si="80">D608-E608</f>
        <v>0.4214</v>
      </c>
    </row>
    <row r="609" spans="1:6" x14ac:dyDescent="0.35">
      <c r="A609" s="5" t="s">
        <v>1136</v>
      </c>
      <c r="B609" s="5" t="s">
        <v>1137</v>
      </c>
      <c r="C609" s="6">
        <v>0.47499999999999998</v>
      </c>
      <c r="D609" s="7">
        <f t="shared" si="78"/>
        <v>0.43</v>
      </c>
      <c r="E609" s="7">
        <f t="shared" si="79"/>
        <v>8.6E-3</v>
      </c>
      <c r="F609" s="7">
        <f t="shared" si="80"/>
        <v>0.4214</v>
      </c>
    </row>
    <row r="610" spans="1:6" x14ac:dyDescent="0.35">
      <c r="A610" s="5" t="s">
        <v>1138</v>
      </c>
      <c r="B610" s="5" t="s">
        <v>1139</v>
      </c>
      <c r="C610" s="6">
        <v>0.47499999999999998</v>
      </c>
      <c r="D610" s="7">
        <f t="shared" si="78"/>
        <v>0.43</v>
      </c>
      <c r="E610" s="7">
        <f t="shared" si="79"/>
        <v>8.6E-3</v>
      </c>
      <c r="F610" s="7">
        <f t="shared" si="80"/>
        <v>0.4214</v>
      </c>
    </row>
    <row r="611" spans="1:6" x14ac:dyDescent="0.35">
      <c r="A611" s="5" t="s">
        <v>227</v>
      </c>
      <c r="B611" s="5" t="s">
        <v>228</v>
      </c>
      <c r="C611" s="6">
        <v>0.4</v>
      </c>
      <c r="D611" s="7">
        <f t="shared" si="78"/>
        <v>0.35500000000000004</v>
      </c>
      <c r="E611" s="7">
        <f t="shared" si="79"/>
        <v>7.1000000000000013E-3</v>
      </c>
      <c r="F611" s="7">
        <f t="shared" si="80"/>
        <v>0.34790000000000004</v>
      </c>
    </row>
    <row r="612" spans="1:6" x14ac:dyDescent="0.35">
      <c r="A612" s="44" t="s">
        <v>184</v>
      </c>
      <c r="B612" s="5" t="s">
        <v>92</v>
      </c>
      <c r="C612" s="6">
        <v>0.38</v>
      </c>
      <c r="D612" s="7">
        <f t="shared" si="78"/>
        <v>0.33500000000000002</v>
      </c>
      <c r="E612" s="7">
        <f t="shared" si="79"/>
        <v>6.7000000000000002E-3</v>
      </c>
      <c r="F612" s="7">
        <f t="shared" si="80"/>
        <v>0.32830000000000004</v>
      </c>
    </row>
    <row r="613" spans="1:6" x14ac:dyDescent="0.35">
      <c r="A613" s="45"/>
      <c r="B613" s="5" t="s">
        <v>93</v>
      </c>
      <c r="C613" s="6">
        <v>0.43</v>
      </c>
      <c r="D613" s="7">
        <f t="shared" si="78"/>
        <v>0.38500000000000001</v>
      </c>
      <c r="E613" s="7">
        <f t="shared" si="79"/>
        <v>7.7000000000000002E-3</v>
      </c>
      <c r="F613" s="7">
        <f t="shared" si="80"/>
        <v>0.37730000000000002</v>
      </c>
    </row>
    <row r="614" spans="1:6" x14ac:dyDescent="0.35">
      <c r="A614" s="5" t="s">
        <v>12</v>
      </c>
      <c r="B614" s="5" t="s">
        <v>100</v>
      </c>
      <c r="C614" s="6">
        <v>0.42499999999999999</v>
      </c>
      <c r="D614" s="7">
        <f t="shared" si="78"/>
        <v>0.38</v>
      </c>
      <c r="E614" s="7">
        <f t="shared" si="79"/>
        <v>7.6E-3</v>
      </c>
      <c r="F614" s="7">
        <f t="shared" si="80"/>
        <v>0.37240000000000001</v>
      </c>
    </row>
    <row r="615" spans="1:6" x14ac:dyDescent="0.35">
      <c r="A615" s="5" t="s">
        <v>28</v>
      </c>
      <c r="B615" s="5" t="s">
        <v>100</v>
      </c>
      <c r="C615" s="7">
        <v>0.59</v>
      </c>
      <c r="D615" s="7">
        <f t="shared" si="78"/>
        <v>0.54499999999999993</v>
      </c>
      <c r="E615" s="7">
        <f t="shared" si="79"/>
        <v>1.0899999999999998E-2</v>
      </c>
      <c r="F615" s="7">
        <f t="shared" si="80"/>
        <v>0.53409999999999991</v>
      </c>
    </row>
    <row r="616" spans="1:6" x14ac:dyDescent="0.35">
      <c r="A616" s="5" t="s">
        <v>229</v>
      </c>
      <c r="B616" s="5" t="s">
        <v>34</v>
      </c>
      <c r="C616" s="7">
        <v>0.41</v>
      </c>
      <c r="D616" s="7">
        <f t="shared" si="78"/>
        <v>0.36499999999999999</v>
      </c>
      <c r="E616" s="7">
        <f t="shared" si="79"/>
        <v>7.3000000000000001E-3</v>
      </c>
      <c r="F616" s="7">
        <f t="shared" si="80"/>
        <v>0.35770000000000002</v>
      </c>
    </row>
    <row r="617" spans="1:6" x14ac:dyDescent="0.35">
      <c r="A617" s="5" t="s">
        <v>230</v>
      </c>
      <c r="B617" s="5" t="s">
        <v>34</v>
      </c>
      <c r="C617" s="6">
        <v>0.43</v>
      </c>
      <c r="D617" s="7">
        <f t="shared" si="78"/>
        <v>0.38500000000000001</v>
      </c>
      <c r="E617" s="7">
        <f t="shared" si="79"/>
        <v>7.7000000000000002E-3</v>
      </c>
      <c r="F617" s="7">
        <f t="shared" si="80"/>
        <v>0.37730000000000002</v>
      </c>
    </row>
    <row r="618" spans="1:6" x14ac:dyDescent="0.35">
      <c r="A618" s="41" t="s">
        <v>231</v>
      </c>
      <c r="B618" s="5" t="s">
        <v>87</v>
      </c>
      <c r="C618" s="6">
        <v>0.27</v>
      </c>
      <c r="D618" s="7">
        <f t="shared" si="78"/>
        <v>0.22500000000000003</v>
      </c>
      <c r="E618" s="7">
        <f t="shared" si="79"/>
        <v>4.5000000000000005E-3</v>
      </c>
      <c r="F618" s="7">
        <f t="shared" si="80"/>
        <v>0.22050000000000003</v>
      </c>
    </row>
    <row r="619" spans="1:6" x14ac:dyDescent="0.35">
      <c r="A619" s="43"/>
      <c r="B619" s="5" t="s">
        <v>232</v>
      </c>
      <c r="C619" s="6">
        <v>0.19</v>
      </c>
      <c r="D619" s="7">
        <f t="shared" si="78"/>
        <v>0.14500000000000002</v>
      </c>
      <c r="E619" s="7">
        <f t="shared" si="79"/>
        <v>2.9000000000000002E-3</v>
      </c>
      <c r="F619" s="7">
        <f t="shared" si="80"/>
        <v>0.1421</v>
      </c>
    </row>
    <row r="620" spans="1:6" x14ac:dyDescent="0.35">
      <c r="A620" s="5" t="s">
        <v>233</v>
      </c>
      <c r="B620" s="5" t="s">
        <v>87</v>
      </c>
      <c r="C620" s="6">
        <v>0.27</v>
      </c>
      <c r="D620" s="7">
        <f t="shared" si="78"/>
        <v>0.22500000000000003</v>
      </c>
      <c r="E620" s="7">
        <f t="shared" si="79"/>
        <v>4.5000000000000005E-3</v>
      </c>
      <c r="F620" s="7">
        <f t="shared" si="80"/>
        <v>0.22050000000000003</v>
      </c>
    </row>
    <row r="621" spans="1:6" x14ac:dyDescent="0.35">
      <c r="A621" s="41" t="s">
        <v>234</v>
      </c>
      <c r="B621" s="5" t="s">
        <v>87</v>
      </c>
      <c r="C621" s="6">
        <v>0.13</v>
      </c>
      <c r="D621" s="7">
        <f t="shared" si="78"/>
        <v>8.5000000000000006E-2</v>
      </c>
      <c r="E621" s="7">
        <f t="shared" si="79"/>
        <v>1.7000000000000001E-3</v>
      </c>
      <c r="F621" s="7">
        <f t="shared" si="80"/>
        <v>8.3300000000000013E-2</v>
      </c>
    </row>
    <row r="622" spans="1:6" x14ac:dyDescent="0.35">
      <c r="A622" s="43"/>
      <c r="B622" s="5" t="s">
        <v>232</v>
      </c>
      <c r="C622" s="6">
        <v>0.17</v>
      </c>
      <c r="D622" s="7">
        <f t="shared" si="78"/>
        <v>0.125</v>
      </c>
      <c r="E622" s="7">
        <f t="shared" si="79"/>
        <v>2.5000000000000001E-3</v>
      </c>
      <c r="F622" s="7">
        <f t="shared" si="80"/>
        <v>0.1225</v>
      </c>
    </row>
    <row r="623" spans="1:6" x14ac:dyDescent="0.35">
      <c r="A623" s="49" t="s">
        <v>1247</v>
      </c>
      <c r="B623" s="5" t="s">
        <v>33</v>
      </c>
      <c r="C623" s="6">
        <v>0.55000000000000004</v>
      </c>
      <c r="D623" s="7">
        <f t="shared" si="78"/>
        <v>0.505</v>
      </c>
      <c r="E623" s="7">
        <f t="shared" si="79"/>
        <v>1.01E-2</v>
      </c>
      <c r="F623" s="7">
        <f t="shared" si="80"/>
        <v>0.49490000000000001</v>
      </c>
    </row>
    <row r="624" spans="1:6" x14ac:dyDescent="0.35">
      <c r="A624" s="50"/>
      <c r="B624" s="5" t="s">
        <v>34</v>
      </c>
      <c r="C624" s="6">
        <v>0.47</v>
      </c>
      <c r="D624" s="7">
        <f t="shared" si="78"/>
        <v>0.42499999999999999</v>
      </c>
      <c r="E624" s="7">
        <f t="shared" si="79"/>
        <v>8.5000000000000006E-3</v>
      </c>
      <c r="F624" s="7">
        <f t="shared" si="80"/>
        <v>0.41649999999999998</v>
      </c>
    </row>
    <row r="625" spans="1:6" x14ac:dyDescent="0.35">
      <c r="A625" s="51"/>
      <c r="B625" s="5" t="s">
        <v>35</v>
      </c>
      <c r="C625" s="6">
        <v>0.6</v>
      </c>
      <c r="D625" s="7">
        <f t="shared" si="78"/>
        <v>0.55499999999999994</v>
      </c>
      <c r="E625" s="7">
        <f t="shared" si="79"/>
        <v>1.1099999999999999E-2</v>
      </c>
      <c r="F625" s="7">
        <f t="shared" si="80"/>
        <v>0.54389999999999994</v>
      </c>
    </row>
    <row r="626" spans="1:6" x14ac:dyDescent="0.35">
      <c r="A626" s="49" t="s">
        <v>1248</v>
      </c>
      <c r="B626" s="5" t="s">
        <v>33</v>
      </c>
      <c r="C626" s="6">
        <v>0</v>
      </c>
      <c r="D626" s="7" t="s">
        <v>20</v>
      </c>
      <c r="E626" s="7" t="s">
        <v>20</v>
      </c>
      <c r="F626" s="7" t="s">
        <v>20</v>
      </c>
    </row>
    <row r="627" spans="1:6" x14ac:dyDescent="0.35">
      <c r="A627" s="50"/>
      <c r="B627" s="5" t="s">
        <v>34</v>
      </c>
      <c r="C627" s="6">
        <v>0.45</v>
      </c>
      <c r="D627" s="7">
        <f t="shared" ref="D627:D632" si="81">C627-(4.5%)</f>
        <v>0.40500000000000003</v>
      </c>
      <c r="E627" s="7">
        <f t="shared" ref="E627:E632" si="82">D627*2%</f>
        <v>8.1000000000000013E-3</v>
      </c>
      <c r="F627" s="7">
        <f t="shared" ref="F627:F632" si="83">D627-E627</f>
        <v>0.39690000000000003</v>
      </c>
    </row>
    <row r="628" spans="1:6" x14ac:dyDescent="0.35">
      <c r="A628" s="51"/>
      <c r="B628" s="5" t="s">
        <v>35</v>
      </c>
      <c r="C628" s="6">
        <v>0.45</v>
      </c>
      <c r="D628" s="7">
        <f t="shared" si="81"/>
        <v>0.40500000000000003</v>
      </c>
      <c r="E628" s="7">
        <f t="shared" si="82"/>
        <v>8.1000000000000013E-3</v>
      </c>
      <c r="F628" s="7">
        <f t="shared" si="83"/>
        <v>0.39690000000000003</v>
      </c>
    </row>
    <row r="629" spans="1:6" x14ac:dyDescent="0.35">
      <c r="A629" s="49" t="s">
        <v>1249</v>
      </c>
      <c r="B629" s="5" t="s">
        <v>33</v>
      </c>
      <c r="C629" s="6">
        <v>0.6</v>
      </c>
      <c r="D629" s="7">
        <f t="shared" si="81"/>
        <v>0.55499999999999994</v>
      </c>
      <c r="E629" s="7">
        <f t="shared" si="82"/>
        <v>1.1099999999999999E-2</v>
      </c>
      <c r="F629" s="7">
        <f t="shared" si="83"/>
        <v>0.54389999999999994</v>
      </c>
    </row>
    <row r="630" spans="1:6" x14ac:dyDescent="0.35">
      <c r="A630" s="50"/>
      <c r="B630" s="5" t="s">
        <v>34</v>
      </c>
      <c r="C630" s="6">
        <v>0.43</v>
      </c>
      <c r="D630" s="7">
        <f t="shared" si="81"/>
        <v>0.38500000000000001</v>
      </c>
      <c r="E630" s="7">
        <f t="shared" si="82"/>
        <v>7.7000000000000002E-3</v>
      </c>
      <c r="F630" s="7">
        <f t="shared" si="83"/>
        <v>0.37730000000000002</v>
      </c>
    </row>
    <row r="631" spans="1:6" x14ac:dyDescent="0.35">
      <c r="A631" s="51"/>
      <c r="B631" s="5" t="s">
        <v>35</v>
      </c>
      <c r="C631" s="6">
        <v>0.6</v>
      </c>
      <c r="D631" s="7">
        <f t="shared" si="81"/>
        <v>0.55499999999999994</v>
      </c>
      <c r="E631" s="7">
        <f t="shared" si="82"/>
        <v>1.1099999999999999E-2</v>
      </c>
      <c r="F631" s="7">
        <f t="shared" si="83"/>
        <v>0.54389999999999994</v>
      </c>
    </row>
    <row r="632" spans="1:6" x14ac:dyDescent="0.35">
      <c r="A632" s="49" t="s">
        <v>1250</v>
      </c>
      <c r="B632" s="5" t="s">
        <v>33</v>
      </c>
      <c r="C632" s="6">
        <v>0.15</v>
      </c>
      <c r="D632" s="7">
        <f t="shared" si="81"/>
        <v>0.105</v>
      </c>
      <c r="E632" s="7">
        <f t="shared" si="82"/>
        <v>2.0999999999999999E-3</v>
      </c>
      <c r="F632" s="7">
        <f t="shared" si="83"/>
        <v>0.10289999999999999</v>
      </c>
    </row>
    <row r="633" spans="1:6" x14ac:dyDescent="0.35">
      <c r="A633" s="50"/>
      <c r="B633" s="5" t="s">
        <v>34</v>
      </c>
      <c r="C633" s="6">
        <v>0</v>
      </c>
      <c r="D633" s="7" t="s">
        <v>20</v>
      </c>
      <c r="E633" s="7" t="s">
        <v>20</v>
      </c>
      <c r="F633" s="7" t="s">
        <v>20</v>
      </c>
    </row>
    <row r="634" spans="1:6" x14ac:dyDescent="0.35">
      <c r="A634" s="51"/>
      <c r="B634" s="5" t="s">
        <v>35</v>
      </c>
      <c r="C634" s="6">
        <v>0</v>
      </c>
      <c r="D634" s="7" t="s">
        <v>20</v>
      </c>
      <c r="E634" s="7" t="s">
        <v>20</v>
      </c>
      <c r="F634" s="7" t="s">
        <v>20</v>
      </c>
    </row>
    <row r="635" spans="1:6" x14ac:dyDescent="0.35">
      <c r="A635" s="48" t="s">
        <v>1299</v>
      </c>
      <c r="B635" s="5" t="s">
        <v>1251</v>
      </c>
      <c r="C635" s="6">
        <v>0.55000000000000004</v>
      </c>
      <c r="D635" s="7">
        <f t="shared" ref="D635:D650" si="84">C635-(4.5%)</f>
        <v>0.505</v>
      </c>
      <c r="E635" s="7">
        <f t="shared" ref="E635:E650" si="85">D635*2%</f>
        <v>1.01E-2</v>
      </c>
      <c r="F635" s="7">
        <f t="shared" ref="F635:F650" si="86">D635-E635</f>
        <v>0.49490000000000001</v>
      </c>
    </row>
    <row r="636" spans="1:6" ht="24" x14ac:dyDescent="0.35">
      <c r="A636" s="48"/>
      <c r="B636" s="5" t="s">
        <v>1252</v>
      </c>
      <c r="C636" s="6">
        <v>0.55000000000000004</v>
      </c>
      <c r="D636" s="7">
        <f t="shared" si="84"/>
        <v>0.505</v>
      </c>
      <c r="E636" s="7">
        <f t="shared" si="85"/>
        <v>1.01E-2</v>
      </c>
      <c r="F636" s="7">
        <f t="shared" si="86"/>
        <v>0.49490000000000001</v>
      </c>
    </row>
    <row r="637" spans="1:6" ht="24" x14ac:dyDescent="0.35">
      <c r="A637" s="29" t="s">
        <v>1300</v>
      </c>
      <c r="B637" s="5" t="s">
        <v>1253</v>
      </c>
      <c r="C637" s="6">
        <v>0.4</v>
      </c>
      <c r="D637" s="7">
        <f t="shared" si="84"/>
        <v>0.35500000000000004</v>
      </c>
      <c r="E637" s="7">
        <f t="shared" si="85"/>
        <v>7.1000000000000013E-3</v>
      </c>
      <c r="F637" s="7">
        <f t="shared" si="86"/>
        <v>0.34790000000000004</v>
      </c>
    </row>
    <row r="638" spans="1:6" ht="48" x14ac:dyDescent="0.35">
      <c r="A638" s="29" t="s">
        <v>1301</v>
      </c>
      <c r="B638" s="5" t="s">
        <v>1254</v>
      </c>
      <c r="C638" s="6">
        <v>0.55000000000000004</v>
      </c>
      <c r="D638" s="7">
        <f t="shared" si="84"/>
        <v>0.505</v>
      </c>
      <c r="E638" s="7">
        <f t="shared" si="85"/>
        <v>1.01E-2</v>
      </c>
      <c r="F638" s="7">
        <f t="shared" si="86"/>
        <v>0.49490000000000001</v>
      </c>
    </row>
    <row r="639" spans="1:6" ht="24" x14ac:dyDescent="0.35">
      <c r="A639" s="29" t="s">
        <v>1302</v>
      </c>
      <c r="B639" s="5" t="s">
        <v>1255</v>
      </c>
      <c r="C639" s="6">
        <v>0.55000000000000004</v>
      </c>
      <c r="D639" s="7">
        <f t="shared" si="84"/>
        <v>0.505</v>
      </c>
      <c r="E639" s="7">
        <f t="shared" si="85"/>
        <v>1.01E-2</v>
      </c>
      <c r="F639" s="7">
        <f t="shared" si="86"/>
        <v>0.49490000000000001</v>
      </c>
    </row>
    <row r="640" spans="1:6" ht="24" x14ac:dyDescent="0.35">
      <c r="A640" s="29" t="s">
        <v>1303</v>
      </c>
      <c r="B640" s="5" t="s">
        <v>1256</v>
      </c>
      <c r="C640" s="6">
        <v>0.55000000000000004</v>
      </c>
      <c r="D640" s="7">
        <f t="shared" si="84"/>
        <v>0.505</v>
      </c>
      <c r="E640" s="7">
        <f t="shared" si="85"/>
        <v>1.01E-2</v>
      </c>
      <c r="F640" s="7">
        <f t="shared" si="86"/>
        <v>0.49490000000000001</v>
      </c>
    </row>
    <row r="641" spans="1:6" ht="24" x14ac:dyDescent="0.35">
      <c r="A641" s="29" t="s">
        <v>1304</v>
      </c>
      <c r="B641" s="5" t="s">
        <v>1257</v>
      </c>
      <c r="C641" s="6">
        <v>0.55000000000000004</v>
      </c>
      <c r="D641" s="7">
        <f t="shared" si="84"/>
        <v>0.505</v>
      </c>
      <c r="E641" s="7">
        <f t="shared" si="85"/>
        <v>1.01E-2</v>
      </c>
      <c r="F641" s="7">
        <f t="shared" si="86"/>
        <v>0.49490000000000001</v>
      </c>
    </row>
    <row r="642" spans="1:6" ht="60" x14ac:dyDescent="0.35">
      <c r="A642" s="29" t="s">
        <v>1305</v>
      </c>
      <c r="B642" s="5" t="s">
        <v>1258</v>
      </c>
      <c r="C642" s="6">
        <v>0.5</v>
      </c>
      <c r="D642" s="7">
        <f t="shared" si="84"/>
        <v>0.45500000000000002</v>
      </c>
      <c r="E642" s="7">
        <f t="shared" si="85"/>
        <v>9.1000000000000004E-3</v>
      </c>
      <c r="F642" s="7">
        <f t="shared" si="86"/>
        <v>0.44590000000000002</v>
      </c>
    </row>
    <row r="643" spans="1:6" ht="24" x14ac:dyDescent="0.35">
      <c r="A643" s="29" t="s">
        <v>1305</v>
      </c>
      <c r="B643" s="5" t="s">
        <v>1259</v>
      </c>
      <c r="C643" s="6">
        <v>0.5</v>
      </c>
      <c r="D643" s="7">
        <f t="shared" si="84"/>
        <v>0.45500000000000002</v>
      </c>
      <c r="E643" s="7">
        <f t="shared" si="85"/>
        <v>9.1000000000000004E-3</v>
      </c>
      <c r="F643" s="7">
        <f t="shared" si="86"/>
        <v>0.44590000000000002</v>
      </c>
    </row>
    <row r="644" spans="1:6" ht="24" x14ac:dyDescent="0.35">
      <c r="A644" s="29" t="s">
        <v>1305</v>
      </c>
      <c r="B644" s="5" t="s">
        <v>1260</v>
      </c>
      <c r="C644" s="6">
        <v>0.5</v>
      </c>
      <c r="D644" s="7">
        <f t="shared" si="84"/>
        <v>0.45500000000000002</v>
      </c>
      <c r="E644" s="7">
        <f t="shared" si="85"/>
        <v>9.1000000000000004E-3</v>
      </c>
      <c r="F644" s="7">
        <f t="shared" si="86"/>
        <v>0.44590000000000002</v>
      </c>
    </row>
    <row r="645" spans="1:6" ht="36" x14ac:dyDescent="0.35">
      <c r="A645" s="29" t="s">
        <v>1306</v>
      </c>
      <c r="B645" s="5" t="s">
        <v>1261</v>
      </c>
      <c r="C645" s="6">
        <v>0.55000000000000004</v>
      </c>
      <c r="D645" s="7">
        <f t="shared" si="84"/>
        <v>0.505</v>
      </c>
      <c r="E645" s="7">
        <f t="shared" si="85"/>
        <v>1.01E-2</v>
      </c>
      <c r="F645" s="7">
        <f t="shared" si="86"/>
        <v>0.49490000000000001</v>
      </c>
    </row>
    <row r="646" spans="1:6" ht="48" x14ac:dyDescent="0.35">
      <c r="A646" s="29" t="s">
        <v>1307</v>
      </c>
      <c r="B646" s="5" t="s">
        <v>1262</v>
      </c>
      <c r="C646" s="6">
        <v>0.55000000000000004</v>
      </c>
      <c r="D646" s="7">
        <f t="shared" si="84"/>
        <v>0.505</v>
      </c>
      <c r="E646" s="7">
        <f t="shared" si="85"/>
        <v>1.01E-2</v>
      </c>
      <c r="F646" s="7">
        <f t="shared" si="86"/>
        <v>0.49490000000000001</v>
      </c>
    </row>
    <row r="647" spans="1:6" ht="48" x14ac:dyDescent="0.35">
      <c r="A647" s="29" t="s">
        <v>1308</v>
      </c>
      <c r="B647" s="5" t="s">
        <v>1263</v>
      </c>
      <c r="C647" s="6">
        <v>0.5</v>
      </c>
      <c r="D647" s="7">
        <f t="shared" si="84"/>
        <v>0.45500000000000002</v>
      </c>
      <c r="E647" s="7">
        <f t="shared" si="85"/>
        <v>9.1000000000000004E-3</v>
      </c>
      <c r="F647" s="7">
        <f t="shared" si="86"/>
        <v>0.44590000000000002</v>
      </c>
    </row>
    <row r="648" spans="1:6" ht="24" x14ac:dyDescent="0.35">
      <c r="A648" s="29" t="s">
        <v>1308</v>
      </c>
      <c r="B648" s="5" t="s">
        <v>1264</v>
      </c>
      <c r="C648" s="6">
        <v>0.5</v>
      </c>
      <c r="D648" s="7">
        <f t="shared" si="84"/>
        <v>0.45500000000000002</v>
      </c>
      <c r="E648" s="7">
        <f t="shared" si="85"/>
        <v>9.1000000000000004E-3</v>
      </c>
      <c r="F648" s="7">
        <f t="shared" si="86"/>
        <v>0.44590000000000002</v>
      </c>
    </row>
    <row r="649" spans="1:6" x14ac:dyDescent="0.35">
      <c r="A649" s="41" t="s">
        <v>1184</v>
      </c>
      <c r="B649" s="5" t="s">
        <v>34</v>
      </c>
      <c r="C649" s="6">
        <v>0.39500000000000002</v>
      </c>
      <c r="D649" s="7">
        <f t="shared" si="84"/>
        <v>0.35000000000000003</v>
      </c>
      <c r="E649" s="7">
        <f t="shared" si="85"/>
        <v>7.000000000000001E-3</v>
      </c>
      <c r="F649" s="7">
        <f t="shared" si="86"/>
        <v>0.34300000000000003</v>
      </c>
    </row>
    <row r="650" spans="1:6" x14ac:dyDescent="0.35">
      <c r="A650" s="42"/>
      <c r="B650" s="5" t="s">
        <v>35</v>
      </c>
      <c r="C650" s="6">
        <v>0.27500000000000002</v>
      </c>
      <c r="D650" s="7">
        <f t="shared" si="84"/>
        <v>0.23000000000000004</v>
      </c>
      <c r="E650" s="7">
        <f t="shared" si="85"/>
        <v>4.6000000000000008E-3</v>
      </c>
      <c r="F650" s="7">
        <f t="shared" si="86"/>
        <v>0.22540000000000004</v>
      </c>
    </row>
    <row r="651" spans="1:6" x14ac:dyDescent="0.35">
      <c r="A651" s="43"/>
      <c r="B651" s="5" t="s">
        <v>33</v>
      </c>
      <c r="C651" s="6">
        <v>0</v>
      </c>
      <c r="D651" s="7" t="s">
        <v>20</v>
      </c>
      <c r="E651" s="7" t="s">
        <v>20</v>
      </c>
      <c r="F651" s="7" t="s">
        <v>20</v>
      </c>
    </row>
    <row r="652" spans="1:6" x14ac:dyDescent="0.35">
      <c r="A652" s="41" t="s">
        <v>1185</v>
      </c>
      <c r="B652" s="5" t="s">
        <v>34</v>
      </c>
      <c r="C652" s="6">
        <v>0.44500000000000001</v>
      </c>
      <c r="D652" s="7">
        <f>C652-(4.5%)</f>
        <v>0.4</v>
      </c>
      <c r="E652" s="7">
        <f>D652*2%</f>
        <v>8.0000000000000002E-3</v>
      </c>
      <c r="F652" s="7">
        <f>D652-E652</f>
        <v>0.39200000000000002</v>
      </c>
    </row>
    <row r="653" spans="1:6" x14ac:dyDescent="0.35">
      <c r="A653" s="42"/>
      <c r="B653" s="5" t="s">
        <v>35</v>
      </c>
      <c r="C653" s="6">
        <v>0.27500000000000002</v>
      </c>
      <c r="D653" s="7">
        <f>C653-(4.5%)</f>
        <v>0.23000000000000004</v>
      </c>
      <c r="E653" s="7">
        <f>D653*2%</f>
        <v>4.6000000000000008E-3</v>
      </c>
      <c r="F653" s="7">
        <f>D653-E653</f>
        <v>0.22540000000000004</v>
      </c>
    </row>
    <row r="654" spans="1:6" x14ac:dyDescent="0.35">
      <c r="A654" s="43"/>
      <c r="B654" s="5" t="s">
        <v>33</v>
      </c>
      <c r="C654" s="6">
        <v>0</v>
      </c>
      <c r="D654" s="7" t="s">
        <v>20</v>
      </c>
      <c r="E654" s="7" t="s">
        <v>20</v>
      </c>
      <c r="F654" s="7" t="s">
        <v>20</v>
      </c>
    </row>
    <row r="655" spans="1:6" x14ac:dyDescent="0.35">
      <c r="A655" s="41" t="s">
        <v>1186</v>
      </c>
      <c r="B655" s="5" t="s">
        <v>34</v>
      </c>
      <c r="C655" s="6">
        <v>0.495</v>
      </c>
      <c r="D655" s="7">
        <f>C655-(4.5%)</f>
        <v>0.45</v>
      </c>
      <c r="E655" s="7">
        <f>D655*2%</f>
        <v>9.0000000000000011E-3</v>
      </c>
      <c r="F655" s="7">
        <f>D655-E655</f>
        <v>0.441</v>
      </c>
    </row>
    <row r="656" spans="1:6" x14ac:dyDescent="0.35">
      <c r="A656" s="42"/>
      <c r="B656" s="5" t="s">
        <v>35</v>
      </c>
      <c r="C656" s="6">
        <v>0.27500000000000002</v>
      </c>
      <c r="D656" s="7">
        <f>C656-(4.5%)</f>
        <v>0.23000000000000004</v>
      </c>
      <c r="E656" s="7">
        <f>D656*2%</f>
        <v>4.6000000000000008E-3</v>
      </c>
      <c r="F656" s="7">
        <f>D656-E656</f>
        <v>0.22540000000000004</v>
      </c>
    </row>
    <row r="657" spans="1:6" x14ac:dyDescent="0.35">
      <c r="A657" s="43"/>
      <c r="B657" s="5" t="s">
        <v>33</v>
      </c>
      <c r="C657" s="6">
        <v>0</v>
      </c>
      <c r="D657" s="7" t="s">
        <v>20</v>
      </c>
      <c r="E657" s="7" t="s">
        <v>20</v>
      </c>
      <c r="F657" s="7" t="s">
        <v>20</v>
      </c>
    </row>
    <row r="658" spans="1:6" x14ac:dyDescent="0.35">
      <c r="A658" s="41" t="s">
        <v>1187</v>
      </c>
      <c r="B658" s="5" t="s">
        <v>34</v>
      </c>
      <c r="C658" s="6">
        <v>0.44500000000000001</v>
      </c>
      <c r="D658" s="7">
        <f>C658-(4.5%)</f>
        <v>0.4</v>
      </c>
      <c r="E658" s="7">
        <f>D658*2%</f>
        <v>8.0000000000000002E-3</v>
      </c>
      <c r="F658" s="7">
        <f>D658-E658</f>
        <v>0.39200000000000002</v>
      </c>
    </row>
    <row r="659" spans="1:6" x14ac:dyDescent="0.35">
      <c r="A659" s="42"/>
      <c r="B659" s="5" t="s">
        <v>35</v>
      </c>
      <c r="C659" s="6">
        <v>0.27500000000000002</v>
      </c>
      <c r="D659" s="7">
        <f>C659-(4.5%)</f>
        <v>0.23000000000000004</v>
      </c>
      <c r="E659" s="7">
        <f>D659*2%</f>
        <v>4.6000000000000008E-3</v>
      </c>
      <c r="F659" s="7">
        <f>D659-E659</f>
        <v>0.22540000000000004</v>
      </c>
    </row>
    <row r="660" spans="1:6" x14ac:dyDescent="0.35">
      <c r="A660" s="43"/>
      <c r="B660" s="5" t="s">
        <v>33</v>
      </c>
      <c r="C660" s="6">
        <v>0</v>
      </c>
      <c r="D660" s="7" t="s">
        <v>20</v>
      </c>
      <c r="E660" s="7" t="s">
        <v>20</v>
      </c>
      <c r="F660" s="7" t="s">
        <v>20</v>
      </c>
    </row>
    <row r="661" spans="1:6" x14ac:dyDescent="0.35">
      <c r="A661" s="48" t="s">
        <v>1561</v>
      </c>
      <c r="B661" s="5" t="s">
        <v>235</v>
      </c>
      <c r="C661" s="6">
        <v>0.44</v>
      </c>
      <c r="D661" s="7">
        <f t="shared" ref="D661:D687" si="87">C661-(4.5%)</f>
        <v>0.39500000000000002</v>
      </c>
      <c r="E661" s="7">
        <f t="shared" ref="E661:E687" si="88">D661*2%</f>
        <v>7.9000000000000008E-3</v>
      </c>
      <c r="F661" s="7">
        <f t="shared" ref="F661:F687" si="89">D661-E661</f>
        <v>0.3871</v>
      </c>
    </row>
    <row r="662" spans="1:6" x14ac:dyDescent="0.35">
      <c r="A662" s="48"/>
      <c r="B662" s="5" t="s">
        <v>236</v>
      </c>
      <c r="C662" s="6">
        <v>0.42</v>
      </c>
      <c r="D662" s="7">
        <f t="shared" si="87"/>
        <v>0.375</v>
      </c>
      <c r="E662" s="7">
        <f t="shared" si="88"/>
        <v>7.4999999999999997E-3</v>
      </c>
      <c r="F662" s="7">
        <f t="shared" si="89"/>
        <v>0.36749999999999999</v>
      </c>
    </row>
    <row r="663" spans="1:6" x14ac:dyDescent="0.35">
      <c r="A663" s="48" t="s">
        <v>1562</v>
      </c>
      <c r="B663" s="5" t="s">
        <v>235</v>
      </c>
      <c r="C663" s="6">
        <v>0.46</v>
      </c>
      <c r="D663" s="7">
        <f t="shared" si="87"/>
        <v>0.41500000000000004</v>
      </c>
      <c r="E663" s="7">
        <f t="shared" si="88"/>
        <v>8.3000000000000001E-3</v>
      </c>
      <c r="F663" s="7">
        <f t="shared" si="89"/>
        <v>0.40670000000000006</v>
      </c>
    </row>
    <row r="664" spans="1:6" x14ac:dyDescent="0.35">
      <c r="A664" s="48"/>
      <c r="B664" s="5" t="s">
        <v>236</v>
      </c>
      <c r="C664" s="6">
        <v>0.44</v>
      </c>
      <c r="D664" s="7">
        <f t="shared" si="87"/>
        <v>0.39500000000000002</v>
      </c>
      <c r="E664" s="7">
        <f t="shared" si="88"/>
        <v>7.9000000000000008E-3</v>
      </c>
      <c r="F664" s="7">
        <f t="shared" si="89"/>
        <v>0.3871</v>
      </c>
    </row>
    <row r="665" spans="1:6" x14ac:dyDescent="0.35">
      <c r="A665" s="48" t="s">
        <v>1563</v>
      </c>
      <c r="B665" s="5" t="s">
        <v>235</v>
      </c>
      <c r="C665" s="6">
        <v>0.53</v>
      </c>
      <c r="D665" s="7">
        <f t="shared" si="87"/>
        <v>0.48500000000000004</v>
      </c>
      <c r="E665" s="7">
        <f t="shared" si="88"/>
        <v>9.7000000000000003E-3</v>
      </c>
      <c r="F665" s="7">
        <f t="shared" si="89"/>
        <v>0.47530000000000006</v>
      </c>
    </row>
    <row r="666" spans="1:6" x14ac:dyDescent="0.35">
      <c r="A666" s="48"/>
      <c r="B666" s="5" t="s">
        <v>236</v>
      </c>
      <c r="C666" s="6">
        <v>0.51</v>
      </c>
      <c r="D666" s="7">
        <f t="shared" si="87"/>
        <v>0.46500000000000002</v>
      </c>
      <c r="E666" s="7">
        <f t="shared" si="88"/>
        <v>9.300000000000001E-3</v>
      </c>
      <c r="F666" s="7">
        <f t="shared" si="89"/>
        <v>0.45570000000000005</v>
      </c>
    </row>
    <row r="667" spans="1:6" x14ac:dyDescent="0.35">
      <c r="A667" s="48" t="s">
        <v>1564</v>
      </c>
      <c r="B667" s="5" t="s">
        <v>235</v>
      </c>
      <c r="C667" s="6">
        <v>0.54</v>
      </c>
      <c r="D667" s="7">
        <f t="shared" si="87"/>
        <v>0.49500000000000005</v>
      </c>
      <c r="E667" s="7">
        <f t="shared" si="88"/>
        <v>9.9000000000000008E-3</v>
      </c>
      <c r="F667" s="7">
        <f t="shared" si="89"/>
        <v>0.48510000000000003</v>
      </c>
    </row>
    <row r="668" spans="1:6" x14ac:dyDescent="0.35">
      <c r="A668" s="48"/>
      <c r="B668" s="5" t="s">
        <v>236</v>
      </c>
      <c r="C668" s="6">
        <v>0.52</v>
      </c>
      <c r="D668" s="7">
        <f t="shared" si="87"/>
        <v>0.47500000000000003</v>
      </c>
      <c r="E668" s="7">
        <f t="shared" si="88"/>
        <v>9.5000000000000015E-3</v>
      </c>
      <c r="F668" s="7">
        <f t="shared" si="89"/>
        <v>0.46550000000000002</v>
      </c>
    </row>
    <row r="669" spans="1:6" x14ac:dyDescent="0.35">
      <c r="A669" s="48" t="s">
        <v>1565</v>
      </c>
      <c r="B669" s="5" t="s">
        <v>235</v>
      </c>
      <c r="C669" s="6">
        <v>0.34</v>
      </c>
      <c r="D669" s="7">
        <f t="shared" si="87"/>
        <v>0.29500000000000004</v>
      </c>
      <c r="E669" s="7">
        <f t="shared" si="88"/>
        <v>5.9000000000000007E-3</v>
      </c>
      <c r="F669" s="7">
        <f t="shared" si="89"/>
        <v>0.28910000000000002</v>
      </c>
    </row>
    <row r="670" spans="1:6" x14ac:dyDescent="0.35">
      <c r="A670" s="48"/>
      <c r="B670" s="5" t="s">
        <v>236</v>
      </c>
      <c r="C670" s="6">
        <v>0.32</v>
      </c>
      <c r="D670" s="7">
        <f t="shared" si="87"/>
        <v>0.27500000000000002</v>
      </c>
      <c r="E670" s="7">
        <f t="shared" si="88"/>
        <v>5.5000000000000005E-3</v>
      </c>
      <c r="F670" s="7">
        <f t="shared" si="89"/>
        <v>0.26950000000000002</v>
      </c>
    </row>
    <row r="671" spans="1:6" x14ac:dyDescent="0.35">
      <c r="A671" s="48" t="s">
        <v>1566</v>
      </c>
      <c r="B671" s="5" t="s">
        <v>235</v>
      </c>
      <c r="C671" s="6">
        <v>0.36</v>
      </c>
      <c r="D671" s="7">
        <f t="shared" si="87"/>
        <v>0.315</v>
      </c>
      <c r="E671" s="7">
        <f t="shared" si="88"/>
        <v>6.3E-3</v>
      </c>
      <c r="F671" s="7">
        <f t="shared" si="89"/>
        <v>0.30869999999999997</v>
      </c>
    </row>
    <row r="672" spans="1:6" x14ac:dyDescent="0.35">
      <c r="A672" s="48"/>
      <c r="B672" s="5" t="s">
        <v>236</v>
      </c>
      <c r="C672" s="6">
        <v>0.34</v>
      </c>
      <c r="D672" s="7">
        <f t="shared" si="87"/>
        <v>0.29500000000000004</v>
      </c>
      <c r="E672" s="7">
        <f t="shared" si="88"/>
        <v>5.9000000000000007E-3</v>
      </c>
      <c r="F672" s="7">
        <f t="shared" si="89"/>
        <v>0.28910000000000002</v>
      </c>
    </row>
    <row r="673" spans="1:6" x14ac:dyDescent="0.35">
      <c r="A673" s="48" t="s">
        <v>1567</v>
      </c>
      <c r="B673" s="5" t="s">
        <v>235</v>
      </c>
      <c r="C673" s="6">
        <v>0.43</v>
      </c>
      <c r="D673" s="7">
        <f t="shared" si="87"/>
        <v>0.38500000000000001</v>
      </c>
      <c r="E673" s="7">
        <f t="shared" si="88"/>
        <v>7.7000000000000002E-3</v>
      </c>
      <c r="F673" s="7">
        <f t="shared" si="89"/>
        <v>0.37730000000000002</v>
      </c>
    </row>
    <row r="674" spans="1:6" x14ac:dyDescent="0.35">
      <c r="A674" s="48"/>
      <c r="B674" s="5" t="s">
        <v>236</v>
      </c>
      <c r="C674" s="6">
        <v>0.41</v>
      </c>
      <c r="D674" s="7">
        <f t="shared" si="87"/>
        <v>0.36499999999999999</v>
      </c>
      <c r="E674" s="7">
        <f t="shared" si="88"/>
        <v>7.3000000000000001E-3</v>
      </c>
      <c r="F674" s="7">
        <f t="shared" si="89"/>
        <v>0.35770000000000002</v>
      </c>
    </row>
    <row r="675" spans="1:6" x14ac:dyDescent="0.35">
      <c r="A675" s="48" t="s">
        <v>1568</v>
      </c>
      <c r="B675" s="5" t="s">
        <v>235</v>
      </c>
      <c r="C675" s="6">
        <v>0.44</v>
      </c>
      <c r="D675" s="7">
        <f t="shared" si="87"/>
        <v>0.39500000000000002</v>
      </c>
      <c r="E675" s="7">
        <f t="shared" si="88"/>
        <v>7.9000000000000008E-3</v>
      </c>
      <c r="F675" s="7">
        <f t="shared" si="89"/>
        <v>0.3871</v>
      </c>
    </row>
    <row r="676" spans="1:6" x14ac:dyDescent="0.35">
      <c r="A676" s="48"/>
      <c r="B676" s="5" t="s">
        <v>236</v>
      </c>
      <c r="C676" s="6">
        <v>0.42</v>
      </c>
      <c r="D676" s="7">
        <f t="shared" si="87"/>
        <v>0.375</v>
      </c>
      <c r="E676" s="7">
        <f t="shared" si="88"/>
        <v>7.4999999999999997E-3</v>
      </c>
      <c r="F676" s="7">
        <f t="shared" si="89"/>
        <v>0.36749999999999999</v>
      </c>
    </row>
    <row r="677" spans="1:6" x14ac:dyDescent="0.35">
      <c r="A677" s="41" t="s">
        <v>237</v>
      </c>
      <c r="B677" s="5" t="s">
        <v>98</v>
      </c>
      <c r="C677" s="6">
        <v>0.19500000000000001</v>
      </c>
      <c r="D677" s="7">
        <f t="shared" si="87"/>
        <v>0.15000000000000002</v>
      </c>
      <c r="E677" s="7">
        <f t="shared" si="88"/>
        <v>3.0000000000000005E-3</v>
      </c>
      <c r="F677" s="7">
        <f t="shared" si="89"/>
        <v>0.14700000000000002</v>
      </c>
    </row>
    <row r="678" spans="1:6" x14ac:dyDescent="0.35">
      <c r="A678" s="43"/>
      <c r="B678" s="5" t="s">
        <v>99</v>
      </c>
      <c r="C678" s="6">
        <v>0.25</v>
      </c>
      <c r="D678" s="7">
        <f t="shared" si="87"/>
        <v>0.20500000000000002</v>
      </c>
      <c r="E678" s="7">
        <f t="shared" si="88"/>
        <v>4.1000000000000003E-3</v>
      </c>
      <c r="F678" s="7">
        <f t="shared" si="89"/>
        <v>0.20090000000000002</v>
      </c>
    </row>
    <row r="679" spans="1:6" x14ac:dyDescent="0.35">
      <c r="A679" s="41" t="s">
        <v>1265</v>
      </c>
      <c r="B679" s="5" t="s">
        <v>238</v>
      </c>
      <c r="C679" s="6">
        <v>0.4</v>
      </c>
      <c r="D679" s="7">
        <f t="shared" si="87"/>
        <v>0.35500000000000004</v>
      </c>
      <c r="E679" s="7">
        <f t="shared" si="88"/>
        <v>7.1000000000000013E-3</v>
      </c>
      <c r="F679" s="7">
        <f t="shared" si="89"/>
        <v>0.34790000000000004</v>
      </c>
    </row>
    <row r="680" spans="1:6" x14ac:dyDescent="0.35">
      <c r="A680" s="42"/>
      <c r="B680" s="5" t="s">
        <v>239</v>
      </c>
      <c r="C680" s="6">
        <v>0.2</v>
      </c>
      <c r="D680" s="7">
        <f t="shared" si="87"/>
        <v>0.15500000000000003</v>
      </c>
      <c r="E680" s="7">
        <f t="shared" si="88"/>
        <v>3.1000000000000008E-3</v>
      </c>
      <c r="F680" s="7">
        <f t="shared" si="89"/>
        <v>0.15190000000000003</v>
      </c>
    </row>
    <row r="681" spans="1:6" x14ac:dyDescent="0.35">
      <c r="A681" s="43"/>
      <c r="B681" s="5" t="s">
        <v>240</v>
      </c>
      <c r="C681" s="6">
        <v>0.4</v>
      </c>
      <c r="D681" s="7">
        <f t="shared" si="87"/>
        <v>0.35500000000000004</v>
      </c>
      <c r="E681" s="7">
        <f t="shared" si="88"/>
        <v>7.1000000000000013E-3</v>
      </c>
      <c r="F681" s="7">
        <f t="shared" si="89"/>
        <v>0.34790000000000004</v>
      </c>
    </row>
    <row r="682" spans="1:6" x14ac:dyDescent="0.35">
      <c r="A682" s="41" t="s">
        <v>1266</v>
      </c>
      <c r="B682" s="5" t="s">
        <v>238</v>
      </c>
      <c r="C682" s="6">
        <v>0.45</v>
      </c>
      <c r="D682" s="7">
        <f t="shared" si="87"/>
        <v>0.40500000000000003</v>
      </c>
      <c r="E682" s="7">
        <f t="shared" si="88"/>
        <v>8.1000000000000013E-3</v>
      </c>
      <c r="F682" s="7">
        <f t="shared" si="89"/>
        <v>0.39690000000000003</v>
      </c>
    </row>
    <row r="683" spans="1:6" x14ac:dyDescent="0.35">
      <c r="A683" s="42"/>
      <c r="B683" s="5" t="s">
        <v>239</v>
      </c>
      <c r="C683" s="6">
        <v>0.3</v>
      </c>
      <c r="D683" s="7">
        <f t="shared" si="87"/>
        <v>0.255</v>
      </c>
      <c r="E683" s="7">
        <f t="shared" si="88"/>
        <v>5.1000000000000004E-3</v>
      </c>
      <c r="F683" s="7">
        <f t="shared" si="89"/>
        <v>0.24990000000000001</v>
      </c>
    </row>
    <row r="684" spans="1:6" x14ac:dyDescent="0.35">
      <c r="A684" s="43"/>
      <c r="B684" s="5" t="s">
        <v>240</v>
      </c>
      <c r="C684" s="6">
        <v>0.55000000000000004</v>
      </c>
      <c r="D684" s="7">
        <f t="shared" si="87"/>
        <v>0.505</v>
      </c>
      <c r="E684" s="7">
        <f t="shared" si="88"/>
        <v>1.01E-2</v>
      </c>
      <c r="F684" s="7">
        <f t="shared" si="89"/>
        <v>0.49490000000000001</v>
      </c>
    </row>
    <row r="685" spans="1:6" x14ac:dyDescent="0.35">
      <c r="A685" s="41" t="s">
        <v>1267</v>
      </c>
      <c r="B685" s="5" t="s">
        <v>238</v>
      </c>
      <c r="C685" s="6">
        <v>0.1</v>
      </c>
      <c r="D685" s="7">
        <f t="shared" si="87"/>
        <v>5.5000000000000007E-2</v>
      </c>
      <c r="E685" s="7">
        <f t="shared" si="88"/>
        <v>1.1000000000000001E-3</v>
      </c>
      <c r="F685" s="7">
        <f t="shared" si="89"/>
        <v>5.390000000000001E-2</v>
      </c>
    </row>
    <row r="686" spans="1:6" x14ac:dyDescent="0.35">
      <c r="A686" s="42"/>
      <c r="B686" s="5" t="s">
        <v>239</v>
      </c>
      <c r="C686" s="6">
        <v>0.1</v>
      </c>
      <c r="D686" s="7">
        <f t="shared" si="87"/>
        <v>5.5000000000000007E-2</v>
      </c>
      <c r="E686" s="7">
        <f t="shared" si="88"/>
        <v>1.1000000000000001E-3</v>
      </c>
      <c r="F686" s="7">
        <f t="shared" si="89"/>
        <v>5.390000000000001E-2</v>
      </c>
    </row>
    <row r="687" spans="1:6" x14ac:dyDescent="0.35">
      <c r="A687" s="43"/>
      <c r="B687" s="5" t="s">
        <v>240</v>
      </c>
      <c r="C687" s="6">
        <v>0.1</v>
      </c>
      <c r="D687" s="7">
        <f t="shared" si="87"/>
        <v>5.5000000000000007E-2</v>
      </c>
      <c r="E687" s="7">
        <f t="shared" si="88"/>
        <v>1.1000000000000001E-3</v>
      </c>
      <c r="F687" s="7">
        <f t="shared" si="89"/>
        <v>5.390000000000001E-2</v>
      </c>
    </row>
    <row r="688" spans="1:6" x14ac:dyDescent="0.35">
      <c r="A688" s="2" t="s">
        <v>241</v>
      </c>
      <c r="B688" s="2" t="s">
        <v>1</v>
      </c>
      <c r="C688" s="3" t="s">
        <v>2</v>
      </c>
      <c r="D688" s="4" t="s">
        <v>4</v>
      </c>
      <c r="E688" s="4" t="s">
        <v>5</v>
      </c>
      <c r="F688" s="4" t="s">
        <v>6</v>
      </c>
    </row>
    <row r="689" spans="1:6" ht="36" x14ac:dyDescent="0.35">
      <c r="A689" s="5" t="s">
        <v>242</v>
      </c>
      <c r="B689" s="5" t="s">
        <v>220</v>
      </c>
      <c r="C689" s="6">
        <v>0.18</v>
      </c>
      <c r="D689" s="7">
        <f t="shared" ref="D689:D704" si="90">C689-(4.5%)</f>
        <v>0.13500000000000001</v>
      </c>
      <c r="E689" s="7">
        <f t="shared" ref="E689:E704" si="91">D689*2%</f>
        <v>2.7000000000000001E-3</v>
      </c>
      <c r="F689" s="7">
        <f t="shared" ref="F689:F704" si="92">D689-E689</f>
        <v>0.1323</v>
      </c>
    </row>
    <row r="690" spans="1:6" ht="36" x14ac:dyDescent="0.35">
      <c r="A690" s="5" t="s">
        <v>243</v>
      </c>
      <c r="B690" s="5" t="s">
        <v>220</v>
      </c>
      <c r="C690" s="6">
        <v>0.18</v>
      </c>
      <c r="D690" s="7">
        <f t="shared" si="90"/>
        <v>0.13500000000000001</v>
      </c>
      <c r="E690" s="7">
        <f t="shared" si="91"/>
        <v>2.7000000000000001E-3</v>
      </c>
      <c r="F690" s="7">
        <f t="shared" si="92"/>
        <v>0.1323</v>
      </c>
    </row>
    <row r="691" spans="1:6" x14ac:dyDescent="0.35">
      <c r="A691" s="5" t="s">
        <v>242</v>
      </c>
      <c r="B691" s="5" t="s">
        <v>221</v>
      </c>
      <c r="C691" s="6">
        <v>0.105</v>
      </c>
      <c r="D691" s="7">
        <f t="shared" si="90"/>
        <v>0.06</v>
      </c>
      <c r="E691" s="7">
        <f t="shared" si="91"/>
        <v>1.1999999999999999E-3</v>
      </c>
      <c r="F691" s="7">
        <f t="shared" si="92"/>
        <v>5.8799999999999998E-2</v>
      </c>
    </row>
    <row r="692" spans="1:6" x14ac:dyDescent="0.35">
      <c r="A692" s="5" t="s">
        <v>243</v>
      </c>
      <c r="B692" s="5" t="s">
        <v>221</v>
      </c>
      <c r="C692" s="6">
        <v>0.105</v>
      </c>
      <c r="D692" s="7">
        <f t="shared" si="90"/>
        <v>0.06</v>
      </c>
      <c r="E692" s="7">
        <f t="shared" si="91"/>
        <v>1.1999999999999999E-3</v>
      </c>
      <c r="F692" s="7">
        <f t="shared" si="92"/>
        <v>5.8799999999999998E-2</v>
      </c>
    </row>
    <row r="693" spans="1:6" ht="24" x14ac:dyDescent="0.35">
      <c r="A693" s="5" t="s">
        <v>244</v>
      </c>
      <c r="B693" s="5" t="s">
        <v>245</v>
      </c>
      <c r="C693" s="6">
        <v>0.15</v>
      </c>
      <c r="D693" s="7">
        <f t="shared" si="90"/>
        <v>0.105</v>
      </c>
      <c r="E693" s="7">
        <f t="shared" si="91"/>
        <v>2.0999999999999999E-3</v>
      </c>
      <c r="F693" s="7">
        <f t="shared" si="92"/>
        <v>0.10289999999999999</v>
      </c>
    </row>
    <row r="694" spans="1:6" ht="24" x14ac:dyDescent="0.35">
      <c r="A694" s="48" t="s">
        <v>1494</v>
      </c>
      <c r="B694" s="5" t="s">
        <v>246</v>
      </c>
      <c r="C694" s="6">
        <v>0.24</v>
      </c>
      <c r="D694" s="7">
        <f t="shared" si="90"/>
        <v>0.19500000000000001</v>
      </c>
      <c r="E694" s="7">
        <f t="shared" si="91"/>
        <v>3.9000000000000003E-3</v>
      </c>
      <c r="F694" s="7">
        <f t="shared" si="92"/>
        <v>0.19110000000000002</v>
      </c>
    </row>
    <row r="695" spans="1:6" ht="24" x14ac:dyDescent="0.35">
      <c r="A695" s="48"/>
      <c r="B695" s="5" t="s">
        <v>247</v>
      </c>
      <c r="C695" s="6">
        <v>0.3</v>
      </c>
      <c r="D695" s="7">
        <f t="shared" si="90"/>
        <v>0.255</v>
      </c>
      <c r="E695" s="7">
        <f t="shared" si="91"/>
        <v>5.1000000000000004E-3</v>
      </c>
      <c r="F695" s="7">
        <f t="shared" si="92"/>
        <v>0.24990000000000001</v>
      </c>
    </row>
    <row r="696" spans="1:6" x14ac:dyDescent="0.35">
      <c r="A696" s="48"/>
      <c r="B696" s="5" t="s">
        <v>248</v>
      </c>
      <c r="C696" s="6">
        <v>0.35</v>
      </c>
      <c r="D696" s="7">
        <f t="shared" si="90"/>
        <v>0.30499999999999999</v>
      </c>
      <c r="E696" s="7">
        <f t="shared" si="91"/>
        <v>6.1000000000000004E-3</v>
      </c>
      <c r="F696" s="7">
        <f t="shared" si="92"/>
        <v>0.2989</v>
      </c>
    </row>
    <row r="697" spans="1:6" ht="24" x14ac:dyDescent="0.35">
      <c r="A697" s="48" t="s">
        <v>1504</v>
      </c>
      <c r="B697" s="5" t="s">
        <v>246</v>
      </c>
      <c r="C697" s="6">
        <v>0.14000000000000001</v>
      </c>
      <c r="D697" s="7">
        <f t="shared" si="90"/>
        <v>9.5000000000000015E-2</v>
      </c>
      <c r="E697" s="7">
        <f t="shared" si="91"/>
        <v>1.9000000000000004E-3</v>
      </c>
      <c r="F697" s="7">
        <f t="shared" si="92"/>
        <v>9.3100000000000016E-2</v>
      </c>
    </row>
    <row r="698" spans="1:6" ht="24" x14ac:dyDescent="0.35">
      <c r="A698" s="48"/>
      <c r="B698" s="5" t="s">
        <v>247</v>
      </c>
      <c r="C698" s="6">
        <v>0.2</v>
      </c>
      <c r="D698" s="7">
        <f t="shared" si="90"/>
        <v>0.15500000000000003</v>
      </c>
      <c r="E698" s="7">
        <f t="shared" si="91"/>
        <v>3.1000000000000008E-3</v>
      </c>
      <c r="F698" s="7">
        <f t="shared" si="92"/>
        <v>0.15190000000000003</v>
      </c>
    </row>
    <row r="699" spans="1:6" x14ac:dyDescent="0.35">
      <c r="A699" s="48"/>
      <c r="B699" s="5" t="s">
        <v>248</v>
      </c>
      <c r="C699" s="6">
        <v>0.25</v>
      </c>
      <c r="D699" s="7">
        <f t="shared" si="90"/>
        <v>0.20500000000000002</v>
      </c>
      <c r="E699" s="7">
        <f t="shared" si="91"/>
        <v>4.1000000000000003E-3</v>
      </c>
      <c r="F699" s="7">
        <f t="shared" si="92"/>
        <v>0.20090000000000002</v>
      </c>
    </row>
    <row r="700" spans="1:6" x14ac:dyDescent="0.35">
      <c r="A700" s="5" t="s">
        <v>249</v>
      </c>
      <c r="B700" s="5" t="s">
        <v>100</v>
      </c>
      <c r="C700" s="6">
        <v>0.2</v>
      </c>
      <c r="D700" s="7">
        <f t="shared" si="90"/>
        <v>0.15500000000000003</v>
      </c>
      <c r="E700" s="7">
        <f t="shared" si="91"/>
        <v>3.1000000000000008E-3</v>
      </c>
      <c r="F700" s="7">
        <f t="shared" si="92"/>
        <v>0.15190000000000003</v>
      </c>
    </row>
    <row r="701" spans="1:6" x14ac:dyDescent="0.35">
      <c r="A701" s="5" t="s">
        <v>250</v>
      </c>
      <c r="B701" s="5" t="s">
        <v>100</v>
      </c>
      <c r="C701" s="6">
        <v>0.11</v>
      </c>
      <c r="D701" s="7">
        <f t="shared" si="90"/>
        <v>6.5000000000000002E-2</v>
      </c>
      <c r="E701" s="7">
        <f t="shared" si="91"/>
        <v>1.3000000000000002E-3</v>
      </c>
      <c r="F701" s="7">
        <f t="shared" si="92"/>
        <v>6.3700000000000007E-2</v>
      </c>
    </row>
    <row r="702" spans="1:6" x14ac:dyDescent="0.35">
      <c r="A702" s="41" t="s">
        <v>251</v>
      </c>
      <c r="B702" s="5" t="s">
        <v>39</v>
      </c>
      <c r="C702" s="6">
        <v>0.23</v>
      </c>
      <c r="D702" s="7">
        <f t="shared" si="90"/>
        <v>0.185</v>
      </c>
      <c r="E702" s="7">
        <f t="shared" si="91"/>
        <v>3.7000000000000002E-3</v>
      </c>
      <c r="F702" s="7">
        <f t="shared" si="92"/>
        <v>0.18129999999999999</v>
      </c>
    </row>
    <row r="703" spans="1:6" x14ac:dyDescent="0.35">
      <c r="A703" s="43"/>
      <c r="B703" s="5" t="s">
        <v>40</v>
      </c>
      <c r="C703" s="6">
        <v>0.25</v>
      </c>
      <c r="D703" s="7">
        <f t="shared" si="90"/>
        <v>0.20500000000000002</v>
      </c>
      <c r="E703" s="7">
        <f t="shared" si="91"/>
        <v>4.1000000000000003E-3</v>
      </c>
      <c r="F703" s="7">
        <f t="shared" si="92"/>
        <v>0.20090000000000002</v>
      </c>
    </row>
    <row r="704" spans="1:6" x14ac:dyDescent="0.35">
      <c r="A704" s="41" t="s">
        <v>1143</v>
      </c>
      <c r="B704" s="5" t="s">
        <v>33</v>
      </c>
      <c r="C704" s="6">
        <v>0.1</v>
      </c>
      <c r="D704" s="7">
        <f t="shared" si="90"/>
        <v>5.5000000000000007E-2</v>
      </c>
      <c r="E704" s="7">
        <f t="shared" si="91"/>
        <v>1.1000000000000001E-3</v>
      </c>
      <c r="F704" s="7">
        <f t="shared" si="92"/>
        <v>5.390000000000001E-2</v>
      </c>
    </row>
    <row r="705" spans="1:6" x14ac:dyDescent="0.35">
      <c r="A705" s="42"/>
      <c r="B705" s="5" t="s">
        <v>34</v>
      </c>
      <c r="C705" s="6">
        <v>0</v>
      </c>
      <c r="D705" s="7" t="s">
        <v>20</v>
      </c>
      <c r="E705" s="7" t="s">
        <v>20</v>
      </c>
      <c r="F705" s="7" t="s">
        <v>20</v>
      </c>
    </row>
    <row r="706" spans="1:6" x14ac:dyDescent="0.35">
      <c r="A706" s="43"/>
      <c r="B706" s="5" t="s">
        <v>35</v>
      </c>
      <c r="C706" s="6">
        <v>0</v>
      </c>
      <c r="D706" s="7" t="s">
        <v>20</v>
      </c>
      <c r="E706" s="7" t="s">
        <v>20</v>
      </c>
      <c r="F706" s="7" t="s">
        <v>20</v>
      </c>
    </row>
    <row r="707" spans="1:6" x14ac:dyDescent="0.35">
      <c r="A707" s="2" t="s">
        <v>252</v>
      </c>
      <c r="B707" s="2" t="s">
        <v>1</v>
      </c>
      <c r="C707" s="3" t="s">
        <v>2</v>
      </c>
      <c r="D707" s="4" t="s">
        <v>4</v>
      </c>
      <c r="E707" s="4" t="s">
        <v>5</v>
      </c>
      <c r="F707" s="4" t="s">
        <v>6</v>
      </c>
    </row>
    <row r="708" spans="1:6" ht="24" x14ac:dyDescent="0.35">
      <c r="A708" s="5" t="s">
        <v>253</v>
      </c>
      <c r="B708" s="5" t="s">
        <v>254</v>
      </c>
      <c r="C708" s="7">
        <v>0.25</v>
      </c>
      <c r="D708" s="7">
        <f t="shared" ref="D708:D724" si="93">C708-(4.5%)</f>
        <v>0.20500000000000002</v>
      </c>
      <c r="E708" s="7">
        <f t="shared" ref="E708:E724" si="94">D708*2%</f>
        <v>4.1000000000000003E-3</v>
      </c>
      <c r="F708" s="7">
        <f t="shared" ref="F708:F724" si="95">D708-E708</f>
        <v>0.20090000000000002</v>
      </c>
    </row>
    <row r="709" spans="1:6" x14ac:dyDescent="0.35">
      <c r="A709" s="5" t="s">
        <v>255</v>
      </c>
      <c r="B709" s="5" t="s">
        <v>254</v>
      </c>
      <c r="C709" s="7">
        <v>0.25</v>
      </c>
      <c r="D709" s="7">
        <f t="shared" si="93"/>
        <v>0.20500000000000002</v>
      </c>
      <c r="E709" s="7">
        <f t="shared" si="94"/>
        <v>4.1000000000000003E-3</v>
      </c>
      <c r="F709" s="7">
        <f t="shared" si="95"/>
        <v>0.20090000000000002</v>
      </c>
    </row>
    <row r="710" spans="1:6" ht="24" x14ac:dyDescent="0.35">
      <c r="A710" s="5" t="s">
        <v>256</v>
      </c>
      <c r="B710" s="5" t="s">
        <v>254</v>
      </c>
      <c r="C710" s="7">
        <v>0.22</v>
      </c>
      <c r="D710" s="7">
        <f t="shared" si="93"/>
        <v>0.17499999999999999</v>
      </c>
      <c r="E710" s="7">
        <f t="shared" si="94"/>
        <v>3.4999999999999996E-3</v>
      </c>
      <c r="F710" s="7">
        <f t="shared" si="95"/>
        <v>0.17149999999999999</v>
      </c>
    </row>
    <row r="711" spans="1:6" x14ac:dyDescent="0.35">
      <c r="A711" s="41" t="s">
        <v>257</v>
      </c>
      <c r="B711" s="5" t="s">
        <v>37</v>
      </c>
      <c r="C711" s="6">
        <v>0.19500000000000001</v>
      </c>
      <c r="D711" s="7">
        <f t="shared" si="93"/>
        <v>0.15000000000000002</v>
      </c>
      <c r="E711" s="7">
        <f t="shared" si="94"/>
        <v>3.0000000000000005E-3</v>
      </c>
      <c r="F711" s="7">
        <f t="shared" si="95"/>
        <v>0.14700000000000002</v>
      </c>
    </row>
    <row r="712" spans="1:6" x14ac:dyDescent="0.35">
      <c r="A712" s="43"/>
      <c r="B712" s="5" t="s">
        <v>258</v>
      </c>
      <c r="C712" s="6">
        <v>0.125</v>
      </c>
      <c r="D712" s="7">
        <f t="shared" si="93"/>
        <v>0.08</v>
      </c>
      <c r="E712" s="7">
        <f t="shared" si="94"/>
        <v>1.6000000000000001E-3</v>
      </c>
      <c r="F712" s="7">
        <f t="shared" si="95"/>
        <v>7.8399999999999997E-2</v>
      </c>
    </row>
    <row r="713" spans="1:6" x14ac:dyDescent="0.35">
      <c r="A713" s="5" t="s">
        <v>259</v>
      </c>
      <c r="B713" s="5" t="s">
        <v>100</v>
      </c>
      <c r="C713" s="6">
        <v>0.19500000000000001</v>
      </c>
      <c r="D713" s="7">
        <f t="shared" si="93"/>
        <v>0.15000000000000002</v>
      </c>
      <c r="E713" s="7">
        <f t="shared" si="94"/>
        <v>3.0000000000000005E-3</v>
      </c>
      <c r="F713" s="7">
        <f t="shared" si="95"/>
        <v>0.14700000000000002</v>
      </c>
    </row>
    <row r="714" spans="1:6" x14ac:dyDescent="0.35">
      <c r="A714" s="48" t="s">
        <v>260</v>
      </c>
      <c r="B714" s="5" t="s">
        <v>34</v>
      </c>
      <c r="C714" s="7">
        <v>0.17</v>
      </c>
      <c r="D714" s="7">
        <f t="shared" si="93"/>
        <v>0.125</v>
      </c>
      <c r="E714" s="7">
        <f t="shared" si="94"/>
        <v>2.5000000000000001E-3</v>
      </c>
      <c r="F714" s="7">
        <f t="shared" si="95"/>
        <v>0.1225</v>
      </c>
    </row>
    <row r="715" spans="1:6" x14ac:dyDescent="0.35">
      <c r="A715" s="48"/>
      <c r="B715" s="5" t="s">
        <v>17</v>
      </c>
      <c r="C715" s="7">
        <v>0.08</v>
      </c>
      <c r="D715" s="7">
        <f t="shared" si="93"/>
        <v>3.5000000000000003E-2</v>
      </c>
      <c r="E715" s="7">
        <f t="shared" si="94"/>
        <v>7.000000000000001E-4</v>
      </c>
      <c r="F715" s="7">
        <f t="shared" si="95"/>
        <v>3.4300000000000004E-2</v>
      </c>
    </row>
    <row r="716" spans="1:6" x14ac:dyDescent="0.35">
      <c r="A716" s="48" t="s">
        <v>261</v>
      </c>
      <c r="B716" s="5" t="s">
        <v>34</v>
      </c>
      <c r="C716" s="7">
        <v>0.21</v>
      </c>
      <c r="D716" s="7">
        <f t="shared" si="93"/>
        <v>0.16499999999999998</v>
      </c>
      <c r="E716" s="7">
        <f t="shared" si="94"/>
        <v>3.2999999999999995E-3</v>
      </c>
      <c r="F716" s="7">
        <f t="shared" si="95"/>
        <v>0.16169999999999998</v>
      </c>
    </row>
    <row r="717" spans="1:6" x14ac:dyDescent="0.35">
      <c r="A717" s="48"/>
      <c r="B717" s="5" t="s">
        <v>17</v>
      </c>
      <c r="C717" s="7">
        <v>0.12</v>
      </c>
      <c r="D717" s="7">
        <f t="shared" si="93"/>
        <v>7.4999999999999997E-2</v>
      </c>
      <c r="E717" s="7">
        <f t="shared" si="94"/>
        <v>1.5E-3</v>
      </c>
      <c r="F717" s="7">
        <f t="shared" si="95"/>
        <v>7.3499999999999996E-2</v>
      </c>
    </row>
    <row r="718" spans="1:6" ht="24" x14ac:dyDescent="0.35">
      <c r="A718" s="5" t="s">
        <v>262</v>
      </c>
      <c r="B718" s="5" t="s">
        <v>263</v>
      </c>
      <c r="C718" s="6">
        <v>0.28000000000000003</v>
      </c>
      <c r="D718" s="7">
        <f t="shared" si="93"/>
        <v>0.23500000000000004</v>
      </c>
      <c r="E718" s="7">
        <f t="shared" si="94"/>
        <v>4.7000000000000011E-3</v>
      </c>
      <c r="F718" s="7">
        <f t="shared" si="95"/>
        <v>0.23030000000000003</v>
      </c>
    </row>
    <row r="719" spans="1:6" ht="36" x14ac:dyDescent="0.35">
      <c r="A719" s="5" t="s">
        <v>264</v>
      </c>
      <c r="B719" s="5" t="s">
        <v>265</v>
      </c>
      <c r="C719" s="6">
        <v>0.28000000000000003</v>
      </c>
      <c r="D719" s="7">
        <f t="shared" si="93"/>
        <v>0.23500000000000004</v>
      </c>
      <c r="E719" s="7">
        <f t="shared" si="94"/>
        <v>4.7000000000000011E-3</v>
      </c>
      <c r="F719" s="7">
        <f t="shared" si="95"/>
        <v>0.23030000000000003</v>
      </c>
    </row>
    <row r="720" spans="1:6" ht="36" x14ac:dyDescent="0.35">
      <c r="A720" s="48" t="s">
        <v>266</v>
      </c>
      <c r="B720" s="5" t="s">
        <v>267</v>
      </c>
      <c r="C720" s="6">
        <v>0.15</v>
      </c>
      <c r="D720" s="7">
        <f t="shared" si="93"/>
        <v>0.105</v>
      </c>
      <c r="E720" s="7">
        <f t="shared" si="94"/>
        <v>2.0999999999999999E-3</v>
      </c>
      <c r="F720" s="7">
        <f t="shared" si="95"/>
        <v>0.10289999999999999</v>
      </c>
    </row>
    <row r="721" spans="1:6" ht="24" x14ac:dyDescent="0.35">
      <c r="A721" s="48"/>
      <c r="B721" s="5" t="s">
        <v>268</v>
      </c>
      <c r="C721" s="6">
        <v>0.1</v>
      </c>
      <c r="D721" s="7">
        <f t="shared" si="93"/>
        <v>5.5000000000000007E-2</v>
      </c>
      <c r="E721" s="7">
        <f t="shared" si="94"/>
        <v>1.1000000000000001E-3</v>
      </c>
      <c r="F721" s="7">
        <f t="shared" si="95"/>
        <v>5.390000000000001E-2</v>
      </c>
    </row>
    <row r="722" spans="1:6" x14ac:dyDescent="0.35">
      <c r="A722" s="48"/>
      <c r="B722" s="5" t="s">
        <v>258</v>
      </c>
      <c r="C722" s="6">
        <v>0.1</v>
      </c>
      <c r="D722" s="7">
        <f t="shared" si="93"/>
        <v>5.5000000000000007E-2</v>
      </c>
      <c r="E722" s="7">
        <f t="shared" si="94"/>
        <v>1.1000000000000001E-3</v>
      </c>
      <c r="F722" s="7">
        <f t="shared" si="95"/>
        <v>5.390000000000001E-2</v>
      </c>
    </row>
    <row r="723" spans="1:6" ht="36" x14ac:dyDescent="0.35">
      <c r="A723" s="5" t="s">
        <v>269</v>
      </c>
      <c r="B723" s="5" t="s">
        <v>267</v>
      </c>
      <c r="C723" s="6">
        <v>0.12</v>
      </c>
      <c r="D723" s="7">
        <f t="shared" si="93"/>
        <v>7.4999999999999997E-2</v>
      </c>
      <c r="E723" s="7">
        <f t="shared" si="94"/>
        <v>1.5E-3</v>
      </c>
      <c r="F723" s="7">
        <f t="shared" si="95"/>
        <v>7.3499999999999996E-2</v>
      </c>
    </row>
    <row r="724" spans="1:6" ht="36" x14ac:dyDescent="0.35">
      <c r="A724" s="48" t="s">
        <v>270</v>
      </c>
      <c r="B724" s="5" t="s">
        <v>267</v>
      </c>
      <c r="C724" s="6">
        <v>0.16</v>
      </c>
      <c r="D724" s="7">
        <f t="shared" si="93"/>
        <v>0.115</v>
      </c>
      <c r="E724" s="7">
        <f t="shared" si="94"/>
        <v>2.3E-3</v>
      </c>
      <c r="F724" s="7">
        <f t="shared" si="95"/>
        <v>0.11270000000000001</v>
      </c>
    </row>
    <row r="725" spans="1:6" ht="24" x14ac:dyDescent="0.35">
      <c r="A725" s="48"/>
      <c r="B725" s="5" t="s">
        <v>268</v>
      </c>
      <c r="C725" s="6">
        <v>0</v>
      </c>
      <c r="D725" s="7" t="s">
        <v>20</v>
      </c>
      <c r="E725" s="7" t="s">
        <v>20</v>
      </c>
      <c r="F725" s="7" t="s">
        <v>20</v>
      </c>
    </row>
    <row r="726" spans="1:6" x14ac:dyDescent="0.35">
      <c r="A726" s="48"/>
      <c r="B726" s="5" t="s">
        <v>258</v>
      </c>
      <c r="C726" s="6">
        <v>0.21</v>
      </c>
      <c r="D726" s="7">
        <f>C726-(4.5%)</f>
        <v>0.16499999999999998</v>
      </c>
      <c r="E726" s="7">
        <f>D726*2%</f>
        <v>3.2999999999999995E-3</v>
      </c>
      <c r="F726" s="7">
        <f>D726-E726</f>
        <v>0.16169999999999998</v>
      </c>
    </row>
    <row r="727" spans="1:6" ht="36" x14ac:dyDescent="0.35">
      <c r="A727" s="48" t="s">
        <v>271</v>
      </c>
      <c r="B727" s="5" t="s">
        <v>267</v>
      </c>
      <c r="C727" s="6">
        <v>0.20499999999999999</v>
      </c>
      <c r="D727" s="7">
        <f>C727-(4.5%)</f>
        <v>0.15999999999999998</v>
      </c>
      <c r="E727" s="7">
        <f>D727*2%</f>
        <v>3.1999999999999997E-3</v>
      </c>
      <c r="F727" s="7">
        <f>D727-E727</f>
        <v>0.15679999999999997</v>
      </c>
    </row>
    <row r="728" spans="1:6" ht="24" x14ac:dyDescent="0.35">
      <c r="A728" s="48"/>
      <c r="B728" s="5" t="s">
        <v>268</v>
      </c>
      <c r="C728" s="6">
        <v>0</v>
      </c>
      <c r="D728" s="7" t="s">
        <v>20</v>
      </c>
      <c r="E728" s="7" t="s">
        <v>20</v>
      </c>
      <c r="F728" s="7" t="s">
        <v>20</v>
      </c>
    </row>
    <row r="729" spans="1:6" x14ac:dyDescent="0.35">
      <c r="A729" s="48"/>
      <c r="B729" s="5" t="s">
        <v>258</v>
      </c>
      <c r="C729" s="6">
        <v>0.16</v>
      </c>
      <c r="D729" s="7">
        <f t="shared" ref="D729:D739" si="96">C729-(4.5%)</f>
        <v>0.115</v>
      </c>
      <c r="E729" s="7">
        <f t="shared" ref="E729:E739" si="97">D729*2%</f>
        <v>2.3E-3</v>
      </c>
      <c r="F729" s="7">
        <f t="shared" ref="F729:F739" si="98">D729-E729</f>
        <v>0.11270000000000001</v>
      </c>
    </row>
    <row r="730" spans="1:6" x14ac:dyDescent="0.35">
      <c r="A730" s="5" t="s">
        <v>272</v>
      </c>
      <c r="B730" s="5" t="s">
        <v>273</v>
      </c>
      <c r="C730" s="6">
        <v>0.25</v>
      </c>
      <c r="D730" s="7">
        <f t="shared" si="96"/>
        <v>0.20500000000000002</v>
      </c>
      <c r="E730" s="7">
        <f t="shared" si="97"/>
        <v>4.1000000000000003E-3</v>
      </c>
      <c r="F730" s="7">
        <f t="shared" si="98"/>
        <v>0.20090000000000002</v>
      </c>
    </row>
    <row r="731" spans="1:6" x14ac:dyDescent="0.35">
      <c r="A731" s="5" t="s">
        <v>274</v>
      </c>
      <c r="B731" s="5" t="s">
        <v>273</v>
      </c>
      <c r="C731" s="6">
        <v>0.25</v>
      </c>
      <c r="D731" s="7">
        <f t="shared" si="96"/>
        <v>0.20500000000000002</v>
      </c>
      <c r="E731" s="7">
        <f t="shared" si="97"/>
        <v>4.1000000000000003E-3</v>
      </c>
      <c r="F731" s="7">
        <f t="shared" si="98"/>
        <v>0.20090000000000002</v>
      </c>
    </row>
    <row r="732" spans="1:6" x14ac:dyDescent="0.35">
      <c r="A732" s="5" t="s">
        <v>275</v>
      </c>
      <c r="B732" s="5" t="s">
        <v>273</v>
      </c>
      <c r="C732" s="6">
        <v>0.3</v>
      </c>
      <c r="D732" s="7">
        <f t="shared" si="96"/>
        <v>0.255</v>
      </c>
      <c r="E732" s="7">
        <f t="shared" si="97"/>
        <v>5.1000000000000004E-3</v>
      </c>
      <c r="F732" s="7">
        <f t="shared" si="98"/>
        <v>0.24990000000000001</v>
      </c>
    </row>
    <row r="733" spans="1:6" x14ac:dyDescent="0.35">
      <c r="A733" s="5" t="s">
        <v>276</v>
      </c>
      <c r="B733" s="5" t="s">
        <v>273</v>
      </c>
      <c r="C733" s="6">
        <v>0.1</v>
      </c>
      <c r="D733" s="7">
        <f t="shared" si="96"/>
        <v>5.5000000000000007E-2</v>
      </c>
      <c r="E733" s="7">
        <f t="shared" si="97"/>
        <v>1.1000000000000001E-3</v>
      </c>
      <c r="F733" s="7">
        <f t="shared" si="98"/>
        <v>5.390000000000001E-2</v>
      </c>
    </row>
    <row r="734" spans="1:6" x14ac:dyDescent="0.35">
      <c r="A734" s="5" t="s">
        <v>277</v>
      </c>
      <c r="B734" s="5" t="s">
        <v>273</v>
      </c>
      <c r="C734" s="6">
        <v>0.16</v>
      </c>
      <c r="D734" s="7">
        <f t="shared" si="96"/>
        <v>0.115</v>
      </c>
      <c r="E734" s="7">
        <f t="shared" si="97"/>
        <v>2.3E-3</v>
      </c>
      <c r="F734" s="7">
        <f t="shared" si="98"/>
        <v>0.11270000000000001</v>
      </c>
    </row>
    <row r="735" spans="1:6" x14ac:dyDescent="0.35">
      <c r="A735" s="5" t="s">
        <v>278</v>
      </c>
      <c r="B735" s="5" t="s">
        <v>273</v>
      </c>
      <c r="C735" s="6">
        <v>0.2</v>
      </c>
      <c r="D735" s="7">
        <f t="shared" si="96"/>
        <v>0.15500000000000003</v>
      </c>
      <c r="E735" s="7">
        <f t="shared" si="97"/>
        <v>3.1000000000000008E-3</v>
      </c>
      <c r="F735" s="7">
        <f t="shared" si="98"/>
        <v>0.15190000000000003</v>
      </c>
    </row>
    <row r="736" spans="1:6" x14ac:dyDescent="0.35">
      <c r="A736" s="5" t="s">
        <v>279</v>
      </c>
      <c r="B736" s="5" t="s">
        <v>273</v>
      </c>
      <c r="C736" s="6">
        <v>0.1</v>
      </c>
      <c r="D736" s="7">
        <f t="shared" si="96"/>
        <v>5.5000000000000007E-2</v>
      </c>
      <c r="E736" s="7">
        <f t="shared" si="97"/>
        <v>1.1000000000000001E-3</v>
      </c>
      <c r="F736" s="7">
        <f t="shared" si="98"/>
        <v>5.390000000000001E-2</v>
      </c>
    </row>
    <row r="737" spans="1:6" x14ac:dyDescent="0.35">
      <c r="A737" s="5" t="s">
        <v>280</v>
      </c>
      <c r="B737" s="5" t="s">
        <v>273</v>
      </c>
      <c r="C737" s="6">
        <v>0.1</v>
      </c>
      <c r="D737" s="7">
        <f t="shared" si="96"/>
        <v>5.5000000000000007E-2</v>
      </c>
      <c r="E737" s="7">
        <f t="shared" si="97"/>
        <v>1.1000000000000001E-3</v>
      </c>
      <c r="F737" s="7">
        <f t="shared" si="98"/>
        <v>5.390000000000001E-2</v>
      </c>
    </row>
    <row r="738" spans="1:6" x14ac:dyDescent="0.35">
      <c r="A738" s="5" t="s">
        <v>281</v>
      </c>
      <c r="B738" s="5" t="s">
        <v>273</v>
      </c>
      <c r="C738" s="6">
        <v>0.15</v>
      </c>
      <c r="D738" s="7">
        <f t="shared" si="96"/>
        <v>0.105</v>
      </c>
      <c r="E738" s="7">
        <f t="shared" si="97"/>
        <v>2.0999999999999999E-3</v>
      </c>
      <c r="F738" s="7">
        <f t="shared" si="98"/>
        <v>0.10289999999999999</v>
      </c>
    </row>
    <row r="739" spans="1:6" x14ac:dyDescent="0.35">
      <c r="A739" s="5" t="s">
        <v>1159</v>
      </c>
      <c r="B739" s="5" t="s">
        <v>100</v>
      </c>
      <c r="C739" s="7">
        <v>0.125</v>
      </c>
      <c r="D739" s="7">
        <f t="shared" si="96"/>
        <v>0.08</v>
      </c>
      <c r="E739" s="7">
        <f t="shared" si="97"/>
        <v>1.6000000000000001E-3</v>
      </c>
      <c r="F739" s="7">
        <f t="shared" si="98"/>
        <v>7.8399999999999997E-2</v>
      </c>
    </row>
    <row r="740" spans="1:6" x14ac:dyDescent="0.35">
      <c r="A740" s="5" t="s">
        <v>1160</v>
      </c>
      <c r="B740" s="5" t="s">
        <v>100</v>
      </c>
      <c r="C740" s="7">
        <v>0.05</v>
      </c>
      <c r="D740" s="7" t="s">
        <v>20</v>
      </c>
      <c r="E740" s="7" t="s">
        <v>20</v>
      </c>
      <c r="F740" s="7" t="s">
        <v>20</v>
      </c>
    </row>
    <row r="741" spans="1:6" x14ac:dyDescent="0.35">
      <c r="A741" s="5" t="s">
        <v>334</v>
      </c>
      <c r="B741" s="5" t="s">
        <v>100</v>
      </c>
      <c r="C741" s="7">
        <v>0.2</v>
      </c>
      <c r="D741" s="7">
        <f t="shared" ref="D741:D772" si="99">C741-(4.5%)</f>
        <v>0.15500000000000003</v>
      </c>
      <c r="E741" s="7">
        <f t="shared" ref="E741:E772" si="100">D741*2%</f>
        <v>3.1000000000000008E-3</v>
      </c>
      <c r="F741" s="7">
        <f t="shared" ref="F741:F772" si="101">D741-E741</f>
        <v>0.15190000000000003</v>
      </c>
    </row>
    <row r="742" spans="1:6" x14ac:dyDescent="0.35">
      <c r="A742" s="5" t="s">
        <v>1297</v>
      </c>
      <c r="B742" s="5" t="s">
        <v>100</v>
      </c>
      <c r="C742" s="6">
        <v>0.25</v>
      </c>
      <c r="D742" s="7">
        <f t="shared" si="99"/>
        <v>0.20500000000000002</v>
      </c>
      <c r="E742" s="7">
        <f t="shared" si="100"/>
        <v>4.1000000000000003E-3</v>
      </c>
      <c r="F742" s="7">
        <f t="shared" si="101"/>
        <v>0.20090000000000002</v>
      </c>
    </row>
    <row r="743" spans="1:6" x14ac:dyDescent="0.35">
      <c r="A743" s="5" t="s">
        <v>1298</v>
      </c>
      <c r="B743" s="5" t="s">
        <v>100</v>
      </c>
      <c r="C743" s="6">
        <v>0.245</v>
      </c>
      <c r="D743" s="7">
        <f t="shared" si="99"/>
        <v>0.2</v>
      </c>
      <c r="E743" s="7">
        <f t="shared" si="100"/>
        <v>4.0000000000000001E-3</v>
      </c>
      <c r="F743" s="7">
        <f t="shared" si="101"/>
        <v>0.19600000000000001</v>
      </c>
    </row>
    <row r="744" spans="1:6" x14ac:dyDescent="0.35">
      <c r="A744" s="14" t="s">
        <v>282</v>
      </c>
      <c r="B744" s="5" t="s">
        <v>100</v>
      </c>
      <c r="C744" s="6">
        <v>0.3</v>
      </c>
      <c r="D744" s="7">
        <f t="shared" si="99"/>
        <v>0.255</v>
      </c>
      <c r="E744" s="7">
        <f t="shared" si="100"/>
        <v>5.1000000000000004E-3</v>
      </c>
      <c r="F744" s="7">
        <f t="shared" si="101"/>
        <v>0.24990000000000001</v>
      </c>
    </row>
    <row r="745" spans="1:6" x14ac:dyDescent="0.35">
      <c r="A745" s="14" t="s">
        <v>283</v>
      </c>
      <c r="B745" s="5" t="s">
        <v>100</v>
      </c>
      <c r="C745" s="6">
        <v>0.27</v>
      </c>
      <c r="D745" s="7">
        <f t="shared" si="99"/>
        <v>0.22500000000000003</v>
      </c>
      <c r="E745" s="7">
        <f t="shared" si="100"/>
        <v>4.5000000000000005E-3</v>
      </c>
      <c r="F745" s="7">
        <f t="shared" si="101"/>
        <v>0.22050000000000003</v>
      </c>
    </row>
    <row r="746" spans="1:6" x14ac:dyDescent="0.35">
      <c r="A746" s="14" t="s">
        <v>284</v>
      </c>
      <c r="B746" s="5" t="s">
        <v>100</v>
      </c>
      <c r="C746" s="6">
        <v>0.22</v>
      </c>
      <c r="D746" s="7">
        <f t="shared" si="99"/>
        <v>0.17499999999999999</v>
      </c>
      <c r="E746" s="7">
        <f t="shared" si="100"/>
        <v>3.4999999999999996E-3</v>
      </c>
      <c r="F746" s="7">
        <f t="shared" si="101"/>
        <v>0.17149999999999999</v>
      </c>
    </row>
    <row r="747" spans="1:6" x14ac:dyDescent="0.35">
      <c r="A747" s="14" t="s">
        <v>285</v>
      </c>
      <c r="B747" s="5" t="s">
        <v>100</v>
      </c>
      <c r="C747" s="6">
        <v>0.19500000000000001</v>
      </c>
      <c r="D747" s="7">
        <f t="shared" si="99"/>
        <v>0.15000000000000002</v>
      </c>
      <c r="E747" s="7">
        <f t="shared" si="100"/>
        <v>3.0000000000000005E-3</v>
      </c>
      <c r="F747" s="7">
        <f t="shared" si="101"/>
        <v>0.14700000000000002</v>
      </c>
    </row>
    <row r="748" spans="1:6" x14ac:dyDescent="0.35">
      <c r="A748" s="14" t="s">
        <v>286</v>
      </c>
      <c r="B748" s="5" t="s">
        <v>100</v>
      </c>
      <c r="C748" s="6">
        <v>0.15</v>
      </c>
      <c r="D748" s="7">
        <f t="shared" si="99"/>
        <v>0.105</v>
      </c>
      <c r="E748" s="7">
        <f t="shared" si="100"/>
        <v>2.0999999999999999E-3</v>
      </c>
      <c r="F748" s="7">
        <f t="shared" si="101"/>
        <v>0.10289999999999999</v>
      </c>
    </row>
    <row r="749" spans="1:6" x14ac:dyDescent="0.35">
      <c r="A749" s="14" t="s">
        <v>1233</v>
      </c>
      <c r="B749" s="5" t="s">
        <v>1234</v>
      </c>
      <c r="C749" s="6">
        <v>0.18</v>
      </c>
      <c r="D749" s="7">
        <f t="shared" si="99"/>
        <v>0.13500000000000001</v>
      </c>
      <c r="E749" s="7">
        <f t="shared" si="100"/>
        <v>2.7000000000000001E-3</v>
      </c>
      <c r="F749" s="7">
        <f t="shared" si="101"/>
        <v>0.1323</v>
      </c>
    </row>
    <row r="750" spans="1:6" x14ac:dyDescent="0.35">
      <c r="A750" s="41" t="s">
        <v>287</v>
      </c>
      <c r="B750" s="5" t="s">
        <v>34</v>
      </c>
      <c r="C750" s="6">
        <v>0.27500000000000002</v>
      </c>
      <c r="D750" s="7">
        <f t="shared" si="99"/>
        <v>0.23000000000000004</v>
      </c>
      <c r="E750" s="7">
        <f t="shared" si="100"/>
        <v>4.6000000000000008E-3</v>
      </c>
      <c r="F750" s="7">
        <f t="shared" si="101"/>
        <v>0.22540000000000004</v>
      </c>
    </row>
    <row r="751" spans="1:6" x14ac:dyDescent="0.35">
      <c r="A751" s="42"/>
      <c r="B751" s="5" t="s">
        <v>35</v>
      </c>
      <c r="C751" s="6">
        <v>0.22500000000000001</v>
      </c>
      <c r="D751" s="7">
        <f t="shared" si="99"/>
        <v>0.18</v>
      </c>
      <c r="E751" s="7">
        <f t="shared" si="100"/>
        <v>3.5999999999999999E-3</v>
      </c>
      <c r="F751" s="7">
        <f t="shared" si="101"/>
        <v>0.1764</v>
      </c>
    </row>
    <row r="752" spans="1:6" x14ac:dyDescent="0.35">
      <c r="A752" s="43"/>
      <c r="B752" s="5" t="s">
        <v>288</v>
      </c>
      <c r="C752" s="6">
        <v>0.15</v>
      </c>
      <c r="D752" s="7">
        <f t="shared" si="99"/>
        <v>0.105</v>
      </c>
      <c r="E752" s="7">
        <f t="shared" si="100"/>
        <v>2.0999999999999999E-3</v>
      </c>
      <c r="F752" s="7">
        <f t="shared" si="101"/>
        <v>0.10289999999999999</v>
      </c>
    </row>
    <row r="753" spans="1:6" x14ac:dyDescent="0.35">
      <c r="A753" s="41" t="s">
        <v>289</v>
      </c>
      <c r="B753" s="5" t="s">
        <v>34</v>
      </c>
      <c r="C753" s="6">
        <v>0.3</v>
      </c>
      <c r="D753" s="7">
        <f t="shared" si="99"/>
        <v>0.255</v>
      </c>
      <c r="E753" s="7">
        <f t="shared" si="100"/>
        <v>5.1000000000000004E-3</v>
      </c>
      <c r="F753" s="7">
        <f t="shared" si="101"/>
        <v>0.24990000000000001</v>
      </c>
    </row>
    <row r="754" spans="1:6" x14ac:dyDescent="0.35">
      <c r="A754" s="42"/>
      <c r="B754" s="5" t="s">
        <v>35</v>
      </c>
      <c r="C754" s="6">
        <v>0.22500000000000001</v>
      </c>
      <c r="D754" s="7">
        <f t="shared" si="99"/>
        <v>0.18</v>
      </c>
      <c r="E754" s="7">
        <f t="shared" si="100"/>
        <v>3.5999999999999999E-3</v>
      </c>
      <c r="F754" s="7">
        <f t="shared" si="101"/>
        <v>0.1764</v>
      </c>
    </row>
    <row r="755" spans="1:6" x14ac:dyDescent="0.35">
      <c r="A755" s="43"/>
      <c r="B755" s="5" t="s">
        <v>288</v>
      </c>
      <c r="C755" s="6">
        <v>0.25</v>
      </c>
      <c r="D755" s="7">
        <f t="shared" si="99"/>
        <v>0.20500000000000002</v>
      </c>
      <c r="E755" s="7">
        <f t="shared" si="100"/>
        <v>4.1000000000000003E-3</v>
      </c>
      <c r="F755" s="7">
        <f t="shared" si="101"/>
        <v>0.20090000000000002</v>
      </c>
    </row>
    <row r="756" spans="1:6" x14ac:dyDescent="0.35">
      <c r="A756" s="41" t="s">
        <v>290</v>
      </c>
      <c r="B756" s="5" t="s">
        <v>34</v>
      </c>
      <c r="C756" s="6">
        <v>0.27500000000000002</v>
      </c>
      <c r="D756" s="7">
        <f t="shared" si="99"/>
        <v>0.23000000000000004</v>
      </c>
      <c r="E756" s="7">
        <f t="shared" si="100"/>
        <v>4.6000000000000008E-3</v>
      </c>
      <c r="F756" s="7">
        <f t="shared" si="101"/>
        <v>0.22540000000000004</v>
      </c>
    </row>
    <row r="757" spans="1:6" x14ac:dyDescent="0.35">
      <c r="A757" s="42"/>
      <c r="B757" s="5" t="s">
        <v>35</v>
      </c>
      <c r="C757" s="6">
        <v>0.22500000000000001</v>
      </c>
      <c r="D757" s="7">
        <f t="shared" si="99"/>
        <v>0.18</v>
      </c>
      <c r="E757" s="7">
        <f t="shared" si="100"/>
        <v>3.5999999999999999E-3</v>
      </c>
      <c r="F757" s="7">
        <f t="shared" si="101"/>
        <v>0.1764</v>
      </c>
    </row>
    <row r="758" spans="1:6" x14ac:dyDescent="0.35">
      <c r="A758" s="43"/>
      <c r="B758" s="5" t="s">
        <v>288</v>
      </c>
      <c r="C758" s="6">
        <v>0.19500000000000001</v>
      </c>
      <c r="D758" s="7">
        <f t="shared" si="99"/>
        <v>0.15000000000000002</v>
      </c>
      <c r="E758" s="7">
        <f t="shared" si="100"/>
        <v>3.0000000000000005E-3</v>
      </c>
      <c r="F758" s="7">
        <f t="shared" si="101"/>
        <v>0.14700000000000002</v>
      </c>
    </row>
    <row r="759" spans="1:6" ht="48" x14ac:dyDescent="0.35">
      <c r="A759" s="5" t="s">
        <v>291</v>
      </c>
      <c r="B759" s="5" t="s">
        <v>100</v>
      </c>
      <c r="C759" s="6">
        <v>0.25</v>
      </c>
      <c r="D759" s="7">
        <f t="shared" si="99"/>
        <v>0.20500000000000002</v>
      </c>
      <c r="E759" s="7">
        <f t="shared" si="100"/>
        <v>4.1000000000000003E-3</v>
      </c>
      <c r="F759" s="7">
        <f t="shared" si="101"/>
        <v>0.20090000000000002</v>
      </c>
    </row>
    <row r="760" spans="1:6" ht="48" x14ac:dyDescent="0.35">
      <c r="A760" s="5" t="s">
        <v>292</v>
      </c>
      <c r="B760" s="5" t="s">
        <v>100</v>
      </c>
      <c r="C760" s="6">
        <v>0.15</v>
      </c>
      <c r="D760" s="7">
        <f t="shared" si="99"/>
        <v>0.105</v>
      </c>
      <c r="E760" s="7">
        <f t="shared" si="100"/>
        <v>2.0999999999999999E-3</v>
      </c>
      <c r="F760" s="7">
        <f t="shared" si="101"/>
        <v>0.10289999999999999</v>
      </c>
    </row>
    <row r="761" spans="1:6" x14ac:dyDescent="0.35">
      <c r="A761" s="41" t="s">
        <v>293</v>
      </c>
      <c r="B761" s="5" t="s">
        <v>34</v>
      </c>
      <c r="C761" s="6">
        <v>0.18</v>
      </c>
      <c r="D761" s="7">
        <f t="shared" si="99"/>
        <v>0.13500000000000001</v>
      </c>
      <c r="E761" s="7">
        <f t="shared" si="100"/>
        <v>2.7000000000000001E-3</v>
      </c>
      <c r="F761" s="7">
        <f t="shared" si="101"/>
        <v>0.1323</v>
      </c>
    </row>
    <row r="762" spans="1:6" x14ac:dyDescent="0.35">
      <c r="A762" s="42"/>
      <c r="B762" s="5" t="s">
        <v>35</v>
      </c>
      <c r="C762" s="6">
        <v>0.18</v>
      </c>
      <c r="D762" s="7">
        <f t="shared" si="99"/>
        <v>0.13500000000000001</v>
      </c>
      <c r="E762" s="7">
        <f t="shared" si="100"/>
        <v>2.7000000000000001E-3</v>
      </c>
      <c r="F762" s="7">
        <f t="shared" si="101"/>
        <v>0.1323</v>
      </c>
    </row>
    <row r="763" spans="1:6" x14ac:dyDescent="0.35">
      <c r="A763" s="43"/>
      <c r="B763" s="5" t="s">
        <v>288</v>
      </c>
      <c r="C763" s="6">
        <v>0.185</v>
      </c>
      <c r="D763" s="7">
        <f t="shared" si="99"/>
        <v>0.14000000000000001</v>
      </c>
      <c r="E763" s="7">
        <f t="shared" si="100"/>
        <v>2.8000000000000004E-3</v>
      </c>
      <c r="F763" s="7">
        <f t="shared" si="101"/>
        <v>0.13720000000000002</v>
      </c>
    </row>
    <row r="764" spans="1:6" x14ac:dyDescent="0.35">
      <c r="A764" s="41" t="s">
        <v>294</v>
      </c>
      <c r="B764" s="5" t="s">
        <v>34</v>
      </c>
      <c r="C764" s="6">
        <v>0.18</v>
      </c>
      <c r="D764" s="7">
        <f t="shared" si="99"/>
        <v>0.13500000000000001</v>
      </c>
      <c r="E764" s="7">
        <f t="shared" si="100"/>
        <v>2.7000000000000001E-3</v>
      </c>
      <c r="F764" s="7">
        <f t="shared" si="101"/>
        <v>0.1323</v>
      </c>
    </row>
    <row r="765" spans="1:6" x14ac:dyDescent="0.35">
      <c r="A765" s="42"/>
      <c r="B765" s="5" t="s">
        <v>35</v>
      </c>
      <c r="C765" s="6">
        <v>0.18</v>
      </c>
      <c r="D765" s="7">
        <f t="shared" si="99"/>
        <v>0.13500000000000001</v>
      </c>
      <c r="E765" s="7">
        <f t="shared" si="100"/>
        <v>2.7000000000000001E-3</v>
      </c>
      <c r="F765" s="7">
        <f t="shared" si="101"/>
        <v>0.1323</v>
      </c>
    </row>
    <row r="766" spans="1:6" x14ac:dyDescent="0.35">
      <c r="A766" s="43"/>
      <c r="B766" s="5" t="s">
        <v>288</v>
      </c>
      <c r="C766" s="6">
        <v>0.185</v>
      </c>
      <c r="D766" s="7">
        <f t="shared" si="99"/>
        <v>0.14000000000000001</v>
      </c>
      <c r="E766" s="7">
        <f t="shared" si="100"/>
        <v>2.8000000000000004E-3</v>
      </c>
      <c r="F766" s="7">
        <f t="shared" si="101"/>
        <v>0.13720000000000002</v>
      </c>
    </row>
    <row r="767" spans="1:6" x14ac:dyDescent="0.35">
      <c r="A767" s="23" t="s">
        <v>295</v>
      </c>
      <c r="B767" s="5" t="s">
        <v>100</v>
      </c>
      <c r="C767" s="6">
        <v>0.17499999999999999</v>
      </c>
      <c r="D767" s="7">
        <f t="shared" si="99"/>
        <v>0.13</v>
      </c>
      <c r="E767" s="7">
        <f t="shared" si="100"/>
        <v>2.6000000000000003E-3</v>
      </c>
      <c r="F767" s="7">
        <f t="shared" si="101"/>
        <v>0.12740000000000001</v>
      </c>
    </row>
    <row r="768" spans="1:6" x14ac:dyDescent="0.35">
      <c r="A768" s="23" t="s">
        <v>296</v>
      </c>
      <c r="B768" s="5" t="s">
        <v>100</v>
      </c>
      <c r="C768" s="6">
        <v>0.1</v>
      </c>
      <c r="D768" s="7">
        <f t="shared" si="99"/>
        <v>5.5000000000000007E-2</v>
      </c>
      <c r="E768" s="7">
        <f t="shared" si="100"/>
        <v>1.1000000000000001E-3</v>
      </c>
      <c r="F768" s="7">
        <f t="shared" si="101"/>
        <v>5.390000000000001E-2</v>
      </c>
    </row>
    <row r="769" spans="1:6" x14ac:dyDescent="0.35">
      <c r="A769" s="23" t="s">
        <v>297</v>
      </c>
      <c r="B769" s="5" t="s">
        <v>100</v>
      </c>
      <c r="C769" s="6">
        <v>0.17499999999999999</v>
      </c>
      <c r="D769" s="7">
        <f t="shared" si="99"/>
        <v>0.13</v>
      </c>
      <c r="E769" s="7">
        <f t="shared" si="100"/>
        <v>2.6000000000000003E-3</v>
      </c>
      <c r="F769" s="7">
        <f t="shared" si="101"/>
        <v>0.12740000000000001</v>
      </c>
    </row>
    <row r="770" spans="1:6" x14ac:dyDescent="0.35">
      <c r="A770" s="23" t="s">
        <v>298</v>
      </c>
      <c r="B770" s="5" t="s">
        <v>100</v>
      </c>
      <c r="C770" s="6">
        <v>0.12</v>
      </c>
      <c r="D770" s="7">
        <f t="shared" si="99"/>
        <v>7.4999999999999997E-2</v>
      </c>
      <c r="E770" s="7">
        <f t="shared" si="100"/>
        <v>1.5E-3</v>
      </c>
      <c r="F770" s="7">
        <f t="shared" si="101"/>
        <v>7.3499999999999996E-2</v>
      </c>
    </row>
    <row r="771" spans="1:6" x14ac:dyDescent="0.35">
      <c r="A771" s="23" t="s">
        <v>299</v>
      </c>
      <c r="B771" s="5" t="s">
        <v>100</v>
      </c>
      <c r="C771" s="6">
        <v>0.1</v>
      </c>
      <c r="D771" s="7">
        <f t="shared" si="99"/>
        <v>5.5000000000000007E-2</v>
      </c>
      <c r="E771" s="7">
        <f t="shared" si="100"/>
        <v>1.1000000000000001E-3</v>
      </c>
      <c r="F771" s="7">
        <f t="shared" si="101"/>
        <v>5.390000000000001E-2</v>
      </c>
    </row>
    <row r="772" spans="1:6" x14ac:dyDescent="0.35">
      <c r="A772" s="5" t="s">
        <v>300</v>
      </c>
      <c r="B772" s="5" t="s">
        <v>301</v>
      </c>
      <c r="C772" s="7">
        <v>0.22500000000000001</v>
      </c>
      <c r="D772" s="7">
        <f t="shared" si="99"/>
        <v>0.18</v>
      </c>
      <c r="E772" s="7">
        <f t="shared" si="100"/>
        <v>3.5999999999999999E-3</v>
      </c>
      <c r="F772" s="7">
        <f t="shared" si="101"/>
        <v>0.1764</v>
      </c>
    </row>
    <row r="773" spans="1:6" x14ac:dyDescent="0.35">
      <c r="A773" s="5" t="s">
        <v>302</v>
      </c>
      <c r="B773" s="5" t="s">
        <v>301</v>
      </c>
      <c r="C773" s="7">
        <v>0.19500000000000001</v>
      </c>
      <c r="D773" s="7">
        <f t="shared" ref="D773:D794" si="102">C773-(4.5%)</f>
        <v>0.15000000000000002</v>
      </c>
      <c r="E773" s="7">
        <f t="shared" ref="E773:E794" si="103">D773*2%</f>
        <v>3.0000000000000005E-3</v>
      </c>
      <c r="F773" s="7">
        <f t="shared" ref="F773:F794" si="104">D773-E773</f>
        <v>0.14700000000000002</v>
      </c>
    </row>
    <row r="774" spans="1:6" x14ac:dyDescent="0.35">
      <c r="A774" s="5" t="s">
        <v>303</v>
      </c>
      <c r="B774" s="5" t="s">
        <v>301</v>
      </c>
      <c r="C774" s="7">
        <v>0.19500000000000001</v>
      </c>
      <c r="D774" s="7">
        <f t="shared" si="102"/>
        <v>0.15000000000000002</v>
      </c>
      <c r="E774" s="7">
        <f t="shared" si="103"/>
        <v>3.0000000000000005E-3</v>
      </c>
      <c r="F774" s="7">
        <f t="shared" si="104"/>
        <v>0.14700000000000002</v>
      </c>
    </row>
    <row r="775" spans="1:6" x14ac:dyDescent="0.35">
      <c r="A775" s="41" t="s">
        <v>304</v>
      </c>
      <c r="B775" s="5" t="s">
        <v>61</v>
      </c>
      <c r="C775" s="6">
        <v>0.28000000000000003</v>
      </c>
      <c r="D775" s="7">
        <f t="shared" si="102"/>
        <v>0.23500000000000004</v>
      </c>
      <c r="E775" s="7">
        <f t="shared" si="103"/>
        <v>4.7000000000000011E-3</v>
      </c>
      <c r="F775" s="7">
        <f t="shared" si="104"/>
        <v>0.23030000000000003</v>
      </c>
    </row>
    <row r="776" spans="1:6" x14ac:dyDescent="0.35">
      <c r="A776" s="42"/>
      <c r="B776" s="5" t="s">
        <v>305</v>
      </c>
      <c r="C776" s="6">
        <v>0.26</v>
      </c>
      <c r="D776" s="7">
        <f t="shared" si="102"/>
        <v>0.21500000000000002</v>
      </c>
      <c r="E776" s="7">
        <f t="shared" si="103"/>
        <v>4.3000000000000009E-3</v>
      </c>
      <c r="F776" s="7">
        <f t="shared" si="104"/>
        <v>0.21070000000000003</v>
      </c>
    </row>
    <row r="777" spans="1:6" x14ac:dyDescent="0.35">
      <c r="A777" s="43"/>
      <c r="B777" s="5" t="s">
        <v>27</v>
      </c>
      <c r="C777" s="6">
        <v>0.28000000000000003</v>
      </c>
      <c r="D777" s="7">
        <f t="shared" si="102"/>
        <v>0.23500000000000004</v>
      </c>
      <c r="E777" s="7">
        <f t="shared" si="103"/>
        <v>4.7000000000000011E-3</v>
      </c>
      <c r="F777" s="7">
        <f t="shared" si="104"/>
        <v>0.23030000000000003</v>
      </c>
    </row>
    <row r="778" spans="1:6" x14ac:dyDescent="0.35">
      <c r="A778" s="41" t="s">
        <v>306</v>
      </c>
      <c r="B778" s="5" t="s">
        <v>61</v>
      </c>
      <c r="C778" s="6">
        <v>0.23</v>
      </c>
      <c r="D778" s="7">
        <f t="shared" si="102"/>
        <v>0.185</v>
      </c>
      <c r="E778" s="7">
        <f t="shared" si="103"/>
        <v>3.7000000000000002E-3</v>
      </c>
      <c r="F778" s="7">
        <f t="shared" si="104"/>
        <v>0.18129999999999999</v>
      </c>
    </row>
    <row r="779" spans="1:6" x14ac:dyDescent="0.35">
      <c r="A779" s="42"/>
      <c r="B779" s="5" t="s">
        <v>305</v>
      </c>
      <c r="C779" s="6">
        <v>0.21</v>
      </c>
      <c r="D779" s="7">
        <f t="shared" si="102"/>
        <v>0.16499999999999998</v>
      </c>
      <c r="E779" s="7">
        <f t="shared" si="103"/>
        <v>3.2999999999999995E-3</v>
      </c>
      <c r="F779" s="7">
        <f t="shared" si="104"/>
        <v>0.16169999999999998</v>
      </c>
    </row>
    <row r="780" spans="1:6" x14ac:dyDescent="0.35">
      <c r="A780" s="43"/>
      <c r="B780" s="5" t="s">
        <v>27</v>
      </c>
      <c r="C780" s="6">
        <v>0.23</v>
      </c>
      <c r="D780" s="7">
        <f t="shared" si="102"/>
        <v>0.185</v>
      </c>
      <c r="E780" s="7">
        <f t="shared" si="103"/>
        <v>3.7000000000000002E-3</v>
      </c>
      <c r="F780" s="7">
        <f t="shared" si="104"/>
        <v>0.18129999999999999</v>
      </c>
    </row>
    <row r="781" spans="1:6" x14ac:dyDescent="0.35">
      <c r="A781" s="41" t="s">
        <v>307</v>
      </c>
      <c r="B781" s="5" t="s">
        <v>61</v>
      </c>
      <c r="C781" s="6">
        <v>0.25</v>
      </c>
      <c r="D781" s="7">
        <f t="shared" si="102"/>
        <v>0.20500000000000002</v>
      </c>
      <c r="E781" s="7">
        <f t="shared" si="103"/>
        <v>4.1000000000000003E-3</v>
      </c>
      <c r="F781" s="7">
        <f t="shared" si="104"/>
        <v>0.20090000000000002</v>
      </c>
    </row>
    <row r="782" spans="1:6" x14ac:dyDescent="0.35">
      <c r="A782" s="42"/>
      <c r="B782" s="5" t="s">
        <v>305</v>
      </c>
      <c r="C782" s="6">
        <v>0.23</v>
      </c>
      <c r="D782" s="7">
        <f t="shared" si="102"/>
        <v>0.185</v>
      </c>
      <c r="E782" s="7">
        <f t="shared" si="103"/>
        <v>3.7000000000000002E-3</v>
      </c>
      <c r="F782" s="7">
        <f t="shared" si="104"/>
        <v>0.18129999999999999</v>
      </c>
    </row>
    <row r="783" spans="1:6" x14ac:dyDescent="0.35">
      <c r="A783" s="43"/>
      <c r="B783" s="5" t="s">
        <v>27</v>
      </c>
      <c r="C783" s="6">
        <v>0.25</v>
      </c>
      <c r="D783" s="7">
        <f t="shared" si="102"/>
        <v>0.20500000000000002</v>
      </c>
      <c r="E783" s="7">
        <f t="shared" si="103"/>
        <v>4.1000000000000003E-3</v>
      </c>
      <c r="F783" s="7">
        <f t="shared" si="104"/>
        <v>0.20090000000000002</v>
      </c>
    </row>
    <row r="784" spans="1:6" x14ac:dyDescent="0.35">
      <c r="A784" s="41" t="s">
        <v>308</v>
      </c>
      <c r="B784" s="5" t="s">
        <v>61</v>
      </c>
      <c r="C784" s="6">
        <v>0.2</v>
      </c>
      <c r="D784" s="7">
        <f t="shared" si="102"/>
        <v>0.15500000000000003</v>
      </c>
      <c r="E784" s="7">
        <f t="shared" si="103"/>
        <v>3.1000000000000008E-3</v>
      </c>
      <c r="F784" s="7">
        <f t="shared" si="104"/>
        <v>0.15190000000000003</v>
      </c>
    </row>
    <row r="785" spans="1:6" x14ac:dyDescent="0.35">
      <c r="A785" s="42"/>
      <c r="B785" s="5" t="s">
        <v>305</v>
      </c>
      <c r="C785" s="6">
        <v>0.18</v>
      </c>
      <c r="D785" s="7">
        <f t="shared" si="102"/>
        <v>0.13500000000000001</v>
      </c>
      <c r="E785" s="7">
        <f t="shared" si="103"/>
        <v>2.7000000000000001E-3</v>
      </c>
      <c r="F785" s="7">
        <f t="shared" si="104"/>
        <v>0.1323</v>
      </c>
    </row>
    <row r="786" spans="1:6" x14ac:dyDescent="0.35">
      <c r="A786" s="43"/>
      <c r="B786" s="5" t="s">
        <v>27</v>
      </c>
      <c r="C786" s="6">
        <v>0.2</v>
      </c>
      <c r="D786" s="7">
        <f t="shared" si="102"/>
        <v>0.15500000000000003</v>
      </c>
      <c r="E786" s="7">
        <f t="shared" si="103"/>
        <v>3.1000000000000008E-3</v>
      </c>
      <c r="F786" s="7">
        <f t="shared" si="104"/>
        <v>0.15190000000000003</v>
      </c>
    </row>
    <row r="787" spans="1:6" x14ac:dyDescent="0.35">
      <c r="A787" s="5" t="s">
        <v>309</v>
      </c>
      <c r="B787" s="5" t="s">
        <v>310</v>
      </c>
      <c r="C787" s="6">
        <v>0.35</v>
      </c>
      <c r="D787" s="7">
        <f t="shared" si="102"/>
        <v>0.30499999999999999</v>
      </c>
      <c r="E787" s="7">
        <f t="shared" si="103"/>
        <v>6.1000000000000004E-3</v>
      </c>
      <c r="F787" s="7">
        <f t="shared" si="104"/>
        <v>0.2989</v>
      </c>
    </row>
    <row r="788" spans="1:6" x14ac:dyDescent="0.35">
      <c r="A788" s="5" t="s">
        <v>311</v>
      </c>
      <c r="B788" s="5" t="s">
        <v>310</v>
      </c>
      <c r="C788" s="6">
        <v>0.3</v>
      </c>
      <c r="D788" s="7">
        <f t="shared" si="102"/>
        <v>0.255</v>
      </c>
      <c r="E788" s="7">
        <f t="shared" si="103"/>
        <v>5.1000000000000004E-3</v>
      </c>
      <c r="F788" s="7">
        <f t="shared" si="104"/>
        <v>0.24990000000000001</v>
      </c>
    </row>
    <row r="789" spans="1:6" x14ac:dyDescent="0.35">
      <c r="A789" s="5" t="s">
        <v>312</v>
      </c>
      <c r="B789" s="5" t="s">
        <v>310</v>
      </c>
      <c r="C789" s="6">
        <v>0.3</v>
      </c>
      <c r="D789" s="7">
        <f t="shared" si="102"/>
        <v>0.255</v>
      </c>
      <c r="E789" s="7">
        <f t="shared" si="103"/>
        <v>5.1000000000000004E-3</v>
      </c>
      <c r="F789" s="7">
        <f t="shared" si="104"/>
        <v>0.24990000000000001</v>
      </c>
    </row>
    <row r="790" spans="1:6" x14ac:dyDescent="0.35">
      <c r="A790" s="5" t="s">
        <v>313</v>
      </c>
      <c r="B790" s="5" t="s">
        <v>310</v>
      </c>
      <c r="C790" s="6">
        <v>0.15</v>
      </c>
      <c r="D790" s="7">
        <f t="shared" si="102"/>
        <v>0.105</v>
      </c>
      <c r="E790" s="7">
        <f t="shared" si="103"/>
        <v>2.0999999999999999E-3</v>
      </c>
      <c r="F790" s="7">
        <f t="shared" si="104"/>
        <v>0.10289999999999999</v>
      </c>
    </row>
    <row r="791" spans="1:6" x14ac:dyDescent="0.35">
      <c r="A791" s="5" t="s">
        <v>314</v>
      </c>
      <c r="B791" s="5" t="s">
        <v>310</v>
      </c>
      <c r="C791" s="6">
        <v>0.25</v>
      </c>
      <c r="D791" s="7">
        <f t="shared" si="102"/>
        <v>0.20500000000000002</v>
      </c>
      <c r="E791" s="7">
        <f t="shared" si="103"/>
        <v>4.1000000000000003E-3</v>
      </c>
      <c r="F791" s="7">
        <f t="shared" si="104"/>
        <v>0.20090000000000002</v>
      </c>
    </row>
    <row r="792" spans="1:6" x14ac:dyDescent="0.35">
      <c r="A792" s="41" t="s">
        <v>315</v>
      </c>
      <c r="B792" s="5" t="s">
        <v>316</v>
      </c>
      <c r="C792" s="6">
        <v>0.16</v>
      </c>
      <c r="D792" s="7">
        <f t="shared" si="102"/>
        <v>0.115</v>
      </c>
      <c r="E792" s="7">
        <f t="shared" si="103"/>
        <v>2.3E-3</v>
      </c>
      <c r="F792" s="7">
        <f t="shared" si="104"/>
        <v>0.11270000000000001</v>
      </c>
    </row>
    <row r="793" spans="1:6" x14ac:dyDescent="0.35">
      <c r="A793" s="43"/>
      <c r="B793" s="5" t="s">
        <v>317</v>
      </c>
      <c r="C793" s="6">
        <v>0.15</v>
      </c>
      <c r="D793" s="7">
        <f t="shared" si="102"/>
        <v>0.105</v>
      </c>
      <c r="E793" s="7">
        <f t="shared" si="103"/>
        <v>2.0999999999999999E-3</v>
      </c>
      <c r="F793" s="7">
        <f t="shared" si="104"/>
        <v>0.10289999999999999</v>
      </c>
    </row>
    <row r="794" spans="1:6" x14ac:dyDescent="0.35">
      <c r="A794" s="23" t="s">
        <v>1390</v>
      </c>
      <c r="B794" s="5" t="s">
        <v>100</v>
      </c>
      <c r="C794" s="6">
        <v>0.19500000000000001</v>
      </c>
      <c r="D794" s="7">
        <f t="shared" si="102"/>
        <v>0.15000000000000002</v>
      </c>
      <c r="E794" s="7">
        <f t="shared" si="103"/>
        <v>3.0000000000000005E-3</v>
      </c>
      <c r="F794" s="7">
        <f t="shared" si="104"/>
        <v>0.14700000000000002</v>
      </c>
    </row>
    <row r="795" spans="1:6" x14ac:dyDescent="0.35">
      <c r="A795" s="2" t="s">
        <v>318</v>
      </c>
      <c r="B795" s="2" t="s">
        <v>1</v>
      </c>
      <c r="C795" s="3" t="s">
        <v>2</v>
      </c>
      <c r="D795" s="4" t="s">
        <v>4</v>
      </c>
      <c r="E795" s="4" t="s">
        <v>5</v>
      </c>
      <c r="F795" s="4" t="s">
        <v>6</v>
      </c>
    </row>
    <row r="796" spans="1:6" x14ac:dyDescent="0.35">
      <c r="A796" s="41" t="s">
        <v>319</v>
      </c>
      <c r="B796" s="5" t="s">
        <v>254</v>
      </c>
      <c r="C796" s="6">
        <v>0.22500000000000001</v>
      </c>
      <c r="D796" s="7">
        <f>C796-(4.5%)</f>
        <v>0.18</v>
      </c>
      <c r="E796" s="7">
        <f>D796*2%</f>
        <v>3.5999999999999999E-3</v>
      </c>
      <c r="F796" s="7">
        <f>D796-E796</f>
        <v>0.1764</v>
      </c>
    </row>
    <row r="797" spans="1:6" x14ac:dyDescent="0.35">
      <c r="A797" s="43"/>
      <c r="B797" s="5" t="s">
        <v>1151</v>
      </c>
      <c r="C797" s="6">
        <v>2.5000000000000001E-2</v>
      </c>
      <c r="D797" s="7" t="s">
        <v>20</v>
      </c>
      <c r="E797" s="7" t="s">
        <v>20</v>
      </c>
      <c r="F797" s="7" t="s">
        <v>20</v>
      </c>
    </row>
    <row r="798" spans="1:6" x14ac:dyDescent="0.35">
      <c r="A798" s="5" t="s">
        <v>320</v>
      </c>
      <c r="B798" s="5" t="s">
        <v>100</v>
      </c>
      <c r="C798" s="7">
        <v>0.5</v>
      </c>
      <c r="D798" s="7">
        <f>C798-(4.5%)</f>
        <v>0.45500000000000002</v>
      </c>
      <c r="E798" s="7">
        <f>D798*2%</f>
        <v>9.1000000000000004E-3</v>
      </c>
      <c r="F798" s="7">
        <f>D798-E798</f>
        <v>0.44590000000000002</v>
      </c>
    </row>
    <row r="799" spans="1:6" ht="14.5" customHeight="1" x14ac:dyDescent="0.35">
      <c r="A799" s="41" t="s">
        <v>321</v>
      </c>
      <c r="B799" s="5" t="s">
        <v>322</v>
      </c>
      <c r="C799" s="6">
        <v>0.06</v>
      </c>
      <c r="D799" s="7" t="s">
        <v>20</v>
      </c>
      <c r="E799" s="7" t="s">
        <v>20</v>
      </c>
      <c r="F799" s="7" t="s">
        <v>20</v>
      </c>
    </row>
    <row r="800" spans="1:6" x14ac:dyDescent="0.35">
      <c r="A800" s="42"/>
      <c r="B800" s="5" t="s">
        <v>323</v>
      </c>
      <c r="C800" s="6">
        <v>0.08</v>
      </c>
      <c r="D800" s="7">
        <f>C800-(4.5%)</f>
        <v>3.5000000000000003E-2</v>
      </c>
      <c r="E800" s="7">
        <f>D800*2%</f>
        <v>7.000000000000001E-4</v>
      </c>
      <c r="F800" s="7">
        <f>D800-E800</f>
        <v>3.4300000000000004E-2</v>
      </c>
    </row>
    <row r="801" spans="1:6" x14ac:dyDescent="0.35">
      <c r="A801" s="42"/>
      <c r="B801" s="5" t="s">
        <v>324</v>
      </c>
      <c r="C801" s="6">
        <v>0.4</v>
      </c>
      <c r="D801" s="7">
        <f>C801-(4.5%)</f>
        <v>0.35500000000000004</v>
      </c>
      <c r="E801" s="7">
        <f>D801*2%</f>
        <v>7.1000000000000013E-3</v>
      </c>
      <c r="F801" s="7">
        <f>D801-E801</f>
        <v>0.34790000000000004</v>
      </c>
    </row>
    <row r="802" spans="1:6" x14ac:dyDescent="0.35">
      <c r="A802" s="43"/>
      <c r="B802" s="5" t="s">
        <v>325</v>
      </c>
      <c r="C802" s="6">
        <v>0.03</v>
      </c>
      <c r="D802" s="7" t="s">
        <v>20</v>
      </c>
      <c r="E802" s="7" t="s">
        <v>20</v>
      </c>
      <c r="F802" s="7" t="s">
        <v>20</v>
      </c>
    </row>
    <row r="803" spans="1:6" x14ac:dyDescent="0.35">
      <c r="A803" s="48" t="s">
        <v>326</v>
      </c>
      <c r="B803" s="5" t="s">
        <v>322</v>
      </c>
      <c r="C803" s="6">
        <v>0.06</v>
      </c>
      <c r="D803" s="7" t="s">
        <v>20</v>
      </c>
      <c r="E803" s="7" t="s">
        <v>20</v>
      </c>
      <c r="F803" s="7" t="s">
        <v>20</v>
      </c>
    </row>
    <row r="804" spans="1:6" x14ac:dyDescent="0.35">
      <c r="A804" s="48"/>
      <c r="B804" s="5" t="s">
        <v>323</v>
      </c>
      <c r="C804" s="6">
        <v>0.08</v>
      </c>
      <c r="D804" s="7">
        <f>C804-(4.5%)</f>
        <v>3.5000000000000003E-2</v>
      </c>
      <c r="E804" s="7">
        <f>D804*2%</f>
        <v>7.000000000000001E-4</v>
      </c>
      <c r="F804" s="7">
        <f>D804-E804</f>
        <v>3.4300000000000004E-2</v>
      </c>
    </row>
    <row r="805" spans="1:6" x14ac:dyDescent="0.35">
      <c r="A805" s="48"/>
      <c r="B805" s="5" t="s">
        <v>324</v>
      </c>
      <c r="C805" s="6">
        <v>0.4</v>
      </c>
      <c r="D805" s="7">
        <f>C805-(4.5%)</f>
        <v>0.35500000000000004</v>
      </c>
      <c r="E805" s="7">
        <f>D805*2%</f>
        <v>7.1000000000000013E-3</v>
      </c>
      <c r="F805" s="7">
        <f>D805-E805</f>
        <v>0.34790000000000004</v>
      </c>
    </row>
    <row r="806" spans="1:6" x14ac:dyDescent="0.35">
      <c r="A806" s="48"/>
      <c r="B806" s="5" t="s">
        <v>327</v>
      </c>
      <c r="C806" s="6">
        <v>7.4999999999999997E-2</v>
      </c>
      <c r="D806" s="7">
        <f>C806-(4.5%)</f>
        <v>0.03</v>
      </c>
      <c r="E806" s="7">
        <f>D806*2%</f>
        <v>5.9999999999999995E-4</v>
      </c>
      <c r="F806" s="7">
        <f>D806-E806</f>
        <v>2.9399999999999999E-2</v>
      </c>
    </row>
    <row r="807" spans="1:6" x14ac:dyDescent="0.35">
      <c r="A807" s="48"/>
      <c r="B807" s="5" t="s">
        <v>325</v>
      </c>
      <c r="C807" s="6">
        <v>0.03</v>
      </c>
      <c r="D807" s="7" t="s">
        <v>20</v>
      </c>
      <c r="E807" s="7" t="s">
        <v>20</v>
      </c>
      <c r="F807" s="7" t="s">
        <v>20</v>
      </c>
    </row>
    <row r="808" spans="1:6" x14ac:dyDescent="0.35">
      <c r="A808" s="48" t="s">
        <v>328</v>
      </c>
      <c r="B808" s="5" t="s">
        <v>329</v>
      </c>
      <c r="C808" s="6">
        <v>7.4999999999999997E-2</v>
      </c>
      <c r="D808" s="7">
        <f>C808-(4.5%)</f>
        <v>0.03</v>
      </c>
      <c r="E808" s="7">
        <f>D808*2%</f>
        <v>5.9999999999999995E-4</v>
      </c>
      <c r="F808" s="7">
        <f>D808-E808</f>
        <v>2.9399999999999999E-2</v>
      </c>
    </row>
    <row r="809" spans="1:6" x14ac:dyDescent="0.35">
      <c r="A809" s="48"/>
      <c r="B809" s="5" t="s">
        <v>324</v>
      </c>
      <c r="C809" s="6">
        <v>0.1</v>
      </c>
      <c r="D809" s="7">
        <f>C809-(4.5%)</f>
        <v>5.5000000000000007E-2</v>
      </c>
      <c r="E809" s="7">
        <f>D809*2%</f>
        <v>1.1000000000000001E-3</v>
      </c>
      <c r="F809" s="7">
        <f>D809-E809</f>
        <v>5.390000000000001E-2</v>
      </c>
    </row>
    <row r="810" spans="1:6" x14ac:dyDescent="0.35">
      <c r="A810" s="48"/>
      <c r="B810" s="5" t="s">
        <v>325</v>
      </c>
      <c r="C810" s="6">
        <v>0.03</v>
      </c>
      <c r="D810" s="7" t="s">
        <v>20</v>
      </c>
      <c r="E810" s="7" t="s">
        <v>20</v>
      </c>
      <c r="F810" s="7" t="s">
        <v>20</v>
      </c>
    </row>
    <row r="811" spans="1:6" x14ac:dyDescent="0.35">
      <c r="A811" s="48"/>
      <c r="B811" s="5" t="s">
        <v>330</v>
      </c>
      <c r="C811" s="6">
        <v>2.5000000000000001E-2</v>
      </c>
      <c r="D811" s="7" t="s">
        <v>20</v>
      </c>
      <c r="E811" s="7" t="s">
        <v>20</v>
      </c>
      <c r="F811" s="7" t="s">
        <v>20</v>
      </c>
    </row>
    <row r="812" spans="1:6" x14ac:dyDescent="0.35">
      <c r="A812" s="48"/>
      <c r="B812" s="5" t="s">
        <v>331</v>
      </c>
      <c r="C812" s="6">
        <v>2.5000000000000001E-2</v>
      </c>
      <c r="D812" s="7" t="s">
        <v>20</v>
      </c>
      <c r="E812" s="7" t="s">
        <v>20</v>
      </c>
      <c r="F812" s="7" t="s">
        <v>20</v>
      </c>
    </row>
    <row r="813" spans="1:6" x14ac:dyDescent="0.35">
      <c r="A813" s="48" t="s">
        <v>332</v>
      </c>
      <c r="B813" s="5" t="s">
        <v>333</v>
      </c>
      <c r="C813" s="6">
        <v>7.4999999999999997E-2</v>
      </c>
      <c r="D813" s="7">
        <f>C813-(4.5%)</f>
        <v>0.03</v>
      </c>
      <c r="E813" s="7">
        <f>D813*2%</f>
        <v>5.9999999999999995E-4</v>
      </c>
      <c r="F813" s="7">
        <f>D813-E813</f>
        <v>2.9399999999999999E-2</v>
      </c>
    </row>
    <row r="814" spans="1:6" x14ac:dyDescent="0.35">
      <c r="A814" s="48"/>
      <c r="B814" s="5" t="s">
        <v>324</v>
      </c>
      <c r="C814" s="6">
        <v>0.1</v>
      </c>
      <c r="D814" s="7">
        <f>C814-(4.5%)</f>
        <v>5.5000000000000007E-2</v>
      </c>
      <c r="E814" s="7">
        <f>D814*2%</f>
        <v>1.1000000000000001E-3</v>
      </c>
      <c r="F814" s="7">
        <f>D814-E814</f>
        <v>5.390000000000001E-2</v>
      </c>
    </row>
    <row r="815" spans="1:6" x14ac:dyDescent="0.35">
      <c r="A815" s="48"/>
      <c r="B815" s="5" t="s">
        <v>330</v>
      </c>
      <c r="C815" s="6">
        <v>2.5000000000000001E-2</v>
      </c>
      <c r="D815" s="7" t="s">
        <v>20</v>
      </c>
      <c r="E815" s="7" t="s">
        <v>20</v>
      </c>
      <c r="F815" s="7" t="s">
        <v>20</v>
      </c>
    </row>
    <row r="816" spans="1:6" x14ac:dyDescent="0.35">
      <c r="A816" s="48"/>
      <c r="B816" s="5" t="s">
        <v>331</v>
      </c>
      <c r="C816" s="6">
        <v>2.5000000000000001E-2</v>
      </c>
      <c r="D816" s="7" t="s">
        <v>20</v>
      </c>
      <c r="E816" s="7" t="s">
        <v>20</v>
      </c>
      <c r="F816" s="7" t="s">
        <v>20</v>
      </c>
    </row>
    <row r="817" spans="1:6" x14ac:dyDescent="0.35">
      <c r="A817" s="48"/>
      <c r="B817" s="5" t="s">
        <v>325</v>
      </c>
      <c r="C817" s="6">
        <v>0.03</v>
      </c>
      <c r="D817" s="7" t="s">
        <v>20</v>
      </c>
      <c r="E817" s="7" t="s">
        <v>20</v>
      </c>
      <c r="F817" s="7" t="s">
        <v>20</v>
      </c>
    </row>
    <row r="818" spans="1:6" x14ac:dyDescent="0.35">
      <c r="A818" s="34" t="s">
        <v>334</v>
      </c>
      <c r="B818" s="5" t="s">
        <v>100</v>
      </c>
      <c r="C818" s="6">
        <v>0.47499999999999998</v>
      </c>
      <c r="D818" s="7">
        <f t="shared" ref="D818:D825" si="105">C818-(4.5%)</f>
        <v>0.43</v>
      </c>
      <c r="E818" s="7">
        <f t="shared" ref="E818:E825" si="106">D818*2%</f>
        <v>8.6E-3</v>
      </c>
      <c r="F818" s="7">
        <f t="shared" ref="F818:F825" si="107">D818-E818</f>
        <v>0.4214</v>
      </c>
    </row>
    <row r="819" spans="1:6" x14ac:dyDescent="0.35">
      <c r="A819" s="48" t="s">
        <v>335</v>
      </c>
      <c r="B819" s="5" t="s">
        <v>138</v>
      </c>
      <c r="C819" s="6">
        <v>0.17</v>
      </c>
      <c r="D819" s="7">
        <f t="shared" si="105"/>
        <v>0.125</v>
      </c>
      <c r="E819" s="7">
        <f t="shared" si="106"/>
        <v>2.5000000000000001E-3</v>
      </c>
      <c r="F819" s="7">
        <f t="shared" si="107"/>
        <v>0.1225</v>
      </c>
    </row>
    <row r="820" spans="1:6" x14ac:dyDescent="0.35">
      <c r="A820" s="48"/>
      <c r="B820" s="5" t="s">
        <v>232</v>
      </c>
      <c r="C820" s="6">
        <v>0.17499999999999999</v>
      </c>
      <c r="D820" s="7">
        <f t="shared" si="105"/>
        <v>0.13</v>
      </c>
      <c r="E820" s="7">
        <f t="shared" si="106"/>
        <v>2.6000000000000003E-3</v>
      </c>
      <c r="F820" s="7">
        <f t="shared" si="107"/>
        <v>0.12740000000000001</v>
      </c>
    </row>
    <row r="821" spans="1:6" x14ac:dyDescent="0.35">
      <c r="A821" s="48"/>
      <c r="B821" s="5" t="s">
        <v>258</v>
      </c>
      <c r="C821" s="6">
        <v>0.18</v>
      </c>
      <c r="D821" s="7">
        <f t="shared" si="105"/>
        <v>0.13500000000000001</v>
      </c>
      <c r="E821" s="7">
        <f t="shared" si="106"/>
        <v>2.7000000000000001E-3</v>
      </c>
      <c r="F821" s="7">
        <f t="shared" si="107"/>
        <v>0.1323</v>
      </c>
    </row>
    <row r="822" spans="1:6" x14ac:dyDescent="0.35">
      <c r="A822" s="48" t="s">
        <v>336</v>
      </c>
      <c r="B822" s="5" t="s">
        <v>138</v>
      </c>
      <c r="C822" s="6">
        <v>0.12</v>
      </c>
      <c r="D822" s="7">
        <f t="shared" si="105"/>
        <v>7.4999999999999997E-2</v>
      </c>
      <c r="E822" s="7">
        <f t="shared" si="106"/>
        <v>1.5E-3</v>
      </c>
      <c r="F822" s="7">
        <f t="shared" si="107"/>
        <v>7.3499999999999996E-2</v>
      </c>
    </row>
    <row r="823" spans="1:6" x14ac:dyDescent="0.35">
      <c r="A823" s="48"/>
      <c r="B823" s="5" t="s">
        <v>232</v>
      </c>
      <c r="C823" s="6">
        <v>0.17499999999999999</v>
      </c>
      <c r="D823" s="7">
        <f t="shared" si="105"/>
        <v>0.13</v>
      </c>
      <c r="E823" s="7">
        <f t="shared" si="106"/>
        <v>2.6000000000000003E-3</v>
      </c>
      <c r="F823" s="7">
        <f t="shared" si="107"/>
        <v>0.12740000000000001</v>
      </c>
    </row>
    <row r="824" spans="1:6" x14ac:dyDescent="0.35">
      <c r="A824" s="48"/>
      <c r="B824" s="5" t="s">
        <v>258</v>
      </c>
      <c r="C824" s="6">
        <v>0.17</v>
      </c>
      <c r="D824" s="7">
        <f t="shared" si="105"/>
        <v>0.125</v>
      </c>
      <c r="E824" s="7">
        <f t="shared" si="106"/>
        <v>2.5000000000000001E-3</v>
      </c>
      <c r="F824" s="7">
        <f t="shared" si="107"/>
        <v>0.1225</v>
      </c>
    </row>
    <row r="825" spans="1:6" x14ac:dyDescent="0.35">
      <c r="A825" s="48" t="s">
        <v>337</v>
      </c>
      <c r="B825" s="5" t="s">
        <v>138</v>
      </c>
      <c r="C825" s="6">
        <v>0.17</v>
      </c>
      <c r="D825" s="7">
        <f t="shared" si="105"/>
        <v>0.125</v>
      </c>
      <c r="E825" s="7">
        <f t="shared" si="106"/>
        <v>2.5000000000000001E-3</v>
      </c>
      <c r="F825" s="7">
        <f t="shared" si="107"/>
        <v>0.1225</v>
      </c>
    </row>
    <row r="826" spans="1:6" x14ac:dyDescent="0.35">
      <c r="A826" s="48"/>
      <c r="B826" s="5" t="s">
        <v>232</v>
      </c>
      <c r="C826" s="6">
        <v>0</v>
      </c>
      <c r="D826" s="7" t="s">
        <v>20</v>
      </c>
      <c r="E826" s="7" t="s">
        <v>20</v>
      </c>
      <c r="F826" s="7" t="s">
        <v>20</v>
      </c>
    </row>
    <row r="827" spans="1:6" x14ac:dyDescent="0.35">
      <c r="A827" s="48"/>
      <c r="B827" s="5" t="s">
        <v>258</v>
      </c>
      <c r="C827" s="6">
        <v>0.18</v>
      </c>
      <c r="D827" s="7">
        <f t="shared" ref="D827:D839" si="108">C827-(4.5%)</f>
        <v>0.13500000000000001</v>
      </c>
      <c r="E827" s="7">
        <f t="shared" ref="E827:E839" si="109">D827*2%</f>
        <v>2.7000000000000001E-3</v>
      </c>
      <c r="F827" s="7">
        <f t="shared" ref="F827:F839" si="110">D827-E827</f>
        <v>0.1323</v>
      </c>
    </row>
    <row r="828" spans="1:6" x14ac:dyDescent="0.35">
      <c r="A828" s="41" t="s">
        <v>1268</v>
      </c>
      <c r="B828" s="5" t="s">
        <v>338</v>
      </c>
      <c r="C828" s="6">
        <v>0.55000000000000004</v>
      </c>
      <c r="D828" s="7">
        <f t="shared" si="108"/>
        <v>0.505</v>
      </c>
      <c r="E828" s="7">
        <f t="shared" si="109"/>
        <v>1.01E-2</v>
      </c>
      <c r="F828" s="7">
        <f t="shared" si="110"/>
        <v>0.49490000000000001</v>
      </c>
    </row>
    <row r="829" spans="1:6" x14ac:dyDescent="0.35">
      <c r="A829" s="43"/>
      <c r="B829" s="5" t="s">
        <v>339</v>
      </c>
      <c r="C829" s="6">
        <v>0.45</v>
      </c>
      <c r="D829" s="7">
        <f t="shared" si="108"/>
        <v>0.40500000000000003</v>
      </c>
      <c r="E829" s="7">
        <f t="shared" si="109"/>
        <v>8.1000000000000013E-3</v>
      </c>
      <c r="F829" s="7">
        <f t="shared" si="110"/>
        <v>0.39690000000000003</v>
      </c>
    </row>
    <row r="830" spans="1:6" x14ac:dyDescent="0.35">
      <c r="A830" s="5" t="s">
        <v>1322</v>
      </c>
      <c r="B830" s="5" t="s">
        <v>1337</v>
      </c>
      <c r="C830" s="6">
        <v>0.4</v>
      </c>
      <c r="D830" s="7">
        <f t="shared" si="108"/>
        <v>0.35500000000000004</v>
      </c>
      <c r="E830" s="7">
        <f t="shared" si="109"/>
        <v>7.1000000000000013E-3</v>
      </c>
      <c r="F830" s="7">
        <f t="shared" si="110"/>
        <v>0.34790000000000004</v>
      </c>
    </row>
    <row r="831" spans="1:6" x14ac:dyDescent="0.35">
      <c r="A831" s="5" t="s">
        <v>1338</v>
      </c>
      <c r="B831" s="5" t="s">
        <v>1337</v>
      </c>
      <c r="C831" s="6">
        <v>0.35</v>
      </c>
      <c r="D831" s="7">
        <f t="shared" si="108"/>
        <v>0.30499999999999999</v>
      </c>
      <c r="E831" s="7">
        <f t="shared" si="109"/>
        <v>6.1000000000000004E-3</v>
      </c>
      <c r="F831" s="7">
        <f t="shared" si="110"/>
        <v>0.2989</v>
      </c>
    </row>
    <row r="832" spans="1:6" x14ac:dyDescent="0.35">
      <c r="A832" s="5" t="s">
        <v>1339</v>
      </c>
      <c r="B832" s="5" t="s">
        <v>1337</v>
      </c>
      <c r="C832" s="6">
        <v>0.32500000000000001</v>
      </c>
      <c r="D832" s="7">
        <f t="shared" si="108"/>
        <v>0.28000000000000003</v>
      </c>
      <c r="E832" s="7">
        <f t="shared" si="109"/>
        <v>5.6000000000000008E-3</v>
      </c>
      <c r="F832" s="7">
        <f t="shared" si="110"/>
        <v>0.27440000000000003</v>
      </c>
    </row>
    <row r="833" spans="1:6" x14ac:dyDescent="0.35">
      <c r="A833" s="5" t="s">
        <v>1340</v>
      </c>
      <c r="B833" s="5" t="s">
        <v>1337</v>
      </c>
      <c r="C833" s="6">
        <v>0.3</v>
      </c>
      <c r="D833" s="7">
        <f t="shared" si="108"/>
        <v>0.255</v>
      </c>
      <c r="E833" s="7">
        <f t="shared" si="109"/>
        <v>5.1000000000000004E-3</v>
      </c>
      <c r="F833" s="7">
        <f t="shared" si="110"/>
        <v>0.24990000000000001</v>
      </c>
    </row>
    <row r="834" spans="1:6" x14ac:dyDescent="0.35">
      <c r="A834" s="48" t="s">
        <v>1391</v>
      </c>
      <c r="B834" s="5" t="s">
        <v>33</v>
      </c>
      <c r="C834" s="6">
        <v>0.5</v>
      </c>
      <c r="D834" s="7">
        <f t="shared" si="108"/>
        <v>0.45500000000000002</v>
      </c>
      <c r="E834" s="7">
        <f t="shared" si="109"/>
        <v>9.1000000000000004E-3</v>
      </c>
      <c r="F834" s="7">
        <f t="shared" si="110"/>
        <v>0.44590000000000002</v>
      </c>
    </row>
    <row r="835" spans="1:6" x14ac:dyDescent="0.35">
      <c r="A835" s="48"/>
      <c r="B835" s="5" t="s">
        <v>34</v>
      </c>
      <c r="C835" s="6">
        <v>0.4</v>
      </c>
      <c r="D835" s="7">
        <f t="shared" si="108"/>
        <v>0.35500000000000004</v>
      </c>
      <c r="E835" s="7">
        <f t="shared" si="109"/>
        <v>7.1000000000000013E-3</v>
      </c>
      <c r="F835" s="7">
        <f t="shared" si="110"/>
        <v>0.34790000000000004</v>
      </c>
    </row>
    <row r="836" spans="1:6" x14ac:dyDescent="0.35">
      <c r="A836" s="48"/>
      <c r="B836" s="5" t="s">
        <v>35</v>
      </c>
      <c r="C836" s="6">
        <v>0.4</v>
      </c>
      <c r="D836" s="7">
        <f t="shared" si="108"/>
        <v>0.35500000000000004</v>
      </c>
      <c r="E836" s="7">
        <f t="shared" si="109"/>
        <v>7.1000000000000013E-3</v>
      </c>
      <c r="F836" s="7">
        <f t="shared" si="110"/>
        <v>0.34790000000000004</v>
      </c>
    </row>
    <row r="837" spans="1:6" x14ac:dyDescent="0.35">
      <c r="A837" s="48" t="s">
        <v>1392</v>
      </c>
      <c r="B837" s="5" t="s">
        <v>33</v>
      </c>
      <c r="C837" s="6">
        <v>0.26</v>
      </c>
      <c r="D837" s="7">
        <f t="shared" si="108"/>
        <v>0.21500000000000002</v>
      </c>
      <c r="E837" s="7">
        <f t="shared" si="109"/>
        <v>4.3000000000000009E-3</v>
      </c>
      <c r="F837" s="7">
        <f t="shared" si="110"/>
        <v>0.21070000000000003</v>
      </c>
    </row>
    <row r="838" spans="1:6" x14ac:dyDescent="0.35">
      <c r="A838" s="48"/>
      <c r="B838" s="5" t="s">
        <v>34</v>
      </c>
      <c r="C838" s="6">
        <v>0.33</v>
      </c>
      <c r="D838" s="7">
        <f t="shared" si="108"/>
        <v>0.28500000000000003</v>
      </c>
      <c r="E838" s="7">
        <f t="shared" si="109"/>
        <v>5.7000000000000011E-3</v>
      </c>
      <c r="F838" s="7">
        <f t="shared" si="110"/>
        <v>0.27930000000000005</v>
      </c>
    </row>
    <row r="839" spans="1:6" x14ac:dyDescent="0.35">
      <c r="A839" s="48"/>
      <c r="B839" s="5" t="s">
        <v>35</v>
      </c>
      <c r="C839" s="6">
        <v>0.33</v>
      </c>
      <c r="D839" s="7">
        <f t="shared" si="108"/>
        <v>0.28500000000000003</v>
      </c>
      <c r="E839" s="7">
        <f t="shared" si="109"/>
        <v>5.7000000000000011E-3</v>
      </c>
      <c r="F839" s="7">
        <f t="shared" si="110"/>
        <v>0.27930000000000005</v>
      </c>
    </row>
    <row r="840" spans="1:6" x14ac:dyDescent="0.35">
      <c r="A840" s="48" t="s">
        <v>1393</v>
      </c>
      <c r="B840" s="5" t="s">
        <v>33</v>
      </c>
      <c r="C840" s="6">
        <v>0</v>
      </c>
      <c r="D840" s="7" t="s">
        <v>20</v>
      </c>
      <c r="E840" s="7" t="s">
        <v>20</v>
      </c>
      <c r="F840" s="7" t="s">
        <v>20</v>
      </c>
    </row>
    <row r="841" spans="1:6" x14ac:dyDescent="0.35">
      <c r="A841" s="48"/>
      <c r="B841" s="5" t="s">
        <v>34</v>
      </c>
      <c r="C841" s="6">
        <v>0</v>
      </c>
      <c r="D841" s="7" t="s">
        <v>20</v>
      </c>
      <c r="E841" s="7" t="s">
        <v>20</v>
      </c>
      <c r="F841" s="7" t="s">
        <v>20</v>
      </c>
    </row>
    <row r="842" spans="1:6" x14ac:dyDescent="0.35">
      <c r="A842" s="48"/>
      <c r="B842" s="5" t="s">
        <v>35</v>
      </c>
      <c r="C842" s="6">
        <v>0.24</v>
      </c>
      <c r="D842" s="7">
        <f>C842-(4.5%)</f>
        <v>0.19500000000000001</v>
      </c>
      <c r="E842" s="7">
        <f>D842*2%</f>
        <v>3.9000000000000003E-3</v>
      </c>
      <c r="F842" s="7">
        <f>D842-E842</f>
        <v>0.19110000000000002</v>
      </c>
    </row>
    <row r="843" spans="1:6" x14ac:dyDescent="0.35">
      <c r="A843" s="48" t="s">
        <v>1394</v>
      </c>
      <c r="B843" s="5" t="s">
        <v>33</v>
      </c>
      <c r="C843" s="6">
        <v>0</v>
      </c>
      <c r="D843" s="7" t="s">
        <v>20</v>
      </c>
      <c r="E843" s="7" t="s">
        <v>20</v>
      </c>
      <c r="F843" s="7" t="s">
        <v>20</v>
      </c>
    </row>
    <row r="844" spans="1:6" x14ac:dyDescent="0.35">
      <c r="A844" s="48"/>
      <c r="B844" s="5" t="s">
        <v>34</v>
      </c>
      <c r="C844" s="6">
        <v>0.33</v>
      </c>
      <c r="D844" s="7">
        <f>C844-(4.5%)</f>
        <v>0.28500000000000003</v>
      </c>
      <c r="E844" s="7">
        <f>D844*2%</f>
        <v>5.7000000000000011E-3</v>
      </c>
      <c r="F844" s="7">
        <f>D844-E844</f>
        <v>0.27930000000000005</v>
      </c>
    </row>
    <row r="845" spans="1:6" x14ac:dyDescent="0.35">
      <c r="A845" s="48"/>
      <c r="B845" s="5" t="s">
        <v>35</v>
      </c>
      <c r="C845" s="6">
        <v>0.33</v>
      </c>
      <c r="D845" s="7">
        <f>C845-(4.5%)</f>
        <v>0.28500000000000003</v>
      </c>
      <c r="E845" s="7">
        <f>D845*2%</f>
        <v>5.7000000000000011E-3</v>
      </c>
      <c r="F845" s="7">
        <f>D845-E845</f>
        <v>0.27930000000000005</v>
      </c>
    </row>
    <row r="846" spans="1:6" x14ac:dyDescent="0.35">
      <c r="A846" s="2" t="s">
        <v>340</v>
      </c>
      <c r="B846" s="2" t="s">
        <v>1</v>
      </c>
      <c r="C846" s="3" t="s">
        <v>2</v>
      </c>
      <c r="D846" s="4" t="s">
        <v>4</v>
      </c>
      <c r="E846" s="4" t="s">
        <v>5</v>
      </c>
      <c r="F846" s="4" t="s">
        <v>6</v>
      </c>
    </row>
    <row r="847" spans="1:6" x14ac:dyDescent="0.35">
      <c r="A847" s="5" t="s">
        <v>341</v>
      </c>
      <c r="B847" s="5" t="s">
        <v>342</v>
      </c>
      <c r="C847" s="7">
        <v>0.4</v>
      </c>
      <c r="D847" s="7">
        <f t="shared" ref="D847:D862" si="111">C847-(4.5%)</f>
        <v>0.35500000000000004</v>
      </c>
      <c r="E847" s="7">
        <f t="shared" ref="E847:E862" si="112">D847*2%</f>
        <v>7.1000000000000013E-3</v>
      </c>
      <c r="F847" s="7">
        <f t="shared" ref="F847:F862" si="113">D847-E847</f>
        <v>0.34790000000000004</v>
      </c>
    </row>
    <row r="848" spans="1:6" x14ac:dyDescent="0.35">
      <c r="A848" s="48" t="s">
        <v>343</v>
      </c>
      <c r="B848" s="5" t="s">
        <v>14</v>
      </c>
      <c r="C848" s="6">
        <v>0.34</v>
      </c>
      <c r="D848" s="7">
        <f t="shared" si="111"/>
        <v>0.29500000000000004</v>
      </c>
      <c r="E848" s="7">
        <f t="shared" si="112"/>
        <v>5.9000000000000007E-3</v>
      </c>
      <c r="F848" s="7">
        <f t="shared" si="113"/>
        <v>0.28910000000000002</v>
      </c>
    </row>
    <row r="849" spans="1:6" x14ac:dyDescent="0.35">
      <c r="A849" s="48"/>
      <c r="B849" s="5" t="s">
        <v>17</v>
      </c>
      <c r="C849" s="6">
        <v>0.34</v>
      </c>
      <c r="D849" s="7">
        <f t="shared" si="111"/>
        <v>0.29500000000000004</v>
      </c>
      <c r="E849" s="7">
        <f t="shared" si="112"/>
        <v>5.9000000000000007E-3</v>
      </c>
      <c r="F849" s="7">
        <f t="shared" si="113"/>
        <v>0.28910000000000002</v>
      </c>
    </row>
    <row r="850" spans="1:6" ht="24" x14ac:dyDescent="0.35">
      <c r="A850" s="48"/>
      <c r="B850" s="5" t="s">
        <v>344</v>
      </c>
      <c r="C850" s="6">
        <v>0.12</v>
      </c>
      <c r="D850" s="7">
        <f t="shared" si="111"/>
        <v>7.4999999999999997E-2</v>
      </c>
      <c r="E850" s="7">
        <f t="shared" si="112"/>
        <v>1.5E-3</v>
      </c>
      <c r="F850" s="7">
        <f t="shared" si="113"/>
        <v>7.3499999999999996E-2</v>
      </c>
    </row>
    <row r="851" spans="1:6" x14ac:dyDescent="0.35">
      <c r="A851" s="48"/>
      <c r="B851" s="5" t="s">
        <v>25</v>
      </c>
      <c r="C851" s="6">
        <v>0.32</v>
      </c>
      <c r="D851" s="7">
        <f t="shared" si="111"/>
        <v>0.27500000000000002</v>
      </c>
      <c r="E851" s="7">
        <f t="shared" si="112"/>
        <v>5.5000000000000005E-3</v>
      </c>
      <c r="F851" s="7">
        <f t="shared" si="113"/>
        <v>0.26950000000000002</v>
      </c>
    </row>
    <row r="852" spans="1:6" x14ac:dyDescent="0.35">
      <c r="A852" s="48"/>
      <c r="B852" s="5" t="s">
        <v>345</v>
      </c>
      <c r="C852" s="6">
        <v>0.38</v>
      </c>
      <c r="D852" s="7">
        <f t="shared" si="111"/>
        <v>0.33500000000000002</v>
      </c>
      <c r="E852" s="7">
        <f t="shared" si="112"/>
        <v>6.7000000000000002E-3</v>
      </c>
      <c r="F852" s="7">
        <f t="shared" si="113"/>
        <v>0.32830000000000004</v>
      </c>
    </row>
    <row r="853" spans="1:6" x14ac:dyDescent="0.35">
      <c r="A853" s="48"/>
      <c r="B853" s="5" t="s">
        <v>346</v>
      </c>
      <c r="C853" s="6">
        <v>0.37</v>
      </c>
      <c r="D853" s="7">
        <f t="shared" si="111"/>
        <v>0.32500000000000001</v>
      </c>
      <c r="E853" s="7">
        <f t="shared" si="112"/>
        <v>6.5000000000000006E-3</v>
      </c>
      <c r="F853" s="7">
        <f t="shared" si="113"/>
        <v>0.31850000000000001</v>
      </c>
    </row>
    <row r="854" spans="1:6" x14ac:dyDescent="0.35">
      <c r="A854" s="48"/>
      <c r="B854" s="5" t="s">
        <v>347</v>
      </c>
      <c r="C854" s="6">
        <v>0.34</v>
      </c>
      <c r="D854" s="7">
        <f t="shared" si="111"/>
        <v>0.29500000000000004</v>
      </c>
      <c r="E854" s="7">
        <f t="shared" si="112"/>
        <v>5.9000000000000007E-3</v>
      </c>
      <c r="F854" s="7">
        <f t="shared" si="113"/>
        <v>0.28910000000000002</v>
      </c>
    </row>
    <row r="855" spans="1:6" x14ac:dyDescent="0.35">
      <c r="A855" s="5" t="s">
        <v>320</v>
      </c>
      <c r="B855" s="5" t="s">
        <v>100</v>
      </c>
      <c r="C855" s="7">
        <v>0.5</v>
      </c>
      <c r="D855" s="7">
        <f t="shared" si="111"/>
        <v>0.45500000000000002</v>
      </c>
      <c r="E855" s="7">
        <f t="shared" si="112"/>
        <v>9.1000000000000004E-3</v>
      </c>
      <c r="F855" s="7">
        <f t="shared" si="113"/>
        <v>0.44590000000000002</v>
      </c>
    </row>
    <row r="856" spans="1:6" x14ac:dyDescent="0.35">
      <c r="A856" s="5" t="s">
        <v>348</v>
      </c>
      <c r="B856" s="5" t="s">
        <v>100</v>
      </c>
      <c r="C856" s="7">
        <v>0.22500000000000001</v>
      </c>
      <c r="D856" s="7">
        <f t="shared" si="111"/>
        <v>0.18</v>
      </c>
      <c r="E856" s="7">
        <f t="shared" si="112"/>
        <v>3.5999999999999999E-3</v>
      </c>
      <c r="F856" s="7">
        <f t="shared" si="113"/>
        <v>0.1764</v>
      </c>
    </row>
    <row r="857" spans="1:6" x14ac:dyDescent="0.35">
      <c r="A857" s="48" t="s">
        <v>349</v>
      </c>
      <c r="B857" s="5" t="s">
        <v>138</v>
      </c>
      <c r="C857" s="6">
        <v>0.14000000000000001</v>
      </c>
      <c r="D857" s="7">
        <f t="shared" si="111"/>
        <v>9.5000000000000015E-2</v>
      </c>
      <c r="E857" s="7">
        <f t="shared" si="112"/>
        <v>1.9000000000000004E-3</v>
      </c>
      <c r="F857" s="7">
        <f t="shared" si="113"/>
        <v>9.3100000000000016E-2</v>
      </c>
    </row>
    <row r="858" spans="1:6" x14ac:dyDescent="0.35">
      <c r="A858" s="48"/>
      <c r="B858" s="5" t="s">
        <v>232</v>
      </c>
      <c r="C858" s="6">
        <v>0.16</v>
      </c>
      <c r="D858" s="7">
        <f t="shared" si="111"/>
        <v>0.115</v>
      </c>
      <c r="E858" s="7">
        <f t="shared" si="112"/>
        <v>2.3E-3</v>
      </c>
      <c r="F858" s="7">
        <f t="shared" si="113"/>
        <v>0.11270000000000001</v>
      </c>
    </row>
    <row r="859" spans="1:6" x14ac:dyDescent="0.35">
      <c r="A859" s="48"/>
      <c r="B859" s="5" t="s">
        <v>288</v>
      </c>
      <c r="C859" s="6">
        <v>0.17</v>
      </c>
      <c r="D859" s="7">
        <f t="shared" si="111"/>
        <v>0.125</v>
      </c>
      <c r="E859" s="7">
        <f t="shared" si="112"/>
        <v>2.5000000000000001E-3</v>
      </c>
      <c r="F859" s="7">
        <f t="shared" si="113"/>
        <v>0.1225</v>
      </c>
    </row>
    <row r="860" spans="1:6" x14ac:dyDescent="0.35">
      <c r="A860" s="48" t="s">
        <v>350</v>
      </c>
      <c r="B860" s="5" t="s">
        <v>138</v>
      </c>
      <c r="C860" s="6">
        <v>0.24</v>
      </c>
      <c r="D860" s="7">
        <f t="shared" si="111"/>
        <v>0.19500000000000001</v>
      </c>
      <c r="E860" s="7">
        <f t="shared" si="112"/>
        <v>3.9000000000000003E-3</v>
      </c>
      <c r="F860" s="7">
        <f t="shared" si="113"/>
        <v>0.19110000000000002</v>
      </c>
    </row>
    <row r="861" spans="1:6" x14ac:dyDescent="0.35">
      <c r="A861" s="48"/>
      <c r="B861" s="5" t="s">
        <v>232</v>
      </c>
      <c r="C861" s="6">
        <v>0.14000000000000001</v>
      </c>
      <c r="D861" s="7">
        <f t="shared" si="111"/>
        <v>9.5000000000000015E-2</v>
      </c>
      <c r="E861" s="7">
        <f t="shared" si="112"/>
        <v>1.9000000000000004E-3</v>
      </c>
      <c r="F861" s="7">
        <f t="shared" si="113"/>
        <v>9.3100000000000016E-2</v>
      </c>
    </row>
    <row r="862" spans="1:6" x14ac:dyDescent="0.35">
      <c r="A862" s="48"/>
      <c r="B862" s="5" t="s">
        <v>288</v>
      </c>
      <c r="C862" s="6">
        <v>0.14000000000000001</v>
      </c>
      <c r="D862" s="7">
        <f t="shared" si="111"/>
        <v>9.5000000000000015E-2</v>
      </c>
      <c r="E862" s="7">
        <f t="shared" si="112"/>
        <v>1.9000000000000004E-3</v>
      </c>
      <c r="F862" s="7">
        <f t="shared" si="113"/>
        <v>9.3100000000000016E-2</v>
      </c>
    </row>
    <row r="863" spans="1:6" x14ac:dyDescent="0.35">
      <c r="A863" s="48" t="s">
        <v>351</v>
      </c>
      <c r="B863" s="5" t="s">
        <v>352</v>
      </c>
      <c r="C863" s="6">
        <v>0.06</v>
      </c>
      <c r="D863" s="7" t="s">
        <v>20</v>
      </c>
      <c r="E863" s="7" t="s">
        <v>20</v>
      </c>
      <c r="F863" s="7" t="s">
        <v>20</v>
      </c>
    </row>
    <row r="864" spans="1:6" x14ac:dyDescent="0.35">
      <c r="A864" s="48"/>
      <c r="B864" s="5" t="s">
        <v>323</v>
      </c>
      <c r="C864" s="6">
        <v>0.32500000000000001</v>
      </c>
      <c r="D864" s="7">
        <f>C864-(4.5%)</f>
        <v>0.28000000000000003</v>
      </c>
      <c r="E864" s="7">
        <f>D864*2%</f>
        <v>5.6000000000000008E-3</v>
      </c>
      <c r="F864" s="7">
        <f>D864-E864</f>
        <v>0.27440000000000003</v>
      </c>
    </row>
    <row r="865" spans="1:6" x14ac:dyDescent="0.35">
      <c r="A865" s="48"/>
      <c r="B865" s="5" t="s">
        <v>324</v>
      </c>
      <c r="C865" s="6">
        <v>0.4</v>
      </c>
      <c r="D865" s="7">
        <f>C865-(4.5%)</f>
        <v>0.35500000000000004</v>
      </c>
      <c r="E865" s="7">
        <f>D865*2%</f>
        <v>7.1000000000000013E-3</v>
      </c>
      <c r="F865" s="7">
        <f>D865-E865</f>
        <v>0.34790000000000004</v>
      </c>
    </row>
    <row r="866" spans="1:6" x14ac:dyDescent="0.35">
      <c r="A866" s="48"/>
      <c r="B866" s="5" t="s">
        <v>353</v>
      </c>
      <c r="C866" s="6">
        <v>0.06</v>
      </c>
      <c r="D866" s="7" t="s">
        <v>20</v>
      </c>
      <c r="E866" s="7" t="s">
        <v>20</v>
      </c>
      <c r="F866" s="7" t="s">
        <v>20</v>
      </c>
    </row>
    <row r="867" spans="1:6" x14ac:dyDescent="0.35">
      <c r="A867" s="48"/>
      <c r="B867" s="5" t="s">
        <v>325</v>
      </c>
      <c r="C867" s="6">
        <v>0.29499999999999998</v>
      </c>
      <c r="D867" s="7">
        <f t="shared" ref="D867:D891" si="114">C867-(4.5%)</f>
        <v>0.25</v>
      </c>
      <c r="E867" s="7">
        <f t="shared" ref="E867:E891" si="115">D867*2%</f>
        <v>5.0000000000000001E-3</v>
      </c>
      <c r="F867" s="7">
        <f t="shared" ref="F867:F891" si="116">D867-E867</f>
        <v>0.245</v>
      </c>
    </row>
    <row r="868" spans="1:6" x14ac:dyDescent="0.35">
      <c r="A868" s="48"/>
      <c r="B868" s="5" t="s">
        <v>330</v>
      </c>
      <c r="C868" s="6">
        <v>0.255</v>
      </c>
      <c r="D868" s="7">
        <f t="shared" si="114"/>
        <v>0.21000000000000002</v>
      </c>
      <c r="E868" s="7">
        <f t="shared" si="115"/>
        <v>4.2000000000000006E-3</v>
      </c>
      <c r="F868" s="7">
        <f t="shared" si="116"/>
        <v>0.20580000000000001</v>
      </c>
    </row>
    <row r="869" spans="1:6" x14ac:dyDescent="0.35">
      <c r="A869" s="48"/>
      <c r="B869" s="5" t="s">
        <v>331</v>
      </c>
      <c r="C869" s="6">
        <v>0.39500000000000002</v>
      </c>
      <c r="D869" s="7">
        <f t="shared" si="114"/>
        <v>0.35000000000000003</v>
      </c>
      <c r="E869" s="7">
        <f t="shared" si="115"/>
        <v>7.000000000000001E-3</v>
      </c>
      <c r="F869" s="7">
        <f t="shared" si="116"/>
        <v>0.34300000000000003</v>
      </c>
    </row>
    <row r="870" spans="1:6" x14ac:dyDescent="0.35">
      <c r="A870" s="41" t="s">
        <v>354</v>
      </c>
      <c r="B870" s="5" t="s">
        <v>355</v>
      </c>
      <c r="C870" s="6">
        <v>0.4</v>
      </c>
      <c r="D870" s="7">
        <f t="shared" si="114"/>
        <v>0.35500000000000004</v>
      </c>
      <c r="E870" s="7">
        <f t="shared" si="115"/>
        <v>7.1000000000000013E-3</v>
      </c>
      <c r="F870" s="7">
        <f t="shared" si="116"/>
        <v>0.34790000000000004</v>
      </c>
    </row>
    <row r="871" spans="1:6" x14ac:dyDescent="0.35">
      <c r="A871" s="43"/>
      <c r="B871" s="5" t="s">
        <v>356</v>
      </c>
      <c r="C871" s="6">
        <v>0.375</v>
      </c>
      <c r="D871" s="7">
        <f t="shared" si="114"/>
        <v>0.33</v>
      </c>
      <c r="E871" s="7">
        <f t="shared" si="115"/>
        <v>6.6000000000000008E-3</v>
      </c>
      <c r="F871" s="7">
        <f t="shared" si="116"/>
        <v>0.32340000000000002</v>
      </c>
    </row>
    <row r="872" spans="1:6" x14ac:dyDescent="0.35">
      <c r="A872" s="41" t="s">
        <v>357</v>
      </c>
      <c r="B872" s="5" t="s">
        <v>355</v>
      </c>
      <c r="C872" s="6">
        <v>0.3</v>
      </c>
      <c r="D872" s="7">
        <f t="shared" si="114"/>
        <v>0.255</v>
      </c>
      <c r="E872" s="7">
        <f t="shared" si="115"/>
        <v>5.1000000000000004E-3</v>
      </c>
      <c r="F872" s="7">
        <f t="shared" si="116"/>
        <v>0.24990000000000001</v>
      </c>
    </row>
    <row r="873" spans="1:6" x14ac:dyDescent="0.35">
      <c r="A873" s="43"/>
      <c r="B873" s="5" t="s">
        <v>356</v>
      </c>
      <c r="C873" s="6">
        <v>0.27500000000000002</v>
      </c>
      <c r="D873" s="7">
        <f t="shared" si="114"/>
        <v>0.23000000000000004</v>
      </c>
      <c r="E873" s="7">
        <f t="shared" si="115"/>
        <v>4.6000000000000008E-3</v>
      </c>
      <c r="F873" s="7">
        <f t="shared" si="116"/>
        <v>0.22540000000000004</v>
      </c>
    </row>
    <row r="874" spans="1:6" ht="24" x14ac:dyDescent="0.35">
      <c r="A874" s="5" t="s">
        <v>358</v>
      </c>
      <c r="B874" s="5" t="s">
        <v>100</v>
      </c>
      <c r="C874" s="6">
        <v>0.27</v>
      </c>
      <c r="D874" s="7">
        <f t="shared" si="114"/>
        <v>0.22500000000000003</v>
      </c>
      <c r="E874" s="7">
        <f t="shared" si="115"/>
        <v>4.5000000000000005E-3</v>
      </c>
      <c r="F874" s="7">
        <f t="shared" si="116"/>
        <v>0.22050000000000003</v>
      </c>
    </row>
    <row r="875" spans="1:6" ht="36" x14ac:dyDescent="0.35">
      <c r="A875" s="5" t="s">
        <v>1164</v>
      </c>
      <c r="B875" s="5" t="s">
        <v>100</v>
      </c>
      <c r="C875" s="6">
        <v>0.2</v>
      </c>
      <c r="D875" s="7">
        <f t="shared" si="114"/>
        <v>0.15500000000000003</v>
      </c>
      <c r="E875" s="7">
        <f t="shared" si="115"/>
        <v>3.1000000000000008E-3</v>
      </c>
      <c r="F875" s="7">
        <f t="shared" si="116"/>
        <v>0.15190000000000003</v>
      </c>
    </row>
    <row r="876" spans="1:6" ht="36" x14ac:dyDescent="0.35">
      <c r="A876" s="5" t="s">
        <v>1165</v>
      </c>
      <c r="B876" s="5" t="s">
        <v>100</v>
      </c>
      <c r="C876" s="6">
        <v>0.125</v>
      </c>
      <c r="D876" s="7">
        <f t="shared" si="114"/>
        <v>0.08</v>
      </c>
      <c r="E876" s="7">
        <f t="shared" si="115"/>
        <v>1.6000000000000001E-3</v>
      </c>
      <c r="F876" s="7">
        <f t="shared" si="116"/>
        <v>7.8399999999999997E-2</v>
      </c>
    </row>
    <row r="877" spans="1:6" ht="36" x14ac:dyDescent="0.35">
      <c r="A877" s="5" t="s">
        <v>1166</v>
      </c>
      <c r="B877" s="5" t="s">
        <v>100</v>
      </c>
      <c r="C877" s="6">
        <v>0.1875</v>
      </c>
      <c r="D877" s="7">
        <f t="shared" si="114"/>
        <v>0.14250000000000002</v>
      </c>
      <c r="E877" s="7">
        <f t="shared" si="115"/>
        <v>2.8500000000000005E-3</v>
      </c>
      <c r="F877" s="7">
        <f t="shared" si="116"/>
        <v>0.13965000000000002</v>
      </c>
    </row>
    <row r="878" spans="1:6" ht="36" x14ac:dyDescent="0.35">
      <c r="A878" s="5" t="s">
        <v>1167</v>
      </c>
      <c r="B878" s="5" t="s">
        <v>100</v>
      </c>
      <c r="C878" s="6">
        <v>0.17499999999999999</v>
      </c>
      <c r="D878" s="7">
        <f t="shared" si="114"/>
        <v>0.13</v>
      </c>
      <c r="E878" s="7">
        <f t="shared" si="115"/>
        <v>2.6000000000000003E-3</v>
      </c>
      <c r="F878" s="7">
        <f t="shared" si="116"/>
        <v>0.12740000000000001</v>
      </c>
    </row>
    <row r="879" spans="1:6" ht="36" x14ac:dyDescent="0.35">
      <c r="A879" s="5" t="s">
        <v>1168</v>
      </c>
      <c r="B879" s="5" t="s">
        <v>100</v>
      </c>
      <c r="C879" s="6">
        <v>0.125</v>
      </c>
      <c r="D879" s="7">
        <f t="shared" si="114"/>
        <v>0.08</v>
      </c>
      <c r="E879" s="7">
        <f t="shared" si="115"/>
        <v>1.6000000000000001E-3</v>
      </c>
      <c r="F879" s="7">
        <f t="shared" si="116"/>
        <v>7.8399999999999997E-2</v>
      </c>
    </row>
    <row r="880" spans="1:6" ht="36" x14ac:dyDescent="0.35">
      <c r="A880" s="5" t="s">
        <v>1169</v>
      </c>
      <c r="B880" s="5" t="s">
        <v>100</v>
      </c>
      <c r="C880" s="6">
        <v>0.16250000000000001</v>
      </c>
      <c r="D880" s="7">
        <f t="shared" si="114"/>
        <v>0.11750000000000001</v>
      </c>
      <c r="E880" s="7">
        <f t="shared" si="115"/>
        <v>2.3500000000000001E-3</v>
      </c>
      <c r="F880" s="7">
        <f t="shared" si="116"/>
        <v>0.11515</v>
      </c>
    </row>
    <row r="881" spans="1:6" x14ac:dyDescent="0.35">
      <c r="A881" s="5" t="s">
        <v>1161</v>
      </c>
      <c r="B881" s="5" t="s">
        <v>100</v>
      </c>
      <c r="C881" s="6">
        <v>0.4</v>
      </c>
      <c r="D881" s="7">
        <f t="shared" si="114"/>
        <v>0.35500000000000004</v>
      </c>
      <c r="E881" s="7">
        <f t="shared" si="115"/>
        <v>7.1000000000000013E-3</v>
      </c>
      <c r="F881" s="7">
        <f t="shared" si="116"/>
        <v>0.34790000000000004</v>
      </c>
    </row>
    <row r="882" spans="1:6" x14ac:dyDescent="0.35">
      <c r="A882" s="5" t="s">
        <v>1162</v>
      </c>
      <c r="B882" s="5" t="s">
        <v>100</v>
      </c>
      <c r="C882" s="6">
        <v>0.47499999999999998</v>
      </c>
      <c r="D882" s="7">
        <f t="shared" si="114"/>
        <v>0.43</v>
      </c>
      <c r="E882" s="7">
        <f t="shared" si="115"/>
        <v>8.6E-3</v>
      </c>
      <c r="F882" s="7">
        <f t="shared" si="116"/>
        <v>0.4214</v>
      </c>
    </row>
    <row r="883" spans="1:6" x14ac:dyDescent="0.35">
      <c r="A883" s="5" t="s">
        <v>1163</v>
      </c>
      <c r="B883" s="5" t="s">
        <v>100</v>
      </c>
      <c r="C883" s="6">
        <v>0.3</v>
      </c>
      <c r="D883" s="7">
        <f t="shared" si="114"/>
        <v>0.255</v>
      </c>
      <c r="E883" s="7">
        <f t="shared" si="115"/>
        <v>5.1000000000000004E-3</v>
      </c>
      <c r="F883" s="7">
        <f t="shared" si="116"/>
        <v>0.24990000000000001</v>
      </c>
    </row>
    <row r="884" spans="1:6" x14ac:dyDescent="0.35">
      <c r="A884" s="5" t="s">
        <v>359</v>
      </c>
      <c r="B884" s="5" t="s">
        <v>360</v>
      </c>
      <c r="C884" s="6">
        <v>0.3</v>
      </c>
      <c r="D884" s="7">
        <f t="shared" si="114"/>
        <v>0.255</v>
      </c>
      <c r="E884" s="7">
        <f t="shared" si="115"/>
        <v>5.1000000000000004E-3</v>
      </c>
      <c r="F884" s="7">
        <f t="shared" si="116"/>
        <v>0.24990000000000001</v>
      </c>
    </row>
    <row r="885" spans="1:6" x14ac:dyDescent="0.35">
      <c r="A885" s="5" t="s">
        <v>361</v>
      </c>
      <c r="B885" s="5" t="s">
        <v>360</v>
      </c>
      <c r="C885" s="6">
        <v>0.25</v>
      </c>
      <c r="D885" s="7">
        <f t="shared" si="114"/>
        <v>0.20500000000000002</v>
      </c>
      <c r="E885" s="7">
        <f t="shared" si="115"/>
        <v>4.1000000000000003E-3</v>
      </c>
      <c r="F885" s="7">
        <f t="shared" si="116"/>
        <v>0.20090000000000002</v>
      </c>
    </row>
    <row r="886" spans="1:6" x14ac:dyDescent="0.35">
      <c r="A886" s="41" t="s">
        <v>1268</v>
      </c>
      <c r="B886" s="5" t="s">
        <v>338</v>
      </c>
      <c r="C886" s="6">
        <v>0.55000000000000004</v>
      </c>
      <c r="D886" s="7">
        <f t="shared" si="114"/>
        <v>0.505</v>
      </c>
      <c r="E886" s="7">
        <f t="shared" si="115"/>
        <v>1.01E-2</v>
      </c>
      <c r="F886" s="7">
        <f t="shared" si="116"/>
        <v>0.49490000000000001</v>
      </c>
    </row>
    <row r="887" spans="1:6" x14ac:dyDescent="0.35">
      <c r="A887" s="43"/>
      <c r="B887" s="5" t="s">
        <v>339</v>
      </c>
      <c r="C887" s="6">
        <v>0.45</v>
      </c>
      <c r="D887" s="7">
        <f t="shared" si="114"/>
        <v>0.40500000000000003</v>
      </c>
      <c r="E887" s="7">
        <f t="shared" si="115"/>
        <v>8.1000000000000013E-3</v>
      </c>
      <c r="F887" s="7">
        <f t="shared" si="116"/>
        <v>0.39690000000000003</v>
      </c>
    </row>
    <row r="888" spans="1:6" x14ac:dyDescent="0.35">
      <c r="A888" s="5" t="s">
        <v>1312</v>
      </c>
      <c r="B888" s="5" t="s">
        <v>1569</v>
      </c>
      <c r="C888" s="6">
        <v>0.42499999999999999</v>
      </c>
      <c r="D888" s="7">
        <f t="shared" si="114"/>
        <v>0.38</v>
      </c>
      <c r="E888" s="7">
        <f t="shared" si="115"/>
        <v>7.6E-3</v>
      </c>
      <c r="F888" s="7">
        <f t="shared" si="116"/>
        <v>0.37240000000000001</v>
      </c>
    </row>
    <row r="889" spans="1:6" x14ac:dyDescent="0.35">
      <c r="A889" s="48" t="s">
        <v>1320</v>
      </c>
      <c r="B889" s="5" t="s">
        <v>1316</v>
      </c>
      <c r="C889" s="6">
        <v>0.42499999999999999</v>
      </c>
      <c r="D889" s="7">
        <f t="shared" si="114"/>
        <v>0.38</v>
      </c>
      <c r="E889" s="7">
        <f t="shared" si="115"/>
        <v>7.6E-3</v>
      </c>
      <c r="F889" s="7">
        <f t="shared" si="116"/>
        <v>0.37240000000000001</v>
      </c>
    </row>
    <row r="890" spans="1:6" ht="36" x14ac:dyDescent="0.35">
      <c r="A890" s="48"/>
      <c r="B890" s="5" t="s">
        <v>1317</v>
      </c>
      <c r="C890" s="6">
        <v>0.35499999999999998</v>
      </c>
      <c r="D890" s="7">
        <f t="shared" si="114"/>
        <v>0.31</v>
      </c>
      <c r="E890" s="7">
        <f t="shared" si="115"/>
        <v>6.1999999999999998E-3</v>
      </c>
      <c r="F890" s="7">
        <f t="shared" si="116"/>
        <v>0.30380000000000001</v>
      </c>
    </row>
    <row r="891" spans="1:6" ht="36" x14ac:dyDescent="0.35">
      <c r="A891" s="48"/>
      <c r="B891" s="5" t="s">
        <v>1318</v>
      </c>
      <c r="C891" s="6">
        <v>0.21</v>
      </c>
      <c r="D891" s="7">
        <f t="shared" si="114"/>
        <v>0.16499999999999998</v>
      </c>
      <c r="E891" s="7">
        <f t="shared" si="115"/>
        <v>3.2999999999999995E-3</v>
      </c>
      <c r="F891" s="7">
        <f t="shared" si="116"/>
        <v>0.16169999999999998</v>
      </c>
    </row>
    <row r="892" spans="1:6" ht="48" x14ac:dyDescent="0.35">
      <c r="A892" s="48"/>
      <c r="B892" s="5" t="s">
        <v>1319</v>
      </c>
      <c r="C892" s="6">
        <v>0</v>
      </c>
      <c r="D892" s="7" t="s">
        <v>20</v>
      </c>
      <c r="E892" s="7" t="s">
        <v>20</v>
      </c>
      <c r="F892" s="7" t="s">
        <v>20</v>
      </c>
    </row>
    <row r="893" spans="1:6" x14ac:dyDescent="0.35">
      <c r="A893" s="48" t="s">
        <v>1321</v>
      </c>
      <c r="B893" s="5" t="s">
        <v>1316</v>
      </c>
      <c r="C893" s="6">
        <v>0.36499999999999999</v>
      </c>
      <c r="D893" s="7">
        <f>C893-(4.5%)</f>
        <v>0.32</v>
      </c>
      <c r="E893" s="7">
        <f>D893*2%</f>
        <v>6.4000000000000003E-3</v>
      </c>
      <c r="F893" s="7">
        <f>D893-E893</f>
        <v>0.31359999999999999</v>
      </c>
    </row>
    <row r="894" spans="1:6" ht="36" x14ac:dyDescent="0.35">
      <c r="A894" s="48"/>
      <c r="B894" s="5" t="s">
        <v>1317</v>
      </c>
      <c r="C894" s="6">
        <v>0.185</v>
      </c>
      <c r="D894" s="7">
        <f>C894-(4.5%)</f>
        <v>0.14000000000000001</v>
      </c>
      <c r="E894" s="7">
        <f>D894*2%</f>
        <v>2.8000000000000004E-3</v>
      </c>
      <c r="F894" s="7">
        <f>D894-E894</f>
        <v>0.13720000000000002</v>
      </c>
    </row>
    <row r="895" spans="1:6" ht="36" x14ac:dyDescent="0.35">
      <c r="A895" s="48"/>
      <c r="B895" s="5" t="s">
        <v>1318</v>
      </c>
      <c r="C895" s="6">
        <v>0</v>
      </c>
      <c r="D895" s="7" t="s">
        <v>20</v>
      </c>
      <c r="E895" s="7" t="s">
        <v>20</v>
      </c>
      <c r="F895" s="7" t="s">
        <v>20</v>
      </c>
    </row>
    <row r="896" spans="1:6" ht="48" x14ac:dyDescent="0.35">
      <c r="A896" s="48"/>
      <c r="B896" s="5" t="s">
        <v>1319</v>
      </c>
      <c r="C896" s="6">
        <v>0</v>
      </c>
      <c r="D896" s="7" t="s">
        <v>20</v>
      </c>
      <c r="E896" s="7" t="s">
        <v>20</v>
      </c>
      <c r="F896" s="7" t="s">
        <v>20</v>
      </c>
    </row>
    <row r="897" spans="1:6" ht="36" x14ac:dyDescent="0.35">
      <c r="A897" s="5" t="s">
        <v>1324</v>
      </c>
      <c r="B897" s="5" t="s">
        <v>1323</v>
      </c>
      <c r="C897" s="6">
        <v>0.4</v>
      </c>
      <c r="D897" s="7">
        <f t="shared" ref="D897:D915" si="117">C897-(4.5%)</f>
        <v>0.35500000000000004</v>
      </c>
      <c r="E897" s="7">
        <f t="shared" ref="E897:E915" si="118">D897*2%</f>
        <v>7.1000000000000013E-3</v>
      </c>
      <c r="F897" s="7">
        <f t="shared" ref="F897:F915" si="119">D897-E897</f>
        <v>0.34790000000000004</v>
      </c>
    </row>
    <row r="898" spans="1:6" ht="36" x14ac:dyDescent="0.35">
      <c r="A898" s="5" t="s">
        <v>1325</v>
      </c>
      <c r="B898" s="5" t="s">
        <v>1323</v>
      </c>
      <c r="C898" s="6">
        <v>0.35</v>
      </c>
      <c r="D898" s="7">
        <f t="shared" si="117"/>
        <v>0.30499999999999999</v>
      </c>
      <c r="E898" s="7">
        <f t="shared" si="118"/>
        <v>6.1000000000000004E-3</v>
      </c>
      <c r="F898" s="7">
        <f t="shared" si="119"/>
        <v>0.2989</v>
      </c>
    </row>
    <row r="899" spans="1:6" ht="36" x14ac:dyDescent="0.35">
      <c r="A899" s="5" t="s">
        <v>1326</v>
      </c>
      <c r="B899" s="5" t="s">
        <v>1323</v>
      </c>
      <c r="C899" s="6">
        <v>0.32500000000000001</v>
      </c>
      <c r="D899" s="7">
        <f t="shared" si="117"/>
        <v>0.28000000000000003</v>
      </c>
      <c r="E899" s="7">
        <f t="shared" si="118"/>
        <v>5.6000000000000008E-3</v>
      </c>
      <c r="F899" s="7">
        <f t="shared" si="119"/>
        <v>0.27440000000000003</v>
      </c>
    </row>
    <row r="900" spans="1:6" ht="36" x14ac:dyDescent="0.35">
      <c r="A900" s="5" t="s">
        <v>1327</v>
      </c>
      <c r="B900" s="5" t="s">
        <v>1323</v>
      </c>
      <c r="C900" s="6">
        <v>0.3</v>
      </c>
      <c r="D900" s="7">
        <f t="shared" si="117"/>
        <v>0.255</v>
      </c>
      <c r="E900" s="7">
        <f t="shared" si="118"/>
        <v>5.1000000000000004E-3</v>
      </c>
      <c r="F900" s="7">
        <f t="shared" si="119"/>
        <v>0.24990000000000001</v>
      </c>
    </row>
    <row r="901" spans="1:6" ht="72" x14ac:dyDescent="0.35">
      <c r="A901" s="5" t="s">
        <v>1329</v>
      </c>
      <c r="B901" s="5" t="s">
        <v>1328</v>
      </c>
      <c r="C901" s="6">
        <v>0.4</v>
      </c>
      <c r="D901" s="7">
        <f t="shared" si="117"/>
        <v>0.35500000000000004</v>
      </c>
      <c r="E901" s="7">
        <f t="shared" si="118"/>
        <v>7.1000000000000013E-3</v>
      </c>
      <c r="F901" s="7">
        <f t="shared" si="119"/>
        <v>0.34790000000000004</v>
      </c>
    </row>
    <row r="902" spans="1:6" ht="72" x14ac:dyDescent="0.35">
      <c r="A902" s="5" t="s">
        <v>1330</v>
      </c>
      <c r="B902" s="5" t="s">
        <v>1328</v>
      </c>
      <c r="C902" s="6">
        <v>0.375</v>
      </c>
      <c r="D902" s="7">
        <f t="shared" si="117"/>
        <v>0.33</v>
      </c>
      <c r="E902" s="7">
        <f t="shared" si="118"/>
        <v>6.6000000000000008E-3</v>
      </c>
      <c r="F902" s="7">
        <f t="shared" si="119"/>
        <v>0.32340000000000002</v>
      </c>
    </row>
    <row r="903" spans="1:6" ht="72" x14ac:dyDescent="0.35">
      <c r="A903" s="5" t="s">
        <v>1331</v>
      </c>
      <c r="B903" s="5" t="s">
        <v>1328</v>
      </c>
      <c r="C903" s="6">
        <v>0.35</v>
      </c>
      <c r="D903" s="7">
        <f t="shared" si="117"/>
        <v>0.30499999999999999</v>
      </c>
      <c r="E903" s="7">
        <f t="shared" si="118"/>
        <v>6.1000000000000004E-3</v>
      </c>
      <c r="F903" s="7">
        <f t="shared" si="119"/>
        <v>0.2989</v>
      </c>
    </row>
    <row r="904" spans="1:6" ht="72" x14ac:dyDescent="0.35">
      <c r="A904" s="5" t="s">
        <v>1332</v>
      </c>
      <c r="B904" s="5" t="s">
        <v>1328</v>
      </c>
      <c r="C904" s="6">
        <v>0.32500000000000001</v>
      </c>
      <c r="D904" s="7">
        <f t="shared" si="117"/>
        <v>0.28000000000000003</v>
      </c>
      <c r="E904" s="7">
        <f t="shared" si="118"/>
        <v>5.6000000000000008E-3</v>
      </c>
      <c r="F904" s="7">
        <f t="shared" si="119"/>
        <v>0.27440000000000003</v>
      </c>
    </row>
    <row r="905" spans="1:6" ht="72" x14ac:dyDescent="0.35">
      <c r="A905" s="5" t="s">
        <v>1333</v>
      </c>
      <c r="B905" s="5" t="s">
        <v>1328</v>
      </c>
      <c r="C905" s="6">
        <v>0.32500000000000001</v>
      </c>
      <c r="D905" s="7">
        <f t="shared" si="117"/>
        <v>0.28000000000000003</v>
      </c>
      <c r="E905" s="7">
        <f t="shared" si="118"/>
        <v>5.6000000000000008E-3</v>
      </c>
      <c r="F905" s="7">
        <f t="shared" si="119"/>
        <v>0.27440000000000003</v>
      </c>
    </row>
    <row r="906" spans="1:6" ht="72" x14ac:dyDescent="0.35">
      <c r="A906" s="5" t="s">
        <v>1334</v>
      </c>
      <c r="B906" s="5" t="s">
        <v>1328</v>
      </c>
      <c r="C906" s="6">
        <v>0.3</v>
      </c>
      <c r="D906" s="7">
        <f t="shared" si="117"/>
        <v>0.255</v>
      </c>
      <c r="E906" s="7">
        <f t="shared" si="118"/>
        <v>5.1000000000000004E-3</v>
      </c>
      <c r="F906" s="7">
        <f t="shared" si="119"/>
        <v>0.24990000000000001</v>
      </c>
    </row>
    <row r="907" spans="1:6" ht="72" x14ac:dyDescent="0.35">
      <c r="A907" s="5" t="s">
        <v>1335</v>
      </c>
      <c r="B907" s="5" t="s">
        <v>1328</v>
      </c>
      <c r="C907" s="6">
        <v>0.3</v>
      </c>
      <c r="D907" s="7">
        <f t="shared" si="117"/>
        <v>0.255</v>
      </c>
      <c r="E907" s="7">
        <f t="shared" si="118"/>
        <v>5.1000000000000004E-3</v>
      </c>
      <c r="F907" s="7">
        <f t="shared" si="119"/>
        <v>0.24990000000000001</v>
      </c>
    </row>
    <row r="908" spans="1:6" ht="72" x14ac:dyDescent="0.35">
      <c r="A908" s="5" t="s">
        <v>1336</v>
      </c>
      <c r="B908" s="5" t="s">
        <v>1328</v>
      </c>
      <c r="C908" s="6">
        <v>0.25</v>
      </c>
      <c r="D908" s="7">
        <f t="shared" si="117"/>
        <v>0.20500000000000002</v>
      </c>
      <c r="E908" s="7">
        <f t="shared" si="118"/>
        <v>4.1000000000000003E-3</v>
      </c>
      <c r="F908" s="7">
        <f t="shared" si="119"/>
        <v>0.20090000000000002</v>
      </c>
    </row>
    <row r="909" spans="1:6" x14ac:dyDescent="0.35">
      <c r="A909" s="48" t="s">
        <v>1395</v>
      </c>
      <c r="B909" s="5" t="s">
        <v>33</v>
      </c>
      <c r="C909" s="6">
        <v>7.0000000000000007E-2</v>
      </c>
      <c r="D909" s="7">
        <f t="shared" si="117"/>
        <v>2.5000000000000008E-2</v>
      </c>
      <c r="E909" s="7">
        <f t="shared" si="118"/>
        <v>5.0000000000000023E-4</v>
      </c>
      <c r="F909" s="7">
        <f t="shared" si="119"/>
        <v>2.4500000000000008E-2</v>
      </c>
    </row>
    <row r="910" spans="1:6" x14ac:dyDescent="0.35">
      <c r="A910" s="48"/>
      <c r="B910" s="5" t="s">
        <v>34</v>
      </c>
      <c r="C910" s="6">
        <v>0.38</v>
      </c>
      <c r="D910" s="7">
        <f t="shared" si="117"/>
        <v>0.33500000000000002</v>
      </c>
      <c r="E910" s="7">
        <f t="shared" si="118"/>
        <v>6.7000000000000002E-3</v>
      </c>
      <c r="F910" s="7">
        <f t="shared" si="119"/>
        <v>0.32830000000000004</v>
      </c>
    </row>
    <row r="911" spans="1:6" x14ac:dyDescent="0.35">
      <c r="A911" s="48"/>
      <c r="B911" s="5" t="s">
        <v>35</v>
      </c>
      <c r="C911" s="6">
        <v>0.38</v>
      </c>
      <c r="D911" s="7">
        <f t="shared" si="117"/>
        <v>0.33500000000000002</v>
      </c>
      <c r="E911" s="7">
        <f t="shared" si="118"/>
        <v>6.7000000000000002E-3</v>
      </c>
      <c r="F911" s="7">
        <f t="shared" si="119"/>
        <v>0.32830000000000004</v>
      </c>
    </row>
    <row r="912" spans="1:6" x14ac:dyDescent="0.35">
      <c r="A912" s="48" t="s">
        <v>1396</v>
      </c>
      <c r="B912" s="5" t="s">
        <v>33</v>
      </c>
      <c r="C912" s="6">
        <v>0.5</v>
      </c>
      <c r="D912" s="7">
        <f t="shared" si="117"/>
        <v>0.45500000000000002</v>
      </c>
      <c r="E912" s="7">
        <f t="shared" si="118"/>
        <v>9.1000000000000004E-3</v>
      </c>
      <c r="F912" s="7">
        <f t="shared" si="119"/>
        <v>0.44590000000000002</v>
      </c>
    </row>
    <row r="913" spans="1:6" x14ac:dyDescent="0.35">
      <c r="A913" s="48"/>
      <c r="B913" s="5" t="s">
        <v>34</v>
      </c>
      <c r="C913" s="6">
        <v>0.38</v>
      </c>
      <c r="D913" s="7">
        <f t="shared" si="117"/>
        <v>0.33500000000000002</v>
      </c>
      <c r="E913" s="7">
        <f t="shared" si="118"/>
        <v>6.7000000000000002E-3</v>
      </c>
      <c r="F913" s="7">
        <f t="shared" si="119"/>
        <v>0.32830000000000004</v>
      </c>
    </row>
    <row r="914" spans="1:6" x14ac:dyDescent="0.35">
      <c r="A914" s="48"/>
      <c r="B914" s="5" t="s">
        <v>35</v>
      </c>
      <c r="C914" s="6">
        <v>0.38</v>
      </c>
      <c r="D914" s="7">
        <f t="shared" si="117"/>
        <v>0.33500000000000002</v>
      </c>
      <c r="E914" s="7">
        <f t="shared" si="118"/>
        <v>6.7000000000000002E-3</v>
      </c>
      <c r="F914" s="7">
        <f t="shared" si="119"/>
        <v>0.32830000000000004</v>
      </c>
    </row>
    <row r="915" spans="1:6" x14ac:dyDescent="0.35">
      <c r="A915" s="5" t="s">
        <v>1397</v>
      </c>
      <c r="B915" s="5" t="s">
        <v>35</v>
      </c>
      <c r="C915" s="6">
        <v>0.38</v>
      </c>
      <c r="D915" s="7">
        <f t="shared" si="117"/>
        <v>0.33500000000000002</v>
      </c>
      <c r="E915" s="7">
        <f t="shared" si="118"/>
        <v>6.7000000000000002E-3</v>
      </c>
      <c r="F915" s="7">
        <f t="shared" si="119"/>
        <v>0.32830000000000004</v>
      </c>
    </row>
    <row r="916" spans="1:6" x14ac:dyDescent="0.35">
      <c r="A916" s="48" t="s">
        <v>1398</v>
      </c>
      <c r="B916" s="5" t="s">
        <v>33</v>
      </c>
      <c r="C916" s="6">
        <v>0</v>
      </c>
      <c r="D916" s="7" t="s">
        <v>20</v>
      </c>
      <c r="E916" s="7" t="s">
        <v>20</v>
      </c>
      <c r="F916" s="7" t="s">
        <v>20</v>
      </c>
    </row>
    <row r="917" spans="1:6" x14ac:dyDescent="0.35">
      <c r="A917" s="48"/>
      <c r="B917" s="5" t="s">
        <v>1399</v>
      </c>
      <c r="C917" s="6">
        <v>0.28000000000000003</v>
      </c>
      <c r="D917" s="7">
        <f>C917-(4.5%)</f>
        <v>0.23500000000000004</v>
      </c>
      <c r="E917" s="7">
        <f>D917*2%</f>
        <v>4.7000000000000011E-3</v>
      </c>
      <c r="F917" s="7">
        <f>D917-E917</f>
        <v>0.23030000000000003</v>
      </c>
    </row>
  </sheetData>
  <mergeCells count="163">
    <mergeCell ref="A916:A917"/>
    <mergeCell ref="A872:A873"/>
    <mergeCell ref="A886:A887"/>
    <mergeCell ref="A889:A892"/>
    <mergeCell ref="A893:A896"/>
    <mergeCell ref="A909:A911"/>
    <mergeCell ref="A912:A914"/>
    <mergeCell ref="A843:A845"/>
    <mergeCell ref="A848:A854"/>
    <mergeCell ref="A857:A859"/>
    <mergeCell ref="A860:A862"/>
    <mergeCell ref="A863:A869"/>
    <mergeCell ref="A870:A871"/>
    <mergeCell ref="A822:A824"/>
    <mergeCell ref="A825:A827"/>
    <mergeCell ref="A828:A829"/>
    <mergeCell ref="A834:A836"/>
    <mergeCell ref="A837:A839"/>
    <mergeCell ref="A840:A842"/>
    <mergeCell ref="A796:A797"/>
    <mergeCell ref="A799:A802"/>
    <mergeCell ref="A803:A807"/>
    <mergeCell ref="A808:A812"/>
    <mergeCell ref="A813:A817"/>
    <mergeCell ref="A819:A821"/>
    <mergeCell ref="A764:A766"/>
    <mergeCell ref="A775:A777"/>
    <mergeCell ref="A778:A780"/>
    <mergeCell ref="A781:A783"/>
    <mergeCell ref="A784:A786"/>
    <mergeCell ref="A792:A793"/>
    <mergeCell ref="A724:A726"/>
    <mergeCell ref="A727:A729"/>
    <mergeCell ref="A750:A752"/>
    <mergeCell ref="A753:A755"/>
    <mergeCell ref="A756:A758"/>
    <mergeCell ref="A761:A763"/>
    <mergeCell ref="A702:A703"/>
    <mergeCell ref="A704:A706"/>
    <mergeCell ref="A711:A712"/>
    <mergeCell ref="A714:A715"/>
    <mergeCell ref="A716:A717"/>
    <mergeCell ref="A720:A722"/>
    <mergeCell ref="A677:A678"/>
    <mergeCell ref="A679:A681"/>
    <mergeCell ref="A682:A684"/>
    <mergeCell ref="A685:A687"/>
    <mergeCell ref="A694:A696"/>
    <mergeCell ref="A697:A699"/>
    <mergeCell ref="A665:A666"/>
    <mergeCell ref="A667:A668"/>
    <mergeCell ref="A669:A670"/>
    <mergeCell ref="A671:A672"/>
    <mergeCell ref="A673:A674"/>
    <mergeCell ref="A675:A676"/>
    <mergeCell ref="A649:A651"/>
    <mergeCell ref="A652:A654"/>
    <mergeCell ref="A655:A657"/>
    <mergeCell ref="A658:A660"/>
    <mergeCell ref="A661:A662"/>
    <mergeCell ref="A663:A664"/>
    <mergeCell ref="A621:A622"/>
    <mergeCell ref="A623:A625"/>
    <mergeCell ref="A626:A628"/>
    <mergeCell ref="A629:A631"/>
    <mergeCell ref="A632:A634"/>
    <mergeCell ref="A635:A636"/>
    <mergeCell ref="A583:A586"/>
    <mergeCell ref="A592:A594"/>
    <mergeCell ref="A601:A603"/>
    <mergeCell ref="A604:A606"/>
    <mergeCell ref="A612:A613"/>
    <mergeCell ref="A618:A619"/>
    <mergeCell ref="A553:A555"/>
    <mergeCell ref="A556:A558"/>
    <mergeCell ref="A559:A561"/>
    <mergeCell ref="A565:A567"/>
    <mergeCell ref="A571:A573"/>
    <mergeCell ref="A574:A576"/>
    <mergeCell ref="A532:A534"/>
    <mergeCell ref="A535:A537"/>
    <mergeCell ref="A542:A543"/>
    <mergeCell ref="A544:A546"/>
    <mergeCell ref="A547:A549"/>
    <mergeCell ref="A550:A552"/>
    <mergeCell ref="A513:A514"/>
    <mergeCell ref="A515:A516"/>
    <mergeCell ref="A520:A522"/>
    <mergeCell ref="A523:A525"/>
    <mergeCell ref="A526:A528"/>
    <mergeCell ref="A529:A531"/>
    <mergeCell ref="A416:A429"/>
    <mergeCell ref="A430:A443"/>
    <mergeCell ref="A444:A457"/>
    <mergeCell ref="A458:A471"/>
    <mergeCell ref="A472:A485"/>
    <mergeCell ref="A510:A511"/>
    <mergeCell ref="A343:A345"/>
    <mergeCell ref="A350:A363"/>
    <mergeCell ref="A364:A377"/>
    <mergeCell ref="A380:A382"/>
    <mergeCell ref="A399:A400"/>
    <mergeCell ref="A402:A415"/>
    <mergeCell ref="A277:A278"/>
    <mergeCell ref="A279:A280"/>
    <mergeCell ref="A286:A299"/>
    <mergeCell ref="A300:A313"/>
    <mergeCell ref="A314:A327"/>
    <mergeCell ref="A328:A341"/>
    <mergeCell ref="A235:A236"/>
    <mergeCell ref="A237:A239"/>
    <mergeCell ref="A240:A242"/>
    <mergeCell ref="A244:A245"/>
    <mergeCell ref="A248:A261"/>
    <mergeCell ref="A262:A275"/>
    <mergeCell ref="A195:A208"/>
    <mergeCell ref="A209:A222"/>
    <mergeCell ref="A223:A224"/>
    <mergeCell ref="A226:A228"/>
    <mergeCell ref="A229:A231"/>
    <mergeCell ref="A232:A234"/>
    <mergeCell ref="A177:A179"/>
    <mergeCell ref="A180:A182"/>
    <mergeCell ref="A183:A185"/>
    <mergeCell ref="A186:A188"/>
    <mergeCell ref="A189:A190"/>
    <mergeCell ref="A191:A192"/>
    <mergeCell ref="A160:A162"/>
    <mergeCell ref="A163:A165"/>
    <mergeCell ref="A166:A168"/>
    <mergeCell ref="A169:A170"/>
    <mergeCell ref="A171:A173"/>
    <mergeCell ref="A174:A176"/>
    <mergeCell ref="A141:A144"/>
    <mergeCell ref="A145:A147"/>
    <mergeCell ref="A148:A150"/>
    <mergeCell ref="A151:A153"/>
    <mergeCell ref="A154:A156"/>
    <mergeCell ref="A157:A159"/>
    <mergeCell ref="A110:A113"/>
    <mergeCell ref="A121:A124"/>
    <mergeCell ref="A125:A128"/>
    <mergeCell ref="A129:A132"/>
    <mergeCell ref="A133:A136"/>
    <mergeCell ref="A137:A140"/>
    <mergeCell ref="A98:A101"/>
    <mergeCell ref="A102:A105"/>
    <mergeCell ref="A106:A109"/>
    <mergeCell ref="A49:A51"/>
    <mergeCell ref="A52:A54"/>
    <mergeCell ref="A55:A56"/>
    <mergeCell ref="A58:A71"/>
    <mergeCell ref="A72:A85"/>
    <mergeCell ref="A86:A87"/>
    <mergeCell ref="A2:A3"/>
    <mergeCell ref="A9:A22"/>
    <mergeCell ref="A23:A36"/>
    <mergeCell ref="A37:A41"/>
    <mergeCell ref="A42:A44"/>
    <mergeCell ref="A46:A48"/>
    <mergeCell ref="A88:A89"/>
    <mergeCell ref="A90:A93"/>
    <mergeCell ref="A94:A97"/>
  </mergeCells>
  <printOptions horizontalCentered="1" verticalCentered="1"/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AE1F-B7B5-4AE8-B9F2-7C4ED709E629}">
  <dimension ref="A2:G917"/>
  <sheetViews>
    <sheetView showGridLines="0" zoomScaleNormal="100" workbookViewId="0">
      <selection activeCell="A2" sqref="A2:A3"/>
    </sheetView>
  </sheetViews>
  <sheetFormatPr defaultRowHeight="14.5" x14ac:dyDescent="0.35"/>
  <cols>
    <col min="1" max="1" width="39.1796875" style="9" customWidth="1"/>
    <col min="2" max="2" width="34.81640625" style="9" bestFit="1" customWidth="1"/>
    <col min="3" max="3" width="5.7265625" hidden="1" customWidth="1"/>
    <col min="4" max="4" width="9.81640625" hidden="1" customWidth="1"/>
    <col min="5" max="5" width="10.453125" hidden="1" customWidth="1"/>
    <col min="6" max="6" width="9.81640625" hidden="1" customWidth="1"/>
  </cols>
  <sheetData>
    <row r="2" spans="1:7" ht="23" customHeight="1" x14ac:dyDescent="0.35">
      <c r="A2" s="46" t="s">
        <v>1283</v>
      </c>
      <c r="B2" s="22"/>
      <c r="C2" s="12"/>
      <c r="D2" s="12"/>
      <c r="E2" s="12"/>
      <c r="F2" s="12"/>
      <c r="G2" s="12"/>
    </row>
    <row r="3" spans="1:7" ht="24.5" customHeight="1" x14ac:dyDescent="0.35">
      <c r="A3" s="46"/>
      <c r="B3" s="22"/>
      <c r="C3" s="12"/>
      <c r="D3" s="12"/>
      <c r="E3" s="12"/>
      <c r="F3" s="12"/>
      <c r="G3" s="12"/>
    </row>
    <row r="5" spans="1:7" x14ac:dyDescent="0.35">
      <c r="A5" s="2" t="s">
        <v>0</v>
      </c>
      <c r="B5" s="2" t="s">
        <v>1</v>
      </c>
      <c r="C5" s="3" t="s">
        <v>2</v>
      </c>
      <c r="D5" s="4" t="s">
        <v>1275</v>
      </c>
      <c r="E5" s="4" t="s">
        <v>1276</v>
      </c>
      <c r="F5" s="4" t="s">
        <v>363</v>
      </c>
      <c r="G5" s="4" t="s">
        <v>364</v>
      </c>
    </row>
    <row r="6" spans="1:7" x14ac:dyDescent="0.35">
      <c r="A6" s="5" t="s">
        <v>7</v>
      </c>
      <c r="B6" s="5" t="s">
        <v>8</v>
      </c>
      <c r="C6" s="6">
        <v>0.3</v>
      </c>
      <c r="D6" s="7">
        <f t="shared" ref="D6" si="0">(C6-(C6*1.25%))</f>
        <v>0.29625000000000001</v>
      </c>
      <c r="E6" s="7">
        <f>D6-(2.5%)</f>
        <v>0.27124999999999999</v>
      </c>
      <c r="F6" s="7">
        <f>E6*(2%)</f>
        <v>5.4250000000000001E-3</v>
      </c>
      <c r="G6" s="7">
        <f t="shared" ref="G6" si="1">E6-F6</f>
        <v>0.26582499999999998</v>
      </c>
    </row>
    <row r="7" spans="1:7" x14ac:dyDescent="0.35">
      <c r="A7" s="5" t="s">
        <v>9</v>
      </c>
      <c r="B7" s="5" t="s">
        <v>10</v>
      </c>
      <c r="C7" s="6">
        <v>0.4</v>
      </c>
      <c r="D7" s="7">
        <f t="shared" ref="D7:D70" si="2">(C7-(C7*1.25%))</f>
        <v>0.39500000000000002</v>
      </c>
      <c r="E7" s="7">
        <f t="shared" ref="E7:E70" si="3">D7-(2.5%)</f>
        <v>0.37</v>
      </c>
      <c r="F7" s="7">
        <f t="shared" ref="F7:F70" si="4">E7*(2%)</f>
        <v>7.4000000000000003E-3</v>
      </c>
      <c r="G7" s="7">
        <f t="shared" ref="G7:G70" si="5">E7-F7</f>
        <v>0.36259999999999998</v>
      </c>
    </row>
    <row r="8" spans="1:7" x14ac:dyDescent="0.35">
      <c r="A8" s="5" t="s">
        <v>9</v>
      </c>
      <c r="B8" s="5" t="s">
        <v>11</v>
      </c>
      <c r="C8" s="6">
        <v>0.32500000000000001</v>
      </c>
      <c r="D8" s="7">
        <f t="shared" si="2"/>
        <v>0.32093749999999999</v>
      </c>
      <c r="E8" s="7">
        <f t="shared" si="3"/>
        <v>0.29593749999999996</v>
      </c>
      <c r="F8" s="7">
        <f t="shared" si="4"/>
        <v>5.9187499999999995E-3</v>
      </c>
      <c r="G8" s="7">
        <f t="shared" si="5"/>
        <v>0.29001874999999999</v>
      </c>
    </row>
    <row r="9" spans="1:7" x14ac:dyDescent="0.35">
      <c r="A9" s="41" t="s">
        <v>12</v>
      </c>
      <c r="B9" s="5" t="s">
        <v>13</v>
      </c>
      <c r="C9" s="6">
        <v>0.09</v>
      </c>
      <c r="D9" s="7">
        <f t="shared" si="2"/>
        <v>8.8874999999999996E-2</v>
      </c>
      <c r="E9" s="7">
        <f t="shared" si="3"/>
        <v>6.3874999999999987E-2</v>
      </c>
      <c r="F9" s="7">
        <f t="shared" si="4"/>
        <v>1.2774999999999998E-3</v>
      </c>
      <c r="G9" s="7">
        <f t="shared" si="5"/>
        <v>6.2597499999999986E-2</v>
      </c>
    </row>
    <row r="10" spans="1:7" x14ac:dyDescent="0.35">
      <c r="A10" s="42"/>
      <c r="B10" s="5" t="s">
        <v>14</v>
      </c>
      <c r="C10" s="6">
        <v>0.26</v>
      </c>
      <c r="D10" s="7">
        <f t="shared" si="2"/>
        <v>0.25675000000000003</v>
      </c>
      <c r="E10" s="7">
        <f t="shared" si="3"/>
        <v>0.23175000000000004</v>
      </c>
      <c r="F10" s="7">
        <f t="shared" si="4"/>
        <v>4.6350000000000011E-3</v>
      </c>
      <c r="G10" s="7">
        <f t="shared" si="5"/>
        <v>0.22711500000000004</v>
      </c>
    </row>
    <row r="11" spans="1:7" x14ac:dyDescent="0.35">
      <c r="A11" s="42"/>
      <c r="B11" s="5" t="s">
        <v>15</v>
      </c>
      <c r="C11" s="6">
        <v>0.19</v>
      </c>
      <c r="D11" s="7">
        <f t="shared" si="2"/>
        <v>0.18762500000000001</v>
      </c>
      <c r="E11" s="7">
        <f t="shared" si="3"/>
        <v>0.16262500000000002</v>
      </c>
      <c r="F11" s="7">
        <f t="shared" si="4"/>
        <v>3.2525000000000006E-3</v>
      </c>
      <c r="G11" s="7">
        <f t="shared" si="5"/>
        <v>0.15937250000000003</v>
      </c>
    </row>
    <row r="12" spans="1:7" x14ac:dyDescent="0.35">
      <c r="A12" s="42"/>
      <c r="B12" s="5" t="s">
        <v>16</v>
      </c>
      <c r="C12" s="6">
        <v>0.08</v>
      </c>
      <c r="D12" s="7">
        <f t="shared" si="2"/>
        <v>7.9000000000000001E-2</v>
      </c>
      <c r="E12" s="7">
        <f t="shared" si="3"/>
        <v>5.3999999999999999E-2</v>
      </c>
      <c r="F12" s="7">
        <f t="shared" si="4"/>
        <v>1.08E-3</v>
      </c>
      <c r="G12" s="7">
        <f t="shared" si="5"/>
        <v>5.2920000000000002E-2</v>
      </c>
    </row>
    <row r="13" spans="1:7" x14ac:dyDescent="0.35">
      <c r="A13" s="42"/>
      <c r="B13" s="5" t="s">
        <v>17</v>
      </c>
      <c r="C13" s="6">
        <v>0.26</v>
      </c>
      <c r="D13" s="7">
        <f t="shared" si="2"/>
        <v>0.25675000000000003</v>
      </c>
      <c r="E13" s="7">
        <f t="shared" si="3"/>
        <v>0.23175000000000004</v>
      </c>
      <c r="F13" s="7">
        <f t="shared" si="4"/>
        <v>4.6350000000000011E-3</v>
      </c>
      <c r="G13" s="7">
        <f t="shared" si="5"/>
        <v>0.22711500000000004</v>
      </c>
    </row>
    <row r="14" spans="1:7" x14ac:dyDescent="0.35">
      <c r="A14" s="42"/>
      <c r="B14" s="5" t="s">
        <v>18</v>
      </c>
      <c r="C14" s="6">
        <v>0.21</v>
      </c>
      <c r="D14" s="7">
        <f t="shared" si="2"/>
        <v>0.207375</v>
      </c>
      <c r="E14" s="7">
        <f t="shared" si="3"/>
        <v>0.18237500000000001</v>
      </c>
      <c r="F14" s="7">
        <f t="shared" si="4"/>
        <v>3.6475000000000001E-3</v>
      </c>
      <c r="G14" s="7">
        <f t="shared" si="5"/>
        <v>0.17872750000000001</v>
      </c>
    </row>
    <row r="15" spans="1:7" x14ac:dyDescent="0.35">
      <c r="A15" s="42"/>
      <c r="B15" s="5" t="s">
        <v>19</v>
      </c>
      <c r="C15" s="6">
        <v>0</v>
      </c>
      <c r="D15" s="7" t="s">
        <v>20</v>
      </c>
      <c r="E15" s="7" t="s">
        <v>20</v>
      </c>
      <c r="F15" s="7" t="s">
        <v>20</v>
      </c>
      <c r="G15" s="7" t="s">
        <v>20</v>
      </c>
    </row>
    <row r="16" spans="1:7" x14ac:dyDescent="0.35">
      <c r="A16" s="42"/>
      <c r="B16" s="5" t="s">
        <v>21</v>
      </c>
      <c r="C16" s="6">
        <v>0</v>
      </c>
      <c r="D16" s="7" t="s">
        <v>20</v>
      </c>
      <c r="E16" s="7" t="s">
        <v>20</v>
      </c>
      <c r="F16" s="7" t="s">
        <v>20</v>
      </c>
      <c r="G16" s="7" t="s">
        <v>20</v>
      </c>
    </row>
    <row r="17" spans="1:7" x14ac:dyDescent="0.35">
      <c r="A17" s="42"/>
      <c r="B17" s="5" t="s">
        <v>22</v>
      </c>
      <c r="C17" s="6">
        <v>0.24</v>
      </c>
      <c r="D17" s="7">
        <f t="shared" si="2"/>
        <v>0.23699999999999999</v>
      </c>
      <c r="E17" s="7">
        <f t="shared" si="3"/>
        <v>0.21199999999999999</v>
      </c>
      <c r="F17" s="7">
        <f t="shared" si="4"/>
        <v>4.2399999999999998E-3</v>
      </c>
      <c r="G17" s="7">
        <f t="shared" si="5"/>
        <v>0.20776</v>
      </c>
    </row>
    <row r="18" spans="1:7" x14ac:dyDescent="0.35">
      <c r="A18" s="42"/>
      <c r="B18" s="5" t="s">
        <v>23</v>
      </c>
      <c r="C18" s="6">
        <v>0.26</v>
      </c>
      <c r="D18" s="7">
        <f t="shared" si="2"/>
        <v>0.25675000000000003</v>
      </c>
      <c r="E18" s="7">
        <f t="shared" si="3"/>
        <v>0.23175000000000004</v>
      </c>
      <c r="F18" s="7">
        <f t="shared" si="4"/>
        <v>4.6350000000000011E-3</v>
      </c>
      <c r="G18" s="7">
        <f t="shared" si="5"/>
        <v>0.22711500000000004</v>
      </c>
    </row>
    <row r="19" spans="1:7" x14ac:dyDescent="0.35">
      <c r="A19" s="42"/>
      <c r="B19" s="5" t="s">
        <v>24</v>
      </c>
      <c r="C19" s="6">
        <v>0.15</v>
      </c>
      <c r="D19" s="7">
        <f t="shared" si="2"/>
        <v>0.14812500000000001</v>
      </c>
      <c r="E19" s="7">
        <f t="shared" si="3"/>
        <v>0.12312500000000001</v>
      </c>
      <c r="F19" s="7">
        <f t="shared" si="4"/>
        <v>2.4625000000000003E-3</v>
      </c>
      <c r="G19" s="7">
        <f t="shared" si="5"/>
        <v>0.12066250000000001</v>
      </c>
    </row>
    <row r="20" spans="1:7" x14ac:dyDescent="0.35">
      <c r="A20" s="42"/>
      <c r="B20" s="5" t="s">
        <v>25</v>
      </c>
      <c r="C20" s="6">
        <v>0.16</v>
      </c>
      <c r="D20" s="7">
        <f t="shared" si="2"/>
        <v>0.158</v>
      </c>
      <c r="E20" s="7">
        <f t="shared" si="3"/>
        <v>0.13300000000000001</v>
      </c>
      <c r="F20" s="7">
        <f t="shared" si="4"/>
        <v>2.66E-3</v>
      </c>
      <c r="G20" s="7">
        <f t="shared" si="5"/>
        <v>0.13034000000000001</v>
      </c>
    </row>
    <row r="21" spans="1:7" x14ac:dyDescent="0.35">
      <c r="A21" s="42"/>
      <c r="B21" s="5" t="s">
        <v>26</v>
      </c>
      <c r="C21" s="6">
        <v>0.24</v>
      </c>
      <c r="D21" s="7">
        <f t="shared" si="2"/>
        <v>0.23699999999999999</v>
      </c>
      <c r="E21" s="7">
        <f t="shared" si="3"/>
        <v>0.21199999999999999</v>
      </c>
      <c r="F21" s="7">
        <f t="shared" si="4"/>
        <v>4.2399999999999998E-3</v>
      </c>
      <c r="G21" s="7">
        <f t="shared" si="5"/>
        <v>0.20776</v>
      </c>
    </row>
    <row r="22" spans="1:7" x14ac:dyDescent="0.35">
      <c r="A22" s="43"/>
      <c r="B22" s="5" t="s">
        <v>27</v>
      </c>
      <c r="C22" s="6">
        <v>0</v>
      </c>
      <c r="D22" s="7" t="s">
        <v>20</v>
      </c>
      <c r="E22" s="7" t="s">
        <v>20</v>
      </c>
      <c r="F22" s="7" t="s">
        <v>20</v>
      </c>
      <c r="G22" s="7" t="s">
        <v>20</v>
      </c>
    </row>
    <row r="23" spans="1:7" x14ac:dyDescent="0.35">
      <c r="A23" s="41" t="s">
        <v>28</v>
      </c>
      <c r="B23" s="5" t="s">
        <v>13</v>
      </c>
      <c r="C23" s="6">
        <v>0.05</v>
      </c>
      <c r="D23" s="7">
        <f t="shared" si="2"/>
        <v>4.9375000000000002E-2</v>
      </c>
      <c r="E23" s="7">
        <f t="shared" si="3"/>
        <v>2.4375000000000001E-2</v>
      </c>
      <c r="F23" s="7">
        <f t="shared" si="4"/>
        <v>4.8750000000000003E-4</v>
      </c>
      <c r="G23" s="7">
        <f t="shared" si="5"/>
        <v>2.3887500000000002E-2</v>
      </c>
    </row>
    <row r="24" spans="1:7" x14ac:dyDescent="0.35">
      <c r="A24" s="42"/>
      <c r="B24" s="5" t="s">
        <v>14</v>
      </c>
      <c r="C24" s="6">
        <v>0.31</v>
      </c>
      <c r="D24" s="7">
        <f t="shared" si="2"/>
        <v>0.30612499999999998</v>
      </c>
      <c r="E24" s="7">
        <f t="shared" si="3"/>
        <v>0.28112499999999996</v>
      </c>
      <c r="F24" s="7">
        <f t="shared" si="4"/>
        <v>5.622499999999999E-3</v>
      </c>
      <c r="G24" s="7">
        <f t="shared" si="5"/>
        <v>0.27550249999999998</v>
      </c>
    </row>
    <row r="25" spans="1:7" x14ac:dyDescent="0.35">
      <c r="A25" s="42"/>
      <c r="B25" s="5" t="s">
        <v>15</v>
      </c>
      <c r="C25" s="6">
        <v>0.20999999999999996</v>
      </c>
      <c r="D25" s="7">
        <f t="shared" si="2"/>
        <v>0.20737499999999998</v>
      </c>
      <c r="E25" s="7">
        <f t="shared" si="3"/>
        <v>0.18237499999999998</v>
      </c>
      <c r="F25" s="7">
        <f t="shared" si="4"/>
        <v>3.6474999999999997E-3</v>
      </c>
      <c r="G25" s="7">
        <f t="shared" si="5"/>
        <v>0.17872749999999998</v>
      </c>
    </row>
    <row r="26" spans="1:7" x14ac:dyDescent="0.35">
      <c r="A26" s="42"/>
      <c r="B26" s="5" t="s">
        <v>16</v>
      </c>
      <c r="C26" s="6">
        <v>0.03</v>
      </c>
      <c r="D26" s="7" t="s">
        <v>20</v>
      </c>
      <c r="E26" s="7" t="s">
        <v>20</v>
      </c>
      <c r="F26" s="7" t="s">
        <v>20</v>
      </c>
      <c r="G26" s="7" t="s">
        <v>20</v>
      </c>
    </row>
    <row r="27" spans="1:7" x14ac:dyDescent="0.35">
      <c r="A27" s="42"/>
      <c r="B27" s="5" t="s">
        <v>17</v>
      </c>
      <c r="C27" s="6">
        <v>0.31</v>
      </c>
      <c r="D27" s="7">
        <f t="shared" si="2"/>
        <v>0.30612499999999998</v>
      </c>
      <c r="E27" s="7">
        <f t="shared" si="3"/>
        <v>0.28112499999999996</v>
      </c>
      <c r="F27" s="7">
        <f t="shared" si="4"/>
        <v>5.622499999999999E-3</v>
      </c>
      <c r="G27" s="7">
        <f t="shared" si="5"/>
        <v>0.27550249999999998</v>
      </c>
    </row>
    <row r="28" spans="1:7" x14ac:dyDescent="0.35">
      <c r="A28" s="42"/>
      <c r="B28" s="5" t="s">
        <v>18</v>
      </c>
      <c r="C28" s="6">
        <v>0.22999999999999998</v>
      </c>
      <c r="D28" s="7">
        <f t="shared" si="2"/>
        <v>0.22712499999999999</v>
      </c>
      <c r="E28" s="7">
        <f t="shared" si="3"/>
        <v>0.202125</v>
      </c>
      <c r="F28" s="7">
        <f t="shared" si="4"/>
        <v>4.0425000000000001E-3</v>
      </c>
      <c r="G28" s="7">
        <f t="shared" si="5"/>
        <v>0.19808249999999999</v>
      </c>
    </row>
    <row r="29" spans="1:7" x14ac:dyDescent="0.35">
      <c r="A29" s="42"/>
      <c r="B29" s="5" t="s">
        <v>19</v>
      </c>
      <c r="C29" s="6">
        <v>0</v>
      </c>
      <c r="D29" s="7" t="s">
        <v>20</v>
      </c>
      <c r="E29" s="7" t="s">
        <v>20</v>
      </c>
      <c r="F29" s="7" t="s">
        <v>20</v>
      </c>
      <c r="G29" s="7" t="s">
        <v>20</v>
      </c>
    </row>
    <row r="30" spans="1:7" x14ac:dyDescent="0.35">
      <c r="A30" s="42"/>
      <c r="B30" s="5" t="s">
        <v>21</v>
      </c>
      <c r="C30" s="6">
        <v>0</v>
      </c>
      <c r="D30" s="7" t="s">
        <v>20</v>
      </c>
      <c r="E30" s="7" t="s">
        <v>20</v>
      </c>
      <c r="F30" s="7" t="s">
        <v>20</v>
      </c>
      <c r="G30" s="7" t="s">
        <v>20</v>
      </c>
    </row>
    <row r="31" spans="1:7" x14ac:dyDescent="0.35">
      <c r="A31" s="42"/>
      <c r="B31" s="5" t="s">
        <v>22</v>
      </c>
      <c r="C31" s="6">
        <v>0.28000000000000003</v>
      </c>
      <c r="D31" s="7">
        <f t="shared" si="2"/>
        <v>0.27650000000000002</v>
      </c>
      <c r="E31" s="7">
        <f t="shared" si="3"/>
        <v>0.2515</v>
      </c>
      <c r="F31" s="7">
        <f t="shared" si="4"/>
        <v>5.0299999999999997E-3</v>
      </c>
      <c r="G31" s="7">
        <f t="shared" si="5"/>
        <v>0.24646999999999999</v>
      </c>
    </row>
    <row r="32" spans="1:7" x14ac:dyDescent="0.35">
      <c r="A32" s="42"/>
      <c r="B32" s="5" t="s">
        <v>23</v>
      </c>
      <c r="C32" s="6">
        <v>0.31</v>
      </c>
      <c r="D32" s="7">
        <f t="shared" si="2"/>
        <v>0.30612499999999998</v>
      </c>
      <c r="E32" s="7">
        <f t="shared" si="3"/>
        <v>0.28112499999999996</v>
      </c>
      <c r="F32" s="7">
        <f t="shared" si="4"/>
        <v>5.622499999999999E-3</v>
      </c>
      <c r="G32" s="7">
        <f t="shared" si="5"/>
        <v>0.27550249999999998</v>
      </c>
    </row>
    <row r="33" spans="1:7" x14ac:dyDescent="0.35">
      <c r="A33" s="42"/>
      <c r="B33" s="5" t="s">
        <v>24</v>
      </c>
      <c r="C33" s="6">
        <v>0.14999999999999997</v>
      </c>
      <c r="D33" s="7">
        <f t="shared" si="2"/>
        <v>0.14812499999999998</v>
      </c>
      <c r="E33" s="7">
        <f t="shared" si="3"/>
        <v>0.12312499999999998</v>
      </c>
      <c r="F33" s="7">
        <f t="shared" si="4"/>
        <v>2.4624999999999998E-3</v>
      </c>
      <c r="G33" s="7">
        <f t="shared" si="5"/>
        <v>0.12066249999999998</v>
      </c>
    </row>
    <row r="34" spans="1:7" x14ac:dyDescent="0.35">
      <c r="A34" s="42"/>
      <c r="B34" s="5" t="s">
        <v>25</v>
      </c>
      <c r="C34" s="6">
        <v>0.14999999999999997</v>
      </c>
      <c r="D34" s="7">
        <f t="shared" si="2"/>
        <v>0.14812499999999998</v>
      </c>
      <c r="E34" s="7">
        <f t="shared" si="3"/>
        <v>0.12312499999999998</v>
      </c>
      <c r="F34" s="7">
        <f t="shared" si="4"/>
        <v>2.4624999999999998E-3</v>
      </c>
      <c r="G34" s="7">
        <f t="shared" si="5"/>
        <v>0.12066249999999998</v>
      </c>
    </row>
    <row r="35" spans="1:7" x14ac:dyDescent="0.35">
      <c r="A35" s="42"/>
      <c r="B35" s="5" t="s">
        <v>26</v>
      </c>
      <c r="C35" s="6">
        <v>0.28000000000000003</v>
      </c>
      <c r="D35" s="7">
        <f t="shared" si="2"/>
        <v>0.27650000000000002</v>
      </c>
      <c r="E35" s="7">
        <f t="shared" si="3"/>
        <v>0.2515</v>
      </c>
      <c r="F35" s="7">
        <f t="shared" si="4"/>
        <v>5.0299999999999997E-3</v>
      </c>
      <c r="G35" s="7">
        <f t="shared" si="5"/>
        <v>0.24646999999999999</v>
      </c>
    </row>
    <row r="36" spans="1:7" x14ac:dyDescent="0.35">
      <c r="A36" s="43"/>
      <c r="B36" s="5" t="s">
        <v>27</v>
      </c>
      <c r="C36" s="6">
        <v>0</v>
      </c>
      <c r="D36" s="7" t="s">
        <v>20</v>
      </c>
      <c r="E36" s="7" t="s">
        <v>20</v>
      </c>
      <c r="F36" s="7" t="s">
        <v>20</v>
      </c>
      <c r="G36" s="7" t="s">
        <v>20</v>
      </c>
    </row>
    <row r="37" spans="1:7" x14ac:dyDescent="0.35">
      <c r="A37" s="41" t="s">
        <v>29</v>
      </c>
      <c r="B37" s="5" t="s">
        <v>14</v>
      </c>
      <c r="C37" s="7">
        <v>0.13</v>
      </c>
      <c r="D37" s="7">
        <f t="shared" si="2"/>
        <v>0.12837500000000002</v>
      </c>
      <c r="E37" s="7">
        <f t="shared" si="3"/>
        <v>0.10337500000000002</v>
      </c>
      <c r="F37" s="7">
        <f t="shared" si="4"/>
        <v>2.0675000000000003E-3</v>
      </c>
      <c r="G37" s="7">
        <f t="shared" si="5"/>
        <v>0.10130750000000002</v>
      </c>
    </row>
    <row r="38" spans="1:7" x14ac:dyDescent="0.35">
      <c r="A38" s="42"/>
      <c r="B38" s="5" t="s">
        <v>17</v>
      </c>
      <c r="C38" s="7">
        <v>0.13</v>
      </c>
      <c r="D38" s="7">
        <f t="shared" si="2"/>
        <v>0.12837500000000002</v>
      </c>
      <c r="E38" s="7">
        <f t="shared" si="3"/>
        <v>0.10337500000000002</v>
      </c>
      <c r="F38" s="7">
        <f t="shared" si="4"/>
        <v>2.0675000000000003E-3</v>
      </c>
      <c r="G38" s="7">
        <f t="shared" si="5"/>
        <v>0.10130750000000002</v>
      </c>
    </row>
    <row r="39" spans="1:7" x14ac:dyDescent="0.35">
      <c r="A39" s="42"/>
      <c r="B39" s="5" t="s">
        <v>22</v>
      </c>
      <c r="C39" s="7">
        <v>0.09</v>
      </c>
      <c r="D39" s="7">
        <f t="shared" si="2"/>
        <v>8.8874999999999996E-2</v>
      </c>
      <c r="E39" s="7">
        <f t="shared" si="3"/>
        <v>6.3874999999999987E-2</v>
      </c>
      <c r="F39" s="7">
        <f t="shared" si="4"/>
        <v>1.2774999999999998E-3</v>
      </c>
      <c r="G39" s="7">
        <f t="shared" si="5"/>
        <v>6.2597499999999986E-2</v>
      </c>
    </row>
    <row r="40" spans="1:7" x14ac:dyDescent="0.35">
      <c r="A40" s="42"/>
      <c r="B40" s="5" t="s">
        <v>23</v>
      </c>
      <c r="C40" s="7">
        <v>0.13</v>
      </c>
      <c r="D40" s="7">
        <f t="shared" si="2"/>
        <v>0.12837500000000002</v>
      </c>
      <c r="E40" s="7">
        <f t="shared" si="3"/>
        <v>0.10337500000000002</v>
      </c>
      <c r="F40" s="7">
        <f t="shared" si="4"/>
        <v>2.0675000000000003E-3</v>
      </c>
      <c r="G40" s="7">
        <f t="shared" si="5"/>
        <v>0.10130750000000002</v>
      </c>
    </row>
    <row r="41" spans="1:7" x14ac:dyDescent="0.35">
      <c r="A41" s="43"/>
      <c r="B41" s="5" t="s">
        <v>26</v>
      </c>
      <c r="C41" s="7">
        <v>0.09</v>
      </c>
      <c r="D41" s="7">
        <f t="shared" si="2"/>
        <v>8.8874999999999996E-2</v>
      </c>
      <c r="E41" s="7">
        <f t="shared" si="3"/>
        <v>6.3874999999999987E-2</v>
      </c>
      <c r="F41" s="7">
        <f t="shared" si="4"/>
        <v>1.2774999999999998E-3</v>
      </c>
      <c r="G41" s="7">
        <f t="shared" si="5"/>
        <v>6.2597499999999986E-2</v>
      </c>
    </row>
    <row r="42" spans="1:7" x14ac:dyDescent="0.35">
      <c r="A42" s="41" t="s">
        <v>30</v>
      </c>
      <c r="B42" s="5" t="s">
        <v>14</v>
      </c>
      <c r="C42" s="6">
        <v>7.0000000000000007E-2</v>
      </c>
      <c r="D42" s="7">
        <f t="shared" si="2"/>
        <v>6.9125000000000006E-2</v>
      </c>
      <c r="E42" s="7">
        <f t="shared" si="3"/>
        <v>4.4125000000000004E-2</v>
      </c>
      <c r="F42" s="7">
        <f t="shared" si="4"/>
        <v>8.8250000000000015E-4</v>
      </c>
      <c r="G42" s="7">
        <f t="shared" si="5"/>
        <v>4.3242500000000003E-2</v>
      </c>
    </row>
    <row r="43" spans="1:7" x14ac:dyDescent="0.35">
      <c r="A43" s="42"/>
      <c r="B43" s="5" t="s">
        <v>17</v>
      </c>
      <c r="C43" s="6">
        <v>7.0000000000000007E-2</v>
      </c>
      <c r="D43" s="7">
        <f t="shared" si="2"/>
        <v>6.9125000000000006E-2</v>
      </c>
      <c r="E43" s="7">
        <f t="shared" si="3"/>
        <v>4.4125000000000004E-2</v>
      </c>
      <c r="F43" s="7">
        <f t="shared" si="4"/>
        <v>8.8250000000000015E-4</v>
      </c>
      <c r="G43" s="7">
        <f t="shared" si="5"/>
        <v>4.3242500000000003E-2</v>
      </c>
    </row>
    <row r="44" spans="1:7" x14ac:dyDescent="0.35">
      <c r="A44" s="43"/>
      <c r="B44" s="5" t="s">
        <v>23</v>
      </c>
      <c r="C44" s="6">
        <v>7.0000000000000007E-2</v>
      </c>
      <c r="D44" s="7">
        <f t="shared" si="2"/>
        <v>6.9125000000000006E-2</v>
      </c>
      <c r="E44" s="7">
        <f t="shared" si="3"/>
        <v>4.4125000000000004E-2</v>
      </c>
      <c r="F44" s="7">
        <f t="shared" si="4"/>
        <v>8.8250000000000015E-4</v>
      </c>
      <c r="G44" s="7">
        <f t="shared" si="5"/>
        <v>4.3242500000000003E-2</v>
      </c>
    </row>
    <row r="45" spans="1:7" x14ac:dyDescent="0.35">
      <c r="A45" s="5" t="s">
        <v>31</v>
      </c>
      <c r="B45" s="5" t="s">
        <v>32</v>
      </c>
      <c r="C45" s="6">
        <v>0.27500000000000002</v>
      </c>
      <c r="D45" s="7">
        <f t="shared" si="2"/>
        <v>0.27156250000000004</v>
      </c>
      <c r="E45" s="7">
        <f t="shared" si="3"/>
        <v>0.24656250000000005</v>
      </c>
      <c r="F45" s="7">
        <f t="shared" si="4"/>
        <v>4.9312500000000007E-3</v>
      </c>
      <c r="G45" s="7">
        <f t="shared" si="5"/>
        <v>0.24163125000000005</v>
      </c>
    </row>
    <row r="46" spans="1:7" x14ac:dyDescent="0.35">
      <c r="A46" s="48" t="s">
        <v>1141</v>
      </c>
      <c r="B46" s="5" t="s">
        <v>33</v>
      </c>
      <c r="C46" s="6">
        <v>0.55000000000000004</v>
      </c>
      <c r="D46" s="7">
        <f t="shared" si="2"/>
        <v>0.54312500000000008</v>
      </c>
      <c r="E46" s="7">
        <f t="shared" si="3"/>
        <v>0.51812500000000006</v>
      </c>
      <c r="F46" s="7">
        <f t="shared" si="4"/>
        <v>1.0362500000000002E-2</v>
      </c>
      <c r="G46" s="7">
        <f t="shared" si="5"/>
        <v>0.50776250000000001</v>
      </c>
    </row>
    <row r="47" spans="1:7" x14ac:dyDescent="0.35">
      <c r="A47" s="48"/>
      <c r="B47" s="5" t="s">
        <v>34</v>
      </c>
      <c r="C47" s="6">
        <v>0</v>
      </c>
      <c r="D47" s="7" t="s">
        <v>20</v>
      </c>
      <c r="E47" s="7" t="s">
        <v>20</v>
      </c>
      <c r="F47" s="7" t="s">
        <v>20</v>
      </c>
      <c r="G47" s="7" t="s">
        <v>20</v>
      </c>
    </row>
    <row r="48" spans="1:7" x14ac:dyDescent="0.35">
      <c r="A48" s="48"/>
      <c r="B48" s="5" t="s">
        <v>35</v>
      </c>
      <c r="C48" s="6">
        <v>0.55000000000000004</v>
      </c>
      <c r="D48" s="7">
        <f t="shared" si="2"/>
        <v>0.54312500000000008</v>
      </c>
      <c r="E48" s="7">
        <f t="shared" si="3"/>
        <v>0.51812500000000006</v>
      </c>
      <c r="F48" s="7">
        <f t="shared" si="4"/>
        <v>1.0362500000000002E-2</v>
      </c>
      <c r="G48" s="7">
        <f t="shared" si="5"/>
        <v>0.50776250000000001</v>
      </c>
    </row>
    <row r="49" spans="1:7" x14ac:dyDescent="0.35">
      <c r="A49" s="48" t="s">
        <v>36</v>
      </c>
      <c r="B49" s="5" t="s">
        <v>33</v>
      </c>
      <c r="C49" s="6">
        <v>0</v>
      </c>
      <c r="D49" s="7" t="s">
        <v>20</v>
      </c>
      <c r="E49" s="7" t="s">
        <v>20</v>
      </c>
      <c r="F49" s="7" t="s">
        <v>20</v>
      </c>
      <c r="G49" s="7" t="s">
        <v>20</v>
      </c>
    </row>
    <row r="50" spans="1:7" x14ac:dyDescent="0.35">
      <c r="A50" s="48"/>
      <c r="B50" s="5" t="s">
        <v>34</v>
      </c>
      <c r="C50" s="6">
        <v>0.1</v>
      </c>
      <c r="D50" s="7">
        <f t="shared" si="2"/>
        <v>9.8750000000000004E-2</v>
      </c>
      <c r="E50" s="7">
        <f t="shared" si="3"/>
        <v>7.375000000000001E-2</v>
      </c>
      <c r="F50" s="7">
        <f t="shared" si="4"/>
        <v>1.4750000000000002E-3</v>
      </c>
      <c r="G50" s="7">
        <f t="shared" si="5"/>
        <v>7.2275000000000006E-2</v>
      </c>
    </row>
    <row r="51" spans="1:7" x14ac:dyDescent="0.35">
      <c r="A51" s="48"/>
      <c r="B51" s="5" t="s">
        <v>35</v>
      </c>
      <c r="C51" s="6">
        <v>0.13</v>
      </c>
      <c r="D51" s="7">
        <f t="shared" si="2"/>
        <v>0.12837500000000002</v>
      </c>
      <c r="E51" s="7">
        <f t="shared" si="3"/>
        <v>0.10337500000000002</v>
      </c>
      <c r="F51" s="7">
        <f t="shared" si="4"/>
        <v>2.0675000000000003E-3</v>
      </c>
      <c r="G51" s="7">
        <f t="shared" si="5"/>
        <v>0.10130750000000002</v>
      </c>
    </row>
    <row r="52" spans="1:7" x14ac:dyDescent="0.35">
      <c r="A52" s="41" t="s">
        <v>481</v>
      </c>
      <c r="B52" s="5" t="s">
        <v>34</v>
      </c>
      <c r="C52" s="6">
        <v>0.41</v>
      </c>
      <c r="D52" s="7">
        <f t="shared" si="2"/>
        <v>0.40487499999999998</v>
      </c>
      <c r="E52" s="7">
        <f t="shared" si="3"/>
        <v>0.37987499999999996</v>
      </c>
      <c r="F52" s="7">
        <f t="shared" si="4"/>
        <v>7.5974999999999992E-3</v>
      </c>
      <c r="G52" s="7">
        <f t="shared" si="5"/>
        <v>0.37227749999999998</v>
      </c>
    </row>
    <row r="53" spans="1:7" x14ac:dyDescent="0.35">
      <c r="A53" s="42"/>
      <c r="B53" s="5" t="s">
        <v>35</v>
      </c>
      <c r="C53" s="6">
        <v>0.41499999999999998</v>
      </c>
      <c r="D53" s="7">
        <f t="shared" si="2"/>
        <v>0.40981249999999997</v>
      </c>
      <c r="E53" s="7">
        <f t="shared" si="3"/>
        <v>0.38481249999999995</v>
      </c>
      <c r="F53" s="7">
        <f t="shared" si="4"/>
        <v>7.6962499999999991E-3</v>
      </c>
      <c r="G53" s="7">
        <f t="shared" si="5"/>
        <v>0.37711624999999993</v>
      </c>
    </row>
    <row r="54" spans="1:7" x14ac:dyDescent="0.35">
      <c r="A54" s="43"/>
      <c r="B54" s="5" t="s">
        <v>33</v>
      </c>
      <c r="C54" s="6">
        <v>0</v>
      </c>
      <c r="D54" s="7" t="s">
        <v>20</v>
      </c>
      <c r="E54" s="7" t="s">
        <v>20</v>
      </c>
      <c r="F54" s="7" t="s">
        <v>20</v>
      </c>
      <c r="G54" s="7" t="s">
        <v>20</v>
      </c>
    </row>
    <row r="55" spans="1:7" x14ac:dyDescent="0.35">
      <c r="A55" s="41" t="s">
        <v>38</v>
      </c>
      <c r="B55" s="5" t="s">
        <v>39</v>
      </c>
      <c r="C55" s="6">
        <v>0.35</v>
      </c>
      <c r="D55" s="7">
        <f t="shared" si="2"/>
        <v>0.34562499999999996</v>
      </c>
      <c r="E55" s="7">
        <f t="shared" si="3"/>
        <v>0.32062499999999994</v>
      </c>
      <c r="F55" s="7">
        <f t="shared" si="4"/>
        <v>6.4124999999999989E-3</v>
      </c>
      <c r="G55" s="7">
        <f t="shared" si="5"/>
        <v>0.31421249999999995</v>
      </c>
    </row>
    <row r="56" spans="1:7" x14ac:dyDescent="0.35">
      <c r="A56" s="43"/>
      <c r="B56" s="5" t="s">
        <v>40</v>
      </c>
      <c r="C56" s="6">
        <v>0.34</v>
      </c>
      <c r="D56" s="7">
        <f t="shared" si="2"/>
        <v>0.33575000000000005</v>
      </c>
      <c r="E56" s="7">
        <f t="shared" si="3"/>
        <v>0.31075000000000003</v>
      </c>
      <c r="F56" s="7">
        <f t="shared" si="4"/>
        <v>6.2150000000000009E-3</v>
      </c>
      <c r="G56" s="7">
        <f t="shared" si="5"/>
        <v>0.304535</v>
      </c>
    </row>
    <row r="57" spans="1:7" x14ac:dyDescent="0.35">
      <c r="A57" s="2" t="s">
        <v>41</v>
      </c>
      <c r="B57" s="2" t="s">
        <v>1</v>
      </c>
      <c r="C57" s="3" t="s">
        <v>2</v>
      </c>
      <c r="D57" s="4" t="s">
        <v>1275</v>
      </c>
      <c r="E57" s="4" t="s">
        <v>1276</v>
      </c>
      <c r="F57" s="4" t="s">
        <v>363</v>
      </c>
      <c r="G57" s="4" t="s">
        <v>364</v>
      </c>
    </row>
    <row r="58" spans="1:7" ht="24" x14ac:dyDescent="0.35">
      <c r="A58" s="41" t="s">
        <v>42</v>
      </c>
      <c r="B58" s="5" t="s">
        <v>43</v>
      </c>
      <c r="C58" s="6">
        <v>0.43000000000000005</v>
      </c>
      <c r="D58" s="7">
        <f t="shared" si="2"/>
        <v>0.42462500000000003</v>
      </c>
      <c r="E58" s="7">
        <f t="shared" si="3"/>
        <v>0.39962500000000001</v>
      </c>
      <c r="F58" s="7">
        <f t="shared" si="4"/>
        <v>7.9924999999999996E-3</v>
      </c>
      <c r="G58" s="7">
        <f t="shared" si="5"/>
        <v>0.39163249999999999</v>
      </c>
    </row>
    <row r="59" spans="1:7" x14ac:dyDescent="0.35">
      <c r="A59" s="42"/>
      <c r="B59" s="5" t="s">
        <v>44</v>
      </c>
      <c r="C59" s="6">
        <v>0.43000000000000005</v>
      </c>
      <c r="D59" s="7">
        <f t="shared" si="2"/>
        <v>0.42462500000000003</v>
      </c>
      <c r="E59" s="7">
        <f t="shared" si="3"/>
        <v>0.39962500000000001</v>
      </c>
      <c r="F59" s="7">
        <f t="shared" si="4"/>
        <v>7.9924999999999996E-3</v>
      </c>
      <c r="G59" s="7">
        <f t="shared" si="5"/>
        <v>0.39163249999999999</v>
      </c>
    </row>
    <row r="60" spans="1:7" x14ac:dyDescent="0.35">
      <c r="A60" s="42"/>
      <c r="B60" s="5" t="s">
        <v>45</v>
      </c>
      <c r="C60" s="6">
        <v>0.43000000000000005</v>
      </c>
      <c r="D60" s="7">
        <f t="shared" si="2"/>
        <v>0.42462500000000003</v>
      </c>
      <c r="E60" s="7">
        <f t="shared" si="3"/>
        <v>0.39962500000000001</v>
      </c>
      <c r="F60" s="7">
        <f t="shared" si="4"/>
        <v>7.9924999999999996E-3</v>
      </c>
      <c r="G60" s="7">
        <f t="shared" si="5"/>
        <v>0.39163249999999999</v>
      </c>
    </row>
    <row r="61" spans="1:7" x14ac:dyDescent="0.35">
      <c r="A61" s="42"/>
      <c r="B61" s="5" t="s">
        <v>46</v>
      </c>
      <c r="C61" s="6">
        <v>0.41000000000000003</v>
      </c>
      <c r="D61" s="7">
        <f t="shared" si="2"/>
        <v>0.40487500000000004</v>
      </c>
      <c r="E61" s="7">
        <f t="shared" si="3"/>
        <v>0.37987500000000002</v>
      </c>
      <c r="F61" s="7">
        <f t="shared" si="4"/>
        <v>7.597500000000001E-3</v>
      </c>
      <c r="G61" s="7">
        <f t="shared" si="5"/>
        <v>0.37227750000000004</v>
      </c>
    </row>
    <row r="62" spans="1:7" x14ac:dyDescent="0.35">
      <c r="A62" s="42"/>
      <c r="B62" s="5" t="s">
        <v>47</v>
      </c>
      <c r="C62" s="6">
        <v>0.41000000000000003</v>
      </c>
      <c r="D62" s="7">
        <f t="shared" si="2"/>
        <v>0.40487500000000004</v>
      </c>
      <c r="E62" s="7">
        <f t="shared" si="3"/>
        <v>0.37987500000000002</v>
      </c>
      <c r="F62" s="7">
        <f t="shared" si="4"/>
        <v>7.597500000000001E-3</v>
      </c>
      <c r="G62" s="7">
        <f t="shared" si="5"/>
        <v>0.37227750000000004</v>
      </c>
    </row>
    <row r="63" spans="1:7" x14ac:dyDescent="0.35">
      <c r="A63" s="42"/>
      <c r="B63" s="5" t="s">
        <v>48</v>
      </c>
      <c r="C63" s="6">
        <v>0.39</v>
      </c>
      <c r="D63" s="7">
        <f t="shared" si="2"/>
        <v>0.385125</v>
      </c>
      <c r="E63" s="7">
        <f t="shared" si="3"/>
        <v>0.36012499999999997</v>
      </c>
      <c r="F63" s="7">
        <f t="shared" si="4"/>
        <v>7.2024999999999997E-3</v>
      </c>
      <c r="G63" s="7">
        <f t="shared" si="5"/>
        <v>0.35292249999999997</v>
      </c>
    </row>
    <row r="64" spans="1:7" x14ac:dyDescent="0.35">
      <c r="A64" s="42"/>
      <c r="B64" s="5" t="s">
        <v>49</v>
      </c>
      <c r="C64" s="6">
        <v>0.43999999999999995</v>
      </c>
      <c r="D64" s="7">
        <f t="shared" si="2"/>
        <v>0.43449999999999994</v>
      </c>
      <c r="E64" s="7">
        <f t="shared" si="3"/>
        <v>0.40949999999999992</v>
      </c>
      <c r="F64" s="7">
        <f t="shared" si="4"/>
        <v>8.1899999999999994E-3</v>
      </c>
      <c r="G64" s="7">
        <f t="shared" si="5"/>
        <v>0.40130999999999994</v>
      </c>
    </row>
    <row r="65" spans="1:7" x14ac:dyDescent="0.35">
      <c r="A65" s="42"/>
      <c r="B65" s="5" t="s">
        <v>50</v>
      </c>
      <c r="C65" s="6">
        <v>0.42000000000000004</v>
      </c>
      <c r="D65" s="7">
        <f t="shared" si="2"/>
        <v>0.41475000000000006</v>
      </c>
      <c r="E65" s="7">
        <f t="shared" si="3"/>
        <v>0.38975000000000004</v>
      </c>
      <c r="F65" s="7">
        <f t="shared" si="4"/>
        <v>7.7950000000000007E-3</v>
      </c>
      <c r="G65" s="7">
        <f t="shared" si="5"/>
        <v>0.38195500000000004</v>
      </c>
    </row>
    <row r="66" spans="1:7" x14ac:dyDescent="0.35">
      <c r="A66" s="42"/>
      <c r="B66" s="5" t="s">
        <v>51</v>
      </c>
      <c r="C66" s="6">
        <v>0.41000000000000003</v>
      </c>
      <c r="D66" s="7">
        <f t="shared" si="2"/>
        <v>0.40487500000000004</v>
      </c>
      <c r="E66" s="7">
        <f t="shared" si="3"/>
        <v>0.37987500000000002</v>
      </c>
      <c r="F66" s="7">
        <f t="shared" si="4"/>
        <v>7.597500000000001E-3</v>
      </c>
      <c r="G66" s="7">
        <f t="shared" si="5"/>
        <v>0.37227750000000004</v>
      </c>
    </row>
    <row r="67" spans="1:7" x14ac:dyDescent="0.35">
      <c r="A67" s="42"/>
      <c r="B67" s="5" t="s">
        <v>52</v>
      </c>
      <c r="C67" s="6">
        <v>0.39</v>
      </c>
      <c r="D67" s="7">
        <f t="shared" si="2"/>
        <v>0.385125</v>
      </c>
      <c r="E67" s="7">
        <f t="shared" si="3"/>
        <v>0.36012499999999997</v>
      </c>
      <c r="F67" s="7">
        <f t="shared" si="4"/>
        <v>7.2024999999999997E-3</v>
      </c>
      <c r="G67" s="7">
        <f t="shared" si="5"/>
        <v>0.35292249999999997</v>
      </c>
    </row>
    <row r="68" spans="1:7" x14ac:dyDescent="0.35">
      <c r="A68" s="42"/>
      <c r="B68" s="5" t="s">
        <v>53</v>
      </c>
      <c r="C68" s="6">
        <v>0.38</v>
      </c>
      <c r="D68" s="7">
        <f t="shared" si="2"/>
        <v>0.37525000000000003</v>
      </c>
      <c r="E68" s="7">
        <f t="shared" si="3"/>
        <v>0.35025000000000001</v>
      </c>
      <c r="F68" s="7">
        <f t="shared" si="4"/>
        <v>7.0049999999999999E-3</v>
      </c>
      <c r="G68" s="7">
        <f t="shared" si="5"/>
        <v>0.34324500000000002</v>
      </c>
    </row>
    <row r="69" spans="1:7" x14ac:dyDescent="0.35">
      <c r="A69" s="42"/>
      <c r="B69" s="5" t="s">
        <v>54</v>
      </c>
      <c r="C69" s="6">
        <v>0.39</v>
      </c>
      <c r="D69" s="7">
        <f t="shared" si="2"/>
        <v>0.385125</v>
      </c>
      <c r="E69" s="7">
        <f t="shared" si="3"/>
        <v>0.36012499999999997</v>
      </c>
      <c r="F69" s="7">
        <f t="shared" si="4"/>
        <v>7.2024999999999997E-3</v>
      </c>
      <c r="G69" s="7">
        <f t="shared" si="5"/>
        <v>0.35292249999999997</v>
      </c>
    </row>
    <row r="70" spans="1:7" ht="48" x14ac:dyDescent="0.35">
      <c r="A70" s="42"/>
      <c r="B70" s="5" t="s">
        <v>55</v>
      </c>
      <c r="C70" s="6">
        <v>0.39</v>
      </c>
      <c r="D70" s="7">
        <f t="shared" si="2"/>
        <v>0.385125</v>
      </c>
      <c r="E70" s="7">
        <f t="shared" si="3"/>
        <v>0.36012499999999997</v>
      </c>
      <c r="F70" s="7">
        <f t="shared" si="4"/>
        <v>7.2024999999999997E-3</v>
      </c>
      <c r="G70" s="7">
        <f t="shared" si="5"/>
        <v>0.35292249999999997</v>
      </c>
    </row>
    <row r="71" spans="1:7" x14ac:dyDescent="0.35">
      <c r="A71" s="43"/>
      <c r="B71" s="5" t="s">
        <v>27</v>
      </c>
      <c r="C71" s="6">
        <v>0.14000000000000001</v>
      </c>
      <c r="D71" s="7">
        <f t="shared" ref="D71:D134" si="6">(C71-(C71*1.25%))</f>
        <v>0.13825000000000001</v>
      </c>
      <c r="E71" s="7">
        <f t="shared" ref="E71:E134" si="7">D71-(2.5%)</f>
        <v>0.11325000000000002</v>
      </c>
      <c r="F71" s="7">
        <f t="shared" ref="F71:F134" si="8">E71*(2%)</f>
        <v>2.2650000000000005E-3</v>
      </c>
      <c r="G71" s="7">
        <f t="shared" ref="G71:G134" si="9">E71-F71</f>
        <v>0.11098500000000001</v>
      </c>
    </row>
    <row r="72" spans="1:7" x14ac:dyDescent="0.35">
      <c r="A72" s="41" t="s">
        <v>56</v>
      </c>
      <c r="B72" s="5" t="s">
        <v>13</v>
      </c>
      <c r="C72" s="7">
        <v>0.34</v>
      </c>
      <c r="D72" s="7">
        <f t="shared" si="6"/>
        <v>0.33575000000000005</v>
      </c>
      <c r="E72" s="7">
        <f t="shared" si="7"/>
        <v>0.31075000000000003</v>
      </c>
      <c r="F72" s="7">
        <f t="shared" si="8"/>
        <v>6.2150000000000009E-3</v>
      </c>
      <c r="G72" s="7">
        <f t="shared" si="9"/>
        <v>0.304535</v>
      </c>
    </row>
    <row r="73" spans="1:7" x14ac:dyDescent="0.35">
      <c r="A73" s="42"/>
      <c r="B73" s="5" t="s">
        <v>14</v>
      </c>
      <c r="C73" s="7">
        <v>0.45</v>
      </c>
      <c r="D73" s="7">
        <f t="shared" si="6"/>
        <v>0.44437500000000002</v>
      </c>
      <c r="E73" s="7">
        <f t="shared" si="7"/>
        <v>0.419375</v>
      </c>
      <c r="F73" s="7">
        <f t="shared" si="8"/>
        <v>8.3875000000000009E-3</v>
      </c>
      <c r="G73" s="7">
        <f t="shared" si="9"/>
        <v>0.41098750000000001</v>
      </c>
    </row>
    <row r="74" spans="1:7" x14ac:dyDescent="0.35">
      <c r="A74" s="42"/>
      <c r="B74" s="5" t="s">
        <v>15</v>
      </c>
      <c r="C74" s="7">
        <v>0.42</v>
      </c>
      <c r="D74" s="7">
        <f t="shared" si="6"/>
        <v>0.41475000000000001</v>
      </c>
      <c r="E74" s="7">
        <f t="shared" si="7"/>
        <v>0.38974999999999999</v>
      </c>
      <c r="F74" s="7">
        <f t="shared" si="8"/>
        <v>7.7949999999999998E-3</v>
      </c>
      <c r="G74" s="7">
        <f t="shared" si="9"/>
        <v>0.38195499999999999</v>
      </c>
    </row>
    <row r="75" spans="1:7" x14ac:dyDescent="0.35">
      <c r="A75" s="42"/>
      <c r="B75" s="5" t="s">
        <v>16</v>
      </c>
      <c r="C75" s="7">
        <v>0.32</v>
      </c>
      <c r="D75" s="7">
        <f t="shared" si="6"/>
        <v>0.316</v>
      </c>
      <c r="E75" s="7">
        <f t="shared" si="7"/>
        <v>0.29099999999999998</v>
      </c>
      <c r="F75" s="7">
        <f t="shared" si="8"/>
        <v>5.8199999999999997E-3</v>
      </c>
      <c r="G75" s="7">
        <f t="shared" si="9"/>
        <v>0.28517999999999999</v>
      </c>
    </row>
    <row r="76" spans="1:7" x14ac:dyDescent="0.35">
      <c r="A76" s="42"/>
      <c r="B76" s="5" t="s">
        <v>17</v>
      </c>
      <c r="C76" s="7">
        <v>0.45</v>
      </c>
      <c r="D76" s="7">
        <f t="shared" si="6"/>
        <v>0.44437500000000002</v>
      </c>
      <c r="E76" s="7">
        <f t="shared" si="7"/>
        <v>0.419375</v>
      </c>
      <c r="F76" s="7">
        <f t="shared" si="8"/>
        <v>8.3875000000000009E-3</v>
      </c>
      <c r="G76" s="7">
        <f t="shared" si="9"/>
        <v>0.41098750000000001</v>
      </c>
    </row>
    <row r="77" spans="1:7" x14ac:dyDescent="0.35">
      <c r="A77" s="42"/>
      <c r="B77" s="5" t="s">
        <v>18</v>
      </c>
      <c r="C77" s="7">
        <v>0.41</v>
      </c>
      <c r="D77" s="7">
        <f t="shared" si="6"/>
        <v>0.40487499999999998</v>
      </c>
      <c r="E77" s="7">
        <f t="shared" si="7"/>
        <v>0.37987499999999996</v>
      </c>
      <c r="F77" s="7">
        <f t="shared" si="8"/>
        <v>7.5974999999999992E-3</v>
      </c>
      <c r="G77" s="7">
        <f t="shared" si="9"/>
        <v>0.37227749999999998</v>
      </c>
    </row>
    <row r="78" spans="1:7" x14ac:dyDescent="0.35">
      <c r="A78" s="42"/>
      <c r="B78" s="5" t="s">
        <v>19</v>
      </c>
      <c r="C78" s="7">
        <v>0.24</v>
      </c>
      <c r="D78" s="7">
        <f t="shared" si="6"/>
        <v>0.23699999999999999</v>
      </c>
      <c r="E78" s="7">
        <f t="shared" si="7"/>
        <v>0.21199999999999999</v>
      </c>
      <c r="F78" s="7">
        <f t="shared" si="8"/>
        <v>4.2399999999999998E-3</v>
      </c>
      <c r="G78" s="7">
        <f t="shared" si="9"/>
        <v>0.20776</v>
      </c>
    </row>
    <row r="79" spans="1:7" x14ac:dyDescent="0.35">
      <c r="A79" s="42"/>
      <c r="B79" s="5" t="s">
        <v>21</v>
      </c>
      <c r="C79" s="7">
        <v>0.2</v>
      </c>
      <c r="D79" s="7">
        <f t="shared" si="6"/>
        <v>0.19750000000000001</v>
      </c>
      <c r="E79" s="7">
        <f t="shared" si="7"/>
        <v>0.17250000000000001</v>
      </c>
      <c r="F79" s="7">
        <f t="shared" si="8"/>
        <v>3.4500000000000004E-3</v>
      </c>
      <c r="G79" s="7">
        <f t="shared" si="9"/>
        <v>0.16905000000000001</v>
      </c>
    </row>
    <row r="80" spans="1:7" x14ac:dyDescent="0.35">
      <c r="A80" s="42"/>
      <c r="B80" s="5" t="s">
        <v>22</v>
      </c>
      <c r="C80" s="7">
        <v>0.45</v>
      </c>
      <c r="D80" s="7">
        <f t="shared" si="6"/>
        <v>0.44437500000000002</v>
      </c>
      <c r="E80" s="7">
        <f t="shared" si="7"/>
        <v>0.419375</v>
      </c>
      <c r="F80" s="7">
        <f t="shared" si="8"/>
        <v>8.3875000000000009E-3</v>
      </c>
      <c r="G80" s="7">
        <f t="shared" si="9"/>
        <v>0.41098750000000001</v>
      </c>
    </row>
    <row r="81" spans="1:7" x14ac:dyDescent="0.35">
      <c r="A81" s="42"/>
      <c r="B81" s="5" t="s">
        <v>23</v>
      </c>
      <c r="C81" s="7">
        <v>0.45</v>
      </c>
      <c r="D81" s="7">
        <f t="shared" si="6"/>
        <v>0.44437500000000002</v>
      </c>
      <c r="E81" s="7">
        <f t="shared" si="7"/>
        <v>0.419375</v>
      </c>
      <c r="F81" s="7">
        <f t="shared" si="8"/>
        <v>8.3875000000000009E-3</v>
      </c>
      <c r="G81" s="7">
        <f t="shared" si="9"/>
        <v>0.41098750000000001</v>
      </c>
    </row>
    <row r="82" spans="1:7" x14ac:dyDescent="0.35">
      <c r="A82" s="42"/>
      <c r="B82" s="5" t="s">
        <v>24</v>
      </c>
      <c r="C82" s="7">
        <v>0.38</v>
      </c>
      <c r="D82" s="7">
        <f t="shared" si="6"/>
        <v>0.37525000000000003</v>
      </c>
      <c r="E82" s="7">
        <f t="shared" si="7"/>
        <v>0.35025000000000001</v>
      </c>
      <c r="F82" s="7">
        <f t="shared" si="8"/>
        <v>7.0049999999999999E-3</v>
      </c>
      <c r="G82" s="7">
        <f t="shared" si="9"/>
        <v>0.34324500000000002</v>
      </c>
    </row>
    <row r="83" spans="1:7" x14ac:dyDescent="0.35">
      <c r="A83" s="42"/>
      <c r="B83" s="5" t="s">
        <v>25</v>
      </c>
      <c r="C83" s="7">
        <v>0.39</v>
      </c>
      <c r="D83" s="7">
        <f t="shared" si="6"/>
        <v>0.385125</v>
      </c>
      <c r="E83" s="7">
        <f t="shared" si="7"/>
        <v>0.36012499999999997</v>
      </c>
      <c r="F83" s="7">
        <f t="shared" si="8"/>
        <v>7.2024999999999997E-3</v>
      </c>
      <c r="G83" s="7">
        <f t="shared" si="9"/>
        <v>0.35292249999999997</v>
      </c>
    </row>
    <row r="84" spans="1:7" x14ac:dyDescent="0.35">
      <c r="A84" s="42"/>
      <c r="B84" s="5" t="s">
        <v>26</v>
      </c>
      <c r="C84" s="7">
        <v>0.45</v>
      </c>
      <c r="D84" s="7">
        <f t="shared" si="6"/>
        <v>0.44437500000000002</v>
      </c>
      <c r="E84" s="7">
        <f t="shared" si="7"/>
        <v>0.419375</v>
      </c>
      <c r="F84" s="7">
        <f t="shared" si="8"/>
        <v>8.3875000000000009E-3</v>
      </c>
      <c r="G84" s="7">
        <f t="shared" si="9"/>
        <v>0.41098750000000001</v>
      </c>
    </row>
    <row r="85" spans="1:7" x14ac:dyDescent="0.35">
      <c r="A85" s="43"/>
      <c r="B85" s="5" t="s">
        <v>27</v>
      </c>
      <c r="C85" s="7">
        <v>0.17</v>
      </c>
      <c r="D85" s="7">
        <f t="shared" si="6"/>
        <v>0.16787500000000002</v>
      </c>
      <c r="E85" s="7">
        <f t="shared" si="7"/>
        <v>0.14287500000000003</v>
      </c>
      <c r="F85" s="7">
        <f t="shared" si="8"/>
        <v>2.8575000000000007E-3</v>
      </c>
      <c r="G85" s="7">
        <f t="shared" si="9"/>
        <v>0.14001750000000002</v>
      </c>
    </row>
    <row r="86" spans="1:7" x14ac:dyDescent="0.35">
      <c r="A86" s="41" t="s">
        <v>57</v>
      </c>
      <c r="B86" s="5" t="s">
        <v>58</v>
      </c>
      <c r="C86" s="6">
        <v>0.33</v>
      </c>
      <c r="D86" s="7">
        <f t="shared" si="6"/>
        <v>0.32587500000000003</v>
      </c>
      <c r="E86" s="7">
        <f t="shared" si="7"/>
        <v>0.300875</v>
      </c>
      <c r="F86" s="7">
        <f t="shared" si="8"/>
        <v>6.0175000000000003E-3</v>
      </c>
      <c r="G86" s="7">
        <f t="shared" si="9"/>
        <v>0.29485749999999999</v>
      </c>
    </row>
    <row r="87" spans="1:7" x14ac:dyDescent="0.35">
      <c r="A87" s="43"/>
      <c r="B87" s="5" t="s">
        <v>27</v>
      </c>
      <c r="C87" s="6">
        <v>0.16</v>
      </c>
      <c r="D87" s="7">
        <f t="shared" si="6"/>
        <v>0.158</v>
      </c>
      <c r="E87" s="7">
        <f t="shared" si="7"/>
        <v>0.13300000000000001</v>
      </c>
      <c r="F87" s="7">
        <f t="shared" si="8"/>
        <v>2.66E-3</v>
      </c>
      <c r="G87" s="7">
        <f t="shared" si="9"/>
        <v>0.13034000000000001</v>
      </c>
    </row>
    <row r="88" spans="1:7" x14ac:dyDescent="0.35">
      <c r="A88" s="41" t="s">
        <v>59</v>
      </c>
      <c r="B88" s="5" t="s">
        <v>58</v>
      </c>
      <c r="C88" s="7">
        <v>0.45</v>
      </c>
      <c r="D88" s="7">
        <f t="shared" si="6"/>
        <v>0.44437500000000002</v>
      </c>
      <c r="E88" s="7">
        <f t="shared" si="7"/>
        <v>0.419375</v>
      </c>
      <c r="F88" s="7">
        <f t="shared" si="8"/>
        <v>8.3875000000000009E-3</v>
      </c>
      <c r="G88" s="7">
        <f t="shared" si="9"/>
        <v>0.41098750000000001</v>
      </c>
    </row>
    <row r="89" spans="1:7" x14ac:dyDescent="0.35">
      <c r="A89" s="43"/>
      <c r="B89" s="5" t="s">
        <v>27</v>
      </c>
      <c r="C89" s="7">
        <v>0.21999999999999997</v>
      </c>
      <c r="D89" s="7">
        <f t="shared" si="6"/>
        <v>0.21724999999999997</v>
      </c>
      <c r="E89" s="7">
        <f t="shared" si="7"/>
        <v>0.19224999999999998</v>
      </c>
      <c r="F89" s="7">
        <f t="shared" si="8"/>
        <v>3.8449999999999995E-3</v>
      </c>
      <c r="G89" s="7">
        <f t="shared" si="9"/>
        <v>0.18840499999999999</v>
      </c>
    </row>
    <row r="90" spans="1:7" x14ac:dyDescent="0.35">
      <c r="A90" s="48" t="s">
        <v>1513</v>
      </c>
      <c r="B90" s="5" t="s">
        <v>61</v>
      </c>
      <c r="C90" s="7">
        <v>0.52500000000000002</v>
      </c>
      <c r="D90" s="7">
        <f t="shared" si="6"/>
        <v>0.5184375</v>
      </c>
      <c r="E90" s="7">
        <f t="shared" si="7"/>
        <v>0.49343749999999997</v>
      </c>
      <c r="F90" s="7">
        <f t="shared" si="8"/>
        <v>9.8687499999999991E-3</v>
      </c>
      <c r="G90" s="7">
        <f t="shared" si="9"/>
        <v>0.48356874999999999</v>
      </c>
    </row>
    <row r="91" spans="1:7" x14ac:dyDescent="0.35">
      <c r="A91" s="48"/>
      <c r="B91" s="5" t="s">
        <v>62</v>
      </c>
      <c r="C91" s="7">
        <v>0.45</v>
      </c>
      <c r="D91" s="7">
        <f t="shared" si="6"/>
        <v>0.44437500000000002</v>
      </c>
      <c r="E91" s="7">
        <f t="shared" si="7"/>
        <v>0.419375</v>
      </c>
      <c r="F91" s="7">
        <f t="shared" si="8"/>
        <v>8.3875000000000009E-3</v>
      </c>
      <c r="G91" s="7">
        <f t="shared" si="9"/>
        <v>0.41098750000000001</v>
      </c>
    </row>
    <row r="92" spans="1:7" x14ac:dyDescent="0.35">
      <c r="A92" s="48"/>
      <c r="B92" s="5" t="s">
        <v>63</v>
      </c>
      <c r="C92" s="7">
        <v>0.31</v>
      </c>
      <c r="D92" s="7">
        <f t="shared" si="6"/>
        <v>0.30612499999999998</v>
      </c>
      <c r="E92" s="7">
        <f t="shared" si="7"/>
        <v>0.28112499999999996</v>
      </c>
      <c r="F92" s="7">
        <f t="shared" si="8"/>
        <v>5.622499999999999E-3</v>
      </c>
      <c r="G92" s="7">
        <f t="shared" si="9"/>
        <v>0.27550249999999998</v>
      </c>
    </row>
    <row r="93" spans="1:7" x14ac:dyDescent="0.35">
      <c r="A93" s="48"/>
      <c r="B93" s="5" t="s">
        <v>64</v>
      </c>
      <c r="C93" s="7">
        <v>0.31</v>
      </c>
      <c r="D93" s="7">
        <f t="shared" si="6"/>
        <v>0.30612499999999998</v>
      </c>
      <c r="E93" s="7">
        <f t="shared" si="7"/>
        <v>0.28112499999999996</v>
      </c>
      <c r="F93" s="7">
        <f t="shared" si="8"/>
        <v>5.622499999999999E-3</v>
      </c>
      <c r="G93" s="7">
        <f t="shared" si="9"/>
        <v>0.27550249999999998</v>
      </c>
    </row>
    <row r="94" spans="1:7" x14ac:dyDescent="0.35">
      <c r="A94" s="48" t="s">
        <v>1514</v>
      </c>
      <c r="B94" s="5" t="s">
        <v>61</v>
      </c>
      <c r="C94" s="6">
        <v>0.57499999999999996</v>
      </c>
      <c r="D94" s="7">
        <f t="shared" si="6"/>
        <v>0.56781249999999994</v>
      </c>
      <c r="E94" s="7">
        <f t="shared" si="7"/>
        <v>0.54281249999999992</v>
      </c>
      <c r="F94" s="7">
        <f t="shared" si="8"/>
        <v>1.0856249999999998E-2</v>
      </c>
      <c r="G94" s="7">
        <f t="shared" si="9"/>
        <v>0.53195624999999991</v>
      </c>
    </row>
    <row r="95" spans="1:7" x14ac:dyDescent="0.35">
      <c r="A95" s="48"/>
      <c r="B95" s="5" t="s">
        <v>62</v>
      </c>
      <c r="C95" s="6">
        <v>0.5</v>
      </c>
      <c r="D95" s="7">
        <f t="shared" si="6"/>
        <v>0.49375000000000002</v>
      </c>
      <c r="E95" s="7">
        <f t="shared" si="7"/>
        <v>0.46875</v>
      </c>
      <c r="F95" s="7">
        <f t="shared" si="8"/>
        <v>9.3749999999999997E-3</v>
      </c>
      <c r="G95" s="7">
        <f t="shared" si="9"/>
        <v>0.45937499999999998</v>
      </c>
    </row>
    <row r="96" spans="1:7" x14ac:dyDescent="0.35">
      <c r="A96" s="48"/>
      <c r="B96" s="5" t="s">
        <v>63</v>
      </c>
      <c r="C96" s="6">
        <v>0.36</v>
      </c>
      <c r="D96" s="7">
        <f t="shared" si="6"/>
        <v>0.35549999999999998</v>
      </c>
      <c r="E96" s="7">
        <f t="shared" si="7"/>
        <v>0.33049999999999996</v>
      </c>
      <c r="F96" s="7">
        <f t="shared" si="8"/>
        <v>6.6099999999999996E-3</v>
      </c>
      <c r="G96" s="7">
        <f t="shared" si="9"/>
        <v>0.32388999999999996</v>
      </c>
    </row>
    <row r="97" spans="1:7" x14ac:dyDescent="0.35">
      <c r="A97" s="48"/>
      <c r="B97" s="5" t="s">
        <v>64</v>
      </c>
      <c r="C97" s="6">
        <v>0.36</v>
      </c>
      <c r="D97" s="7">
        <f t="shared" si="6"/>
        <v>0.35549999999999998</v>
      </c>
      <c r="E97" s="7">
        <f t="shared" si="7"/>
        <v>0.33049999999999996</v>
      </c>
      <c r="F97" s="7">
        <f t="shared" si="8"/>
        <v>6.6099999999999996E-3</v>
      </c>
      <c r="G97" s="7">
        <f t="shared" si="9"/>
        <v>0.32388999999999996</v>
      </c>
    </row>
    <row r="98" spans="1:7" x14ac:dyDescent="0.35">
      <c r="A98" s="48" t="s">
        <v>1515</v>
      </c>
      <c r="B98" s="5" t="s">
        <v>61</v>
      </c>
      <c r="C98" s="6">
        <v>0.57999999999999996</v>
      </c>
      <c r="D98" s="7">
        <f t="shared" si="6"/>
        <v>0.57274999999999998</v>
      </c>
      <c r="E98" s="7">
        <f t="shared" si="7"/>
        <v>0.54774999999999996</v>
      </c>
      <c r="F98" s="7">
        <f t="shared" si="8"/>
        <v>1.0954999999999999E-2</v>
      </c>
      <c r="G98" s="7">
        <f t="shared" si="9"/>
        <v>0.53679499999999991</v>
      </c>
    </row>
    <row r="99" spans="1:7" x14ac:dyDescent="0.35">
      <c r="A99" s="48"/>
      <c r="B99" s="5" t="s">
        <v>62</v>
      </c>
      <c r="C99" s="6">
        <v>0.51</v>
      </c>
      <c r="D99" s="7">
        <f t="shared" si="6"/>
        <v>0.50362499999999999</v>
      </c>
      <c r="E99" s="7">
        <f t="shared" si="7"/>
        <v>0.47862499999999997</v>
      </c>
      <c r="F99" s="7">
        <f t="shared" si="8"/>
        <v>9.5724999999999994E-3</v>
      </c>
      <c r="G99" s="7">
        <f t="shared" si="9"/>
        <v>0.46905249999999998</v>
      </c>
    </row>
    <row r="100" spans="1:7" x14ac:dyDescent="0.35">
      <c r="A100" s="48"/>
      <c r="B100" s="5" t="s">
        <v>63</v>
      </c>
      <c r="C100" s="6">
        <v>0.37</v>
      </c>
      <c r="D100" s="7">
        <f t="shared" si="6"/>
        <v>0.36537500000000001</v>
      </c>
      <c r="E100" s="7">
        <f t="shared" si="7"/>
        <v>0.34037499999999998</v>
      </c>
      <c r="F100" s="7">
        <f t="shared" si="8"/>
        <v>6.8075000000000002E-3</v>
      </c>
      <c r="G100" s="7">
        <f t="shared" si="9"/>
        <v>0.33356749999999996</v>
      </c>
    </row>
    <row r="101" spans="1:7" x14ac:dyDescent="0.35">
      <c r="A101" s="48"/>
      <c r="B101" s="5" t="s">
        <v>64</v>
      </c>
      <c r="C101" s="6">
        <v>0.37</v>
      </c>
      <c r="D101" s="7">
        <f t="shared" si="6"/>
        <v>0.36537500000000001</v>
      </c>
      <c r="E101" s="7">
        <f t="shared" si="7"/>
        <v>0.34037499999999998</v>
      </c>
      <c r="F101" s="7">
        <f t="shared" si="8"/>
        <v>6.8075000000000002E-3</v>
      </c>
      <c r="G101" s="7">
        <f t="shared" si="9"/>
        <v>0.33356749999999996</v>
      </c>
    </row>
    <row r="102" spans="1:7" x14ac:dyDescent="0.35">
      <c r="A102" s="48" t="s">
        <v>1516</v>
      </c>
      <c r="B102" s="5" t="s">
        <v>61</v>
      </c>
      <c r="C102" s="6">
        <v>0.55500000000000005</v>
      </c>
      <c r="D102" s="7">
        <f t="shared" si="6"/>
        <v>0.54806250000000001</v>
      </c>
      <c r="E102" s="7">
        <f t="shared" si="7"/>
        <v>0.52306249999999999</v>
      </c>
      <c r="F102" s="7">
        <f t="shared" si="8"/>
        <v>1.046125E-2</v>
      </c>
      <c r="G102" s="7">
        <f t="shared" si="9"/>
        <v>0.51260125000000001</v>
      </c>
    </row>
    <row r="103" spans="1:7" x14ac:dyDescent="0.35">
      <c r="A103" s="48"/>
      <c r="B103" s="5" t="s">
        <v>62</v>
      </c>
      <c r="C103" s="6">
        <v>0.48</v>
      </c>
      <c r="D103" s="7">
        <f t="shared" si="6"/>
        <v>0.47399999999999998</v>
      </c>
      <c r="E103" s="7">
        <f t="shared" si="7"/>
        <v>0.44899999999999995</v>
      </c>
      <c r="F103" s="7">
        <f t="shared" si="8"/>
        <v>8.9800000000000001E-3</v>
      </c>
      <c r="G103" s="7">
        <f t="shared" si="9"/>
        <v>0.44001999999999997</v>
      </c>
    </row>
    <row r="104" spans="1:7" x14ac:dyDescent="0.35">
      <c r="A104" s="48"/>
      <c r="B104" s="5" t="s">
        <v>63</v>
      </c>
      <c r="C104" s="6">
        <v>0.34</v>
      </c>
      <c r="D104" s="7">
        <f t="shared" si="6"/>
        <v>0.33575000000000005</v>
      </c>
      <c r="E104" s="7">
        <f t="shared" si="7"/>
        <v>0.31075000000000003</v>
      </c>
      <c r="F104" s="7">
        <f t="shared" si="8"/>
        <v>6.2150000000000009E-3</v>
      </c>
      <c r="G104" s="7">
        <f t="shared" si="9"/>
        <v>0.304535</v>
      </c>
    </row>
    <row r="105" spans="1:7" x14ac:dyDescent="0.35">
      <c r="A105" s="48"/>
      <c r="B105" s="5" t="s">
        <v>64</v>
      </c>
      <c r="C105" s="6">
        <v>0.34</v>
      </c>
      <c r="D105" s="7">
        <f t="shared" si="6"/>
        <v>0.33575000000000005</v>
      </c>
      <c r="E105" s="7">
        <f t="shared" si="7"/>
        <v>0.31075000000000003</v>
      </c>
      <c r="F105" s="7">
        <f t="shared" si="8"/>
        <v>6.2150000000000009E-3</v>
      </c>
      <c r="G105" s="7">
        <f t="shared" si="9"/>
        <v>0.304535</v>
      </c>
    </row>
    <row r="106" spans="1:7" x14ac:dyDescent="0.35">
      <c r="A106" s="48" t="s">
        <v>1517</v>
      </c>
      <c r="B106" s="5" t="s">
        <v>61</v>
      </c>
      <c r="C106" s="6">
        <v>0.57499999999999996</v>
      </c>
      <c r="D106" s="7">
        <f t="shared" si="6"/>
        <v>0.56781249999999994</v>
      </c>
      <c r="E106" s="7">
        <f t="shared" si="7"/>
        <v>0.54281249999999992</v>
      </c>
      <c r="F106" s="7">
        <f t="shared" si="8"/>
        <v>1.0856249999999998E-2</v>
      </c>
      <c r="G106" s="7">
        <f t="shared" si="9"/>
        <v>0.53195624999999991</v>
      </c>
    </row>
    <row r="107" spans="1:7" x14ac:dyDescent="0.35">
      <c r="A107" s="48"/>
      <c r="B107" s="5" t="s">
        <v>62</v>
      </c>
      <c r="C107" s="6">
        <v>0.5</v>
      </c>
      <c r="D107" s="7">
        <f t="shared" si="6"/>
        <v>0.49375000000000002</v>
      </c>
      <c r="E107" s="7">
        <f t="shared" si="7"/>
        <v>0.46875</v>
      </c>
      <c r="F107" s="7">
        <f t="shared" si="8"/>
        <v>9.3749999999999997E-3</v>
      </c>
      <c r="G107" s="7">
        <f t="shared" si="9"/>
        <v>0.45937499999999998</v>
      </c>
    </row>
    <row r="108" spans="1:7" x14ac:dyDescent="0.35">
      <c r="A108" s="48"/>
      <c r="B108" s="5" t="s">
        <v>63</v>
      </c>
      <c r="C108" s="6">
        <v>0.36</v>
      </c>
      <c r="D108" s="7">
        <f t="shared" si="6"/>
        <v>0.35549999999999998</v>
      </c>
      <c r="E108" s="7">
        <f t="shared" si="7"/>
        <v>0.33049999999999996</v>
      </c>
      <c r="F108" s="7">
        <f t="shared" si="8"/>
        <v>6.6099999999999996E-3</v>
      </c>
      <c r="G108" s="7">
        <f t="shared" si="9"/>
        <v>0.32388999999999996</v>
      </c>
    </row>
    <row r="109" spans="1:7" x14ac:dyDescent="0.35">
      <c r="A109" s="48"/>
      <c r="B109" s="5" t="s">
        <v>64</v>
      </c>
      <c r="C109" s="6">
        <v>0.36</v>
      </c>
      <c r="D109" s="7">
        <f t="shared" si="6"/>
        <v>0.35549999999999998</v>
      </c>
      <c r="E109" s="7">
        <f t="shared" si="7"/>
        <v>0.33049999999999996</v>
      </c>
      <c r="F109" s="7">
        <f t="shared" si="8"/>
        <v>6.6099999999999996E-3</v>
      </c>
      <c r="G109" s="7">
        <f t="shared" si="9"/>
        <v>0.32388999999999996</v>
      </c>
    </row>
    <row r="110" spans="1:7" x14ac:dyDescent="0.35">
      <c r="A110" s="48" t="s">
        <v>1518</v>
      </c>
      <c r="B110" s="5" t="s">
        <v>61</v>
      </c>
      <c r="C110" s="6">
        <v>0.57999999999999996</v>
      </c>
      <c r="D110" s="7">
        <f t="shared" si="6"/>
        <v>0.57274999999999998</v>
      </c>
      <c r="E110" s="7">
        <f t="shared" si="7"/>
        <v>0.54774999999999996</v>
      </c>
      <c r="F110" s="7">
        <f t="shared" si="8"/>
        <v>1.0954999999999999E-2</v>
      </c>
      <c r="G110" s="7">
        <f t="shared" si="9"/>
        <v>0.53679499999999991</v>
      </c>
    </row>
    <row r="111" spans="1:7" x14ac:dyDescent="0.35">
      <c r="A111" s="48"/>
      <c r="B111" s="5" t="s">
        <v>62</v>
      </c>
      <c r="C111" s="6">
        <v>0.51</v>
      </c>
      <c r="D111" s="7">
        <f t="shared" si="6"/>
        <v>0.50362499999999999</v>
      </c>
      <c r="E111" s="7">
        <f t="shared" si="7"/>
        <v>0.47862499999999997</v>
      </c>
      <c r="F111" s="7">
        <f t="shared" si="8"/>
        <v>9.5724999999999994E-3</v>
      </c>
      <c r="G111" s="7">
        <f t="shared" si="9"/>
        <v>0.46905249999999998</v>
      </c>
    </row>
    <row r="112" spans="1:7" x14ac:dyDescent="0.35">
      <c r="A112" s="48"/>
      <c r="B112" s="5" t="s">
        <v>63</v>
      </c>
      <c r="C112" s="6">
        <v>0.37</v>
      </c>
      <c r="D112" s="7">
        <f t="shared" si="6"/>
        <v>0.36537500000000001</v>
      </c>
      <c r="E112" s="7">
        <f t="shared" si="7"/>
        <v>0.34037499999999998</v>
      </c>
      <c r="F112" s="7">
        <f t="shared" si="8"/>
        <v>6.8075000000000002E-3</v>
      </c>
      <c r="G112" s="7">
        <f t="shared" si="9"/>
        <v>0.33356749999999996</v>
      </c>
    </row>
    <row r="113" spans="1:7" x14ac:dyDescent="0.35">
      <c r="A113" s="48"/>
      <c r="B113" s="5" t="s">
        <v>64</v>
      </c>
      <c r="C113" s="6">
        <v>0.37</v>
      </c>
      <c r="D113" s="7">
        <f t="shared" si="6"/>
        <v>0.36537500000000001</v>
      </c>
      <c r="E113" s="7">
        <f t="shared" si="7"/>
        <v>0.34037499999999998</v>
      </c>
      <c r="F113" s="7">
        <f t="shared" si="8"/>
        <v>6.8075000000000002E-3</v>
      </c>
      <c r="G113" s="7">
        <f t="shared" si="9"/>
        <v>0.33356749999999996</v>
      </c>
    </row>
    <row r="114" spans="1:7" x14ac:dyDescent="0.35">
      <c r="A114" s="2" t="s">
        <v>67</v>
      </c>
      <c r="B114" s="2" t="s">
        <v>1</v>
      </c>
      <c r="C114" s="3" t="s">
        <v>2</v>
      </c>
      <c r="D114" s="4" t="s">
        <v>1275</v>
      </c>
      <c r="E114" s="4" t="s">
        <v>1276</v>
      </c>
      <c r="F114" s="4" t="s">
        <v>363</v>
      </c>
      <c r="G114" s="4" t="s">
        <v>364</v>
      </c>
    </row>
    <row r="115" spans="1:7" x14ac:dyDescent="0.35">
      <c r="A115" s="5" t="s">
        <v>68</v>
      </c>
      <c r="B115" s="5" t="s">
        <v>69</v>
      </c>
      <c r="C115" s="6">
        <v>0.27500000000000002</v>
      </c>
      <c r="D115" s="7">
        <f t="shared" si="6"/>
        <v>0.27156250000000004</v>
      </c>
      <c r="E115" s="7">
        <f t="shared" si="7"/>
        <v>0.24656250000000005</v>
      </c>
      <c r="F115" s="7">
        <f t="shared" si="8"/>
        <v>4.9312500000000007E-3</v>
      </c>
      <c r="G115" s="7">
        <f t="shared" si="9"/>
        <v>0.24163125000000005</v>
      </c>
    </row>
    <row r="116" spans="1:7" x14ac:dyDescent="0.35">
      <c r="A116" s="5" t="s">
        <v>70</v>
      </c>
      <c r="B116" s="5" t="s">
        <v>69</v>
      </c>
      <c r="C116" s="6">
        <v>0.12</v>
      </c>
      <c r="D116" s="7">
        <f t="shared" si="6"/>
        <v>0.11849999999999999</v>
      </c>
      <c r="E116" s="7">
        <f t="shared" si="7"/>
        <v>9.35E-2</v>
      </c>
      <c r="F116" s="7">
        <f t="shared" si="8"/>
        <v>1.8700000000000001E-3</v>
      </c>
      <c r="G116" s="7">
        <f t="shared" si="9"/>
        <v>9.1630000000000003E-2</v>
      </c>
    </row>
    <row r="117" spans="1:7" ht="36" x14ac:dyDescent="0.35">
      <c r="A117" s="5" t="s">
        <v>71</v>
      </c>
      <c r="B117" s="5" t="s">
        <v>72</v>
      </c>
      <c r="C117" s="6">
        <v>0.5</v>
      </c>
      <c r="D117" s="7">
        <f t="shared" si="6"/>
        <v>0.49375000000000002</v>
      </c>
      <c r="E117" s="7">
        <f t="shared" si="7"/>
        <v>0.46875</v>
      </c>
      <c r="F117" s="7">
        <f t="shared" si="8"/>
        <v>9.3749999999999997E-3</v>
      </c>
      <c r="G117" s="7">
        <f t="shared" si="9"/>
        <v>0.45937499999999998</v>
      </c>
    </row>
    <row r="118" spans="1:7" ht="36" x14ac:dyDescent="0.35">
      <c r="A118" s="5" t="s">
        <v>73</v>
      </c>
      <c r="B118" s="5" t="s">
        <v>74</v>
      </c>
      <c r="C118" s="6">
        <v>0.5</v>
      </c>
      <c r="D118" s="7">
        <f t="shared" si="6"/>
        <v>0.49375000000000002</v>
      </c>
      <c r="E118" s="7">
        <f t="shared" si="7"/>
        <v>0.46875</v>
      </c>
      <c r="F118" s="7">
        <f t="shared" si="8"/>
        <v>9.3749999999999997E-3</v>
      </c>
      <c r="G118" s="7">
        <f t="shared" si="9"/>
        <v>0.45937499999999998</v>
      </c>
    </row>
    <row r="119" spans="1:7" ht="24" x14ac:dyDescent="0.35">
      <c r="A119" s="5" t="s">
        <v>71</v>
      </c>
      <c r="B119" s="5" t="s">
        <v>75</v>
      </c>
      <c r="C119" s="6">
        <v>0.46</v>
      </c>
      <c r="D119" s="7">
        <f t="shared" si="6"/>
        <v>0.45425000000000004</v>
      </c>
      <c r="E119" s="7">
        <f t="shared" si="7"/>
        <v>0.42925000000000002</v>
      </c>
      <c r="F119" s="7">
        <f t="shared" si="8"/>
        <v>8.5850000000000006E-3</v>
      </c>
      <c r="G119" s="7">
        <f t="shared" si="9"/>
        <v>0.42066500000000001</v>
      </c>
    </row>
    <row r="120" spans="1:7" ht="24" x14ac:dyDescent="0.35">
      <c r="A120" s="5" t="s">
        <v>73</v>
      </c>
      <c r="B120" s="5" t="s">
        <v>76</v>
      </c>
      <c r="C120" s="6">
        <v>0.46</v>
      </c>
      <c r="D120" s="7">
        <f t="shared" si="6"/>
        <v>0.45425000000000004</v>
      </c>
      <c r="E120" s="7">
        <f t="shared" si="7"/>
        <v>0.42925000000000002</v>
      </c>
      <c r="F120" s="7">
        <f t="shared" si="8"/>
        <v>8.5850000000000006E-3</v>
      </c>
      <c r="G120" s="7">
        <f t="shared" si="9"/>
        <v>0.42066500000000001</v>
      </c>
    </row>
    <row r="121" spans="1:7" x14ac:dyDescent="0.35">
      <c r="A121" s="48" t="s">
        <v>1519</v>
      </c>
      <c r="B121" s="5" t="s">
        <v>61</v>
      </c>
      <c r="C121" s="6">
        <v>0.52500000000000002</v>
      </c>
      <c r="D121" s="7">
        <f t="shared" si="6"/>
        <v>0.5184375</v>
      </c>
      <c r="E121" s="7">
        <f t="shared" si="7"/>
        <v>0.49343749999999997</v>
      </c>
      <c r="F121" s="7">
        <f t="shared" si="8"/>
        <v>9.8687499999999991E-3</v>
      </c>
      <c r="G121" s="7">
        <f t="shared" si="9"/>
        <v>0.48356874999999999</v>
      </c>
    </row>
    <row r="122" spans="1:7" x14ac:dyDescent="0.35">
      <c r="A122" s="48"/>
      <c r="B122" s="5" t="s">
        <v>62</v>
      </c>
      <c r="C122" s="6">
        <v>0.45</v>
      </c>
      <c r="D122" s="7">
        <f t="shared" si="6"/>
        <v>0.44437500000000002</v>
      </c>
      <c r="E122" s="7">
        <f t="shared" si="7"/>
        <v>0.419375</v>
      </c>
      <c r="F122" s="7">
        <f t="shared" si="8"/>
        <v>8.3875000000000009E-3</v>
      </c>
      <c r="G122" s="7">
        <f t="shared" si="9"/>
        <v>0.41098750000000001</v>
      </c>
    </row>
    <row r="123" spans="1:7" x14ac:dyDescent="0.35">
      <c r="A123" s="48"/>
      <c r="B123" s="5" t="s">
        <v>63</v>
      </c>
      <c r="C123" s="6">
        <v>0.31</v>
      </c>
      <c r="D123" s="7">
        <f t="shared" si="6"/>
        <v>0.30612499999999998</v>
      </c>
      <c r="E123" s="7">
        <f t="shared" si="7"/>
        <v>0.28112499999999996</v>
      </c>
      <c r="F123" s="7">
        <f t="shared" si="8"/>
        <v>5.622499999999999E-3</v>
      </c>
      <c r="G123" s="7">
        <f t="shared" si="9"/>
        <v>0.27550249999999998</v>
      </c>
    </row>
    <row r="124" spans="1:7" x14ac:dyDescent="0.35">
      <c r="A124" s="48"/>
      <c r="B124" s="5" t="s">
        <v>64</v>
      </c>
      <c r="C124" s="6">
        <v>0.31</v>
      </c>
      <c r="D124" s="7">
        <f t="shared" si="6"/>
        <v>0.30612499999999998</v>
      </c>
      <c r="E124" s="7">
        <f t="shared" si="7"/>
        <v>0.28112499999999996</v>
      </c>
      <c r="F124" s="7">
        <f t="shared" si="8"/>
        <v>5.622499999999999E-3</v>
      </c>
      <c r="G124" s="7">
        <f t="shared" si="9"/>
        <v>0.27550249999999998</v>
      </c>
    </row>
    <row r="125" spans="1:7" x14ac:dyDescent="0.35">
      <c r="A125" s="48" t="s">
        <v>1520</v>
      </c>
      <c r="B125" s="5" t="s">
        <v>61</v>
      </c>
      <c r="C125" s="6">
        <v>0.57499999999999996</v>
      </c>
      <c r="D125" s="7">
        <f t="shared" si="6"/>
        <v>0.56781249999999994</v>
      </c>
      <c r="E125" s="7">
        <f t="shared" si="7"/>
        <v>0.54281249999999992</v>
      </c>
      <c r="F125" s="7">
        <f t="shared" si="8"/>
        <v>1.0856249999999998E-2</v>
      </c>
      <c r="G125" s="7">
        <f t="shared" si="9"/>
        <v>0.53195624999999991</v>
      </c>
    </row>
    <row r="126" spans="1:7" x14ac:dyDescent="0.35">
      <c r="A126" s="48"/>
      <c r="B126" s="5" t="s">
        <v>62</v>
      </c>
      <c r="C126" s="6">
        <v>0.5</v>
      </c>
      <c r="D126" s="7">
        <f t="shared" si="6"/>
        <v>0.49375000000000002</v>
      </c>
      <c r="E126" s="7">
        <f t="shared" si="7"/>
        <v>0.46875</v>
      </c>
      <c r="F126" s="7">
        <f t="shared" si="8"/>
        <v>9.3749999999999997E-3</v>
      </c>
      <c r="G126" s="7">
        <f t="shared" si="9"/>
        <v>0.45937499999999998</v>
      </c>
    </row>
    <row r="127" spans="1:7" x14ac:dyDescent="0.35">
      <c r="A127" s="48"/>
      <c r="B127" s="5" t="s">
        <v>63</v>
      </c>
      <c r="C127" s="6">
        <v>0.36</v>
      </c>
      <c r="D127" s="7">
        <f t="shared" si="6"/>
        <v>0.35549999999999998</v>
      </c>
      <c r="E127" s="7">
        <f t="shared" si="7"/>
        <v>0.33049999999999996</v>
      </c>
      <c r="F127" s="7">
        <f t="shared" si="8"/>
        <v>6.6099999999999996E-3</v>
      </c>
      <c r="G127" s="7">
        <f t="shared" si="9"/>
        <v>0.32388999999999996</v>
      </c>
    </row>
    <row r="128" spans="1:7" x14ac:dyDescent="0.35">
      <c r="A128" s="48"/>
      <c r="B128" s="5" t="s">
        <v>64</v>
      </c>
      <c r="C128" s="6">
        <v>0.36</v>
      </c>
      <c r="D128" s="7">
        <f t="shared" si="6"/>
        <v>0.35549999999999998</v>
      </c>
      <c r="E128" s="7">
        <f t="shared" si="7"/>
        <v>0.33049999999999996</v>
      </c>
      <c r="F128" s="7">
        <f t="shared" si="8"/>
        <v>6.6099999999999996E-3</v>
      </c>
      <c r="G128" s="7">
        <f t="shared" si="9"/>
        <v>0.32388999999999996</v>
      </c>
    </row>
    <row r="129" spans="1:7" x14ac:dyDescent="0.35">
      <c r="A129" s="48" t="s">
        <v>1521</v>
      </c>
      <c r="B129" s="5" t="s">
        <v>61</v>
      </c>
      <c r="C129" s="6">
        <v>0.57999999999999996</v>
      </c>
      <c r="D129" s="7">
        <f t="shared" si="6"/>
        <v>0.57274999999999998</v>
      </c>
      <c r="E129" s="7">
        <f t="shared" si="7"/>
        <v>0.54774999999999996</v>
      </c>
      <c r="F129" s="7">
        <f t="shared" si="8"/>
        <v>1.0954999999999999E-2</v>
      </c>
      <c r="G129" s="7">
        <f t="shared" si="9"/>
        <v>0.53679499999999991</v>
      </c>
    </row>
    <row r="130" spans="1:7" x14ac:dyDescent="0.35">
      <c r="A130" s="48"/>
      <c r="B130" s="5" t="s">
        <v>62</v>
      </c>
      <c r="C130" s="6">
        <v>0.51</v>
      </c>
      <c r="D130" s="7">
        <f t="shared" si="6"/>
        <v>0.50362499999999999</v>
      </c>
      <c r="E130" s="7">
        <f t="shared" si="7"/>
        <v>0.47862499999999997</v>
      </c>
      <c r="F130" s="7">
        <f t="shared" si="8"/>
        <v>9.5724999999999994E-3</v>
      </c>
      <c r="G130" s="7">
        <f t="shared" si="9"/>
        <v>0.46905249999999998</v>
      </c>
    </row>
    <row r="131" spans="1:7" x14ac:dyDescent="0.35">
      <c r="A131" s="48"/>
      <c r="B131" s="5" t="s">
        <v>63</v>
      </c>
      <c r="C131" s="6">
        <v>0.37</v>
      </c>
      <c r="D131" s="7">
        <f t="shared" si="6"/>
        <v>0.36537500000000001</v>
      </c>
      <c r="E131" s="7">
        <f t="shared" si="7"/>
        <v>0.34037499999999998</v>
      </c>
      <c r="F131" s="7">
        <f t="shared" si="8"/>
        <v>6.8075000000000002E-3</v>
      </c>
      <c r="G131" s="7">
        <f t="shared" si="9"/>
        <v>0.33356749999999996</v>
      </c>
    </row>
    <row r="132" spans="1:7" x14ac:dyDescent="0.35">
      <c r="A132" s="48"/>
      <c r="B132" s="5" t="s">
        <v>64</v>
      </c>
      <c r="C132" s="6">
        <v>0.37</v>
      </c>
      <c r="D132" s="7">
        <f t="shared" si="6"/>
        <v>0.36537500000000001</v>
      </c>
      <c r="E132" s="7">
        <f t="shared" si="7"/>
        <v>0.34037499999999998</v>
      </c>
      <c r="F132" s="7">
        <f t="shared" si="8"/>
        <v>6.8075000000000002E-3</v>
      </c>
      <c r="G132" s="7">
        <f t="shared" si="9"/>
        <v>0.33356749999999996</v>
      </c>
    </row>
    <row r="133" spans="1:7" x14ac:dyDescent="0.35">
      <c r="A133" s="48" t="s">
        <v>1522</v>
      </c>
      <c r="B133" s="5" t="s">
        <v>61</v>
      </c>
      <c r="C133" s="6">
        <v>0.55500000000000005</v>
      </c>
      <c r="D133" s="7">
        <f t="shared" si="6"/>
        <v>0.54806250000000001</v>
      </c>
      <c r="E133" s="7">
        <f t="shared" si="7"/>
        <v>0.52306249999999999</v>
      </c>
      <c r="F133" s="7">
        <f t="shared" si="8"/>
        <v>1.046125E-2</v>
      </c>
      <c r="G133" s="7">
        <f t="shared" si="9"/>
        <v>0.51260125000000001</v>
      </c>
    </row>
    <row r="134" spans="1:7" x14ac:dyDescent="0.35">
      <c r="A134" s="48"/>
      <c r="B134" s="5" t="s">
        <v>62</v>
      </c>
      <c r="C134" s="6">
        <v>0.48</v>
      </c>
      <c r="D134" s="7">
        <f t="shared" si="6"/>
        <v>0.47399999999999998</v>
      </c>
      <c r="E134" s="7">
        <f t="shared" si="7"/>
        <v>0.44899999999999995</v>
      </c>
      <c r="F134" s="7">
        <f t="shared" si="8"/>
        <v>8.9800000000000001E-3</v>
      </c>
      <c r="G134" s="7">
        <f t="shared" si="9"/>
        <v>0.44001999999999997</v>
      </c>
    </row>
    <row r="135" spans="1:7" x14ac:dyDescent="0.35">
      <c r="A135" s="48"/>
      <c r="B135" s="5" t="s">
        <v>63</v>
      </c>
      <c r="C135" s="6">
        <v>0.34</v>
      </c>
      <c r="D135" s="7">
        <f t="shared" ref="D135:D198" si="10">(C135-(C135*1.25%))</f>
        <v>0.33575000000000005</v>
      </c>
      <c r="E135" s="7">
        <f t="shared" ref="E135:E198" si="11">D135-(2.5%)</f>
        <v>0.31075000000000003</v>
      </c>
      <c r="F135" s="7">
        <f t="shared" ref="F135:F198" si="12">E135*(2%)</f>
        <v>6.2150000000000009E-3</v>
      </c>
      <c r="G135" s="7">
        <f t="shared" ref="G135:G198" si="13">E135-F135</f>
        <v>0.304535</v>
      </c>
    </row>
    <row r="136" spans="1:7" x14ac:dyDescent="0.35">
      <c r="A136" s="48"/>
      <c r="B136" s="5" t="s">
        <v>64</v>
      </c>
      <c r="C136" s="6">
        <v>0.34</v>
      </c>
      <c r="D136" s="7">
        <f t="shared" si="10"/>
        <v>0.33575000000000005</v>
      </c>
      <c r="E136" s="7">
        <f t="shared" si="11"/>
        <v>0.31075000000000003</v>
      </c>
      <c r="F136" s="7">
        <f t="shared" si="12"/>
        <v>6.2150000000000009E-3</v>
      </c>
      <c r="G136" s="7">
        <f t="shared" si="13"/>
        <v>0.304535</v>
      </c>
    </row>
    <row r="137" spans="1:7" x14ac:dyDescent="0.35">
      <c r="A137" s="48" t="s">
        <v>1523</v>
      </c>
      <c r="B137" s="5" t="s">
        <v>61</v>
      </c>
      <c r="C137" s="6">
        <v>0.57499999999999996</v>
      </c>
      <c r="D137" s="7">
        <f t="shared" si="10"/>
        <v>0.56781249999999994</v>
      </c>
      <c r="E137" s="7">
        <f t="shared" si="11"/>
        <v>0.54281249999999992</v>
      </c>
      <c r="F137" s="7">
        <f t="shared" si="12"/>
        <v>1.0856249999999998E-2</v>
      </c>
      <c r="G137" s="7">
        <f t="shared" si="13"/>
        <v>0.53195624999999991</v>
      </c>
    </row>
    <row r="138" spans="1:7" x14ac:dyDescent="0.35">
      <c r="A138" s="48"/>
      <c r="B138" s="5" t="s">
        <v>62</v>
      </c>
      <c r="C138" s="6">
        <v>0.5</v>
      </c>
      <c r="D138" s="7">
        <f t="shared" si="10"/>
        <v>0.49375000000000002</v>
      </c>
      <c r="E138" s="7">
        <f t="shared" si="11"/>
        <v>0.46875</v>
      </c>
      <c r="F138" s="7">
        <f t="shared" si="12"/>
        <v>9.3749999999999997E-3</v>
      </c>
      <c r="G138" s="7">
        <f t="shared" si="13"/>
        <v>0.45937499999999998</v>
      </c>
    </row>
    <row r="139" spans="1:7" x14ac:dyDescent="0.35">
      <c r="A139" s="48"/>
      <c r="B139" s="5" t="s">
        <v>63</v>
      </c>
      <c r="C139" s="6">
        <v>0.36</v>
      </c>
      <c r="D139" s="7">
        <f t="shared" si="10"/>
        <v>0.35549999999999998</v>
      </c>
      <c r="E139" s="7">
        <f t="shared" si="11"/>
        <v>0.33049999999999996</v>
      </c>
      <c r="F139" s="7">
        <f t="shared" si="12"/>
        <v>6.6099999999999996E-3</v>
      </c>
      <c r="G139" s="7">
        <f t="shared" si="13"/>
        <v>0.32388999999999996</v>
      </c>
    </row>
    <row r="140" spans="1:7" x14ac:dyDescent="0.35">
      <c r="A140" s="48"/>
      <c r="B140" s="5" t="s">
        <v>64</v>
      </c>
      <c r="C140" s="6">
        <v>0.36</v>
      </c>
      <c r="D140" s="7">
        <f t="shared" si="10"/>
        <v>0.35549999999999998</v>
      </c>
      <c r="E140" s="7">
        <f t="shared" si="11"/>
        <v>0.33049999999999996</v>
      </c>
      <c r="F140" s="7">
        <f t="shared" si="12"/>
        <v>6.6099999999999996E-3</v>
      </c>
      <c r="G140" s="7">
        <f t="shared" si="13"/>
        <v>0.32388999999999996</v>
      </c>
    </row>
    <row r="141" spans="1:7" x14ac:dyDescent="0.35">
      <c r="A141" s="48" t="s">
        <v>1524</v>
      </c>
      <c r="B141" s="5" t="s">
        <v>61</v>
      </c>
      <c r="C141" s="6">
        <v>0.57999999999999996</v>
      </c>
      <c r="D141" s="7">
        <f t="shared" si="10"/>
        <v>0.57274999999999998</v>
      </c>
      <c r="E141" s="7">
        <f t="shared" si="11"/>
        <v>0.54774999999999996</v>
      </c>
      <c r="F141" s="7">
        <f t="shared" si="12"/>
        <v>1.0954999999999999E-2</v>
      </c>
      <c r="G141" s="7">
        <f t="shared" si="13"/>
        <v>0.53679499999999991</v>
      </c>
    </row>
    <row r="142" spans="1:7" x14ac:dyDescent="0.35">
      <c r="A142" s="48"/>
      <c r="B142" s="5" t="s">
        <v>62</v>
      </c>
      <c r="C142" s="6">
        <v>0.51</v>
      </c>
      <c r="D142" s="7">
        <f t="shared" si="10"/>
        <v>0.50362499999999999</v>
      </c>
      <c r="E142" s="7">
        <f t="shared" si="11"/>
        <v>0.47862499999999997</v>
      </c>
      <c r="F142" s="7">
        <f t="shared" si="12"/>
        <v>9.5724999999999994E-3</v>
      </c>
      <c r="G142" s="7">
        <f t="shared" si="13"/>
        <v>0.46905249999999998</v>
      </c>
    </row>
    <row r="143" spans="1:7" x14ac:dyDescent="0.35">
      <c r="A143" s="48"/>
      <c r="B143" s="5" t="s">
        <v>63</v>
      </c>
      <c r="C143" s="6">
        <v>0.37</v>
      </c>
      <c r="D143" s="7">
        <f t="shared" si="10"/>
        <v>0.36537500000000001</v>
      </c>
      <c r="E143" s="7">
        <f t="shared" si="11"/>
        <v>0.34037499999999998</v>
      </c>
      <c r="F143" s="7">
        <f t="shared" si="12"/>
        <v>6.8075000000000002E-3</v>
      </c>
      <c r="G143" s="7">
        <f t="shared" si="13"/>
        <v>0.33356749999999996</v>
      </c>
    </row>
    <row r="144" spans="1:7" x14ac:dyDescent="0.35">
      <c r="A144" s="48"/>
      <c r="B144" s="5" t="s">
        <v>64</v>
      </c>
      <c r="C144" s="6">
        <v>0.37</v>
      </c>
      <c r="D144" s="7">
        <f t="shared" si="10"/>
        <v>0.36537500000000001</v>
      </c>
      <c r="E144" s="7">
        <f t="shared" si="11"/>
        <v>0.34037499999999998</v>
      </c>
      <c r="F144" s="7">
        <f t="shared" si="12"/>
        <v>6.8075000000000002E-3</v>
      </c>
      <c r="G144" s="7">
        <f t="shared" si="13"/>
        <v>0.33356749999999996</v>
      </c>
    </row>
    <row r="145" spans="1:7" ht="36" x14ac:dyDescent="0.35">
      <c r="A145" s="40" t="s">
        <v>1170</v>
      </c>
      <c r="B145" s="5" t="s">
        <v>80</v>
      </c>
      <c r="C145" s="6">
        <v>0.4</v>
      </c>
      <c r="D145" s="7">
        <f t="shared" si="10"/>
        <v>0.39500000000000002</v>
      </c>
      <c r="E145" s="7">
        <f t="shared" si="11"/>
        <v>0.37</v>
      </c>
      <c r="F145" s="7">
        <f t="shared" si="12"/>
        <v>7.4000000000000003E-3</v>
      </c>
      <c r="G145" s="7">
        <f t="shared" si="13"/>
        <v>0.36259999999999998</v>
      </c>
    </row>
    <row r="146" spans="1:7" x14ac:dyDescent="0.35">
      <c r="A146" s="40"/>
      <c r="B146" s="5" t="s">
        <v>81</v>
      </c>
      <c r="C146" s="6">
        <v>0.35</v>
      </c>
      <c r="D146" s="7">
        <f t="shared" si="10"/>
        <v>0.34562499999999996</v>
      </c>
      <c r="E146" s="7">
        <f t="shared" si="11"/>
        <v>0.32062499999999994</v>
      </c>
      <c r="F146" s="7">
        <f t="shared" si="12"/>
        <v>6.4124999999999989E-3</v>
      </c>
      <c r="G146" s="7">
        <f t="shared" si="13"/>
        <v>0.31421249999999995</v>
      </c>
    </row>
    <row r="147" spans="1:7" x14ac:dyDescent="0.35">
      <c r="A147" s="40"/>
      <c r="B147" s="5" t="s">
        <v>33</v>
      </c>
      <c r="C147" s="6">
        <v>0.375</v>
      </c>
      <c r="D147" s="7">
        <f t="shared" si="10"/>
        <v>0.37031249999999999</v>
      </c>
      <c r="E147" s="7">
        <f t="shared" si="11"/>
        <v>0.34531249999999997</v>
      </c>
      <c r="F147" s="7">
        <f t="shared" si="12"/>
        <v>6.9062499999999992E-3</v>
      </c>
      <c r="G147" s="7">
        <f t="shared" si="13"/>
        <v>0.33840624999999996</v>
      </c>
    </row>
    <row r="148" spans="1:7" ht="36" x14ac:dyDescent="0.35">
      <c r="A148" s="40" t="s">
        <v>1171</v>
      </c>
      <c r="B148" s="5" t="s">
        <v>80</v>
      </c>
      <c r="C148" s="6">
        <v>0.375</v>
      </c>
      <c r="D148" s="7">
        <f t="shared" si="10"/>
        <v>0.37031249999999999</v>
      </c>
      <c r="E148" s="7">
        <f t="shared" si="11"/>
        <v>0.34531249999999997</v>
      </c>
      <c r="F148" s="7">
        <f t="shared" si="12"/>
        <v>6.9062499999999992E-3</v>
      </c>
      <c r="G148" s="7">
        <f t="shared" si="13"/>
        <v>0.33840624999999996</v>
      </c>
    </row>
    <row r="149" spans="1:7" x14ac:dyDescent="0.35">
      <c r="A149" s="40"/>
      <c r="B149" s="5" t="s">
        <v>81</v>
      </c>
      <c r="C149" s="6">
        <v>0.32500000000000001</v>
      </c>
      <c r="D149" s="7">
        <f t="shared" si="10"/>
        <v>0.32093749999999999</v>
      </c>
      <c r="E149" s="7">
        <f t="shared" si="11"/>
        <v>0.29593749999999996</v>
      </c>
      <c r="F149" s="7">
        <f t="shared" si="12"/>
        <v>5.9187499999999995E-3</v>
      </c>
      <c r="G149" s="7">
        <f t="shared" si="13"/>
        <v>0.29001874999999999</v>
      </c>
    </row>
    <row r="150" spans="1:7" x14ac:dyDescent="0.35">
      <c r="A150" s="40"/>
      <c r="B150" s="5" t="s">
        <v>33</v>
      </c>
      <c r="C150" s="6">
        <v>0.35</v>
      </c>
      <c r="D150" s="7">
        <f t="shared" si="10"/>
        <v>0.34562499999999996</v>
      </c>
      <c r="E150" s="7">
        <f t="shared" si="11"/>
        <v>0.32062499999999994</v>
      </c>
      <c r="F150" s="7">
        <f t="shared" si="12"/>
        <v>6.4124999999999989E-3</v>
      </c>
      <c r="G150" s="7">
        <f t="shared" si="13"/>
        <v>0.31421249999999995</v>
      </c>
    </row>
    <row r="151" spans="1:7" ht="36" x14ac:dyDescent="0.35">
      <c r="A151" s="40" t="s">
        <v>82</v>
      </c>
      <c r="B151" s="5" t="s">
        <v>80</v>
      </c>
      <c r="C151" s="6">
        <v>0.3</v>
      </c>
      <c r="D151" s="7">
        <f t="shared" si="10"/>
        <v>0.29625000000000001</v>
      </c>
      <c r="E151" s="7">
        <f t="shared" si="11"/>
        <v>0.27124999999999999</v>
      </c>
      <c r="F151" s="7">
        <f t="shared" si="12"/>
        <v>5.4250000000000001E-3</v>
      </c>
      <c r="G151" s="7">
        <f t="shared" si="13"/>
        <v>0.26582499999999998</v>
      </c>
    </row>
    <row r="152" spans="1:7" x14ac:dyDescent="0.35">
      <c r="A152" s="40"/>
      <c r="B152" s="5" t="s">
        <v>81</v>
      </c>
      <c r="C152" s="6">
        <v>0.25</v>
      </c>
      <c r="D152" s="7">
        <f t="shared" si="10"/>
        <v>0.24687500000000001</v>
      </c>
      <c r="E152" s="7">
        <f t="shared" si="11"/>
        <v>0.22187500000000002</v>
      </c>
      <c r="F152" s="7">
        <f t="shared" si="12"/>
        <v>4.4375000000000005E-3</v>
      </c>
      <c r="G152" s="7">
        <f t="shared" si="13"/>
        <v>0.21743750000000001</v>
      </c>
    </row>
    <row r="153" spans="1:7" x14ac:dyDescent="0.35">
      <c r="A153" s="40"/>
      <c r="B153" s="5" t="s">
        <v>33</v>
      </c>
      <c r="C153" s="6">
        <v>0.27500000000000002</v>
      </c>
      <c r="D153" s="7">
        <f t="shared" si="10"/>
        <v>0.27156250000000004</v>
      </c>
      <c r="E153" s="7">
        <f t="shared" si="11"/>
        <v>0.24656250000000005</v>
      </c>
      <c r="F153" s="7">
        <f t="shared" si="12"/>
        <v>4.9312500000000007E-3</v>
      </c>
      <c r="G153" s="7">
        <f t="shared" si="13"/>
        <v>0.24163125000000005</v>
      </c>
    </row>
    <row r="154" spans="1:7" ht="36" x14ac:dyDescent="0.35">
      <c r="A154" s="40" t="s">
        <v>83</v>
      </c>
      <c r="B154" s="5" t="s">
        <v>80</v>
      </c>
      <c r="C154" s="6">
        <v>0.25</v>
      </c>
      <c r="D154" s="7">
        <f t="shared" si="10"/>
        <v>0.24687500000000001</v>
      </c>
      <c r="E154" s="7">
        <f t="shared" si="11"/>
        <v>0.22187500000000002</v>
      </c>
      <c r="F154" s="7">
        <f t="shared" si="12"/>
        <v>4.4375000000000005E-3</v>
      </c>
      <c r="G154" s="7">
        <f t="shared" si="13"/>
        <v>0.21743750000000001</v>
      </c>
    </row>
    <row r="155" spans="1:7" x14ac:dyDescent="0.35">
      <c r="A155" s="40"/>
      <c r="B155" s="5" t="s">
        <v>81</v>
      </c>
      <c r="C155" s="6">
        <v>0.2</v>
      </c>
      <c r="D155" s="7">
        <f t="shared" si="10"/>
        <v>0.19750000000000001</v>
      </c>
      <c r="E155" s="7">
        <f t="shared" si="11"/>
        <v>0.17250000000000001</v>
      </c>
      <c r="F155" s="7">
        <f t="shared" si="12"/>
        <v>3.4500000000000004E-3</v>
      </c>
      <c r="G155" s="7">
        <f t="shared" si="13"/>
        <v>0.16905000000000001</v>
      </c>
    </row>
    <row r="156" spans="1:7" x14ac:dyDescent="0.35">
      <c r="A156" s="40"/>
      <c r="B156" s="5" t="s">
        <v>33</v>
      </c>
      <c r="C156" s="6">
        <v>0.22500000000000001</v>
      </c>
      <c r="D156" s="7">
        <f t="shared" si="10"/>
        <v>0.22218750000000001</v>
      </c>
      <c r="E156" s="7">
        <f t="shared" si="11"/>
        <v>0.19718750000000002</v>
      </c>
      <c r="F156" s="7">
        <f t="shared" si="12"/>
        <v>3.9437500000000002E-3</v>
      </c>
      <c r="G156" s="7">
        <f t="shared" si="13"/>
        <v>0.19324375000000002</v>
      </c>
    </row>
    <row r="157" spans="1:7" ht="36" x14ac:dyDescent="0.35">
      <c r="A157" s="40" t="s">
        <v>84</v>
      </c>
      <c r="B157" s="5" t="s">
        <v>80</v>
      </c>
      <c r="C157" s="6">
        <v>0.3</v>
      </c>
      <c r="D157" s="7">
        <f t="shared" si="10"/>
        <v>0.29625000000000001</v>
      </c>
      <c r="E157" s="7">
        <f t="shared" si="11"/>
        <v>0.27124999999999999</v>
      </c>
      <c r="F157" s="7">
        <f t="shared" si="12"/>
        <v>5.4250000000000001E-3</v>
      </c>
      <c r="G157" s="7">
        <f t="shared" si="13"/>
        <v>0.26582499999999998</v>
      </c>
    </row>
    <row r="158" spans="1:7" x14ac:dyDescent="0.35">
      <c r="A158" s="40"/>
      <c r="B158" s="5" t="s">
        <v>81</v>
      </c>
      <c r="C158" s="6">
        <v>0.25</v>
      </c>
      <c r="D158" s="7">
        <f t="shared" si="10"/>
        <v>0.24687500000000001</v>
      </c>
      <c r="E158" s="7">
        <f t="shared" si="11"/>
        <v>0.22187500000000002</v>
      </c>
      <c r="F158" s="7">
        <f t="shared" si="12"/>
        <v>4.4375000000000005E-3</v>
      </c>
      <c r="G158" s="7">
        <f t="shared" si="13"/>
        <v>0.21743750000000001</v>
      </c>
    </row>
    <row r="159" spans="1:7" x14ac:dyDescent="0.35">
      <c r="A159" s="40"/>
      <c r="B159" s="5" t="s">
        <v>33</v>
      </c>
      <c r="C159" s="6">
        <v>0.27500000000000002</v>
      </c>
      <c r="D159" s="7">
        <f t="shared" si="10"/>
        <v>0.27156250000000004</v>
      </c>
      <c r="E159" s="7">
        <f t="shared" si="11"/>
        <v>0.24656250000000005</v>
      </c>
      <c r="F159" s="7">
        <f t="shared" si="12"/>
        <v>4.9312500000000007E-3</v>
      </c>
      <c r="G159" s="7">
        <f t="shared" si="13"/>
        <v>0.24163125000000005</v>
      </c>
    </row>
    <row r="160" spans="1:7" ht="36" x14ac:dyDescent="0.35">
      <c r="A160" s="40" t="s">
        <v>85</v>
      </c>
      <c r="B160" s="5" t="s">
        <v>80</v>
      </c>
      <c r="C160" s="6">
        <v>0.25</v>
      </c>
      <c r="D160" s="7">
        <f t="shared" si="10"/>
        <v>0.24687500000000001</v>
      </c>
      <c r="E160" s="7">
        <f t="shared" si="11"/>
        <v>0.22187500000000002</v>
      </c>
      <c r="F160" s="7">
        <f t="shared" si="12"/>
        <v>4.4375000000000005E-3</v>
      </c>
      <c r="G160" s="7">
        <f t="shared" si="13"/>
        <v>0.21743750000000001</v>
      </c>
    </row>
    <row r="161" spans="1:7" x14ac:dyDescent="0.35">
      <c r="A161" s="40"/>
      <c r="B161" s="5" t="s">
        <v>81</v>
      </c>
      <c r="C161" s="6">
        <v>0.2</v>
      </c>
      <c r="D161" s="7">
        <f t="shared" si="10"/>
        <v>0.19750000000000001</v>
      </c>
      <c r="E161" s="7">
        <f t="shared" si="11"/>
        <v>0.17250000000000001</v>
      </c>
      <c r="F161" s="7">
        <f t="shared" si="12"/>
        <v>3.4500000000000004E-3</v>
      </c>
      <c r="G161" s="7">
        <f t="shared" si="13"/>
        <v>0.16905000000000001</v>
      </c>
    </row>
    <row r="162" spans="1:7" x14ac:dyDescent="0.35">
      <c r="A162" s="40"/>
      <c r="B162" s="5" t="s">
        <v>33</v>
      </c>
      <c r="C162" s="6">
        <v>0.22500000000000001</v>
      </c>
      <c r="D162" s="7">
        <f t="shared" si="10"/>
        <v>0.22218750000000001</v>
      </c>
      <c r="E162" s="7">
        <f t="shared" si="11"/>
        <v>0.19718750000000002</v>
      </c>
      <c r="F162" s="7">
        <f t="shared" si="12"/>
        <v>3.9437500000000002E-3</v>
      </c>
      <c r="G162" s="7">
        <f t="shared" si="13"/>
        <v>0.19324375000000002</v>
      </c>
    </row>
    <row r="163" spans="1:7" x14ac:dyDescent="0.35">
      <c r="A163" s="40" t="s">
        <v>86</v>
      </c>
      <c r="B163" s="5" t="s">
        <v>87</v>
      </c>
      <c r="C163" s="6">
        <v>0.28999999999999998</v>
      </c>
      <c r="D163" s="7">
        <f t="shared" si="10"/>
        <v>0.28637499999999999</v>
      </c>
      <c r="E163" s="7">
        <f t="shared" si="11"/>
        <v>0.26137499999999997</v>
      </c>
      <c r="F163" s="7">
        <f t="shared" si="12"/>
        <v>5.2274999999999995E-3</v>
      </c>
      <c r="G163" s="7">
        <f t="shared" si="13"/>
        <v>0.25614749999999997</v>
      </c>
    </row>
    <row r="164" spans="1:7" x14ac:dyDescent="0.35">
      <c r="A164" s="40"/>
      <c r="B164" s="5" t="s">
        <v>88</v>
      </c>
      <c r="C164" s="6">
        <v>0.28999999999999998</v>
      </c>
      <c r="D164" s="7">
        <f t="shared" si="10"/>
        <v>0.28637499999999999</v>
      </c>
      <c r="E164" s="7">
        <f t="shared" si="11"/>
        <v>0.26137499999999997</v>
      </c>
      <c r="F164" s="7">
        <f t="shared" si="12"/>
        <v>5.2274999999999995E-3</v>
      </c>
      <c r="G164" s="7">
        <f t="shared" si="13"/>
        <v>0.25614749999999997</v>
      </c>
    </row>
    <row r="165" spans="1:7" x14ac:dyDescent="0.35">
      <c r="A165" s="40"/>
      <c r="B165" s="5" t="s">
        <v>89</v>
      </c>
      <c r="C165" s="6">
        <v>0.28999999999999998</v>
      </c>
      <c r="D165" s="7">
        <f t="shared" si="10"/>
        <v>0.28637499999999999</v>
      </c>
      <c r="E165" s="7">
        <f t="shared" si="11"/>
        <v>0.26137499999999997</v>
      </c>
      <c r="F165" s="7">
        <f t="shared" si="12"/>
        <v>5.2274999999999995E-3</v>
      </c>
      <c r="G165" s="7">
        <f t="shared" si="13"/>
        <v>0.25614749999999997</v>
      </c>
    </row>
    <row r="166" spans="1:7" x14ac:dyDescent="0.35">
      <c r="A166" s="40" t="s">
        <v>90</v>
      </c>
      <c r="B166" s="5" t="s">
        <v>87</v>
      </c>
      <c r="C166" s="6">
        <v>0.28999999999999998</v>
      </c>
      <c r="D166" s="7">
        <f t="shared" si="10"/>
        <v>0.28637499999999999</v>
      </c>
      <c r="E166" s="7">
        <f t="shared" si="11"/>
        <v>0.26137499999999997</v>
      </c>
      <c r="F166" s="7">
        <f t="shared" si="12"/>
        <v>5.2274999999999995E-3</v>
      </c>
      <c r="G166" s="7">
        <f t="shared" si="13"/>
        <v>0.25614749999999997</v>
      </c>
    </row>
    <row r="167" spans="1:7" x14ac:dyDescent="0.35">
      <c r="A167" s="40"/>
      <c r="B167" s="5" t="s">
        <v>88</v>
      </c>
      <c r="C167" s="6">
        <v>0.28999999999999998</v>
      </c>
      <c r="D167" s="7">
        <f t="shared" si="10"/>
        <v>0.28637499999999999</v>
      </c>
      <c r="E167" s="7">
        <f t="shared" si="11"/>
        <v>0.26137499999999997</v>
      </c>
      <c r="F167" s="7">
        <f t="shared" si="12"/>
        <v>5.2274999999999995E-3</v>
      </c>
      <c r="G167" s="7">
        <f t="shared" si="13"/>
        <v>0.25614749999999997</v>
      </c>
    </row>
    <row r="168" spans="1:7" x14ac:dyDescent="0.35">
      <c r="A168" s="40"/>
      <c r="B168" s="5" t="s">
        <v>89</v>
      </c>
      <c r="C168" s="6">
        <v>0.28999999999999998</v>
      </c>
      <c r="D168" s="7">
        <f t="shared" si="10"/>
        <v>0.28637499999999999</v>
      </c>
      <c r="E168" s="7">
        <f t="shared" si="11"/>
        <v>0.26137499999999997</v>
      </c>
      <c r="F168" s="7">
        <f t="shared" si="12"/>
        <v>5.2274999999999995E-3</v>
      </c>
      <c r="G168" s="7">
        <f t="shared" si="13"/>
        <v>0.25614749999999997</v>
      </c>
    </row>
    <row r="169" spans="1:7" x14ac:dyDescent="0.35">
      <c r="A169" s="44" t="s">
        <v>91</v>
      </c>
      <c r="B169" s="5" t="s">
        <v>92</v>
      </c>
      <c r="C169" s="6">
        <v>0.5</v>
      </c>
      <c r="D169" s="7">
        <f t="shared" si="10"/>
        <v>0.49375000000000002</v>
      </c>
      <c r="E169" s="7">
        <f t="shared" si="11"/>
        <v>0.46875</v>
      </c>
      <c r="F169" s="7">
        <f t="shared" si="12"/>
        <v>9.3749999999999997E-3</v>
      </c>
      <c r="G169" s="7">
        <f t="shared" si="13"/>
        <v>0.45937499999999998</v>
      </c>
    </row>
    <row r="170" spans="1:7" x14ac:dyDescent="0.35">
      <c r="A170" s="45"/>
      <c r="B170" s="5" t="s">
        <v>93</v>
      </c>
      <c r="C170" s="6">
        <v>0.5</v>
      </c>
      <c r="D170" s="7">
        <f t="shared" si="10"/>
        <v>0.49375000000000002</v>
      </c>
      <c r="E170" s="7">
        <f t="shared" si="11"/>
        <v>0.46875</v>
      </c>
      <c r="F170" s="7">
        <f t="shared" si="12"/>
        <v>9.3749999999999997E-3</v>
      </c>
      <c r="G170" s="7">
        <f t="shared" si="13"/>
        <v>0.45937499999999998</v>
      </c>
    </row>
    <row r="171" spans="1:7" x14ac:dyDescent="0.35">
      <c r="A171" s="48" t="s">
        <v>94</v>
      </c>
      <c r="B171" s="5" t="s">
        <v>33</v>
      </c>
      <c r="C171" s="6">
        <v>0.3</v>
      </c>
      <c r="D171" s="7">
        <f t="shared" si="10"/>
        <v>0.29625000000000001</v>
      </c>
      <c r="E171" s="7">
        <f t="shared" si="11"/>
        <v>0.27124999999999999</v>
      </c>
      <c r="F171" s="7">
        <f t="shared" si="12"/>
        <v>5.4250000000000001E-3</v>
      </c>
      <c r="G171" s="7">
        <f t="shared" si="13"/>
        <v>0.26582499999999998</v>
      </c>
    </row>
    <row r="172" spans="1:7" x14ac:dyDescent="0.35">
      <c r="A172" s="48"/>
      <c r="B172" s="5" t="s">
        <v>34</v>
      </c>
      <c r="C172" s="6">
        <v>0.3</v>
      </c>
      <c r="D172" s="7">
        <f t="shared" si="10"/>
        <v>0.29625000000000001</v>
      </c>
      <c r="E172" s="7">
        <f t="shared" si="11"/>
        <v>0.27124999999999999</v>
      </c>
      <c r="F172" s="7">
        <f t="shared" si="12"/>
        <v>5.4250000000000001E-3</v>
      </c>
      <c r="G172" s="7">
        <f t="shared" si="13"/>
        <v>0.26582499999999998</v>
      </c>
    </row>
    <row r="173" spans="1:7" x14ac:dyDescent="0.35">
      <c r="A173" s="48"/>
      <c r="B173" s="5" t="s">
        <v>35</v>
      </c>
      <c r="C173" s="6">
        <v>0.3</v>
      </c>
      <c r="D173" s="7">
        <f t="shared" si="10"/>
        <v>0.29625000000000001</v>
      </c>
      <c r="E173" s="7">
        <f t="shared" si="11"/>
        <v>0.27124999999999999</v>
      </c>
      <c r="F173" s="7">
        <f t="shared" si="12"/>
        <v>5.4250000000000001E-3</v>
      </c>
      <c r="G173" s="7">
        <f t="shared" si="13"/>
        <v>0.26582499999999998</v>
      </c>
    </row>
    <row r="174" spans="1:7" x14ac:dyDescent="0.35">
      <c r="A174" s="48" t="s">
        <v>95</v>
      </c>
      <c r="B174" s="5" t="s">
        <v>33</v>
      </c>
      <c r="C174" s="6">
        <v>0.5</v>
      </c>
      <c r="D174" s="7">
        <f t="shared" si="10"/>
        <v>0.49375000000000002</v>
      </c>
      <c r="E174" s="7">
        <f t="shared" si="11"/>
        <v>0.46875</v>
      </c>
      <c r="F174" s="7">
        <f t="shared" si="12"/>
        <v>9.3749999999999997E-3</v>
      </c>
      <c r="G174" s="7">
        <f t="shared" si="13"/>
        <v>0.45937499999999998</v>
      </c>
    </row>
    <row r="175" spans="1:7" x14ac:dyDescent="0.35">
      <c r="A175" s="48"/>
      <c r="B175" s="5" t="s">
        <v>34</v>
      </c>
      <c r="C175" s="6">
        <v>0.45</v>
      </c>
      <c r="D175" s="7">
        <f t="shared" si="10"/>
        <v>0.44437500000000002</v>
      </c>
      <c r="E175" s="7">
        <f t="shared" si="11"/>
        <v>0.419375</v>
      </c>
      <c r="F175" s="7">
        <f t="shared" si="12"/>
        <v>8.3875000000000009E-3</v>
      </c>
      <c r="G175" s="7">
        <f t="shared" si="13"/>
        <v>0.41098750000000001</v>
      </c>
    </row>
    <row r="176" spans="1:7" x14ac:dyDescent="0.35">
      <c r="A176" s="48"/>
      <c r="B176" s="5" t="s">
        <v>35</v>
      </c>
      <c r="C176" s="6">
        <v>0</v>
      </c>
      <c r="D176" s="7" t="s">
        <v>20</v>
      </c>
      <c r="E176" s="7" t="s">
        <v>20</v>
      </c>
      <c r="F176" s="7" t="s">
        <v>20</v>
      </c>
      <c r="G176" s="7" t="s">
        <v>20</v>
      </c>
    </row>
    <row r="177" spans="1:7" x14ac:dyDescent="0.35">
      <c r="A177" s="41" t="s">
        <v>1178</v>
      </c>
      <c r="B177" s="5" t="s">
        <v>34</v>
      </c>
      <c r="C177" s="6">
        <v>0.48</v>
      </c>
      <c r="D177" s="7">
        <f t="shared" si="10"/>
        <v>0.47399999999999998</v>
      </c>
      <c r="E177" s="7">
        <f t="shared" si="11"/>
        <v>0.44899999999999995</v>
      </c>
      <c r="F177" s="7">
        <f t="shared" si="12"/>
        <v>8.9800000000000001E-3</v>
      </c>
      <c r="G177" s="7">
        <f t="shared" si="13"/>
        <v>0.44001999999999997</v>
      </c>
    </row>
    <row r="178" spans="1:7" x14ac:dyDescent="0.35">
      <c r="A178" s="42"/>
      <c r="B178" s="5" t="s">
        <v>35</v>
      </c>
      <c r="C178" s="6">
        <v>0.51500000000000001</v>
      </c>
      <c r="D178" s="7">
        <f t="shared" si="10"/>
        <v>0.50856250000000003</v>
      </c>
      <c r="E178" s="7">
        <f t="shared" si="11"/>
        <v>0.48356250000000001</v>
      </c>
      <c r="F178" s="7">
        <f t="shared" si="12"/>
        <v>9.671250000000001E-3</v>
      </c>
      <c r="G178" s="7">
        <f t="shared" si="13"/>
        <v>0.47389124999999999</v>
      </c>
    </row>
    <row r="179" spans="1:7" x14ac:dyDescent="0.35">
      <c r="A179" s="43"/>
      <c r="B179" s="5" t="s">
        <v>1177</v>
      </c>
      <c r="C179" s="6">
        <v>0.35499999999999998</v>
      </c>
      <c r="D179" s="7">
        <f t="shared" si="10"/>
        <v>0.3505625</v>
      </c>
      <c r="E179" s="7">
        <f t="shared" si="11"/>
        <v>0.32556249999999998</v>
      </c>
      <c r="F179" s="7">
        <f t="shared" si="12"/>
        <v>6.5112499999999997E-3</v>
      </c>
      <c r="G179" s="7">
        <f t="shared" si="13"/>
        <v>0.31905124999999995</v>
      </c>
    </row>
    <row r="180" spans="1:7" x14ac:dyDescent="0.35">
      <c r="A180" s="41" t="s">
        <v>1179</v>
      </c>
      <c r="B180" s="5" t="s">
        <v>34</v>
      </c>
      <c r="C180" s="6">
        <v>0.53</v>
      </c>
      <c r="D180" s="7">
        <f t="shared" si="10"/>
        <v>0.52337500000000003</v>
      </c>
      <c r="E180" s="7">
        <f t="shared" si="11"/>
        <v>0.49837500000000001</v>
      </c>
      <c r="F180" s="7">
        <f t="shared" si="12"/>
        <v>9.9675000000000007E-3</v>
      </c>
      <c r="G180" s="7">
        <f t="shared" si="13"/>
        <v>0.48840749999999999</v>
      </c>
    </row>
    <row r="181" spans="1:7" x14ac:dyDescent="0.35">
      <c r="A181" s="42"/>
      <c r="B181" s="5" t="s">
        <v>35</v>
      </c>
      <c r="C181" s="6">
        <v>0.51500000000000001</v>
      </c>
      <c r="D181" s="7">
        <f t="shared" si="10"/>
        <v>0.50856250000000003</v>
      </c>
      <c r="E181" s="7">
        <f t="shared" si="11"/>
        <v>0.48356250000000001</v>
      </c>
      <c r="F181" s="7">
        <f t="shared" si="12"/>
        <v>9.671250000000001E-3</v>
      </c>
      <c r="G181" s="7">
        <f t="shared" si="13"/>
        <v>0.47389124999999999</v>
      </c>
    </row>
    <row r="182" spans="1:7" x14ac:dyDescent="0.35">
      <c r="A182" s="43"/>
      <c r="B182" s="5" t="s">
        <v>1177</v>
      </c>
      <c r="C182" s="6">
        <v>0.43</v>
      </c>
      <c r="D182" s="7">
        <f t="shared" si="10"/>
        <v>0.42462499999999997</v>
      </c>
      <c r="E182" s="7">
        <f t="shared" si="11"/>
        <v>0.39962499999999995</v>
      </c>
      <c r="F182" s="7">
        <f t="shared" si="12"/>
        <v>7.9924999999999996E-3</v>
      </c>
      <c r="G182" s="7">
        <f t="shared" si="13"/>
        <v>0.39163249999999994</v>
      </c>
    </row>
    <row r="183" spans="1:7" x14ac:dyDescent="0.35">
      <c r="A183" s="41" t="s">
        <v>1180</v>
      </c>
      <c r="B183" s="5" t="s">
        <v>34</v>
      </c>
      <c r="C183" s="6">
        <v>0.53</v>
      </c>
      <c r="D183" s="7">
        <f t="shared" si="10"/>
        <v>0.52337500000000003</v>
      </c>
      <c r="E183" s="7">
        <f t="shared" si="11"/>
        <v>0.49837500000000001</v>
      </c>
      <c r="F183" s="7">
        <f t="shared" si="12"/>
        <v>9.9675000000000007E-3</v>
      </c>
      <c r="G183" s="7">
        <f t="shared" si="13"/>
        <v>0.48840749999999999</v>
      </c>
    </row>
    <row r="184" spans="1:7" x14ac:dyDescent="0.35">
      <c r="A184" s="42"/>
      <c r="B184" s="5" t="s">
        <v>35</v>
      </c>
      <c r="C184" s="6">
        <v>0.51500000000000001</v>
      </c>
      <c r="D184" s="7">
        <f t="shared" si="10"/>
        <v>0.50856250000000003</v>
      </c>
      <c r="E184" s="7">
        <f t="shared" si="11"/>
        <v>0.48356250000000001</v>
      </c>
      <c r="F184" s="7">
        <f t="shared" si="12"/>
        <v>9.671250000000001E-3</v>
      </c>
      <c r="G184" s="7">
        <f t="shared" si="13"/>
        <v>0.47389124999999999</v>
      </c>
    </row>
    <row r="185" spans="1:7" x14ac:dyDescent="0.35">
      <c r="A185" s="43"/>
      <c r="B185" s="5" t="s">
        <v>1177</v>
      </c>
      <c r="C185" s="6">
        <v>0.46</v>
      </c>
      <c r="D185" s="7">
        <f t="shared" si="10"/>
        <v>0.45425000000000004</v>
      </c>
      <c r="E185" s="7">
        <f t="shared" si="11"/>
        <v>0.42925000000000002</v>
      </c>
      <c r="F185" s="7">
        <f t="shared" si="12"/>
        <v>8.5850000000000006E-3</v>
      </c>
      <c r="G185" s="7">
        <f t="shared" si="13"/>
        <v>0.42066500000000001</v>
      </c>
    </row>
    <row r="186" spans="1:7" x14ac:dyDescent="0.35">
      <c r="A186" s="41" t="s">
        <v>1181</v>
      </c>
      <c r="B186" s="5" t="s">
        <v>34</v>
      </c>
      <c r="C186" s="6">
        <v>0.53</v>
      </c>
      <c r="D186" s="7">
        <f t="shared" si="10"/>
        <v>0.52337500000000003</v>
      </c>
      <c r="E186" s="7">
        <f t="shared" si="11"/>
        <v>0.49837500000000001</v>
      </c>
      <c r="F186" s="7">
        <f t="shared" si="12"/>
        <v>9.9675000000000007E-3</v>
      </c>
      <c r="G186" s="7">
        <f t="shared" si="13"/>
        <v>0.48840749999999999</v>
      </c>
    </row>
    <row r="187" spans="1:7" x14ac:dyDescent="0.35">
      <c r="A187" s="42"/>
      <c r="B187" s="5" t="s">
        <v>35</v>
      </c>
      <c r="C187" s="6">
        <v>0.51500000000000001</v>
      </c>
      <c r="D187" s="7">
        <f t="shared" si="10"/>
        <v>0.50856250000000003</v>
      </c>
      <c r="E187" s="7">
        <f t="shared" si="11"/>
        <v>0.48356250000000001</v>
      </c>
      <c r="F187" s="7">
        <f t="shared" si="12"/>
        <v>9.671250000000001E-3</v>
      </c>
      <c r="G187" s="7">
        <f t="shared" si="13"/>
        <v>0.47389124999999999</v>
      </c>
    </row>
    <row r="188" spans="1:7" x14ac:dyDescent="0.35">
      <c r="A188" s="43"/>
      <c r="B188" s="5" t="s">
        <v>1177</v>
      </c>
      <c r="C188" s="6">
        <v>0.35499999999999998</v>
      </c>
      <c r="D188" s="7">
        <f t="shared" si="10"/>
        <v>0.3505625</v>
      </c>
      <c r="E188" s="7">
        <f t="shared" si="11"/>
        <v>0.32556249999999998</v>
      </c>
      <c r="F188" s="7">
        <f t="shared" si="12"/>
        <v>6.5112499999999997E-3</v>
      </c>
      <c r="G188" s="7">
        <f t="shared" si="13"/>
        <v>0.31905124999999995</v>
      </c>
    </row>
    <row r="189" spans="1:7" ht="24" customHeight="1" x14ac:dyDescent="0.35">
      <c r="A189" s="41" t="s">
        <v>97</v>
      </c>
      <c r="B189" s="5" t="s">
        <v>98</v>
      </c>
      <c r="C189" s="6">
        <v>0.19500000000000001</v>
      </c>
      <c r="D189" s="7">
        <f t="shared" si="10"/>
        <v>0.1925625</v>
      </c>
      <c r="E189" s="7">
        <f t="shared" si="11"/>
        <v>0.1675625</v>
      </c>
      <c r="F189" s="7">
        <f t="shared" si="12"/>
        <v>3.3512500000000001E-3</v>
      </c>
      <c r="G189" s="7">
        <f t="shared" si="13"/>
        <v>0.16421125</v>
      </c>
    </row>
    <row r="190" spans="1:7" x14ac:dyDescent="0.35">
      <c r="A190" s="43"/>
      <c r="B190" s="5" t="s">
        <v>99</v>
      </c>
      <c r="C190" s="6">
        <v>0.3</v>
      </c>
      <c r="D190" s="7">
        <f t="shared" si="10"/>
        <v>0.29625000000000001</v>
      </c>
      <c r="E190" s="7">
        <f t="shared" si="11"/>
        <v>0.27124999999999999</v>
      </c>
      <c r="F190" s="7">
        <f t="shared" si="12"/>
        <v>5.4250000000000001E-3</v>
      </c>
      <c r="G190" s="7">
        <f t="shared" si="13"/>
        <v>0.26582499999999998</v>
      </c>
    </row>
    <row r="191" spans="1:7" ht="36" x14ac:dyDescent="0.35">
      <c r="A191" s="41" t="s">
        <v>101</v>
      </c>
      <c r="B191" s="5" t="s">
        <v>102</v>
      </c>
      <c r="C191" s="6">
        <v>0.6</v>
      </c>
      <c r="D191" s="7">
        <f t="shared" si="10"/>
        <v>0.59250000000000003</v>
      </c>
      <c r="E191" s="7">
        <f t="shared" si="11"/>
        <v>0.5675</v>
      </c>
      <c r="F191" s="7">
        <f t="shared" si="12"/>
        <v>1.1350000000000001E-2</v>
      </c>
      <c r="G191" s="7">
        <f t="shared" si="13"/>
        <v>0.55615000000000003</v>
      </c>
    </row>
    <row r="192" spans="1:7" ht="24.65" customHeight="1" x14ac:dyDescent="0.35">
      <c r="A192" s="43"/>
      <c r="B192" s="5" t="s">
        <v>103</v>
      </c>
      <c r="C192" s="6">
        <v>0.55000000000000004</v>
      </c>
      <c r="D192" s="7">
        <f t="shared" si="10"/>
        <v>0.54312500000000008</v>
      </c>
      <c r="E192" s="7">
        <f t="shared" si="11"/>
        <v>0.51812500000000006</v>
      </c>
      <c r="F192" s="7">
        <f t="shared" si="12"/>
        <v>1.0362500000000002E-2</v>
      </c>
      <c r="G192" s="7">
        <f t="shared" si="13"/>
        <v>0.50776250000000001</v>
      </c>
    </row>
    <row r="193" spans="1:7" ht="24.65" customHeight="1" x14ac:dyDescent="0.35">
      <c r="A193" s="23" t="s">
        <v>1309</v>
      </c>
      <c r="B193" s="5" t="s">
        <v>100</v>
      </c>
      <c r="C193" s="6">
        <v>0.55000000000000004</v>
      </c>
      <c r="D193" s="7">
        <f t="shared" si="10"/>
        <v>0.54312500000000008</v>
      </c>
      <c r="E193" s="7">
        <f t="shared" si="11"/>
        <v>0.51812500000000006</v>
      </c>
      <c r="F193" s="7">
        <f t="shared" si="12"/>
        <v>1.0362500000000002E-2</v>
      </c>
      <c r="G193" s="7">
        <f t="shared" si="13"/>
        <v>0.50776250000000001</v>
      </c>
    </row>
    <row r="194" spans="1:7" x14ac:dyDescent="0.35">
      <c r="A194" s="2" t="s">
        <v>104</v>
      </c>
      <c r="B194" s="2" t="s">
        <v>1</v>
      </c>
      <c r="C194" s="3" t="s">
        <v>2</v>
      </c>
      <c r="D194" s="4" t="s">
        <v>1275</v>
      </c>
      <c r="E194" s="4" t="s">
        <v>1276</v>
      </c>
      <c r="F194" s="4" t="s">
        <v>363</v>
      </c>
      <c r="G194" s="4" t="s">
        <v>364</v>
      </c>
    </row>
    <row r="195" spans="1:7" x14ac:dyDescent="0.35">
      <c r="A195" s="48" t="s">
        <v>105</v>
      </c>
      <c r="B195" s="5" t="s">
        <v>14</v>
      </c>
      <c r="C195" s="6">
        <v>0.28000000000000003</v>
      </c>
      <c r="D195" s="7">
        <f t="shared" si="10"/>
        <v>0.27650000000000002</v>
      </c>
      <c r="E195" s="7">
        <f t="shared" si="11"/>
        <v>0.2515</v>
      </c>
      <c r="F195" s="7">
        <f t="shared" si="12"/>
        <v>5.0299999999999997E-3</v>
      </c>
      <c r="G195" s="7">
        <f t="shared" si="13"/>
        <v>0.24646999999999999</v>
      </c>
    </row>
    <row r="196" spans="1:7" x14ac:dyDescent="0.35">
      <c r="A196" s="48"/>
      <c r="B196" s="5" t="s">
        <v>13</v>
      </c>
      <c r="C196" s="6">
        <v>0.12000000000000001</v>
      </c>
      <c r="D196" s="7">
        <f t="shared" si="10"/>
        <v>0.11850000000000001</v>
      </c>
      <c r="E196" s="7">
        <f t="shared" si="11"/>
        <v>9.35E-2</v>
      </c>
      <c r="F196" s="7">
        <f t="shared" si="12"/>
        <v>1.8700000000000001E-3</v>
      </c>
      <c r="G196" s="7">
        <f t="shared" si="13"/>
        <v>9.1630000000000003E-2</v>
      </c>
    </row>
    <row r="197" spans="1:7" x14ac:dyDescent="0.35">
      <c r="A197" s="48"/>
      <c r="B197" s="5" t="s">
        <v>17</v>
      </c>
      <c r="C197" s="6">
        <v>0.23000000000000004</v>
      </c>
      <c r="D197" s="7">
        <f t="shared" si="10"/>
        <v>0.22712500000000005</v>
      </c>
      <c r="E197" s="7">
        <f t="shared" si="11"/>
        <v>0.20212500000000005</v>
      </c>
      <c r="F197" s="7">
        <f t="shared" si="12"/>
        <v>4.042500000000001E-3</v>
      </c>
      <c r="G197" s="7">
        <f t="shared" si="13"/>
        <v>0.19808250000000005</v>
      </c>
    </row>
    <row r="198" spans="1:7" x14ac:dyDescent="0.35">
      <c r="A198" s="48"/>
      <c r="B198" s="5" t="s">
        <v>25</v>
      </c>
      <c r="C198" s="6">
        <v>0.18</v>
      </c>
      <c r="D198" s="7">
        <f t="shared" si="10"/>
        <v>0.17774999999999999</v>
      </c>
      <c r="E198" s="7">
        <f t="shared" si="11"/>
        <v>0.15275</v>
      </c>
      <c r="F198" s="7">
        <f t="shared" si="12"/>
        <v>3.055E-3</v>
      </c>
      <c r="G198" s="7">
        <f t="shared" si="13"/>
        <v>0.14969499999999999</v>
      </c>
    </row>
    <row r="199" spans="1:7" x14ac:dyDescent="0.35">
      <c r="A199" s="48"/>
      <c r="B199" s="5" t="s">
        <v>18</v>
      </c>
      <c r="C199" s="6">
        <v>0.23000000000000004</v>
      </c>
      <c r="D199" s="7">
        <f t="shared" ref="D199:D261" si="14">(C199-(C199*1.25%))</f>
        <v>0.22712500000000005</v>
      </c>
      <c r="E199" s="7">
        <f t="shared" ref="E199:E261" si="15">D199-(2.5%)</f>
        <v>0.20212500000000005</v>
      </c>
      <c r="F199" s="7">
        <f t="shared" ref="F199:F261" si="16">E199*(2%)</f>
        <v>4.042500000000001E-3</v>
      </c>
      <c r="G199" s="7">
        <f t="shared" ref="G199:G261" si="17">E199-F199</f>
        <v>0.19808250000000005</v>
      </c>
    </row>
    <row r="200" spans="1:7" x14ac:dyDescent="0.35">
      <c r="A200" s="48"/>
      <c r="B200" s="5" t="s">
        <v>22</v>
      </c>
      <c r="C200" s="6">
        <v>0.23000000000000004</v>
      </c>
      <c r="D200" s="7">
        <f t="shared" si="14"/>
        <v>0.22712500000000005</v>
      </c>
      <c r="E200" s="7">
        <f t="shared" si="15"/>
        <v>0.20212500000000005</v>
      </c>
      <c r="F200" s="7">
        <f t="shared" si="16"/>
        <v>4.042500000000001E-3</v>
      </c>
      <c r="G200" s="7">
        <f t="shared" si="17"/>
        <v>0.19808250000000005</v>
      </c>
    </row>
    <row r="201" spans="1:7" x14ac:dyDescent="0.35">
      <c r="A201" s="48"/>
      <c r="B201" s="5" t="s">
        <v>23</v>
      </c>
      <c r="C201" s="6">
        <v>0.23000000000000004</v>
      </c>
      <c r="D201" s="7">
        <f t="shared" si="14"/>
        <v>0.22712500000000005</v>
      </c>
      <c r="E201" s="7">
        <f t="shared" si="15"/>
        <v>0.20212500000000005</v>
      </c>
      <c r="F201" s="7">
        <f t="shared" si="16"/>
        <v>4.042500000000001E-3</v>
      </c>
      <c r="G201" s="7">
        <f t="shared" si="17"/>
        <v>0.19808250000000005</v>
      </c>
    </row>
    <row r="202" spans="1:7" x14ac:dyDescent="0.35">
      <c r="A202" s="48"/>
      <c r="B202" s="5" t="s">
        <v>26</v>
      </c>
      <c r="C202" s="6">
        <v>0.23000000000000004</v>
      </c>
      <c r="D202" s="7">
        <f t="shared" si="14"/>
        <v>0.22712500000000005</v>
      </c>
      <c r="E202" s="7">
        <f t="shared" si="15"/>
        <v>0.20212500000000005</v>
      </c>
      <c r="F202" s="7">
        <f t="shared" si="16"/>
        <v>4.042500000000001E-3</v>
      </c>
      <c r="G202" s="7">
        <f t="shared" si="17"/>
        <v>0.19808250000000005</v>
      </c>
    </row>
    <row r="203" spans="1:7" x14ac:dyDescent="0.35">
      <c r="A203" s="48"/>
      <c r="B203" s="5" t="s">
        <v>15</v>
      </c>
      <c r="C203" s="6">
        <v>0.22000000000000003</v>
      </c>
      <c r="D203" s="7">
        <f t="shared" si="14"/>
        <v>0.21725000000000003</v>
      </c>
      <c r="E203" s="7">
        <f t="shared" si="15"/>
        <v>0.19225000000000003</v>
      </c>
      <c r="F203" s="7">
        <f t="shared" si="16"/>
        <v>3.8450000000000008E-3</v>
      </c>
      <c r="G203" s="7">
        <f t="shared" si="17"/>
        <v>0.18840500000000004</v>
      </c>
    </row>
    <row r="204" spans="1:7" x14ac:dyDescent="0.35">
      <c r="A204" s="48"/>
      <c r="B204" s="5" t="s">
        <v>16</v>
      </c>
      <c r="C204" s="6">
        <v>0.11</v>
      </c>
      <c r="D204" s="7">
        <f t="shared" si="14"/>
        <v>0.108625</v>
      </c>
      <c r="E204" s="7">
        <f t="shared" si="15"/>
        <v>8.3625000000000005E-2</v>
      </c>
      <c r="F204" s="7">
        <f t="shared" si="16"/>
        <v>1.6725000000000002E-3</v>
      </c>
      <c r="G204" s="7">
        <f t="shared" si="17"/>
        <v>8.1952500000000011E-2</v>
      </c>
    </row>
    <row r="205" spans="1:7" x14ac:dyDescent="0.35">
      <c r="A205" s="48"/>
      <c r="B205" s="5" t="s">
        <v>21</v>
      </c>
      <c r="C205" s="6">
        <v>3.9999999999999994E-2</v>
      </c>
      <c r="D205" s="7" t="s">
        <v>20</v>
      </c>
      <c r="E205" s="7" t="s">
        <v>20</v>
      </c>
      <c r="F205" s="7" t="s">
        <v>20</v>
      </c>
      <c r="G205" s="7" t="s">
        <v>20</v>
      </c>
    </row>
    <row r="206" spans="1:7" x14ac:dyDescent="0.35">
      <c r="A206" s="48"/>
      <c r="B206" s="5" t="s">
        <v>24</v>
      </c>
      <c r="C206" s="6">
        <v>0.18</v>
      </c>
      <c r="D206" s="7">
        <f t="shared" si="14"/>
        <v>0.17774999999999999</v>
      </c>
      <c r="E206" s="7">
        <f t="shared" si="15"/>
        <v>0.15275</v>
      </c>
      <c r="F206" s="7">
        <f t="shared" si="16"/>
        <v>3.055E-3</v>
      </c>
      <c r="G206" s="7">
        <f t="shared" si="17"/>
        <v>0.14969499999999999</v>
      </c>
    </row>
    <row r="207" spans="1:7" x14ac:dyDescent="0.35">
      <c r="A207" s="48"/>
      <c r="B207" s="5" t="s">
        <v>19</v>
      </c>
      <c r="C207" s="6">
        <v>0.06</v>
      </c>
      <c r="D207" s="7">
        <f t="shared" si="14"/>
        <v>5.9249999999999997E-2</v>
      </c>
      <c r="E207" s="7">
        <f t="shared" si="15"/>
        <v>3.4249999999999996E-2</v>
      </c>
      <c r="F207" s="7">
        <f t="shared" si="16"/>
        <v>6.8499999999999995E-4</v>
      </c>
      <c r="G207" s="7">
        <f t="shared" si="17"/>
        <v>3.3564999999999998E-2</v>
      </c>
    </row>
    <row r="208" spans="1:7" x14ac:dyDescent="0.35">
      <c r="A208" s="48"/>
      <c r="B208" s="5" t="s">
        <v>27</v>
      </c>
      <c r="C208" s="6">
        <v>9.999999999999995E-3</v>
      </c>
      <c r="D208" s="7" t="s">
        <v>20</v>
      </c>
      <c r="E208" s="7" t="s">
        <v>20</v>
      </c>
      <c r="F208" s="7" t="s">
        <v>20</v>
      </c>
      <c r="G208" s="7" t="s">
        <v>20</v>
      </c>
    </row>
    <row r="209" spans="1:7" x14ac:dyDescent="0.35">
      <c r="A209" s="48" t="s">
        <v>106</v>
      </c>
      <c r="B209" s="5" t="s">
        <v>13</v>
      </c>
      <c r="C209" s="7">
        <v>0.18</v>
      </c>
      <c r="D209" s="7">
        <f t="shared" si="14"/>
        <v>0.17774999999999999</v>
      </c>
      <c r="E209" s="7">
        <f t="shared" si="15"/>
        <v>0.15275</v>
      </c>
      <c r="F209" s="7">
        <f t="shared" si="16"/>
        <v>3.055E-3</v>
      </c>
      <c r="G209" s="7">
        <f t="shared" si="17"/>
        <v>0.14969499999999999</v>
      </c>
    </row>
    <row r="210" spans="1:7" x14ac:dyDescent="0.35">
      <c r="A210" s="48"/>
      <c r="B210" s="5" t="s">
        <v>14</v>
      </c>
      <c r="C210" s="7">
        <v>0.35</v>
      </c>
      <c r="D210" s="7">
        <f t="shared" si="14"/>
        <v>0.34562499999999996</v>
      </c>
      <c r="E210" s="7">
        <f t="shared" si="15"/>
        <v>0.32062499999999994</v>
      </c>
      <c r="F210" s="7">
        <f t="shared" si="16"/>
        <v>6.4124999999999989E-3</v>
      </c>
      <c r="G210" s="7">
        <f t="shared" si="17"/>
        <v>0.31421249999999995</v>
      </c>
    </row>
    <row r="211" spans="1:7" x14ac:dyDescent="0.35">
      <c r="A211" s="48"/>
      <c r="B211" s="5" t="s">
        <v>15</v>
      </c>
      <c r="C211" s="7">
        <v>0.29000000000000004</v>
      </c>
      <c r="D211" s="7">
        <f t="shared" si="14"/>
        <v>0.28637500000000005</v>
      </c>
      <c r="E211" s="7">
        <f t="shared" si="15"/>
        <v>0.26137500000000002</v>
      </c>
      <c r="F211" s="7">
        <f t="shared" si="16"/>
        <v>5.2275000000000004E-3</v>
      </c>
      <c r="G211" s="7">
        <f t="shared" si="17"/>
        <v>0.25614750000000003</v>
      </c>
    </row>
    <row r="212" spans="1:7" x14ac:dyDescent="0.35">
      <c r="A212" s="48"/>
      <c r="B212" s="5" t="s">
        <v>16</v>
      </c>
      <c r="C212" s="7">
        <v>0.16999999999999998</v>
      </c>
      <c r="D212" s="7">
        <f t="shared" si="14"/>
        <v>0.167875</v>
      </c>
      <c r="E212" s="7">
        <f t="shared" si="15"/>
        <v>0.142875</v>
      </c>
      <c r="F212" s="7">
        <f t="shared" si="16"/>
        <v>2.8575000000000002E-3</v>
      </c>
      <c r="G212" s="7">
        <f t="shared" si="17"/>
        <v>0.14001749999999999</v>
      </c>
    </row>
    <row r="213" spans="1:7" x14ac:dyDescent="0.35">
      <c r="A213" s="48"/>
      <c r="B213" s="5" t="s">
        <v>17</v>
      </c>
      <c r="C213" s="7">
        <v>0.35</v>
      </c>
      <c r="D213" s="7">
        <f t="shared" si="14"/>
        <v>0.34562499999999996</v>
      </c>
      <c r="E213" s="7">
        <f t="shared" si="15"/>
        <v>0.32062499999999994</v>
      </c>
      <c r="F213" s="7">
        <f t="shared" si="16"/>
        <v>6.4124999999999989E-3</v>
      </c>
      <c r="G213" s="7">
        <f t="shared" si="17"/>
        <v>0.31421249999999995</v>
      </c>
    </row>
    <row r="214" spans="1:7" x14ac:dyDescent="0.35">
      <c r="A214" s="48"/>
      <c r="B214" s="5" t="s">
        <v>18</v>
      </c>
      <c r="C214" s="7">
        <v>0.31</v>
      </c>
      <c r="D214" s="7">
        <f t="shared" si="14"/>
        <v>0.30612499999999998</v>
      </c>
      <c r="E214" s="7">
        <f t="shared" si="15"/>
        <v>0.28112499999999996</v>
      </c>
      <c r="F214" s="7">
        <f t="shared" si="16"/>
        <v>5.622499999999999E-3</v>
      </c>
      <c r="G214" s="7">
        <f t="shared" si="17"/>
        <v>0.27550249999999998</v>
      </c>
    </row>
    <row r="215" spans="1:7" x14ac:dyDescent="0.35">
      <c r="A215" s="48"/>
      <c r="B215" s="5" t="s">
        <v>19</v>
      </c>
      <c r="C215" s="7">
        <v>0.08</v>
      </c>
      <c r="D215" s="7">
        <f t="shared" si="14"/>
        <v>7.9000000000000001E-2</v>
      </c>
      <c r="E215" s="7">
        <f t="shared" si="15"/>
        <v>5.3999999999999999E-2</v>
      </c>
      <c r="F215" s="7">
        <f t="shared" si="16"/>
        <v>1.08E-3</v>
      </c>
      <c r="G215" s="7">
        <f t="shared" si="17"/>
        <v>5.2920000000000002E-2</v>
      </c>
    </row>
    <row r="216" spans="1:7" x14ac:dyDescent="0.35">
      <c r="A216" s="48"/>
      <c r="B216" s="5" t="s">
        <v>21</v>
      </c>
      <c r="C216" s="7">
        <v>0.03</v>
      </c>
      <c r="D216" s="7" t="s">
        <v>20</v>
      </c>
      <c r="E216" s="7" t="s">
        <v>20</v>
      </c>
      <c r="F216" s="7" t="s">
        <v>20</v>
      </c>
      <c r="G216" s="7" t="s">
        <v>20</v>
      </c>
    </row>
    <row r="217" spans="1:7" x14ac:dyDescent="0.35">
      <c r="A217" s="48"/>
      <c r="B217" s="5" t="s">
        <v>22</v>
      </c>
      <c r="C217" s="7">
        <v>0.35000000000000003</v>
      </c>
      <c r="D217" s="7">
        <f t="shared" si="14"/>
        <v>0.34562500000000002</v>
      </c>
      <c r="E217" s="7">
        <f t="shared" si="15"/>
        <v>0.32062499999999999</v>
      </c>
      <c r="F217" s="7">
        <f t="shared" si="16"/>
        <v>6.4124999999999998E-3</v>
      </c>
      <c r="G217" s="7">
        <f t="shared" si="17"/>
        <v>0.31421250000000001</v>
      </c>
    </row>
    <row r="218" spans="1:7" x14ac:dyDescent="0.35">
      <c r="A218" s="48"/>
      <c r="B218" s="5" t="s">
        <v>23</v>
      </c>
      <c r="C218" s="7">
        <v>0.35</v>
      </c>
      <c r="D218" s="7">
        <f t="shared" si="14"/>
        <v>0.34562499999999996</v>
      </c>
      <c r="E218" s="7">
        <f t="shared" si="15"/>
        <v>0.32062499999999994</v>
      </c>
      <c r="F218" s="7">
        <f t="shared" si="16"/>
        <v>6.4124999999999989E-3</v>
      </c>
      <c r="G218" s="7">
        <f t="shared" si="17"/>
        <v>0.31421249999999995</v>
      </c>
    </row>
    <row r="219" spans="1:7" x14ac:dyDescent="0.35">
      <c r="A219" s="48"/>
      <c r="B219" s="5" t="s">
        <v>24</v>
      </c>
      <c r="C219" s="7">
        <v>0.25</v>
      </c>
      <c r="D219" s="7">
        <f t="shared" si="14"/>
        <v>0.24687500000000001</v>
      </c>
      <c r="E219" s="7">
        <f t="shared" si="15"/>
        <v>0.22187500000000002</v>
      </c>
      <c r="F219" s="7">
        <f t="shared" si="16"/>
        <v>4.4375000000000005E-3</v>
      </c>
      <c r="G219" s="7">
        <f t="shared" si="17"/>
        <v>0.21743750000000001</v>
      </c>
    </row>
    <row r="220" spans="1:7" x14ac:dyDescent="0.35">
      <c r="A220" s="48"/>
      <c r="B220" s="5" t="s">
        <v>25</v>
      </c>
      <c r="C220" s="7">
        <v>0.26</v>
      </c>
      <c r="D220" s="7">
        <f t="shared" si="14"/>
        <v>0.25675000000000003</v>
      </c>
      <c r="E220" s="7">
        <f t="shared" si="15"/>
        <v>0.23175000000000004</v>
      </c>
      <c r="F220" s="7">
        <f t="shared" si="16"/>
        <v>4.6350000000000011E-3</v>
      </c>
      <c r="G220" s="7">
        <f t="shared" si="17"/>
        <v>0.22711500000000004</v>
      </c>
    </row>
    <row r="221" spans="1:7" x14ac:dyDescent="0.35">
      <c r="A221" s="48"/>
      <c r="B221" s="5" t="s">
        <v>26</v>
      </c>
      <c r="C221" s="7">
        <v>0.35000000000000003</v>
      </c>
      <c r="D221" s="7">
        <f t="shared" si="14"/>
        <v>0.34562500000000002</v>
      </c>
      <c r="E221" s="7">
        <f t="shared" si="15"/>
        <v>0.32062499999999999</v>
      </c>
      <c r="F221" s="7">
        <f t="shared" si="16"/>
        <v>6.4124999999999998E-3</v>
      </c>
      <c r="G221" s="7">
        <f t="shared" si="17"/>
        <v>0.31421250000000001</v>
      </c>
    </row>
    <row r="222" spans="1:7" x14ac:dyDescent="0.35">
      <c r="A222" s="48"/>
      <c r="B222" s="5" t="s">
        <v>27</v>
      </c>
      <c r="C222" s="7">
        <v>0</v>
      </c>
      <c r="D222" s="7" t="s">
        <v>20</v>
      </c>
      <c r="E222" s="7" t="s">
        <v>20</v>
      </c>
      <c r="F222" s="7" t="s">
        <v>20</v>
      </c>
      <c r="G222" s="7" t="s">
        <v>20</v>
      </c>
    </row>
    <row r="223" spans="1:7" ht="28" customHeight="1" x14ac:dyDescent="0.35">
      <c r="A223" s="48" t="s">
        <v>107</v>
      </c>
      <c r="B223" s="5" t="s">
        <v>32</v>
      </c>
      <c r="C223" s="6">
        <v>0.45</v>
      </c>
      <c r="D223" s="7">
        <f t="shared" si="14"/>
        <v>0.44437500000000002</v>
      </c>
      <c r="E223" s="7">
        <f t="shared" si="15"/>
        <v>0.419375</v>
      </c>
      <c r="F223" s="7">
        <f t="shared" si="16"/>
        <v>8.3875000000000009E-3</v>
      </c>
      <c r="G223" s="7">
        <f t="shared" si="17"/>
        <v>0.41098750000000001</v>
      </c>
    </row>
    <row r="224" spans="1:7" ht="31.5" customHeight="1" x14ac:dyDescent="0.35">
      <c r="A224" s="48"/>
      <c r="B224" s="5" t="s">
        <v>108</v>
      </c>
      <c r="C224" s="6">
        <v>0.35</v>
      </c>
      <c r="D224" s="7">
        <f t="shared" si="14"/>
        <v>0.34562499999999996</v>
      </c>
      <c r="E224" s="7">
        <f t="shared" si="15"/>
        <v>0.32062499999999994</v>
      </c>
      <c r="F224" s="7">
        <f t="shared" si="16"/>
        <v>6.4124999999999989E-3</v>
      </c>
      <c r="G224" s="7">
        <f t="shared" si="17"/>
        <v>0.31421249999999995</v>
      </c>
    </row>
    <row r="225" spans="1:7" ht="30.65" customHeight="1" x14ac:dyDescent="0.35">
      <c r="A225" s="5" t="s">
        <v>109</v>
      </c>
      <c r="B225" s="5" t="s">
        <v>32</v>
      </c>
      <c r="C225" s="6">
        <v>0.25</v>
      </c>
      <c r="D225" s="7">
        <f t="shared" si="14"/>
        <v>0.24687500000000001</v>
      </c>
      <c r="E225" s="7">
        <f t="shared" si="15"/>
        <v>0.22187500000000002</v>
      </c>
      <c r="F225" s="7">
        <f t="shared" si="16"/>
        <v>4.4375000000000005E-3</v>
      </c>
      <c r="G225" s="7">
        <f t="shared" si="17"/>
        <v>0.21743750000000001</v>
      </c>
    </row>
    <row r="226" spans="1:7" x14ac:dyDescent="0.35">
      <c r="A226" s="40" t="s">
        <v>110</v>
      </c>
      <c r="B226" s="5" t="s">
        <v>87</v>
      </c>
      <c r="C226" s="6">
        <v>0.2</v>
      </c>
      <c r="D226" s="7">
        <f t="shared" si="14"/>
        <v>0.19750000000000001</v>
      </c>
      <c r="E226" s="7">
        <f t="shared" si="15"/>
        <v>0.17250000000000001</v>
      </c>
      <c r="F226" s="7">
        <f t="shared" si="16"/>
        <v>3.4500000000000004E-3</v>
      </c>
      <c r="G226" s="7">
        <f t="shared" si="17"/>
        <v>0.16905000000000001</v>
      </c>
    </row>
    <row r="227" spans="1:7" x14ac:dyDescent="0.35">
      <c r="A227" s="40"/>
      <c r="B227" s="5" t="s">
        <v>88</v>
      </c>
      <c r="C227" s="6">
        <v>0</v>
      </c>
      <c r="D227" s="7" t="s">
        <v>20</v>
      </c>
      <c r="E227" s="7" t="s">
        <v>20</v>
      </c>
      <c r="F227" s="7" t="s">
        <v>20</v>
      </c>
      <c r="G227" s="7" t="s">
        <v>20</v>
      </c>
    </row>
    <row r="228" spans="1:7" x14ac:dyDescent="0.35">
      <c r="A228" s="40"/>
      <c r="B228" s="5" t="s">
        <v>89</v>
      </c>
      <c r="C228" s="6">
        <v>0</v>
      </c>
      <c r="D228" s="7" t="s">
        <v>20</v>
      </c>
      <c r="E228" s="7" t="s">
        <v>20</v>
      </c>
      <c r="F228" s="7" t="s">
        <v>20</v>
      </c>
      <c r="G228" s="7" t="s">
        <v>20</v>
      </c>
    </row>
    <row r="229" spans="1:7" x14ac:dyDescent="0.35">
      <c r="A229" s="40" t="s">
        <v>111</v>
      </c>
      <c r="B229" s="5" t="s">
        <v>87</v>
      </c>
      <c r="C229" s="6">
        <v>0.27</v>
      </c>
      <c r="D229" s="7">
        <f t="shared" si="14"/>
        <v>0.266625</v>
      </c>
      <c r="E229" s="7">
        <f t="shared" si="15"/>
        <v>0.24162500000000001</v>
      </c>
      <c r="F229" s="7">
        <f t="shared" si="16"/>
        <v>4.8325E-3</v>
      </c>
      <c r="G229" s="7">
        <f t="shared" si="17"/>
        <v>0.23679250000000002</v>
      </c>
    </row>
    <row r="230" spans="1:7" x14ac:dyDescent="0.35">
      <c r="A230" s="40"/>
      <c r="B230" s="5" t="s">
        <v>88</v>
      </c>
      <c r="C230" s="6">
        <v>0</v>
      </c>
      <c r="D230" s="7" t="s">
        <v>20</v>
      </c>
      <c r="E230" s="7" t="s">
        <v>20</v>
      </c>
      <c r="F230" s="7" t="s">
        <v>20</v>
      </c>
      <c r="G230" s="7" t="s">
        <v>20</v>
      </c>
    </row>
    <row r="231" spans="1:7" x14ac:dyDescent="0.35">
      <c r="A231" s="40"/>
      <c r="B231" s="5" t="s">
        <v>89</v>
      </c>
      <c r="C231" s="6">
        <v>0</v>
      </c>
      <c r="D231" s="7" t="s">
        <v>20</v>
      </c>
      <c r="E231" s="7" t="s">
        <v>20</v>
      </c>
      <c r="F231" s="7" t="s">
        <v>20</v>
      </c>
      <c r="G231" s="7" t="s">
        <v>20</v>
      </c>
    </row>
    <row r="232" spans="1:7" x14ac:dyDescent="0.35">
      <c r="A232" s="40" t="s">
        <v>112</v>
      </c>
      <c r="B232" s="5" t="s">
        <v>87</v>
      </c>
      <c r="C232" s="6">
        <v>0.34499999999999997</v>
      </c>
      <c r="D232" s="7">
        <f t="shared" si="14"/>
        <v>0.34068749999999998</v>
      </c>
      <c r="E232" s="7">
        <f t="shared" si="15"/>
        <v>0.31568749999999995</v>
      </c>
      <c r="F232" s="7">
        <f t="shared" si="16"/>
        <v>6.3137499999999991E-3</v>
      </c>
      <c r="G232" s="7">
        <f t="shared" si="17"/>
        <v>0.30937374999999995</v>
      </c>
    </row>
    <row r="233" spans="1:7" x14ac:dyDescent="0.35">
      <c r="A233" s="40"/>
      <c r="B233" s="5" t="s">
        <v>88</v>
      </c>
      <c r="C233" s="6">
        <v>0</v>
      </c>
      <c r="D233" s="7" t="s">
        <v>20</v>
      </c>
      <c r="E233" s="7" t="s">
        <v>20</v>
      </c>
      <c r="F233" s="7" t="s">
        <v>20</v>
      </c>
      <c r="G233" s="7" t="s">
        <v>20</v>
      </c>
    </row>
    <row r="234" spans="1:7" x14ac:dyDescent="0.35">
      <c r="A234" s="40"/>
      <c r="B234" s="5" t="s">
        <v>89</v>
      </c>
      <c r="C234" s="6">
        <v>0</v>
      </c>
      <c r="D234" s="7" t="s">
        <v>20</v>
      </c>
      <c r="E234" s="7" t="s">
        <v>20</v>
      </c>
      <c r="F234" s="7" t="s">
        <v>20</v>
      </c>
      <c r="G234" s="7" t="s">
        <v>20</v>
      </c>
    </row>
    <row r="235" spans="1:7" x14ac:dyDescent="0.35">
      <c r="A235" s="44" t="s">
        <v>1232</v>
      </c>
      <c r="B235" s="5" t="s">
        <v>92</v>
      </c>
      <c r="C235" s="6">
        <v>0.27</v>
      </c>
      <c r="D235" s="7">
        <f t="shared" si="14"/>
        <v>0.266625</v>
      </c>
      <c r="E235" s="7">
        <f t="shared" si="15"/>
        <v>0.24162500000000001</v>
      </c>
      <c r="F235" s="7">
        <f t="shared" si="16"/>
        <v>4.8325E-3</v>
      </c>
      <c r="G235" s="7">
        <f t="shared" si="17"/>
        <v>0.23679250000000002</v>
      </c>
    </row>
    <row r="236" spans="1:7" x14ac:dyDescent="0.35">
      <c r="A236" s="45"/>
      <c r="B236" s="5" t="s">
        <v>93</v>
      </c>
      <c r="C236" s="6">
        <v>0.27</v>
      </c>
      <c r="D236" s="7">
        <f t="shared" si="14"/>
        <v>0.266625</v>
      </c>
      <c r="E236" s="7">
        <f t="shared" si="15"/>
        <v>0.24162500000000001</v>
      </c>
      <c r="F236" s="7">
        <f t="shared" si="16"/>
        <v>4.8325E-3</v>
      </c>
      <c r="G236" s="7">
        <f t="shared" si="17"/>
        <v>0.23679250000000002</v>
      </c>
    </row>
    <row r="237" spans="1:7" x14ac:dyDescent="0.35">
      <c r="A237" s="48" t="s">
        <v>113</v>
      </c>
      <c r="B237" s="5" t="s">
        <v>33</v>
      </c>
      <c r="C237" s="6">
        <v>0.4</v>
      </c>
      <c r="D237" s="7">
        <f t="shared" si="14"/>
        <v>0.39500000000000002</v>
      </c>
      <c r="E237" s="7">
        <f t="shared" si="15"/>
        <v>0.37</v>
      </c>
      <c r="F237" s="7">
        <f t="shared" si="16"/>
        <v>7.4000000000000003E-3</v>
      </c>
      <c r="G237" s="7">
        <f t="shared" si="17"/>
        <v>0.36259999999999998</v>
      </c>
    </row>
    <row r="238" spans="1:7" x14ac:dyDescent="0.35">
      <c r="A238" s="48"/>
      <c r="B238" s="5" t="s">
        <v>34</v>
      </c>
      <c r="C238" s="6">
        <v>0.4</v>
      </c>
      <c r="D238" s="7">
        <f t="shared" si="14"/>
        <v>0.39500000000000002</v>
      </c>
      <c r="E238" s="7">
        <f t="shared" si="15"/>
        <v>0.37</v>
      </c>
      <c r="F238" s="7">
        <f t="shared" si="16"/>
        <v>7.4000000000000003E-3</v>
      </c>
      <c r="G238" s="7">
        <f t="shared" si="17"/>
        <v>0.36259999999999998</v>
      </c>
    </row>
    <row r="239" spans="1:7" x14ac:dyDescent="0.35">
      <c r="A239" s="48"/>
      <c r="B239" s="5" t="s">
        <v>35</v>
      </c>
      <c r="C239" s="6">
        <v>0</v>
      </c>
      <c r="D239" s="7" t="s">
        <v>20</v>
      </c>
      <c r="E239" s="7" t="s">
        <v>20</v>
      </c>
      <c r="F239" s="7" t="s">
        <v>20</v>
      </c>
      <c r="G239" s="7" t="s">
        <v>20</v>
      </c>
    </row>
    <row r="240" spans="1:7" x14ac:dyDescent="0.35">
      <c r="A240" s="41" t="s">
        <v>114</v>
      </c>
      <c r="B240" s="5" t="s">
        <v>33</v>
      </c>
      <c r="C240" s="6">
        <v>0.2</v>
      </c>
      <c r="D240" s="7">
        <f t="shared" si="14"/>
        <v>0.19750000000000001</v>
      </c>
      <c r="E240" s="7">
        <f t="shared" si="15"/>
        <v>0.17250000000000001</v>
      </c>
      <c r="F240" s="7">
        <f t="shared" si="16"/>
        <v>3.4500000000000004E-3</v>
      </c>
      <c r="G240" s="7">
        <f t="shared" si="17"/>
        <v>0.16905000000000001</v>
      </c>
    </row>
    <row r="241" spans="1:7" x14ac:dyDescent="0.35">
      <c r="A241" s="42"/>
      <c r="B241" s="5" t="s">
        <v>34</v>
      </c>
      <c r="C241" s="6">
        <v>0</v>
      </c>
      <c r="D241" s="7" t="s">
        <v>20</v>
      </c>
      <c r="E241" s="7" t="s">
        <v>20</v>
      </c>
      <c r="F241" s="7" t="s">
        <v>20</v>
      </c>
      <c r="G241" s="7" t="s">
        <v>20</v>
      </c>
    </row>
    <row r="242" spans="1:7" x14ac:dyDescent="0.35">
      <c r="A242" s="43"/>
      <c r="B242" s="5" t="s">
        <v>35</v>
      </c>
      <c r="C242" s="6">
        <v>0</v>
      </c>
      <c r="D242" s="7" t="s">
        <v>20</v>
      </c>
      <c r="E242" s="7" t="s">
        <v>20</v>
      </c>
      <c r="F242" s="7" t="s">
        <v>20</v>
      </c>
      <c r="G242" s="7" t="s">
        <v>20</v>
      </c>
    </row>
    <row r="243" spans="1:7" ht="24" x14ac:dyDescent="0.35">
      <c r="A243" s="5" t="s">
        <v>115</v>
      </c>
      <c r="B243" s="5" t="s">
        <v>96</v>
      </c>
      <c r="C243" s="6">
        <v>0.27500000000000002</v>
      </c>
      <c r="D243" s="7">
        <f t="shared" si="14"/>
        <v>0.27156250000000004</v>
      </c>
      <c r="E243" s="7">
        <f t="shared" si="15"/>
        <v>0.24656250000000005</v>
      </c>
      <c r="F243" s="7">
        <f t="shared" si="16"/>
        <v>4.9312500000000007E-3</v>
      </c>
      <c r="G243" s="7">
        <f t="shared" si="17"/>
        <v>0.24163125000000005</v>
      </c>
    </row>
    <row r="244" spans="1:7" x14ac:dyDescent="0.35">
      <c r="A244" s="41" t="s">
        <v>116</v>
      </c>
      <c r="B244" s="5" t="s">
        <v>39</v>
      </c>
      <c r="C244" s="6">
        <v>0.35</v>
      </c>
      <c r="D244" s="7">
        <f t="shared" si="14"/>
        <v>0.34562499999999996</v>
      </c>
      <c r="E244" s="7">
        <f t="shared" si="15"/>
        <v>0.32062499999999994</v>
      </c>
      <c r="F244" s="7">
        <f t="shared" si="16"/>
        <v>6.4124999999999989E-3</v>
      </c>
      <c r="G244" s="7">
        <f t="shared" si="17"/>
        <v>0.31421249999999995</v>
      </c>
    </row>
    <row r="245" spans="1:7" x14ac:dyDescent="0.35">
      <c r="A245" s="43"/>
      <c r="B245" s="5" t="s">
        <v>40</v>
      </c>
      <c r="C245" s="6">
        <v>0.34</v>
      </c>
      <c r="D245" s="7">
        <f t="shared" si="14"/>
        <v>0.33575000000000005</v>
      </c>
      <c r="E245" s="7">
        <f t="shared" si="15"/>
        <v>0.31075000000000003</v>
      </c>
      <c r="F245" s="7">
        <f t="shared" si="16"/>
        <v>6.2150000000000009E-3</v>
      </c>
      <c r="G245" s="7">
        <f t="shared" si="17"/>
        <v>0.304535</v>
      </c>
    </row>
    <row r="246" spans="1:7" x14ac:dyDescent="0.35">
      <c r="A246" s="23" t="s">
        <v>1310</v>
      </c>
      <c r="B246" s="5" t="s">
        <v>100</v>
      </c>
      <c r="C246" s="6">
        <v>0.47499999999999998</v>
      </c>
      <c r="D246" s="7">
        <f t="shared" si="14"/>
        <v>0.46906249999999999</v>
      </c>
      <c r="E246" s="7">
        <f t="shared" si="15"/>
        <v>0.44406249999999997</v>
      </c>
      <c r="F246" s="7">
        <f t="shared" si="16"/>
        <v>8.8812500000000003E-3</v>
      </c>
      <c r="G246" s="7">
        <f t="shared" si="17"/>
        <v>0.43518124999999996</v>
      </c>
    </row>
    <row r="247" spans="1:7" x14ac:dyDescent="0.35">
      <c r="A247" s="2" t="s">
        <v>117</v>
      </c>
      <c r="B247" s="2" t="s">
        <v>1</v>
      </c>
      <c r="C247" s="3" t="s">
        <v>2</v>
      </c>
      <c r="D247" s="4" t="s">
        <v>1275</v>
      </c>
      <c r="E247" s="4" t="s">
        <v>1276</v>
      </c>
      <c r="F247" s="4" t="s">
        <v>363</v>
      </c>
      <c r="G247" s="4" t="s">
        <v>364</v>
      </c>
    </row>
    <row r="248" spans="1:7" x14ac:dyDescent="0.35">
      <c r="A248" s="48" t="s">
        <v>118</v>
      </c>
      <c r="B248" s="5" t="s">
        <v>14</v>
      </c>
      <c r="C248" s="6">
        <v>0.1</v>
      </c>
      <c r="D248" s="7">
        <f t="shared" si="14"/>
        <v>9.8750000000000004E-2</v>
      </c>
      <c r="E248" s="7">
        <f t="shared" si="15"/>
        <v>7.375000000000001E-2</v>
      </c>
      <c r="F248" s="7">
        <f t="shared" si="16"/>
        <v>1.4750000000000002E-3</v>
      </c>
      <c r="G248" s="7">
        <f t="shared" si="17"/>
        <v>7.2275000000000006E-2</v>
      </c>
    </row>
    <row r="249" spans="1:7" x14ac:dyDescent="0.35">
      <c r="A249" s="48"/>
      <c r="B249" s="5" t="s">
        <v>119</v>
      </c>
      <c r="C249" s="6">
        <v>0.19500000000000001</v>
      </c>
      <c r="D249" s="7">
        <f t="shared" si="14"/>
        <v>0.1925625</v>
      </c>
      <c r="E249" s="7">
        <f t="shared" si="15"/>
        <v>0.1675625</v>
      </c>
      <c r="F249" s="7">
        <f t="shared" si="16"/>
        <v>3.3512500000000001E-3</v>
      </c>
      <c r="G249" s="7">
        <f t="shared" si="17"/>
        <v>0.16421125</v>
      </c>
    </row>
    <row r="250" spans="1:7" x14ac:dyDescent="0.35">
      <c r="A250" s="48"/>
      <c r="B250" s="5" t="s">
        <v>17</v>
      </c>
      <c r="C250" s="6">
        <v>0.1</v>
      </c>
      <c r="D250" s="7">
        <f t="shared" si="14"/>
        <v>9.8750000000000004E-2</v>
      </c>
      <c r="E250" s="7">
        <f t="shared" si="15"/>
        <v>7.375000000000001E-2</v>
      </c>
      <c r="F250" s="7">
        <f t="shared" si="16"/>
        <v>1.4750000000000002E-3</v>
      </c>
      <c r="G250" s="7">
        <f t="shared" si="17"/>
        <v>7.2275000000000006E-2</v>
      </c>
    </row>
    <row r="251" spans="1:7" x14ac:dyDescent="0.35">
      <c r="A251" s="48"/>
      <c r="B251" s="5" t="s">
        <v>120</v>
      </c>
      <c r="C251" s="6">
        <v>0.19500000000000001</v>
      </c>
      <c r="D251" s="7">
        <f t="shared" si="14"/>
        <v>0.1925625</v>
      </c>
      <c r="E251" s="7">
        <f t="shared" si="15"/>
        <v>0.1675625</v>
      </c>
      <c r="F251" s="7">
        <f t="shared" si="16"/>
        <v>3.3512500000000001E-3</v>
      </c>
      <c r="G251" s="7">
        <f t="shared" si="17"/>
        <v>0.16421125</v>
      </c>
    </row>
    <row r="252" spans="1:7" x14ac:dyDescent="0.35">
      <c r="A252" s="48"/>
      <c r="B252" s="5" t="s">
        <v>18</v>
      </c>
      <c r="C252" s="6">
        <v>0.05</v>
      </c>
      <c r="D252" s="7">
        <f t="shared" si="14"/>
        <v>4.9375000000000002E-2</v>
      </c>
      <c r="E252" s="7">
        <f t="shared" si="15"/>
        <v>2.4375000000000001E-2</v>
      </c>
      <c r="F252" s="7">
        <f t="shared" si="16"/>
        <v>4.8750000000000003E-4</v>
      </c>
      <c r="G252" s="7">
        <f t="shared" si="17"/>
        <v>2.3887500000000002E-2</v>
      </c>
    </row>
    <row r="253" spans="1:7" x14ac:dyDescent="0.35">
      <c r="A253" s="48"/>
      <c r="B253" s="5" t="s">
        <v>22</v>
      </c>
      <c r="C253" s="6">
        <v>0.1</v>
      </c>
      <c r="D253" s="7">
        <f t="shared" si="14"/>
        <v>9.8750000000000004E-2</v>
      </c>
      <c r="E253" s="7">
        <f t="shared" si="15"/>
        <v>7.375000000000001E-2</v>
      </c>
      <c r="F253" s="7">
        <f t="shared" si="16"/>
        <v>1.4750000000000002E-3</v>
      </c>
      <c r="G253" s="7">
        <f t="shared" si="17"/>
        <v>7.2275000000000006E-2</v>
      </c>
    </row>
    <row r="254" spans="1:7" x14ac:dyDescent="0.35">
      <c r="A254" s="48"/>
      <c r="B254" s="5" t="s">
        <v>23</v>
      </c>
      <c r="C254" s="6">
        <v>0.1</v>
      </c>
      <c r="D254" s="7">
        <f t="shared" si="14"/>
        <v>9.8750000000000004E-2</v>
      </c>
      <c r="E254" s="7">
        <f t="shared" si="15"/>
        <v>7.375000000000001E-2</v>
      </c>
      <c r="F254" s="7">
        <f t="shared" si="16"/>
        <v>1.4750000000000002E-3</v>
      </c>
      <c r="G254" s="7">
        <f t="shared" si="17"/>
        <v>7.2275000000000006E-2</v>
      </c>
    </row>
    <row r="255" spans="1:7" x14ac:dyDescent="0.35">
      <c r="A255" s="48"/>
      <c r="B255" s="5" t="s">
        <v>26</v>
      </c>
      <c r="C255" s="6">
        <v>0.1</v>
      </c>
      <c r="D255" s="7">
        <f t="shared" si="14"/>
        <v>9.8750000000000004E-2</v>
      </c>
      <c r="E255" s="7">
        <f t="shared" si="15"/>
        <v>7.375000000000001E-2</v>
      </c>
      <c r="F255" s="7">
        <f t="shared" si="16"/>
        <v>1.4750000000000002E-3</v>
      </c>
      <c r="G255" s="7">
        <f t="shared" si="17"/>
        <v>7.2275000000000006E-2</v>
      </c>
    </row>
    <row r="256" spans="1:7" x14ac:dyDescent="0.35">
      <c r="A256" s="48"/>
      <c r="B256" s="5" t="s">
        <v>15</v>
      </c>
      <c r="C256" s="6">
        <v>0.05</v>
      </c>
      <c r="D256" s="7">
        <f t="shared" si="14"/>
        <v>4.9375000000000002E-2</v>
      </c>
      <c r="E256" s="7">
        <f t="shared" si="15"/>
        <v>2.4375000000000001E-2</v>
      </c>
      <c r="F256" s="7">
        <f t="shared" si="16"/>
        <v>4.8750000000000003E-4</v>
      </c>
      <c r="G256" s="7">
        <f t="shared" si="17"/>
        <v>2.3887500000000002E-2</v>
      </c>
    </row>
    <row r="257" spans="1:7" x14ac:dyDescent="0.35">
      <c r="A257" s="48"/>
      <c r="B257" s="5" t="s">
        <v>121</v>
      </c>
      <c r="C257" s="6">
        <v>0.19500000000000001</v>
      </c>
      <c r="D257" s="7">
        <f t="shared" si="14"/>
        <v>0.1925625</v>
      </c>
      <c r="E257" s="7">
        <f t="shared" si="15"/>
        <v>0.1675625</v>
      </c>
      <c r="F257" s="7">
        <f t="shared" si="16"/>
        <v>3.3512500000000001E-3</v>
      </c>
      <c r="G257" s="7">
        <f t="shared" si="17"/>
        <v>0.16421125</v>
      </c>
    </row>
    <row r="258" spans="1:7" x14ac:dyDescent="0.35">
      <c r="A258" s="48"/>
      <c r="B258" s="5" t="s">
        <v>122</v>
      </c>
      <c r="C258" s="6">
        <v>0.19500000000000001</v>
      </c>
      <c r="D258" s="7">
        <f t="shared" si="14"/>
        <v>0.1925625</v>
      </c>
      <c r="E258" s="7">
        <f t="shared" si="15"/>
        <v>0.1675625</v>
      </c>
      <c r="F258" s="7">
        <f t="shared" si="16"/>
        <v>3.3512500000000001E-3</v>
      </c>
      <c r="G258" s="7">
        <f t="shared" si="17"/>
        <v>0.16421125</v>
      </c>
    </row>
    <row r="259" spans="1:7" x14ac:dyDescent="0.35">
      <c r="A259" s="48"/>
      <c r="B259" s="5" t="s">
        <v>123</v>
      </c>
      <c r="C259" s="6">
        <v>0.19500000000000001</v>
      </c>
      <c r="D259" s="7">
        <f t="shared" si="14"/>
        <v>0.1925625</v>
      </c>
      <c r="E259" s="7">
        <f t="shared" si="15"/>
        <v>0.1675625</v>
      </c>
      <c r="F259" s="7">
        <f t="shared" si="16"/>
        <v>3.3512500000000001E-3</v>
      </c>
      <c r="G259" s="7">
        <f t="shared" si="17"/>
        <v>0.16421125</v>
      </c>
    </row>
    <row r="260" spans="1:7" x14ac:dyDescent="0.35">
      <c r="A260" s="48"/>
      <c r="B260" s="5" t="s">
        <v>124</v>
      </c>
      <c r="C260" s="6">
        <v>0.19500000000000001</v>
      </c>
      <c r="D260" s="7">
        <f t="shared" si="14"/>
        <v>0.1925625</v>
      </c>
      <c r="E260" s="7">
        <f t="shared" si="15"/>
        <v>0.1675625</v>
      </c>
      <c r="F260" s="7">
        <f t="shared" si="16"/>
        <v>3.3512500000000001E-3</v>
      </c>
      <c r="G260" s="7">
        <f t="shared" si="17"/>
        <v>0.16421125</v>
      </c>
    </row>
    <row r="261" spans="1:7" x14ac:dyDescent="0.35">
      <c r="A261" s="48"/>
      <c r="B261" s="5" t="s">
        <v>125</v>
      </c>
      <c r="C261" s="6">
        <v>0.19500000000000001</v>
      </c>
      <c r="D261" s="7">
        <f t="shared" si="14"/>
        <v>0.1925625</v>
      </c>
      <c r="E261" s="7">
        <f t="shared" si="15"/>
        <v>0.1675625</v>
      </c>
      <c r="F261" s="7">
        <f t="shared" si="16"/>
        <v>3.3512500000000001E-3</v>
      </c>
      <c r="G261" s="7">
        <f t="shared" si="17"/>
        <v>0.16421125</v>
      </c>
    </row>
    <row r="262" spans="1:7" x14ac:dyDescent="0.35">
      <c r="A262" s="48" t="s">
        <v>126</v>
      </c>
      <c r="B262" s="5" t="s">
        <v>13</v>
      </c>
      <c r="C262" s="7">
        <v>0</v>
      </c>
      <c r="D262" s="7" t="s">
        <v>20</v>
      </c>
      <c r="E262" s="7" t="s">
        <v>20</v>
      </c>
      <c r="F262" s="7" t="s">
        <v>20</v>
      </c>
      <c r="G262" s="7" t="s">
        <v>20</v>
      </c>
    </row>
    <row r="263" spans="1:7" x14ac:dyDescent="0.35">
      <c r="A263" s="48"/>
      <c r="B263" s="5" t="s">
        <v>14</v>
      </c>
      <c r="C263" s="7">
        <v>0.2</v>
      </c>
      <c r="D263" s="7">
        <f t="shared" ref="D263:D326" si="18">(C263-(C263*1.25%))</f>
        <v>0.19750000000000001</v>
      </c>
      <c r="E263" s="7">
        <f t="shared" ref="E263:E326" si="19">D263-(2.5%)</f>
        <v>0.17250000000000001</v>
      </c>
      <c r="F263" s="7">
        <f t="shared" ref="F263:F326" si="20">E263*(2%)</f>
        <v>3.4500000000000004E-3</v>
      </c>
      <c r="G263" s="7">
        <f t="shared" ref="G263:G326" si="21">E263-F263</f>
        <v>0.16905000000000001</v>
      </c>
    </row>
    <row r="264" spans="1:7" x14ac:dyDescent="0.35">
      <c r="A264" s="48"/>
      <c r="B264" s="5" t="s">
        <v>15</v>
      </c>
      <c r="C264" s="7">
        <v>0.09</v>
      </c>
      <c r="D264" s="7">
        <f t="shared" si="18"/>
        <v>8.8874999999999996E-2</v>
      </c>
      <c r="E264" s="7">
        <f t="shared" si="19"/>
        <v>6.3874999999999987E-2</v>
      </c>
      <c r="F264" s="7">
        <f t="shared" si="20"/>
        <v>1.2774999999999998E-3</v>
      </c>
      <c r="G264" s="7">
        <f t="shared" si="21"/>
        <v>6.2597499999999986E-2</v>
      </c>
    </row>
    <row r="265" spans="1:7" x14ac:dyDescent="0.35">
      <c r="A265" s="48"/>
      <c r="B265" s="5" t="s">
        <v>16</v>
      </c>
      <c r="C265" s="7">
        <v>0</v>
      </c>
      <c r="D265" s="7" t="s">
        <v>20</v>
      </c>
      <c r="E265" s="7" t="s">
        <v>20</v>
      </c>
      <c r="F265" s="7" t="s">
        <v>20</v>
      </c>
      <c r="G265" s="7" t="s">
        <v>20</v>
      </c>
    </row>
    <row r="266" spans="1:7" x14ac:dyDescent="0.35">
      <c r="A266" s="48"/>
      <c r="B266" s="5" t="s">
        <v>17</v>
      </c>
      <c r="C266" s="7">
        <v>0.2</v>
      </c>
      <c r="D266" s="7">
        <f t="shared" si="18"/>
        <v>0.19750000000000001</v>
      </c>
      <c r="E266" s="7">
        <f t="shared" si="19"/>
        <v>0.17250000000000001</v>
      </c>
      <c r="F266" s="7">
        <f t="shared" si="20"/>
        <v>3.4500000000000004E-3</v>
      </c>
      <c r="G266" s="7">
        <f t="shared" si="21"/>
        <v>0.16905000000000001</v>
      </c>
    </row>
    <row r="267" spans="1:7" x14ac:dyDescent="0.35">
      <c r="A267" s="48"/>
      <c r="B267" s="5" t="s">
        <v>18</v>
      </c>
      <c r="C267" s="7">
        <v>0.12</v>
      </c>
      <c r="D267" s="7">
        <f t="shared" si="18"/>
        <v>0.11849999999999999</v>
      </c>
      <c r="E267" s="7">
        <f t="shared" si="19"/>
        <v>9.35E-2</v>
      </c>
      <c r="F267" s="7">
        <f t="shared" si="20"/>
        <v>1.8700000000000001E-3</v>
      </c>
      <c r="G267" s="7">
        <f t="shared" si="21"/>
        <v>9.1630000000000003E-2</v>
      </c>
    </row>
    <row r="268" spans="1:7" x14ac:dyDescent="0.35">
      <c r="A268" s="48"/>
      <c r="B268" s="5" t="s">
        <v>19</v>
      </c>
      <c r="C268" s="7">
        <v>0</v>
      </c>
      <c r="D268" s="7" t="s">
        <v>20</v>
      </c>
      <c r="E268" s="7" t="s">
        <v>20</v>
      </c>
      <c r="F268" s="7" t="s">
        <v>20</v>
      </c>
      <c r="G268" s="7" t="s">
        <v>20</v>
      </c>
    </row>
    <row r="269" spans="1:7" x14ac:dyDescent="0.35">
      <c r="A269" s="48"/>
      <c r="B269" s="5" t="s">
        <v>21</v>
      </c>
      <c r="C269" s="7">
        <v>0</v>
      </c>
      <c r="D269" s="7" t="s">
        <v>20</v>
      </c>
      <c r="E269" s="7" t="s">
        <v>20</v>
      </c>
      <c r="F269" s="7" t="s">
        <v>20</v>
      </c>
      <c r="G269" s="7" t="s">
        <v>20</v>
      </c>
    </row>
    <row r="270" spans="1:7" x14ac:dyDescent="0.35">
      <c r="A270" s="48"/>
      <c r="B270" s="5" t="s">
        <v>22</v>
      </c>
      <c r="C270" s="7">
        <v>0.16</v>
      </c>
      <c r="D270" s="7">
        <f t="shared" si="18"/>
        <v>0.158</v>
      </c>
      <c r="E270" s="7">
        <f t="shared" si="19"/>
        <v>0.13300000000000001</v>
      </c>
      <c r="F270" s="7">
        <f t="shared" si="20"/>
        <v>2.66E-3</v>
      </c>
      <c r="G270" s="7">
        <f t="shared" si="21"/>
        <v>0.13034000000000001</v>
      </c>
    </row>
    <row r="271" spans="1:7" x14ac:dyDescent="0.35">
      <c r="A271" s="48"/>
      <c r="B271" s="5" t="s">
        <v>23</v>
      </c>
      <c r="C271" s="7">
        <v>0.2</v>
      </c>
      <c r="D271" s="7">
        <f t="shared" si="18"/>
        <v>0.19750000000000001</v>
      </c>
      <c r="E271" s="7">
        <f t="shared" si="19"/>
        <v>0.17250000000000001</v>
      </c>
      <c r="F271" s="7">
        <f t="shared" si="20"/>
        <v>3.4500000000000004E-3</v>
      </c>
      <c r="G271" s="7">
        <f t="shared" si="21"/>
        <v>0.16905000000000001</v>
      </c>
    </row>
    <row r="272" spans="1:7" x14ac:dyDescent="0.35">
      <c r="A272" s="48"/>
      <c r="B272" s="5" t="s">
        <v>24</v>
      </c>
      <c r="C272" s="7">
        <v>0.04</v>
      </c>
      <c r="D272" s="7" t="s">
        <v>20</v>
      </c>
      <c r="E272" s="7" t="s">
        <v>20</v>
      </c>
      <c r="F272" s="7" t="s">
        <v>20</v>
      </c>
      <c r="G272" s="7" t="s">
        <v>20</v>
      </c>
    </row>
    <row r="273" spans="1:7" x14ac:dyDescent="0.35">
      <c r="A273" s="48"/>
      <c r="B273" s="5" t="s">
        <v>25</v>
      </c>
      <c r="C273" s="7">
        <v>0.04</v>
      </c>
      <c r="D273" s="7" t="s">
        <v>20</v>
      </c>
      <c r="E273" s="7" t="s">
        <v>20</v>
      </c>
      <c r="F273" s="7" t="s">
        <v>20</v>
      </c>
      <c r="G273" s="7" t="s">
        <v>20</v>
      </c>
    </row>
    <row r="274" spans="1:7" x14ac:dyDescent="0.35">
      <c r="A274" s="48"/>
      <c r="B274" s="5" t="s">
        <v>26</v>
      </c>
      <c r="C274" s="7">
        <v>0.16</v>
      </c>
      <c r="D274" s="7">
        <f t="shared" si="18"/>
        <v>0.158</v>
      </c>
      <c r="E274" s="7">
        <f t="shared" si="19"/>
        <v>0.13300000000000001</v>
      </c>
      <c r="F274" s="7">
        <f t="shared" si="20"/>
        <v>2.66E-3</v>
      </c>
      <c r="G274" s="7">
        <f t="shared" si="21"/>
        <v>0.13034000000000001</v>
      </c>
    </row>
    <row r="275" spans="1:7" x14ac:dyDescent="0.35">
      <c r="A275" s="48"/>
      <c r="B275" s="5" t="s">
        <v>27</v>
      </c>
      <c r="C275" s="7">
        <v>0</v>
      </c>
      <c r="D275" s="7" t="s">
        <v>20</v>
      </c>
      <c r="E275" s="7" t="s">
        <v>20</v>
      </c>
      <c r="F275" s="7" t="s">
        <v>20</v>
      </c>
      <c r="G275" s="7" t="s">
        <v>20</v>
      </c>
    </row>
    <row r="276" spans="1:7" ht="24" x14ac:dyDescent="0.35">
      <c r="A276" s="5" t="s">
        <v>735</v>
      </c>
      <c r="B276" s="5" t="s">
        <v>127</v>
      </c>
      <c r="C276" s="6">
        <v>0.2</v>
      </c>
      <c r="D276" s="7">
        <f t="shared" si="18"/>
        <v>0.19750000000000001</v>
      </c>
      <c r="E276" s="7">
        <f t="shared" si="19"/>
        <v>0.17250000000000001</v>
      </c>
      <c r="F276" s="7">
        <f t="shared" si="20"/>
        <v>3.4500000000000004E-3</v>
      </c>
      <c r="G276" s="7">
        <f t="shared" si="21"/>
        <v>0.16905000000000001</v>
      </c>
    </row>
    <row r="277" spans="1:7" x14ac:dyDescent="0.35">
      <c r="A277" s="44" t="s">
        <v>128</v>
      </c>
      <c r="B277" s="5" t="s">
        <v>92</v>
      </c>
      <c r="C277" s="6">
        <v>0.27</v>
      </c>
      <c r="D277" s="7">
        <f t="shared" si="18"/>
        <v>0.266625</v>
      </c>
      <c r="E277" s="7">
        <f t="shared" si="19"/>
        <v>0.24162500000000001</v>
      </c>
      <c r="F277" s="7">
        <f t="shared" si="20"/>
        <v>4.8325E-3</v>
      </c>
      <c r="G277" s="7">
        <f t="shared" si="21"/>
        <v>0.23679250000000002</v>
      </c>
    </row>
    <row r="278" spans="1:7" x14ac:dyDescent="0.35">
      <c r="A278" s="45"/>
      <c r="B278" s="5" t="s">
        <v>93</v>
      </c>
      <c r="C278" s="6">
        <v>0.27</v>
      </c>
      <c r="D278" s="7">
        <f t="shared" si="18"/>
        <v>0.266625</v>
      </c>
      <c r="E278" s="7">
        <f t="shared" si="19"/>
        <v>0.24162500000000001</v>
      </c>
      <c r="F278" s="7">
        <f t="shared" si="20"/>
        <v>4.8325E-3</v>
      </c>
      <c r="G278" s="7">
        <f t="shared" si="21"/>
        <v>0.23679250000000002</v>
      </c>
    </row>
    <row r="279" spans="1:7" x14ac:dyDescent="0.35">
      <c r="A279" s="41" t="s">
        <v>129</v>
      </c>
      <c r="B279" s="5" t="s">
        <v>39</v>
      </c>
      <c r="C279" s="6">
        <v>0.12</v>
      </c>
      <c r="D279" s="7">
        <f t="shared" si="18"/>
        <v>0.11849999999999999</v>
      </c>
      <c r="E279" s="7">
        <f t="shared" si="19"/>
        <v>9.35E-2</v>
      </c>
      <c r="F279" s="7">
        <f t="shared" si="20"/>
        <v>1.8700000000000001E-3</v>
      </c>
      <c r="G279" s="7">
        <f t="shared" si="21"/>
        <v>9.1630000000000003E-2</v>
      </c>
    </row>
    <row r="280" spans="1:7" x14ac:dyDescent="0.35">
      <c r="A280" s="43"/>
      <c r="B280" s="5" t="s">
        <v>40</v>
      </c>
      <c r="C280" s="6">
        <v>0.12</v>
      </c>
      <c r="D280" s="7">
        <f t="shared" si="18"/>
        <v>0.11849999999999999</v>
      </c>
      <c r="E280" s="7">
        <f t="shared" si="19"/>
        <v>9.35E-2</v>
      </c>
      <c r="F280" s="7">
        <f t="shared" si="20"/>
        <v>1.8700000000000001E-3</v>
      </c>
      <c r="G280" s="7">
        <f t="shared" si="21"/>
        <v>9.1630000000000003E-2</v>
      </c>
    </row>
    <row r="281" spans="1:7" x14ac:dyDescent="0.35">
      <c r="A281" s="5" t="s">
        <v>130</v>
      </c>
      <c r="B281" s="5" t="s">
        <v>8</v>
      </c>
      <c r="C281" s="6">
        <v>0.25</v>
      </c>
      <c r="D281" s="7">
        <f t="shared" si="18"/>
        <v>0.24687500000000001</v>
      </c>
      <c r="E281" s="7">
        <f t="shared" si="19"/>
        <v>0.22187500000000002</v>
      </c>
      <c r="F281" s="7">
        <f t="shared" si="20"/>
        <v>4.4375000000000005E-3</v>
      </c>
      <c r="G281" s="7">
        <f t="shared" si="21"/>
        <v>0.21743750000000001</v>
      </c>
    </row>
    <row r="282" spans="1:7" x14ac:dyDescent="0.35">
      <c r="A282" s="5" t="s">
        <v>131</v>
      </c>
      <c r="B282" s="5" t="s">
        <v>132</v>
      </c>
      <c r="C282" s="6">
        <v>0.25</v>
      </c>
      <c r="D282" s="7">
        <f t="shared" si="18"/>
        <v>0.24687500000000001</v>
      </c>
      <c r="E282" s="7">
        <f t="shared" si="19"/>
        <v>0.22187500000000002</v>
      </c>
      <c r="F282" s="7">
        <f t="shared" si="20"/>
        <v>4.4375000000000005E-3</v>
      </c>
      <c r="G282" s="7">
        <f t="shared" si="21"/>
        <v>0.21743750000000001</v>
      </c>
    </row>
    <row r="283" spans="1:7" x14ac:dyDescent="0.35">
      <c r="A283" s="2" t="s">
        <v>133</v>
      </c>
      <c r="B283" s="2" t="s">
        <v>1</v>
      </c>
      <c r="C283" s="3" t="s">
        <v>2</v>
      </c>
      <c r="D283" s="4" t="s">
        <v>1275</v>
      </c>
      <c r="E283" s="4" t="s">
        <v>1276</v>
      </c>
      <c r="F283" s="4" t="s">
        <v>363</v>
      </c>
      <c r="G283" s="4" t="s">
        <v>364</v>
      </c>
    </row>
    <row r="284" spans="1:7" x14ac:dyDescent="0.35">
      <c r="A284" s="5" t="s">
        <v>134</v>
      </c>
      <c r="B284" s="5" t="s">
        <v>8</v>
      </c>
      <c r="C284" s="6">
        <v>0.15</v>
      </c>
      <c r="D284" s="7">
        <f t="shared" si="18"/>
        <v>0.14812500000000001</v>
      </c>
      <c r="E284" s="7">
        <f t="shared" si="19"/>
        <v>0.12312500000000001</v>
      </c>
      <c r="F284" s="7">
        <f t="shared" si="20"/>
        <v>2.4625000000000003E-3</v>
      </c>
      <c r="G284" s="7">
        <f t="shared" si="21"/>
        <v>0.12066250000000001</v>
      </c>
    </row>
    <row r="285" spans="1:7" x14ac:dyDescent="0.35">
      <c r="A285" s="5" t="s">
        <v>135</v>
      </c>
      <c r="B285" s="5" t="s">
        <v>132</v>
      </c>
      <c r="C285" s="6">
        <v>0.15</v>
      </c>
      <c r="D285" s="7">
        <f t="shared" si="18"/>
        <v>0.14812500000000001</v>
      </c>
      <c r="E285" s="7">
        <f t="shared" si="19"/>
        <v>0.12312500000000001</v>
      </c>
      <c r="F285" s="7">
        <f t="shared" si="20"/>
        <v>2.4625000000000003E-3</v>
      </c>
      <c r="G285" s="7">
        <f t="shared" si="21"/>
        <v>0.12066250000000001</v>
      </c>
    </row>
    <row r="286" spans="1:7" x14ac:dyDescent="0.35">
      <c r="A286" s="48" t="s">
        <v>1152</v>
      </c>
      <c r="B286" s="5" t="s">
        <v>14</v>
      </c>
      <c r="C286" s="6">
        <v>0.19</v>
      </c>
      <c r="D286" s="7">
        <f t="shared" si="18"/>
        <v>0.18762500000000001</v>
      </c>
      <c r="E286" s="7">
        <f t="shared" si="19"/>
        <v>0.16262500000000002</v>
      </c>
      <c r="F286" s="7">
        <f t="shared" si="20"/>
        <v>3.2525000000000006E-3</v>
      </c>
      <c r="G286" s="7">
        <f t="shared" si="21"/>
        <v>0.15937250000000003</v>
      </c>
    </row>
    <row r="287" spans="1:7" x14ac:dyDescent="0.35">
      <c r="A287" s="48"/>
      <c r="B287" s="5" t="s">
        <v>119</v>
      </c>
      <c r="C287" s="6">
        <v>0.19500000000000001</v>
      </c>
      <c r="D287" s="7">
        <f t="shared" si="18"/>
        <v>0.1925625</v>
      </c>
      <c r="E287" s="7">
        <f t="shared" si="19"/>
        <v>0.1675625</v>
      </c>
      <c r="F287" s="7">
        <f t="shared" si="20"/>
        <v>3.3512500000000001E-3</v>
      </c>
      <c r="G287" s="7">
        <f t="shared" si="21"/>
        <v>0.16421125</v>
      </c>
    </row>
    <row r="288" spans="1:7" x14ac:dyDescent="0.35">
      <c r="A288" s="48"/>
      <c r="B288" s="5" t="s">
        <v>17</v>
      </c>
      <c r="C288" s="6">
        <v>0.17</v>
      </c>
      <c r="D288" s="7">
        <f t="shared" si="18"/>
        <v>0.16787500000000002</v>
      </c>
      <c r="E288" s="7">
        <f t="shared" si="19"/>
        <v>0.14287500000000003</v>
      </c>
      <c r="F288" s="7">
        <f t="shared" si="20"/>
        <v>2.8575000000000007E-3</v>
      </c>
      <c r="G288" s="7">
        <f t="shared" si="21"/>
        <v>0.14001750000000002</v>
      </c>
    </row>
    <row r="289" spans="1:7" x14ac:dyDescent="0.35">
      <c r="A289" s="48"/>
      <c r="B289" s="5" t="s">
        <v>120</v>
      </c>
      <c r="C289" s="6">
        <v>0.19500000000000001</v>
      </c>
      <c r="D289" s="7">
        <f t="shared" si="18"/>
        <v>0.1925625</v>
      </c>
      <c r="E289" s="7">
        <f t="shared" si="19"/>
        <v>0.1675625</v>
      </c>
      <c r="F289" s="7">
        <f t="shared" si="20"/>
        <v>3.3512500000000001E-3</v>
      </c>
      <c r="G289" s="7">
        <f t="shared" si="21"/>
        <v>0.16421125</v>
      </c>
    </row>
    <row r="290" spans="1:7" x14ac:dyDescent="0.35">
      <c r="A290" s="48"/>
      <c r="B290" s="5" t="s">
        <v>18</v>
      </c>
      <c r="C290" s="6">
        <v>0.02</v>
      </c>
      <c r="D290" s="7" t="s">
        <v>20</v>
      </c>
      <c r="E290" s="7" t="s">
        <v>20</v>
      </c>
      <c r="F290" s="7" t="s">
        <v>20</v>
      </c>
      <c r="G290" s="7" t="s">
        <v>20</v>
      </c>
    </row>
    <row r="291" spans="1:7" x14ac:dyDescent="0.35">
      <c r="A291" s="48"/>
      <c r="B291" s="5" t="s">
        <v>22</v>
      </c>
      <c r="C291" s="6">
        <v>0.17</v>
      </c>
      <c r="D291" s="7">
        <f t="shared" si="18"/>
        <v>0.16787500000000002</v>
      </c>
      <c r="E291" s="7">
        <f t="shared" si="19"/>
        <v>0.14287500000000003</v>
      </c>
      <c r="F291" s="7">
        <f t="shared" si="20"/>
        <v>2.8575000000000007E-3</v>
      </c>
      <c r="G291" s="7">
        <f t="shared" si="21"/>
        <v>0.14001750000000002</v>
      </c>
    </row>
    <row r="292" spans="1:7" x14ac:dyDescent="0.35">
      <c r="A292" s="48"/>
      <c r="B292" s="5" t="s">
        <v>23</v>
      </c>
      <c r="C292" s="6">
        <v>0.17</v>
      </c>
      <c r="D292" s="7">
        <f t="shared" si="18"/>
        <v>0.16787500000000002</v>
      </c>
      <c r="E292" s="7">
        <f t="shared" si="19"/>
        <v>0.14287500000000003</v>
      </c>
      <c r="F292" s="7">
        <f t="shared" si="20"/>
        <v>2.8575000000000007E-3</v>
      </c>
      <c r="G292" s="7">
        <f t="shared" si="21"/>
        <v>0.14001750000000002</v>
      </c>
    </row>
    <row r="293" spans="1:7" x14ac:dyDescent="0.35">
      <c r="A293" s="48"/>
      <c r="B293" s="5" t="s">
        <v>26</v>
      </c>
      <c r="C293" s="6">
        <v>0.17</v>
      </c>
      <c r="D293" s="7">
        <f t="shared" si="18"/>
        <v>0.16787500000000002</v>
      </c>
      <c r="E293" s="7">
        <f t="shared" si="19"/>
        <v>0.14287500000000003</v>
      </c>
      <c r="F293" s="7">
        <f t="shared" si="20"/>
        <v>2.8575000000000007E-3</v>
      </c>
      <c r="G293" s="7">
        <f t="shared" si="21"/>
        <v>0.14001750000000002</v>
      </c>
    </row>
    <row r="294" spans="1:7" x14ac:dyDescent="0.35">
      <c r="A294" s="48"/>
      <c r="B294" s="5" t="s">
        <v>15</v>
      </c>
      <c r="C294" s="6">
        <v>2.0000000000000004E-2</v>
      </c>
      <c r="D294" s="7" t="s">
        <v>20</v>
      </c>
      <c r="E294" s="7" t="s">
        <v>20</v>
      </c>
      <c r="F294" s="7" t="s">
        <v>20</v>
      </c>
      <c r="G294" s="7" t="s">
        <v>20</v>
      </c>
    </row>
    <row r="295" spans="1:7" x14ac:dyDescent="0.35">
      <c r="A295" s="48"/>
      <c r="B295" s="5" t="s">
        <v>121</v>
      </c>
      <c r="C295" s="6">
        <v>0.19500000000000001</v>
      </c>
      <c r="D295" s="7">
        <f t="shared" si="18"/>
        <v>0.1925625</v>
      </c>
      <c r="E295" s="7">
        <f t="shared" si="19"/>
        <v>0.1675625</v>
      </c>
      <c r="F295" s="7">
        <f t="shared" si="20"/>
        <v>3.3512500000000001E-3</v>
      </c>
      <c r="G295" s="7">
        <f t="shared" si="21"/>
        <v>0.16421125</v>
      </c>
    </row>
    <row r="296" spans="1:7" x14ac:dyDescent="0.35">
      <c r="A296" s="48"/>
      <c r="B296" s="5" t="s">
        <v>122</v>
      </c>
      <c r="C296" s="6">
        <v>0.19500000000000001</v>
      </c>
      <c r="D296" s="7">
        <f t="shared" si="18"/>
        <v>0.1925625</v>
      </c>
      <c r="E296" s="7">
        <f t="shared" si="19"/>
        <v>0.1675625</v>
      </c>
      <c r="F296" s="7">
        <f t="shared" si="20"/>
        <v>3.3512500000000001E-3</v>
      </c>
      <c r="G296" s="7">
        <f t="shared" si="21"/>
        <v>0.16421125</v>
      </c>
    </row>
    <row r="297" spans="1:7" x14ac:dyDescent="0.35">
      <c r="A297" s="48"/>
      <c r="B297" s="5" t="s">
        <v>123</v>
      </c>
      <c r="C297" s="6">
        <v>0.19500000000000001</v>
      </c>
      <c r="D297" s="7">
        <f t="shared" si="18"/>
        <v>0.1925625</v>
      </c>
      <c r="E297" s="7">
        <f t="shared" si="19"/>
        <v>0.1675625</v>
      </c>
      <c r="F297" s="7">
        <f t="shared" si="20"/>
        <v>3.3512500000000001E-3</v>
      </c>
      <c r="G297" s="7">
        <f t="shared" si="21"/>
        <v>0.16421125</v>
      </c>
    </row>
    <row r="298" spans="1:7" x14ac:dyDescent="0.35">
      <c r="A298" s="48"/>
      <c r="B298" s="5" t="s">
        <v>124</v>
      </c>
      <c r="C298" s="6">
        <v>0.19500000000000001</v>
      </c>
      <c r="D298" s="7">
        <f t="shared" si="18"/>
        <v>0.1925625</v>
      </c>
      <c r="E298" s="7">
        <f t="shared" si="19"/>
        <v>0.1675625</v>
      </c>
      <c r="F298" s="7">
        <f t="shared" si="20"/>
        <v>3.3512500000000001E-3</v>
      </c>
      <c r="G298" s="7">
        <f t="shared" si="21"/>
        <v>0.16421125</v>
      </c>
    </row>
    <row r="299" spans="1:7" x14ac:dyDescent="0.35">
      <c r="A299" s="48"/>
      <c r="B299" s="5" t="s">
        <v>125</v>
      </c>
      <c r="C299" s="6">
        <v>0.19500000000000001</v>
      </c>
      <c r="D299" s="7">
        <f t="shared" si="18"/>
        <v>0.1925625</v>
      </c>
      <c r="E299" s="7">
        <f t="shared" si="19"/>
        <v>0.1675625</v>
      </c>
      <c r="F299" s="7">
        <f t="shared" si="20"/>
        <v>3.3512500000000001E-3</v>
      </c>
      <c r="G299" s="7">
        <f t="shared" si="21"/>
        <v>0.16421125</v>
      </c>
    </row>
    <row r="300" spans="1:7" x14ac:dyDescent="0.35">
      <c r="A300" s="48" t="s">
        <v>1153</v>
      </c>
      <c r="B300" s="5" t="s">
        <v>14</v>
      </c>
      <c r="C300" s="6">
        <v>0.19</v>
      </c>
      <c r="D300" s="7">
        <f t="shared" si="18"/>
        <v>0.18762500000000001</v>
      </c>
      <c r="E300" s="7">
        <f t="shared" si="19"/>
        <v>0.16262500000000002</v>
      </c>
      <c r="F300" s="7">
        <f t="shared" si="20"/>
        <v>3.2525000000000006E-3</v>
      </c>
      <c r="G300" s="7">
        <f t="shared" si="21"/>
        <v>0.15937250000000003</v>
      </c>
    </row>
    <row r="301" spans="1:7" x14ac:dyDescent="0.35">
      <c r="A301" s="48"/>
      <c r="B301" s="5" t="s">
        <v>119</v>
      </c>
      <c r="C301" s="6">
        <v>0.19500000000000001</v>
      </c>
      <c r="D301" s="7">
        <f t="shared" si="18"/>
        <v>0.1925625</v>
      </c>
      <c r="E301" s="7">
        <f t="shared" si="19"/>
        <v>0.1675625</v>
      </c>
      <c r="F301" s="7">
        <f t="shared" si="20"/>
        <v>3.3512500000000001E-3</v>
      </c>
      <c r="G301" s="7">
        <f t="shared" si="21"/>
        <v>0.16421125</v>
      </c>
    </row>
    <row r="302" spans="1:7" x14ac:dyDescent="0.35">
      <c r="A302" s="48"/>
      <c r="B302" s="5" t="s">
        <v>17</v>
      </c>
      <c r="C302" s="6">
        <v>0.23</v>
      </c>
      <c r="D302" s="7">
        <f t="shared" si="18"/>
        <v>0.22712500000000002</v>
      </c>
      <c r="E302" s="7">
        <f t="shared" si="19"/>
        <v>0.20212500000000003</v>
      </c>
      <c r="F302" s="7">
        <f t="shared" si="20"/>
        <v>4.042500000000001E-3</v>
      </c>
      <c r="G302" s="7">
        <f t="shared" si="21"/>
        <v>0.19808250000000002</v>
      </c>
    </row>
    <row r="303" spans="1:7" x14ac:dyDescent="0.35">
      <c r="A303" s="48"/>
      <c r="B303" s="5" t="s">
        <v>120</v>
      </c>
      <c r="C303" s="6">
        <v>0.19500000000000001</v>
      </c>
      <c r="D303" s="7">
        <f t="shared" si="18"/>
        <v>0.1925625</v>
      </c>
      <c r="E303" s="7">
        <f t="shared" si="19"/>
        <v>0.1675625</v>
      </c>
      <c r="F303" s="7">
        <f t="shared" si="20"/>
        <v>3.3512500000000001E-3</v>
      </c>
      <c r="G303" s="7">
        <f t="shared" si="21"/>
        <v>0.16421125</v>
      </c>
    </row>
    <row r="304" spans="1:7" x14ac:dyDescent="0.35">
      <c r="A304" s="48"/>
      <c r="B304" s="5" t="s">
        <v>18</v>
      </c>
      <c r="C304" s="6">
        <v>0.05</v>
      </c>
      <c r="D304" s="7">
        <f t="shared" si="18"/>
        <v>4.9375000000000002E-2</v>
      </c>
      <c r="E304" s="7">
        <f t="shared" si="19"/>
        <v>2.4375000000000001E-2</v>
      </c>
      <c r="F304" s="7">
        <f t="shared" si="20"/>
        <v>4.8750000000000003E-4</v>
      </c>
      <c r="G304" s="7">
        <f t="shared" si="21"/>
        <v>2.3887500000000002E-2</v>
      </c>
    </row>
    <row r="305" spans="1:7" x14ac:dyDescent="0.35">
      <c r="A305" s="48"/>
      <c r="B305" s="5" t="s">
        <v>22</v>
      </c>
      <c r="C305" s="6">
        <v>0.2</v>
      </c>
      <c r="D305" s="7">
        <f t="shared" si="18"/>
        <v>0.19750000000000001</v>
      </c>
      <c r="E305" s="7">
        <f t="shared" si="19"/>
        <v>0.17250000000000001</v>
      </c>
      <c r="F305" s="7">
        <f t="shared" si="20"/>
        <v>3.4500000000000004E-3</v>
      </c>
      <c r="G305" s="7">
        <f t="shared" si="21"/>
        <v>0.16905000000000001</v>
      </c>
    </row>
    <row r="306" spans="1:7" x14ac:dyDescent="0.35">
      <c r="A306" s="48"/>
      <c r="B306" s="5" t="s">
        <v>23</v>
      </c>
      <c r="C306" s="6">
        <v>0.2</v>
      </c>
      <c r="D306" s="7">
        <f t="shared" si="18"/>
        <v>0.19750000000000001</v>
      </c>
      <c r="E306" s="7">
        <f t="shared" si="19"/>
        <v>0.17250000000000001</v>
      </c>
      <c r="F306" s="7">
        <f t="shared" si="20"/>
        <v>3.4500000000000004E-3</v>
      </c>
      <c r="G306" s="7">
        <f t="shared" si="21"/>
        <v>0.16905000000000001</v>
      </c>
    </row>
    <row r="307" spans="1:7" x14ac:dyDescent="0.35">
      <c r="A307" s="48"/>
      <c r="B307" s="5" t="s">
        <v>26</v>
      </c>
      <c r="C307" s="6">
        <v>0.2</v>
      </c>
      <c r="D307" s="7">
        <f t="shared" si="18"/>
        <v>0.19750000000000001</v>
      </c>
      <c r="E307" s="7">
        <f t="shared" si="19"/>
        <v>0.17250000000000001</v>
      </c>
      <c r="F307" s="7">
        <f t="shared" si="20"/>
        <v>3.4500000000000004E-3</v>
      </c>
      <c r="G307" s="7">
        <f t="shared" si="21"/>
        <v>0.16905000000000001</v>
      </c>
    </row>
    <row r="308" spans="1:7" x14ac:dyDescent="0.35">
      <c r="A308" s="48"/>
      <c r="B308" s="5" t="s">
        <v>15</v>
      </c>
      <c r="C308" s="6">
        <v>0.05</v>
      </c>
      <c r="D308" s="7">
        <f t="shared" si="18"/>
        <v>4.9375000000000002E-2</v>
      </c>
      <c r="E308" s="7">
        <f t="shared" si="19"/>
        <v>2.4375000000000001E-2</v>
      </c>
      <c r="F308" s="7">
        <f t="shared" si="20"/>
        <v>4.8750000000000003E-4</v>
      </c>
      <c r="G308" s="7">
        <f t="shared" si="21"/>
        <v>2.3887500000000002E-2</v>
      </c>
    </row>
    <row r="309" spans="1:7" x14ac:dyDescent="0.35">
      <c r="A309" s="48"/>
      <c r="B309" s="5" t="s">
        <v>121</v>
      </c>
      <c r="C309" s="6">
        <v>0.19500000000000001</v>
      </c>
      <c r="D309" s="7">
        <f t="shared" si="18"/>
        <v>0.1925625</v>
      </c>
      <c r="E309" s="7">
        <f t="shared" si="19"/>
        <v>0.1675625</v>
      </c>
      <c r="F309" s="7">
        <f t="shared" si="20"/>
        <v>3.3512500000000001E-3</v>
      </c>
      <c r="G309" s="7">
        <f t="shared" si="21"/>
        <v>0.16421125</v>
      </c>
    </row>
    <row r="310" spans="1:7" x14ac:dyDescent="0.35">
      <c r="A310" s="48"/>
      <c r="B310" s="5" t="s">
        <v>122</v>
      </c>
      <c r="C310" s="6">
        <v>0.19500000000000001</v>
      </c>
      <c r="D310" s="7">
        <f t="shared" si="18"/>
        <v>0.1925625</v>
      </c>
      <c r="E310" s="7">
        <f t="shared" si="19"/>
        <v>0.1675625</v>
      </c>
      <c r="F310" s="7">
        <f t="shared" si="20"/>
        <v>3.3512500000000001E-3</v>
      </c>
      <c r="G310" s="7">
        <f t="shared" si="21"/>
        <v>0.16421125</v>
      </c>
    </row>
    <row r="311" spans="1:7" x14ac:dyDescent="0.35">
      <c r="A311" s="48"/>
      <c r="B311" s="5" t="s">
        <v>123</v>
      </c>
      <c r="C311" s="6">
        <v>0.19500000000000001</v>
      </c>
      <c r="D311" s="7">
        <f t="shared" si="18"/>
        <v>0.1925625</v>
      </c>
      <c r="E311" s="7">
        <f t="shared" si="19"/>
        <v>0.1675625</v>
      </c>
      <c r="F311" s="7">
        <f t="shared" si="20"/>
        <v>3.3512500000000001E-3</v>
      </c>
      <c r="G311" s="7">
        <f t="shared" si="21"/>
        <v>0.16421125</v>
      </c>
    </row>
    <row r="312" spans="1:7" x14ac:dyDescent="0.35">
      <c r="A312" s="48"/>
      <c r="B312" s="5" t="s">
        <v>124</v>
      </c>
      <c r="C312" s="6">
        <v>0.19500000000000001</v>
      </c>
      <c r="D312" s="7">
        <f t="shared" si="18"/>
        <v>0.1925625</v>
      </c>
      <c r="E312" s="7">
        <f t="shared" si="19"/>
        <v>0.1675625</v>
      </c>
      <c r="F312" s="7">
        <f t="shared" si="20"/>
        <v>3.3512500000000001E-3</v>
      </c>
      <c r="G312" s="7">
        <f t="shared" si="21"/>
        <v>0.16421125</v>
      </c>
    </row>
    <row r="313" spans="1:7" x14ac:dyDescent="0.35">
      <c r="A313" s="48"/>
      <c r="B313" s="5" t="s">
        <v>125</v>
      </c>
      <c r="C313" s="6">
        <v>0.19500000000000001</v>
      </c>
      <c r="D313" s="7">
        <f t="shared" si="18"/>
        <v>0.1925625</v>
      </c>
      <c r="E313" s="7">
        <f t="shared" si="19"/>
        <v>0.1675625</v>
      </c>
      <c r="F313" s="7">
        <f t="shared" si="20"/>
        <v>3.3512500000000001E-3</v>
      </c>
      <c r="G313" s="7">
        <f t="shared" si="21"/>
        <v>0.16421125</v>
      </c>
    </row>
    <row r="314" spans="1:7" x14ac:dyDescent="0.35">
      <c r="A314" s="48" t="s">
        <v>1154</v>
      </c>
      <c r="B314" s="5" t="s">
        <v>14</v>
      </c>
      <c r="C314" s="6">
        <v>0.25</v>
      </c>
      <c r="D314" s="7">
        <f t="shared" si="18"/>
        <v>0.24687500000000001</v>
      </c>
      <c r="E314" s="7">
        <f t="shared" si="19"/>
        <v>0.22187500000000002</v>
      </c>
      <c r="F314" s="7">
        <f t="shared" si="20"/>
        <v>4.4375000000000005E-3</v>
      </c>
      <c r="G314" s="7">
        <f t="shared" si="21"/>
        <v>0.21743750000000001</v>
      </c>
    </row>
    <row r="315" spans="1:7" x14ac:dyDescent="0.35">
      <c r="A315" s="48"/>
      <c r="B315" s="5" t="s">
        <v>119</v>
      </c>
      <c r="C315" s="6">
        <v>0.19500000000000001</v>
      </c>
      <c r="D315" s="7">
        <f t="shared" si="18"/>
        <v>0.1925625</v>
      </c>
      <c r="E315" s="7">
        <f t="shared" si="19"/>
        <v>0.1675625</v>
      </c>
      <c r="F315" s="7">
        <f t="shared" si="20"/>
        <v>3.3512500000000001E-3</v>
      </c>
      <c r="G315" s="7">
        <f t="shared" si="21"/>
        <v>0.16421125</v>
      </c>
    </row>
    <row r="316" spans="1:7" x14ac:dyDescent="0.35">
      <c r="A316" s="48"/>
      <c r="B316" s="5" t="s">
        <v>17</v>
      </c>
      <c r="C316" s="6">
        <v>0.25</v>
      </c>
      <c r="D316" s="7">
        <f t="shared" si="18"/>
        <v>0.24687500000000001</v>
      </c>
      <c r="E316" s="7">
        <f t="shared" si="19"/>
        <v>0.22187500000000002</v>
      </c>
      <c r="F316" s="7">
        <f t="shared" si="20"/>
        <v>4.4375000000000005E-3</v>
      </c>
      <c r="G316" s="7">
        <f t="shared" si="21"/>
        <v>0.21743750000000001</v>
      </c>
    </row>
    <row r="317" spans="1:7" x14ac:dyDescent="0.35">
      <c r="A317" s="48"/>
      <c r="B317" s="5" t="s">
        <v>120</v>
      </c>
      <c r="C317" s="6">
        <v>0.19500000000000001</v>
      </c>
      <c r="D317" s="7">
        <f t="shared" si="18"/>
        <v>0.1925625</v>
      </c>
      <c r="E317" s="7">
        <f t="shared" si="19"/>
        <v>0.1675625</v>
      </c>
      <c r="F317" s="7">
        <f t="shared" si="20"/>
        <v>3.3512500000000001E-3</v>
      </c>
      <c r="G317" s="7">
        <f t="shared" si="21"/>
        <v>0.16421125</v>
      </c>
    </row>
    <row r="318" spans="1:7" x14ac:dyDescent="0.35">
      <c r="A318" s="48"/>
      <c r="B318" s="5" t="s">
        <v>18</v>
      </c>
      <c r="C318" s="6">
        <v>0.12</v>
      </c>
      <c r="D318" s="7">
        <f t="shared" si="18"/>
        <v>0.11849999999999999</v>
      </c>
      <c r="E318" s="7">
        <f t="shared" si="19"/>
        <v>9.35E-2</v>
      </c>
      <c r="F318" s="7">
        <f t="shared" si="20"/>
        <v>1.8700000000000001E-3</v>
      </c>
      <c r="G318" s="7">
        <f t="shared" si="21"/>
        <v>9.1630000000000003E-2</v>
      </c>
    </row>
    <row r="319" spans="1:7" x14ac:dyDescent="0.35">
      <c r="A319" s="48"/>
      <c r="B319" s="5" t="s">
        <v>22</v>
      </c>
      <c r="C319" s="6">
        <v>0.25</v>
      </c>
      <c r="D319" s="7">
        <f t="shared" si="18"/>
        <v>0.24687500000000001</v>
      </c>
      <c r="E319" s="7">
        <f t="shared" si="19"/>
        <v>0.22187500000000002</v>
      </c>
      <c r="F319" s="7">
        <f t="shared" si="20"/>
        <v>4.4375000000000005E-3</v>
      </c>
      <c r="G319" s="7">
        <f t="shared" si="21"/>
        <v>0.21743750000000001</v>
      </c>
    </row>
    <row r="320" spans="1:7" x14ac:dyDescent="0.35">
      <c r="A320" s="48"/>
      <c r="B320" s="5" t="s">
        <v>23</v>
      </c>
      <c r="C320" s="6">
        <v>0.25</v>
      </c>
      <c r="D320" s="7">
        <f t="shared" si="18"/>
        <v>0.24687500000000001</v>
      </c>
      <c r="E320" s="7">
        <f t="shared" si="19"/>
        <v>0.22187500000000002</v>
      </c>
      <c r="F320" s="7">
        <f t="shared" si="20"/>
        <v>4.4375000000000005E-3</v>
      </c>
      <c r="G320" s="7">
        <f t="shared" si="21"/>
        <v>0.21743750000000001</v>
      </c>
    </row>
    <row r="321" spans="1:7" x14ac:dyDescent="0.35">
      <c r="A321" s="48"/>
      <c r="B321" s="5" t="s">
        <v>26</v>
      </c>
      <c r="C321" s="6">
        <v>0.25</v>
      </c>
      <c r="D321" s="7">
        <f t="shared" si="18"/>
        <v>0.24687500000000001</v>
      </c>
      <c r="E321" s="7">
        <f t="shared" si="19"/>
        <v>0.22187500000000002</v>
      </c>
      <c r="F321" s="7">
        <f t="shared" si="20"/>
        <v>4.4375000000000005E-3</v>
      </c>
      <c r="G321" s="7">
        <f t="shared" si="21"/>
        <v>0.21743750000000001</v>
      </c>
    </row>
    <row r="322" spans="1:7" x14ac:dyDescent="0.35">
      <c r="A322" s="48"/>
      <c r="B322" s="5" t="s">
        <v>15</v>
      </c>
      <c r="C322" s="6">
        <v>0.12</v>
      </c>
      <c r="D322" s="7">
        <f t="shared" si="18"/>
        <v>0.11849999999999999</v>
      </c>
      <c r="E322" s="7">
        <f t="shared" si="19"/>
        <v>9.35E-2</v>
      </c>
      <c r="F322" s="7">
        <f t="shared" si="20"/>
        <v>1.8700000000000001E-3</v>
      </c>
      <c r="G322" s="7">
        <f t="shared" si="21"/>
        <v>9.1630000000000003E-2</v>
      </c>
    </row>
    <row r="323" spans="1:7" x14ac:dyDescent="0.35">
      <c r="A323" s="48"/>
      <c r="B323" s="5" t="s">
        <v>121</v>
      </c>
      <c r="C323" s="6">
        <v>0.19500000000000001</v>
      </c>
      <c r="D323" s="7">
        <f t="shared" si="18"/>
        <v>0.1925625</v>
      </c>
      <c r="E323" s="7">
        <f t="shared" si="19"/>
        <v>0.1675625</v>
      </c>
      <c r="F323" s="7">
        <f t="shared" si="20"/>
        <v>3.3512500000000001E-3</v>
      </c>
      <c r="G323" s="7">
        <f t="shared" si="21"/>
        <v>0.16421125</v>
      </c>
    </row>
    <row r="324" spans="1:7" x14ac:dyDescent="0.35">
      <c r="A324" s="48"/>
      <c r="B324" s="5" t="s">
        <v>122</v>
      </c>
      <c r="C324" s="6">
        <v>0.19500000000000001</v>
      </c>
      <c r="D324" s="7">
        <f t="shared" si="18"/>
        <v>0.1925625</v>
      </c>
      <c r="E324" s="7">
        <f t="shared" si="19"/>
        <v>0.1675625</v>
      </c>
      <c r="F324" s="7">
        <f t="shared" si="20"/>
        <v>3.3512500000000001E-3</v>
      </c>
      <c r="G324" s="7">
        <f t="shared" si="21"/>
        <v>0.16421125</v>
      </c>
    </row>
    <row r="325" spans="1:7" x14ac:dyDescent="0.35">
      <c r="A325" s="48"/>
      <c r="B325" s="5" t="s">
        <v>123</v>
      </c>
      <c r="C325" s="6">
        <v>0.19500000000000001</v>
      </c>
      <c r="D325" s="7">
        <f t="shared" si="18"/>
        <v>0.1925625</v>
      </c>
      <c r="E325" s="7">
        <f t="shared" si="19"/>
        <v>0.1675625</v>
      </c>
      <c r="F325" s="7">
        <f t="shared" si="20"/>
        <v>3.3512500000000001E-3</v>
      </c>
      <c r="G325" s="7">
        <f t="shared" si="21"/>
        <v>0.16421125</v>
      </c>
    </row>
    <row r="326" spans="1:7" x14ac:dyDescent="0.35">
      <c r="A326" s="48"/>
      <c r="B326" s="5" t="s">
        <v>124</v>
      </c>
      <c r="C326" s="6">
        <v>0.19500000000000001</v>
      </c>
      <c r="D326" s="7">
        <f t="shared" si="18"/>
        <v>0.1925625</v>
      </c>
      <c r="E326" s="7">
        <f t="shared" si="19"/>
        <v>0.1675625</v>
      </c>
      <c r="F326" s="7">
        <f t="shared" si="20"/>
        <v>3.3512500000000001E-3</v>
      </c>
      <c r="G326" s="7">
        <f t="shared" si="21"/>
        <v>0.16421125</v>
      </c>
    </row>
    <row r="327" spans="1:7" x14ac:dyDescent="0.35">
      <c r="A327" s="48"/>
      <c r="B327" s="5" t="s">
        <v>125</v>
      </c>
      <c r="C327" s="6">
        <v>0.19500000000000001</v>
      </c>
      <c r="D327" s="7">
        <f t="shared" ref="D327:D390" si="22">(C327-(C327*1.25%))</f>
        <v>0.1925625</v>
      </c>
      <c r="E327" s="7">
        <f t="shared" ref="E327:E390" si="23">D327-(2.5%)</f>
        <v>0.1675625</v>
      </c>
      <c r="F327" s="7">
        <f t="shared" ref="F327:F390" si="24">E327*(2%)</f>
        <v>3.3512500000000001E-3</v>
      </c>
      <c r="G327" s="7">
        <f t="shared" ref="G327:G390" si="25">E327-F327</f>
        <v>0.16421125</v>
      </c>
    </row>
    <row r="328" spans="1:7" x14ac:dyDescent="0.35">
      <c r="A328" s="48" t="s">
        <v>136</v>
      </c>
      <c r="B328" s="5" t="s">
        <v>13</v>
      </c>
      <c r="C328" s="6">
        <v>0</v>
      </c>
      <c r="D328" s="7" t="s">
        <v>20</v>
      </c>
      <c r="E328" s="7" t="s">
        <v>20</v>
      </c>
      <c r="F328" s="7" t="s">
        <v>20</v>
      </c>
      <c r="G328" s="7" t="s">
        <v>20</v>
      </c>
    </row>
    <row r="329" spans="1:7" x14ac:dyDescent="0.35">
      <c r="A329" s="48"/>
      <c r="B329" s="5" t="s">
        <v>14</v>
      </c>
      <c r="C329" s="7">
        <v>0.26</v>
      </c>
      <c r="D329" s="7">
        <f t="shared" si="22"/>
        <v>0.25675000000000003</v>
      </c>
      <c r="E329" s="7">
        <f t="shared" si="23"/>
        <v>0.23175000000000004</v>
      </c>
      <c r="F329" s="7">
        <f t="shared" si="24"/>
        <v>4.6350000000000011E-3</v>
      </c>
      <c r="G329" s="7">
        <f t="shared" si="25"/>
        <v>0.22711500000000004</v>
      </c>
    </row>
    <row r="330" spans="1:7" x14ac:dyDescent="0.35">
      <c r="A330" s="48"/>
      <c r="B330" s="5" t="s">
        <v>15</v>
      </c>
      <c r="C330" s="7">
        <v>0.17</v>
      </c>
      <c r="D330" s="7">
        <f t="shared" si="22"/>
        <v>0.16787500000000002</v>
      </c>
      <c r="E330" s="7">
        <f t="shared" si="23"/>
        <v>0.14287500000000003</v>
      </c>
      <c r="F330" s="7">
        <f t="shared" si="24"/>
        <v>2.8575000000000007E-3</v>
      </c>
      <c r="G330" s="7">
        <f t="shared" si="25"/>
        <v>0.14001750000000002</v>
      </c>
    </row>
    <row r="331" spans="1:7" x14ac:dyDescent="0.35">
      <c r="A331" s="48"/>
      <c r="B331" s="5" t="s">
        <v>16</v>
      </c>
      <c r="C331" s="6">
        <v>0</v>
      </c>
      <c r="D331" s="7" t="s">
        <v>20</v>
      </c>
      <c r="E331" s="7" t="s">
        <v>20</v>
      </c>
      <c r="F331" s="7" t="s">
        <v>20</v>
      </c>
      <c r="G331" s="7" t="s">
        <v>20</v>
      </c>
    </row>
    <row r="332" spans="1:7" x14ac:dyDescent="0.35">
      <c r="A332" s="48"/>
      <c r="B332" s="5" t="s">
        <v>17</v>
      </c>
      <c r="C332" s="7">
        <v>0.28000000000000003</v>
      </c>
      <c r="D332" s="7">
        <f t="shared" si="22"/>
        <v>0.27650000000000002</v>
      </c>
      <c r="E332" s="7">
        <f t="shared" si="23"/>
        <v>0.2515</v>
      </c>
      <c r="F332" s="7">
        <f t="shared" si="24"/>
        <v>5.0299999999999997E-3</v>
      </c>
      <c r="G332" s="7">
        <f t="shared" si="25"/>
        <v>0.24646999999999999</v>
      </c>
    </row>
    <row r="333" spans="1:7" x14ac:dyDescent="0.35">
      <c r="A333" s="48"/>
      <c r="B333" s="5" t="s">
        <v>18</v>
      </c>
      <c r="C333" s="7">
        <v>0.17</v>
      </c>
      <c r="D333" s="7">
        <f t="shared" si="22"/>
        <v>0.16787500000000002</v>
      </c>
      <c r="E333" s="7">
        <f t="shared" si="23"/>
        <v>0.14287500000000003</v>
      </c>
      <c r="F333" s="7">
        <f t="shared" si="24"/>
        <v>2.8575000000000007E-3</v>
      </c>
      <c r="G333" s="7">
        <f t="shared" si="25"/>
        <v>0.14001750000000002</v>
      </c>
    </row>
    <row r="334" spans="1:7" x14ac:dyDescent="0.35">
      <c r="A334" s="48"/>
      <c r="B334" s="5" t="s">
        <v>19</v>
      </c>
      <c r="C334" s="7">
        <v>0.05</v>
      </c>
      <c r="D334" s="7">
        <f t="shared" si="22"/>
        <v>4.9375000000000002E-2</v>
      </c>
      <c r="E334" s="7">
        <f t="shared" si="23"/>
        <v>2.4375000000000001E-2</v>
      </c>
      <c r="F334" s="7">
        <f t="shared" si="24"/>
        <v>4.8750000000000003E-4</v>
      </c>
      <c r="G334" s="7">
        <f t="shared" si="25"/>
        <v>2.3887500000000002E-2</v>
      </c>
    </row>
    <row r="335" spans="1:7" x14ac:dyDescent="0.35">
      <c r="A335" s="48"/>
      <c r="B335" s="5" t="s">
        <v>21</v>
      </c>
      <c r="C335" s="7">
        <v>0.1</v>
      </c>
      <c r="D335" s="7">
        <f t="shared" si="22"/>
        <v>9.8750000000000004E-2</v>
      </c>
      <c r="E335" s="7">
        <f t="shared" si="23"/>
        <v>7.375000000000001E-2</v>
      </c>
      <c r="F335" s="7">
        <f t="shared" si="24"/>
        <v>1.4750000000000002E-3</v>
      </c>
      <c r="G335" s="7">
        <f t="shared" si="25"/>
        <v>7.2275000000000006E-2</v>
      </c>
    </row>
    <row r="336" spans="1:7" x14ac:dyDescent="0.35">
      <c r="A336" s="48"/>
      <c r="B336" s="5" t="s">
        <v>22</v>
      </c>
      <c r="C336" s="7">
        <v>0.28000000000000003</v>
      </c>
      <c r="D336" s="7">
        <f t="shared" si="22"/>
        <v>0.27650000000000002</v>
      </c>
      <c r="E336" s="7">
        <f t="shared" si="23"/>
        <v>0.2515</v>
      </c>
      <c r="F336" s="7">
        <f t="shared" si="24"/>
        <v>5.0299999999999997E-3</v>
      </c>
      <c r="G336" s="7">
        <f t="shared" si="25"/>
        <v>0.24646999999999999</v>
      </c>
    </row>
    <row r="337" spans="1:7" x14ac:dyDescent="0.35">
      <c r="A337" s="48"/>
      <c r="B337" s="5" t="s">
        <v>23</v>
      </c>
      <c r="C337" s="7">
        <v>0.28000000000000003</v>
      </c>
      <c r="D337" s="7">
        <f t="shared" si="22"/>
        <v>0.27650000000000002</v>
      </c>
      <c r="E337" s="7">
        <f t="shared" si="23"/>
        <v>0.2515</v>
      </c>
      <c r="F337" s="7">
        <f t="shared" si="24"/>
        <v>5.0299999999999997E-3</v>
      </c>
      <c r="G337" s="7">
        <f t="shared" si="25"/>
        <v>0.24646999999999999</v>
      </c>
    </row>
    <row r="338" spans="1:7" x14ac:dyDescent="0.35">
      <c r="A338" s="48"/>
      <c r="B338" s="5" t="s">
        <v>24</v>
      </c>
      <c r="C338" s="7">
        <v>0.09</v>
      </c>
      <c r="D338" s="7">
        <f t="shared" si="22"/>
        <v>8.8874999999999996E-2</v>
      </c>
      <c r="E338" s="7">
        <f t="shared" si="23"/>
        <v>6.3874999999999987E-2</v>
      </c>
      <c r="F338" s="7">
        <f t="shared" si="24"/>
        <v>1.2774999999999998E-3</v>
      </c>
      <c r="G338" s="7">
        <f t="shared" si="25"/>
        <v>6.2597499999999986E-2</v>
      </c>
    </row>
    <row r="339" spans="1:7" x14ac:dyDescent="0.35">
      <c r="A339" s="48"/>
      <c r="B339" s="5" t="s">
        <v>25</v>
      </c>
      <c r="C339" s="7">
        <v>0.13</v>
      </c>
      <c r="D339" s="7">
        <f t="shared" si="22"/>
        <v>0.12837500000000002</v>
      </c>
      <c r="E339" s="7">
        <f t="shared" si="23"/>
        <v>0.10337500000000002</v>
      </c>
      <c r="F339" s="7">
        <f t="shared" si="24"/>
        <v>2.0675000000000003E-3</v>
      </c>
      <c r="G339" s="7">
        <f t="shared" si="25"/>
        <v>0.10130750000000002</v>
      </c>
    </row>
    <row r="340" spans="1:7" x14ac:dyDescent="0.35">
      <c r="A340" s="48"/>
      <c r="B340" s="5" t="s">
        <v>26</v>
      </c>
      <c r="C340" s="7">
        <v>0.28000000000000003</v>
      </c>
      <c r="D340" s="7">
        <f t="shared" si="22"/>
        <v>0.27650000000000002</v>
      </c>
      <c r="E340" s="7">
        <f t="shared" si="23"/>
        <v>0.2515</v>
      </c>
      <c r="F340" s="7">
        <f t="shared" si="24"/>
        <v>5.0299999999999997E-3</v>
      </c>
      <c r="G340" s="7">
        <f t="shared" si="25"/>
        <v>0.24646999999999999</v>
      </c>
    </row>
    <row r="341" spans="1:7" x14ac:dyDescent="0.35">
      <c r="A341" s="48"/>
      <c r="B341" s="5" t="s">
        <v>27</v>
      </c>
      <c r="C341" s="7">
        <v>0.03</v>
      </c>
      <c r="D341" s="7" t="s">
        <v>20</v>
      </c>
      <c r="E341" s="7" t="s">
        <v>20</v>
      </c>
      <c r="F341" s="7" t="s">
        <v>20</v>
      </c>
      <c r="G341" s="7" t="s">
        <v>20</v>
      </c>
    </row>
    <row r="342" spans="1:7" x14ac:dyDescent="0.35">
      <c r="A342" s="5" t="s">
        <v>137</v>
      </c>
      <c r="B342" s="5" t="s">
        <v>138</v>
      </c>
      <c r="C342" s="6">
        <v>0.21</v>
      </c>
      <c r="D342" s="7">
        <f t="shared" si="22"/>
        <v>0.207375</v>
      </c>
      <c r="E342" s="7">
        <f t="shared" si="23"/>
        <v>0.18237500000000001</v>
      </c>
      <c r="F342" s="7">
        <f t="shared" si="24"/>
        <v>3.6475000000000001E-3</v>
      </c>
      <c r="G342" s="7">
        <f t="shared" si="25"/>
        <v>0.17872750000000001</v>
      </c>
    </row>
    <row r="343" spans="1:7" x14ac:dyDescent="0.35">
      <c r="A343" s="41" t="s">
        <v>139</v>
      </c>
      <c r="B343" s="5" t="s">
        <v>138</v>
      </c>
      <c r="C343" s="6">
        <v>0.18</v>
      </c>
      <c r="D343" s="7">
        <f t="shared" si="22"/>
        <v>0.17774999999999999</v>
      </c>
      <c r="E343" s="7">
        <f t="shared" si="23"/>
        <v>0.15275</v>
      </c>
      <c r="F343" s="7">
        <f t="shared" si="24"/>
        <v>3.055E-3</v>
      </c>
      <c r="G343" s="7">
        <f t="shared" si="25"/>
        <v>0.14969499999999999</v>
      </c>
    </row>
    <row r="344" spans="1:7" x14ac:dyDescent="0.35">
      <c r="A344" s="42"/>
      <c r="B344" s="5" t="s">
        <v>88</v>
      </c>
      <c r="C344" s="6">
        <v>0</v>
      </c>
      <c r="D344" s="7" t="s">
        <v>20</v>
      </c>
      <c r="E344" s="7" t="s">
        <v>20</v>
      </c>
      <c r="F344" s="7" t="s">
        <v>20</v>
      </c>
      <c r="G344" s="7" t="s">
        <v>20</v>
      </c>
    </row>
    <row r="345" spans="1:7" x14ac:dyDescent="0.35">
      <c r="A345" s="43"/>
      <c r="B345" s="5" t="s">
        <v>89</v>
      </c>
      <c r="C345" s="6">
        <v>0.04</v>
      </c>
      <c r="D345" s="7" t="s">
        <v>20</v>
      </c>
      <c r="E345" s="7" t="s">
        <v>20</v>
      </c>
      <c r="F345" s="7" t="s">
        <v>20</v>
      </c>
      <c r="G345" s="7" t="s">
        <v>20</v>
      </c>
    </row>
    <row r="346" spans="1:7" x14ac:dyDescent="0.35">
      <c r="A346" s="5" t="s">
        <v>140</v>
      </c>
      <c r="B346" s="5" t="s">
        <v>32</v>
      </c>
      <c r="C346" s="6">
        <v>0.1</v>
      </c>
      <c r="D346" s="7">
        <f t="shared" si="22"/>
        <v>9.8750000000000004E-2</v>
      </c>
      <c r="E346" s="7">
        <f t="shared" si="23"/>
        <v>7.375000000000001E-2</v>
      </c>
      <c r="F346" s="7">
        <f t="shared" si="24"/>
        <v>1.4750000000000002E-3</v>
      </c>
      <c r="G346" s="7">
        <f t="shared" si="25"/>
        <v>7.2275000000000006E-2</v>
      </c>
    </row>
    <row r="347" spans="1:7" x14ac:dyDescent="0.35">
      <c r="A347" s="2" t="s">
        <v>141</v>
      </c>
      <c r="B347" s="2" t="s">
        <v>1</v>
      </c>
      <c r="C347" s="3" t="s">
        <v>2</v>
      </c>
      <c r="D347" s="4" t="s">
        <v>1275</v>
      </c>
      <c r="E347" s="4" t="s">
        <v>1276</v>
      </c>
      <c r="F347" s="4" t="s">
        <v>363</v>
      </c>
      <c r="G347" s="4" t="s">
        <v>364</v>
      </c>
    </row>
    <row r="348" spans="1:7" ht="24" x14ac:dyDescent="0.35">
      <c r="A348" s="5" t="s">
        <v>142</v>
      </c>
      <c r="B348" s="5" t="s">
        <v>8</v>
      </c>
      <c r="C348" s="6">
        <v>0.15</v>
      </c>
      <c r="D348" s="7">
        <f t="shared" si="22"/>
        <v>0.14812500000000001</v>
      </c>
      <c r="E348" s="7">
        <f t="shared" si="23"/>
        <v>0.12312500000000001</v>
      </c>
      <c r="F348" s="7">
        <f t="shared" si="24"/>
        <v>2.4625000000000003E-3</v>
      </c>
      <c r="G348" s="7">
        <f t="shared" si="25"/>
        <v>0.12066250000000001</v>
      </c>
    </row>
    <row r="349" spans="1:7" ht="24" x14ac:dyDescent="0.35">
      <c r="A349" s="5" t="s">
        <v>143</v>
      </c>
      <c r="B349" s="5" t="s">
        <v>132</v>
      </c>
      <c r="C349" s="6">
        <v>0.15</v>
      </c>
      <c r="D349" s="7">
        <f t="shared" si="22"/>
        <v>0.14812500000000001</v>
      </c>
      <c r="E349" s="7">
        <f t="shared" si="23"/>
        <v>0.12312500000000001</v>
      </c>
      <c r="F349" s="7">
        <f t="shared" si="24"/>
        <v>2.4625000000000003E-3</v>
      </c>
      <c r="G349" s="7">
        <f t="shared" si="25"/>
        <v>0.12066250000000001</v>
      </c>
    </row>
    <row r="350" spans="1:7" x14ac:dyDescent="0.35">
      <c r="A350" s="48" t="s">
        <v>144</v>
      </c>
      <c r="B350" s="5" t="s">
        <v>145</v>
      </c>
      <c r="C350" s="6">
        <v>0.19500000000000001</v>
      </c>
      <c r="D350" s="7">
        <f t="shared" si="22"/>
        <v>0.1925625</v>
      </c>
      <c r="E350" s="7">
        <f t="shared" si="23"/>
        <v>0.1675625</v>
      </c>
      <c r="F350" s="7">
        <f t="shared" si="24"/>
        <v>3.3512500000000001E-3</v>
      </c>
      <c r="G350" s="7">
        <f t="shared" si="25"/>
        <v>0.16421125</v>
      </c>
    </row>
    <row r="351" spans="1:7" x14ac:dyDescent="0.35">
      <c r="A351" s="48"/>
      <c r="B351" s="5" t="s">
        <v>146</v>
      </c>
      <c r="C351" s="6">
        <v>0.19500000000000001</v>
      </c>
      <c r="D351" s="7">
        <f t="shared" si="22"/>
        <v>0.1925625</v>
      </c>
      <c r="E351" s="7">
        <f t="shared" si="23"/>
        <v>0.1675625</v>
      </c>
      <c r="F351" s="7">
        <f t="shared" si="24"/>
        <v>3.3512500000000001E-3</v>
      </c>
      <c r="G351" s="7">
        <f t="shared" si="25"/>
        <v>0.16421125</v>
      </c>
    </row>
    <row r="352" spans="1:7" x14ac:dyDescent="0.35">
      <c r="A352" s="48"/>
      <c r="B352" s="5" t="s">
        <v>147</v>
      </c>
      <c r="C352" s="6">
        <v>0.19500000000000001</v>
      </c>
      <c r="D352" s="7">
        <f t="shared" si="22"/>
        <v>0.1925625</v>
      </c>
      <c r="E352" s="7">
        <f t="shared" si="23"/>
        <v>0.1675625</v>
      </c>
      <c r="F352" s="7">
        <f t="shared" si="24"/>
        <v>3.3512500000000001E-3</v>
      </c>
      <c r="G352" s="7">
        <f t="shared" si="25"/>
        <v>0.16421125</v>
      </c>
    </row>
    <row r="353" spans="1:7" x14ac:dyDescent="0.35">
      <c r="A353" s="48"/>
      <c r="B353" s="5" t="s">
        <v>120</v>
      </c>
      <c r="C353" s="6">
        <v>0.19500000000000001</v>
      </c>
      <c r="D353" s="7">
        <f t="shared" si="22"/>
        <v>0.1925625</v>
      </c>
      <c r="E353" s="7">
        <f t="shared" si="23"/>
        <v>0.1675625</v>
      </c>
      <c r="F353" s="7">
        <f t="shared" si="24"/>
        <v>3.3512500000000001E-3</v>
      </c>
      <c r="G353" s="7">
        <f t="shared" si="25"/>
        <v>0.16421125</v>
      </c>
    </row>
    <row r="354" spans="1:7" x14ac:dyDescent="0.35">
      <c r="A354" s="48"/>
      <c r="B354" s="5" t="s">
        <v>148</v>
      </c>
      <c r="C354" s="6">
        <v>0.19500000000000001</v>
      </c>
      <c r="D354" s="7">
        <f t="shared" si="22"/>
        <v>0.1925625</v>
      </c>
      <c r="E354" s="7">
        <f t="shared" si="23"/>
        <v>0.1675625</v>
      </c>
      <c r="F354" s="7">
        <f t="shared" si="24"/>
        <v>3.3512500000000001E-3</v>
      </c>
      <c r="G354" s="7">
        <f t="shared" si="25"/>
        <v>0.16421125</v>
      </c>
    </row>
    <row r="355" spans="1:7" x14ac:dyDescent="0.35">
      <c r="A355" s="48"/>
      <c r="B355" s="5" t="s">
        <v>149</v>
      </c>
      <c r="C355" s="6">
        <v>0.19500000000000001</v>
      </c>
      <c r="D355" s="7">
        <f t="shared" si="22"/>
        <v>0.1925625</v>
      </c>
      <c r="E355" s="7">
        <f t="shared" si="23"/>
        <v>0.1675625</v>
      </c>
      <c r="F355" s="7">
        <f t="shared" si="24"/>
        <v>3.3512500000000001E-3</v>
      </c>
      <c r="G355" s="7">
        <f t="shared" si="25"/>
        <v>0.16421125</v>
      </c>
    </row>
    <row r="356" spans="1:7" x14ac:dyDescent="0.35">
      <c r="A356" s="48"/>
      <c r="B356" s="5" t="s">
        <v>150</v>
      </c>
      <c r="C356" s="6">
        <v>0.19500000000000001</v>
      </c>
      <c r="D356" s="7">
        <f t="shared" si="22"/>
        <v>0.1925625</v>
      </c>
      <c r="E356" s="7">
        <f t="shared" si="23"/>
        <v>0.1675625</v>
      </c>
      <c r="F356" s="7">
        <f t="shared" si="24"/>
        <v>3.3512500000000001E-3</v>
      </c>
      <c r="G356" s="7">
        <f t="shared" si="25"/>
        <v>0.16421125</v>
      </c>
    </row>
    <row r="357" spans="1:7" x14ac:dyDescent="0.35">
      <c r="A357" s="48"/>
      <c r="B357" s="5" t="s">
        <v>151</v>
      </c>
      <c r="C357" s="6">
        <v>0.19500000000000001</v>
      </c>
      <c r="D357" s="7">
        <f t="shared" si="22"/>
        <v>0.1925625</v>
      </c>
      <c r="E357" s="7">
        <f t="shared" si="23"/>
        <v>0.1675625</v>
      </c>
      <c r="F357" s="7">
        <f t="shared" si="24"/>
        <v>3.3512500000000001E-3</v>
      </c>
      <c r="G357" s="7">
        <f t="shared" si="25"/>
        <v>0.16421125</v>
      </c>
    </row>
    <row r="358" spans="1:7" x14ac:dyDescent="0.35">
      <c r="A358" s="48"/>
      <c r="B358" s="5" t="s">
        <v>152</v>
      </c>
      <c r="C358" s="6">
        <v>0.19500000000000001</v>
      </c>
      <c r="D358" s="7">
        <f t="shared" si="22"/>
        <v>0.1925625</v>
      </c>
      <c r="E358" s="7">
        <f t="shared" si="23"/>
        <v>0.1675625</v>
      </c>
      <c r="F358" s="7">
        <f t="shared" si="24"/>
        <v>3.3512500000000001E-3</v>
      </c>
      <c r="G358" s="7">
        <f t="shared" si="25"/>
        <v>0.16421125</v>
      </c>
    </row>
    <row r="359" spans="1:7" x14ac:dyDescent="0.35">
      <c r="A359" s="48"/>
      <c r="B359" s="5" t="s">
        <v>121</v>
      </c>
      <c r="C359" s="6">
        <v>0.19500000000000001</v>
      </c>
      <c r="D359" s="7">
        <f t="shared" si="22"/>
        <v>0.1925625</v>
      </c>
      <c r="E359" s="7">
        <f t="shared" si="23"/>
        <v>0.1675625</v>
      </c>
      <c r="F359" s="7">
        <f t="shared" si="24"/>
        <v>3.3512500000000001E-3</v>
      </c>
      <c r="G359" s="7">
        <f t="shared" si="25"/>
        <v>0.16421125</v>
      </c>
    </row>
    <row r="360" spans="1:7" x14ac:dyDescent="0.35">
      <c r="A360" s="48"/>
      <c r="B360" s="5" t="s">
        <v>122</v>
      </c>
      <c r="C360" s="6">
        <v>0.19500000000000001</v>
      </c>
      <c r="D360" s="7">
        <f t="shared" si="22"/>
        <v>0.1925625</v>
      </c>
      <c r="E360" s="7">
        <f t="shared" si="23"/>
        <v>0.1675625</v>
      </c>
      <c r="F360" s="7">
        <f t="shared" si="24"/>
        <v>3.3512500000000001E-3</v>
      </c>
      <c r="G360" s="7">
        <f t="shared" si="25"/>
        <v>0.16421125</v>
      </c>
    </row>
    <row r="361" spans="1:7" x14ac:dyDescent="0.35">
      <c r="A361" s="48"/>
      <c r="B361" s="5" t="s">
        <v>123</v>
      </c>
      <c r="C361" s="6">
        <v>0.19500000000000001</v>
      </c>
      <c r="D361" s="7">
        <f t="shared" si="22"/>
        <v>0.1925625</v>
      </c>
      <c r="E361" s="7">
        <f t="shared" si="23"/>
        <v>0.1675625</v>
      </c>
      <c r="F361" s="7">
        <f t="shared" si="24"/>
        <v>3.3512500000000001E-3</v>
      </c>
      <c r="G361" s="7">
        <f t="shared" si="25"/>
        <v>0.16421125</v>
      </c>
    </row>
    <row r="362" spans="1:7" x14ac:dyDescent="0.35">
      <c r="A362" s="48"/>
      <c r="B362" s="5" t="s">
        <v>124</v>
      </c>
      <c r="C362" s="6">
        <v>0.19500000000000001</v>
      </c>
      <c r="D362" s="7">
        <f t="shared" si="22"/>
        <v>0.1925625</v>
      </c>
      <c r="E362" s="7">
        <f t="shared" si="23"/>
        <v>0.1675625</v>
      </c>
      <c r="F362" s="7">
        <f t="shared" si="24"/>
        <v>3.3512500000000001E-3</v>
      </c>
      <c r="G362" s="7">
        <f t="shared" si="25"/>
        <v>0.16421125</v>
      </c>
    </row>
    <row r="363" spans="1:7" x14ac:dyDescent="0.35">
      <c r="A363" s="48"/>
      <c r="B363" s="5" t="s">
        <v>125</v>
      </c>
      <c r="C363" s="6">
        <v>0.19500000000000001</v>
      </c>
      <c r="D363" s="7">
        <f t="shared" si="22"/>
        <v>0.1925625</v>
      </c>
      <c r="E363" s="7">
        <f t="shared" si="23"/>
        <v>0.1675625</v>
      </c>
      <c r="F363" s="7">
        <f t="shared" si="24"/>
        <v>3.3512500000000001E-3</v>
      </c>
      <c r="G363" s="7">
        <f t="shared" si="25"/>
        <v>0.16421125</v>
      </c>
    </row>
    <row r="364" spans="1:7" x14ac:dyDescent="0.35">
      <c r="A364" s="48" t="s">
        <v>153</v>
      </c>
      <c r="B364" s="5" t="s">
        <v>13</v>
      </c>
      <c r="C364" s="7">
        <v>0.01</v>
      </c>
      <c r="D364" s="7" t="s">
        <v>20</v>
      </c>
      <c r="E364" s="7" t="s">
        <v>20</v>
      </c>
      <c r="F364" s="7" t="s">
        <v>20</v>
      </c>
      <c r="G364" s="7" t="s">
        <v>20</v>
      </c>
    </row>
    <row r="365" spans="1:7" x14ac:dyDescent="0.35">
      <c r="A365" s="48"/>
      <c r="B365" s="5" t="s">
        <v>14</v>
      </c>
      <c r="C365" s="7">
        <v>0.01</v>
      </c>
      <c r="D365" s="7" t="s">
        <v>20</v>
      </c>
      <c r="E365" s="7" t="s">
        <v>20</v>
      </c>
      <c r="F365" s="7" t="s">
        <v>20</v>
      </c>
      <c r="G365" s="7" t="s">
        <v>20</v>
      </c>
    </row>
    <row r="366" spans="1:7" x14ac:dyDescent="0.35">
      <c r="A366" s="48"/>
      <c r="B366" s="5" t="s">
        <v>15</v>
      </c>
      <c r="C366" s="7">
        <v>0.01</v>
      </c>
      <c r="D366" s="7" t="s">
        <v>20</v>
      </c>
      <c r="E366" s="7" t="s">
        <v>20</v>
      </c>
      <c r="F366" s="7" t="s">
        <v>20</v>
      </c>
      <c r="G366" s="7" t="s">
        <v>20</v>
      </c>
    </row>
    <row r="367" spans="1:7" x14ac:dyDescent="0.35">
      <c r="A367" s="48"/>
      <c r="B367" s="5" t="s">
        <v>16</v>
      </c>
      <c r="C367" s="7">
        <v>0.03</v>
      </c>
      <c r="D367" s="7" t="s">
        <v>20</v>
      </c>
      <c r="E367" s="7" t="s">
        <v>20</v>
      </c>
      <c r="F367" s="7" t="s">
        <v>20</v>
      </c>
      <c r="G367" s="7" t="s">
        <v>20</v>
      </c>
    </row>
    <row r="368" spans="1:7" x14ac:dyDescent="0.35">
      <c r="A368" s="48"/>
      <c r="B368" s="5" t="s">
        <v>17</v>
      </c>
      <c r="C368" s="7">
        <v>0.25</v>
      </c>
      <c r="D368" s="7">
        <f t="shared" si="22"/>
        <v>0.24687500000000001</v>
      </c>
      <c r="E368" s="7">
        <f t="shared" si="23"/>
        <v>0.22187500000000002</v>
      </c>
      <c r="F368" s="7">
        <f t="shared" si="24"/>
        <v>4.4375000000000005E-3</v>
      </c>
      <c r="G368" s="7">
        <f t="shared" si="25"/>
        <v>0.21743750000000001</v>
      </c>
    </row>
    <row r="369" spans="1:7" x14ac:dyDescent="0.35">
      <c r="A369" s="48"/>
      <c r="B369" s="5" t="s">
        <v>18</v>
      </c>
      <c r="C369" s="7">
        <v>0.01</v>
      </c>
      <c r="D369" s="7" t="s">
        <v>20</v>
      </c>
      <c r="E369" s="7" t="s">
        <v>20</v>
      </c>
      <c r="F369" s="7" t="s">
        <v>20</v>
      </c>
      <c r="G369" s="7" t="s">
        <v>20</v>
      </c>
    </row>
    <row r="370" spans="1:7" x14ac:dyDescent="0.35">
      <c r="A370" s="48"/>
      <c r="B370" s="5" t="s">
        <v>19</v>
      </c>
      <c r="C370" s="7">
        <v>0.01</v>
      </c>
      <c r="D370" s="7" t="s">
        <v>20</v>
      </c>
      <c r="E370" s="7" t="s">
        <v>20</v>
      </c>
      <c r="F370" s="7" t="s">
        <v>20</v>
      </c>
      <c r="G370" s="7" t="s">
        <v>20</v>
      </c>
    </row>
    <row r="371" spans="1:7" x14ac:dyDescent="0.35">
      <c r="A371" s="48"/>
      <c r="B371" s="5" t="s">
        <v>21</v>
      </c>
      <c r="C371" s="7">
        <v>0.01</v>
      </c>
      <c r="D371" s="7" t="s">
        <v>20</v>
      </c>
      <c r="E371" s="7" t="s">
        <v>20</v>
      </c>
      <c r="F371" s="7" t="s">
        <v>20</v>
      </c>
      <c r="G371" s="7" t="s">
        <v>20</v>
      </c>
    </row>
    <row r="372" spans="1:7" x14ac:dyDescent="0.35">
      <c r="A372" s="48"/>
      <c r="B372" s="5" t="s">
        <v>22</v>
      </c>
      <c r="C372" s="7">
        <v>0.25</v>
      </c>
      <c r="D372" s="7">
        <f t="shared" si="22"/>
        <v>0.24687500000000001</v>
      </c>
      <c r="E372" s="7">
        <f t="shared" si="23"/>
        <v>0.22187500000000002</v>
      </c>
      <c r="F372" s="7">
        <f t="shared" si="24"/>
        <v>4.4375000000000005E-3</v>
      </c>
      <c r="G372" s="7">
        <f t="shared" si="25"/>
        <v>0.21743750000000001</v>
      </c>
    </row>
    <row r="373" spans="1:7" x14ac:dyDescent="0.35">
      <c r="A373" s="48"/>
      <c r="B373" s="5" t="s">
        <v>23</v>
      </c>
      <c r="C373" s="7">
        <v>0.25</v>
      </c>
      <c r="D373" s="7">
        <f t="shared" si="22"/>
        <v>0.24687500000000001</v>
      </c>
      <c r="E373" s="7">
        <f t="shared" si="23"/>
        <v>0.22187500000000002</v>
      </c>
      <c r="F373" s="7">
        <f t="shared" si="24"/>
        <v>4.4375000000000005E-3</v>
      </c>
      <c r="G373" s="7">
        <f t="shared" si="25"/>
        <v>0.21743750000000001</v>
      </c>
    </row>
    <row r="374" spans="1:7" x14ac:dyDescent="0.35">
      <c r="A374" s="48"/>
      <c r="B374" s="5" t="s">
        <v>24</v>
      </c>
      <c r="C374" s="7">
        <v>0.01</v>
      </c>
      <c r="D374" s="7" t="s">
        <v>20</v>
      </c>
      <c r="E374" s="7" t="s">
        <v>20</v>
      </c>
      <c r="F374" s="7" t="s">
        <v>20</v>
      </c>
      <c r="G374" s="7" t="s">
        <v>20</v>
      </c>
    </row>
    <row r="375" spans="1:7" x14ac:dyDescent="0.35">
      <c r="A375" s="48"/>
      <c r="B375" s="5" t="s">
        <v>25</v>
      </c>
      <c r="C375" s="7">
        <v>0.1</v>
      </c>
      <c r="D375" s="7">
        <f t="shared" si="22"/>
        <v>9.8750000000000004E-2</v>
      </c>
      <c r="E375" s="7">
        <f t="shared" si="23"/>
        <v>7.375000000000001E-2</v>
      </c>
      <c r="F375" s="7">
        <f t="shared" si="24"/>
        <v>1.4750000000000002E-3</v>
      </c>
      <c r="G375" s="7">
        <f t="shared" si="25"/>
        <v>7.2275000000000006E-2</v>
      </c>
    </row>
    <row r="376" spans="1:7" x14ac:dyDescent="0.35">
      <c r="A376" s="48"/>
      <c r="B376" s="5" t="s">
        <v>26</v>
      </c>
      <c r="C376" s="7">
        <v>0.01</v>
      </c>
      <c r="D376" s="7" t="s">
        <v>20</v>
      </c>
      <c r="E376" s="7" t="s">
        <v>20</v>
      </c>
      <c r="F376" s="7" t="s">
        <v>20</v>
      </c>
      <c r="G376" s="7" t="s">
        <v>20</v>
      </c>
    </row>
    <row r="377" spans="1:7" x14ac:dyDescent="0.35">
      <c r="A377" s="48"/>
      <c r="B377" s="5" t="s">
        <v>27</v>
      </c>
      <c r="C377" s="7">
        <v>0.01</v>
      </c>
      <c r="D377" s="7" t="s">
        <v>20</v>
      </c>
      <c r="E377" s="7" t="s">
        <v>20</v>
      </c>
      <c r="F377" s="7" t="s">
        <v>20</v>
      </c>
      <c r="G377" s="7" t="s">
        <v>20</v>
      </c>
    </row>
    <row r="378" spans="1:7" x14ac:dyDescent="0.35">
      <c r="A378" s="5" t="s">
        <v>154</v>
      </c>
      <c r="B378" s="5" t="s">
        <v>32</v>
      </c>
      <c r="C378" s="6">
        <v>0.08</v>
      </c>
      <c r="D378" s="7">
        <f t="shared" si="22"/>
        <v>7.9000000000000001E-2</v>
      </c>
      <c r="E378" s="7">
        <f t="shared" si="23"/>
        <v>5.3999999999999999E-2</v>
      </c>
      <c r="F378" s="7">
        <f t="shared" si="24"/>
        <v>1.08E-3</v>
      </c>
      <c r="G378" s="7">
        <f t="shared" si="25"/>
        <v>5.2920000000000002E-2</v>
      </c>
    </row>
    <row r="379" spans="1:7" x14ac:dyDescent="0.35">
      <c r="A379" s="5" t="s">
        <v>155</v>
      </c>
      <c r="B379" s="5" t="s">
        <v>32</v>
      </c>
      <c r="C379" s="6">
        <v>0.1</v>
      </c>
      <c r="D379" s="7">
        <f t="shared" si="22"/>
        <v>9.8750000000000004E-2</v>
      </c>
      <c r="E379" s="7">
        <f t="shared" si="23"/>
        <v>7.375000000000001E-2</v>
      </c>
      <c r="F379" s="7">
        <f t="shared" si="24"/>
        <v>1.4750000000000002E-3</v>
      </c>
      <c r="G379" s="7">
        <f t="shared" si="25"/>
        <v>7.2275000000000006E-2</v>
      </c>
    </row>
    <row r="380" spans="1:7" x14ac:dyDescent="0.35">
      <c r="A380" s="40" t="s">
        <v>156</v>
      </c>
      <c r="B380" s="5" t="s">
        <v>87</v>
      </c>
      <c r="C380" s="6">
        <v>0.03</v>
      </c>
      <c r="D380" s="7" t="s">
        <v>20</v>
      </c>
      <c r="E380" s="7" t="s">
        <v>20</v>
      </c>
      <c r="F380" s="7" t="s">
        <v>20</v>
      </c>
      <c r="G380" s="7" t="s">
        <v>20</v>
      </c>
    </row>
    <row r="381" spans="1:7" x14ac:dyDescent="0.35">
      <c r="A381" s="40"/>
      <c r="B381" s="5" t="s">
        <v>88</v>
      </c>
      <c r="C381" s="6">
        <v>0</v>
      </c>
      <c r="D381" s="7" t="s">
        <v>20</v>
      </c>
      <c r="E381" s="7" t="s">
        <v>20</v>
      </c>
      <c r="F381" s="7" t="s">
        <v>20</v>
      </c>
      <c r="G381" s="7" t="s">
        <v>20</v>
      </c>
    </row>
    <row r="382" spans="1:7" x14ac:dyDescent="0.35">
      <c r="A382" s="40"/>
      <c r="B382" s="5" t="s">
        <v>89</v>
      </c>
      <c r="C382" s="6">
        <v>0</v>
      </c>
      <c r="D382" s="7" t="s">
        <v>20</v>
      </c>
      <c r="E382" s="7" t="s">
        <v>20</v>
      </c>
      <c r="F382" s="7" t="s">
        <v>20</v>
      </c>
      <c r="G382" s="7" t="s">
        <v>20</v>
      </c>
    </row>
    <row r="383" spans="1:7" ht="36" x14ac:dyDescent="0.35">
      <c r="A383" s="5" t="s">
        <v>1525</v>
      </c>
      <c r="B383" s="5" t="s">
        <v>157</v>
      </c>
      <c r="C383" s="6">
        <v>0.13</v>
      </c>
      <c r="D383" s="7">
        <f t="shared" si="22"/>
        <v>0.12837500000000002</v>
      </c>
      <c r="E383" s="7">
        <f t="shared" si="23"/>
        <v>0.10337500000000002</v>
      </c>
      <c r="F383" s="7">
        <f t="shared" si="24"/>
        <v>2.0675000000000003E-3</v>
      </c>
      <c r="G383" s="7">
        <f t="shared" si="25"/>
        <v>0.10130750000000002</v>
      </c>
    </row>
    <row r="384" spans="1:7" ht="36" x14ac:dyDescent="0.35">
      <c r="A384" s="5" t="s">
        <v>1526</v>
      </c>
      <c r="B384" s="5" t="s">
        <v>157</v>
      </c>
      <c r="C384" s="6">
        <v>0.15</v>
      </c>
      <c r="D384" s="7">
        <f t="shared" si="22"/>
        <v>0.14812500000000001</v>
      </c>
      <c r="E384" s="7">
        <f t="shared" si="23"/>
        <v>0.12312500000000001</v>
      </c>
      <c r="F384" s="7">
        <f t="shared" si="24"/>
        <v>2.4625000000000003E-3</v>
      </c>
      <c r="G384" s="7">
        <f t="shared" si="25"/>
        <v>0.12066250000000001</v>
      </c>
    </row>
    <row r="385" spans="1:7" ht="36" x14ac:dyDescent="0.35">
      <c r="A385" s="5" t="s">
        <v>1527</v>
      </c>
      <c r="B385" s="5" t="s">
        <v>157</v>
      </c>
      <c r="C385" s="6">
        <v>0.23</v>
      </c>
      <c r="D385" s="7">
        <f t="shared" si="22"/>
        <v>0.22712500000000002</v>
      </c>
      <c r="E385" s="7">
        <f t="shared" si="23"/>
        <v>0.20212500000000003</v>
      </c>
      <c r="F385" s="7">
        <f t="shared" si="24"/>
        <v>4.042500000000001E-3</v>
      </c>
      <c r="G385" s="7">
        <f t="shared" si="25"/>
        <v>0.19808250000000002</v>
      </c>
    </row>
    <row r="386" spans="1:7" ht="36" x14ac:dyDescent="0.35">
      <c r="A386" s="5" t="s">
        <v>1528</v>
      </c>
      <c r="B386" s="5" t="s">
        <v>157</v>
      </c>
      <c r="C386" s="6">
        <v>0.25</v>
      </c>
      <c r="D386" s="7">
        <f t="shared" si="22"/>
        <v>0.24687500000000001</v>
      </c>
      <c r="E386" s="7">
        <f t="shared" si="23"/>
        <v>0.22187500000000002</v>
      </c>
      <c r="F386" s="7">
        <f t="shared" si="24"/>
        <v>4.4375000000000005E-3</v>
      </c>
      <c r="G386" s="7">
        <f t="shared" si="25"/>
        <v>0.21743750000000001</v>
      </c>
    </row>
    <row r="387" spans="1:7" ht="36" x14ac:dyDescent="0.35">
      <c r="A387" s="5" t="s">
        <v>1529</v>
      </c>
      <c r="B387" s="5" t="s">
        <v>157</v>
      </c>
      <c r="C387" s="6">
        <v>0.27</v>
      </c>
      <c r="D387" s="7">
        <f t="shared" si="22"/>
        <v>0.266625</v>
      </c>
      <c r="E387" s="7">
        <f t="shared" si="23"/>
        <v>0.24162500000000001</v>
      </c>
      <c r="F387" s="7">
        <f t="shared" si="24"/>
        <v>4.8325E-3</v>
      </c>
      <c r="G387" s="7">
        <f t="shared" si="25"/>
        <v>0.23679250000000002</v>
      </c>
    </row>
    <row r="388" spans="1:7" ht="36" x14ac:dyDescent="0.35">
      <c r="A388" s="5" t="s">
        <v>1530</v>
      </c>
      <c r="B388" s="5" t="s">
        <v>157</v>
      </c>
      <c r="C388" s="6">
        <v>0.28000000000000003</v>
      </c>
      <c r="D388" s="7">
        <f t="shared" si="22"/>
        <v>0.27650000000000002</v>
      </c>
      <c r="E388" s="7">
        <f t="shared" si="23"/>
        <v>0.2515</v>
      </c>
      <c r="F388" s="7">
        <f t="shared" si="24"/>
        <v>5.0299999999999997E-3</v>
      </c>
      <c r="G388" s="7">
        <f t="shared" si="25"/>
        <v>0.24646999999999999</v>
      </c>
    </row>
    <row r="389" spans="1:7" ht="36" x14ac:dyDescent="0.35">
      <c r="A389" s="5" t="s">
        <v>1531</v>
      </c>
      <c r="B389" s="5" t="s">
        <v>157</v>
      </c>
      <c r="C389" s="6">
        <v>0.11</v>
      </c>
      <c r="D389" s="7">
        <f t="shared" si="22"/>
        <v>0.108625</v>
      </c>
      <c r="E389" s="7">
        <f t="shared" si="23"/>
        <v>8.3625000000000005E-2</v>
      </c>
      <c r="F389" s="7">
        <f t="shared" si="24"/>
        <v>1.6725000000000002E-3</v>
      </c>
      <c r="G389" s="7">
        <f t="shared" si="25"/>
        <v>8.1952500000000011E-2</v>
      </c>
    </row>
    <row r="390" spans="1:7" ht="36" x14ac:dyDescent="0.35">
      <c r="A390" s="5" t="s">
        <v>1532</v>
      </c>
      <c r="B390" s="5" t="s">
        <v>157</v>
      </c>
      <c r="C390" s="6">
        <v>0.13</v>
      </c>
      <c r="D390" s="7">
        <f t="shared" si="22"/>
        <v>0.12837500000000002</v>
      </c>
      <c r="E390" s="7">
        <f t="shared" si="23"/>
        <v>0.10337500000000002</v>
      </c>
      <c r="F390" s="7">
        <f t="shared" si="24"/>
        <v>2.0675000000000003E-3</v>
      </c>
      <c r="G390" s="7">
        <f t="shared" si="25"/>
        <v>0.10130750000000002</v>
      </c>
    </row>
    <row r="391" spans="1:7" ht="36" x14ac:dyDescent="0.35">
      <c r="A391" s="5" t="s">
        <v>1533</v>
      </c>
      <c r="B391" s="5" t="s">
        <v>157</v>
      </c>
      <c r="C391" s="6">
        <v>0.16</v>
      </c>
      <c r="D391" s="7">
        <f t="shared" ref="D391:D454" si="26">(C391-(C391*1.25%))</f>
        <v>0.158</v>
      </c>
      <c r="E391" s="7">
        <f t="shared" ref="E391:E454" si="27">D391-(2.5%)</f>
        <v>0.13300000000000001</v>
      </c>
      <c r="F391" s="7">
        <f t="shared" ref="F391:F454" si="28">E391*(2%)</f>
        <v>2.66E-3</v>
      </c>
      <c r="G391" s="7">
        <f t="shared" ref="G391:G454" si="29">E391-F391</f>
        <v>0.13034000000000001</v>
      </c>
    </row>
    <row r="392" spans="1:7" ht="36" x14ac:dyDescent="0.35">
      <c r="A392" s="5" t="s">
        <v>1534</v>
      </c>
      <c r="B392" s="5" t="s">
        <v>157</v>
      </c>
      <c r="C392" s="6">
        <v>0.16</v>
      </c>
      <c r="D392" s="7">
        <f t="shared" si="26"/>
        <v>0.158</v>
      </c>
      <c r="E392" s="7">
        <f t="shared" si="27"/>
        <v>0.13300000000000001</v>
      </c>
      <c r="F392" s="7">
        <f t="shared" si="28"/>
        <v>2.66E-3</v>
      </c>
      <c r="G392" s="7">
        <f t="shared" si="29"/>
        <v>0.13034000000000001</v>
      </c>
    </row>
    <row r="393" spans="1:7" ht="36" x14ac:dyDescent="0.35">
      <c r="A393" s="5" t="s">
        <v>1535</v>
      </c>
      <c r="B393" s="5" t="s">
        <v>157</v>
      </c>
      <c r="C393" s="6">
        <v>0.23</v>
      </c>
      <c r="D393" s="7">
        <f t="shared" si="26"/>
        <v>0.22712500000000002</v>
      </c>
      <c r="E393" s="7">
        <f t="shared" si="27"/>
        <v>0.20212500000000003</v>
      </c>
      <c r="F393" s="7">
        <f t="shared" si="28"/>
        <v>4.042500000000001E-3</v>
      </c>
      <c r="G393" s="7">
        <f t="shared" si="29"/>
        <v>0.19808250000000002</v>
      </c>
    </row>
    <row r="394" spans="1:7" ht="36" x14ac:dyDescent="0.35">
      <c r="A394" s="5" t="s">
        <v>1536</v>
      </c>
      <c r="B394" s="5" t="s">
        <v>157</v>
      </c>
      <c r="C394" s="6">
        <v>0.25</v>
      </c>
      <c r="D394" s="7">
        <f t="shared" si="26"/>
        <v>0.24687500000000001</v>
      </c>
      <c r="E394" s="7">
        <f t="shared" si="27"/>
        <v>0.22187500000000002</v>
      </c>
      <c r="F394" s="7">
        <f t="shared" si="28"/>
        <v>4.4375000000000005E-3</v>
      </c>
      <c r="G394" s="7">
        <f t="shared" si="29"/>
        <v>0.21743750000000001</v>
      </c>
    </row>
    <row r="395" spans="1:7" ht="36" x14ac:dyDescent="0.35">
      <c r="A395" s="5" t="s">
        <v>1537</v>
      </c>
      <c r="B395" s="5" t="s">
        <v>157</v>
      </c>
      <c r="C395" s="6">
        <v>0.27</v>
      </c>
      <c r="D395" s="7">
        <f t="shared" si="26"/>
        <v>0.266625</v>
      </c>
      <c r="E395" s="7">
        <f t="shared" si="27"/>
        <v>0.24162500000000001</v>
      </c>
      <c r="F395" s="7">
        <f t="shared" si="28"/>
        <v>4.8325E-3</v>
      </c>
      <c r="G395" s="7">
        <f t="shared" si="29"/>
        <v>0.23679250000000002</v>
      </c>
    </row>
    <row r="396" spans="1:7" ht="36" x14ac:dyDescent="0.35">
      <c r="A396" s="5" t="s">
        <v>1538</v>
      </c>
      <c r="B396" s="5" t="s">
        <v>157</v>
      </c>
      <c r="C396" s="6">
        <v>0.28000000000000003</v>
      </c>
      <c r="D396" s="7">
        <f t="shared" si="26"/>
        <v>0.27650000000000002</v>
      </c>
      <c r="E396" s="7">
        <f t="shared" si="27"/>
        <v>0.2515</v>
      </c>
      <c r="F396" s="7">
        <f t="shared" si="28"/>
        <v>5.0299999999999997E-3</v>
      </c>
      <c r="G396" s="7">
        <f t="shared" si="29"/>
        <v>0.24646999999999999</v>
      </c>
    </row>
    <row r="397" spans="1:7" ht="36" x14ac:dyDescent="0.35">
      <c r="A397" s="5" t="s">
        <v>1539</v>
      </c>
      <c r="B397" s="5" t="s">
        <v>157</v>
      </c>
      <c r="C397" s="6">
        <v>0.11</v>
      </c>
      <c r="D397" s="7">
        <f t="shared" si="26"/>
        <v>0.108625</v>
      </c>
      <c r="E397" s="7">
        <f t="shared" si="27"/>
        <v>8.3625000000000005E-2</v>
      </c>
      <c r="F397" s="7">
        <f t="shared" si="28"/>
        <v>1.6725000000000002E-3</v>
      </c>
      <c r="G397" s="7">
        <f t="shared" si="29"/>
        <v>8.1952500000000011E-2</v>
      </c>
    </row>
    <row r="398" spans="1:7" ht="36" x14ac:dyDescent="0.35">
      <c r="A398" s="5" t="s">
        <v>1540</v>
      </c>
      <c r="B398" s="5" t="s">
        <v>157</v>
      </c>
      <c r="C398" s="6">
        <v>0.13</v>
      </c>
      <c r="D398" s="7">
        <f t="shared" si="26"/>
        <v>0.12837500000000002</v>
      </c>
      <c r="E398" s="7">
        <f t="shared" si="27"/>
        <v>0.10337500000000002</v>
      </c>
      <c r="F398" s="7">
        <f t="shared" si="28"/>
        <v>2.0675000000000003E-3</v>
      </c>
      <c r="G398" s="7">
        <f t="shared" si="29"/>
        <v>0.10130750000000002</v>
      </c>
    </row>
    <row r="399" spans="1:7" x14ac:dyDescent="0.35">
      <c r="A399" s="41" t="s">
        <v>158</v>
      </c>
      <c r="B399" s="5" t="s">
        <v>98</v>
      </c>
      <c r="C399" s="6">
        <v>0.19500000000000001</v>
      </c>
      <c r="D399" s="7">
        <f t="shared" si="26"/>
        <v>0.1925625</v>
      </c>
      <c r="E399" s="7">
        <f t="shared" si="27"/>
        <v>0.1675625</v>
      </c>
      <c r="F399" s="7">
        <f t="shared" si="28"/>
        <v>3.3512500000000001E-3</v>
      </c>
      <c r="G399" s="7">
        <f t="shared" si="29"/>
        <v>0.16421125</v>
      </c>
    </row>
    <row r="400" spans="1:7" x14ac:dyDescent="0.35">
      <c r="A400" s="43"/>
      <c r="B400" s="5" t="s">
        <v>99</v>
      </c>
      <c r="C400" s="6">
        <v>0.3</v>
      </c>
      <c r="D400" s="7">
        <f t="shared" si="26"/>
        <v>0.29625000000000001</v>
      </c>
      <c r="E400" s="7">
        <f t="shared" si="27"/>
        <v>0.27124999999999999</v>
      </c>
      <c r="F400" s="7">
        <f t="shared" si="28"/>
        <v>5.4250000000000001E-3</v>
      </c>
      <c r="G400" s="7">
        <f t="shared" si="29"/>
        <v>0.26582499999999998</v>
      </c>
    </row>
    <row r="401" spans="1:7" x14ac:dyDescent="0.35">
      <c r="A401" s="2" t="s">
        <v>159</v>
      </c>
      <c r="B401" s="2" t="s">
        <v>1</v>
      </c>
      <c r="C401" s="3" t="s">
        <v>2</v>
      </c>
      <c r="D401" s="4" t="s">
        <v>1275</v>
      </c>
      <c r="E401" s="4" t="s">
        <v>1276</v>
      </c>
      <c r="F401" s="4" t="s">
        <v>363</v>
      </c>
      <c r="G401" s="4" t="s">
        <v>364</v>
      </c>
    </row>
    <row r="402" spans="1:7" x14ac:dyDescent="0.35">
      <c r="A402" s="48" t="s">
        <v>160</v>
      </c>
      <c r="B402" s="5" t="s">
        <v>145</v>
      </c>
      <c r="C402" s="6">
        <v>0.19500000000000001</v>
      </c>
      <c r="D402" s="7">
        <f t="shared" si="26"/>
        <v>0.1925625</v>
      </c>
      <c r="E402" s="7">
        <f t="shared" si="27"/>
        <v>0.1675625</v>
      </c>
      <c r="F402" s="7">
        <f t="shared" si="28"/>
        <v>3.3512500000000001E-3</v>
      </c>
      <c r="G402" s="7">
        <f t="shared" si="29"/>
        <v>0.16421125</v>
      </c>
    </row>
    <row r="403" spans="1:7" x14ac:dyDescent="0.35">
      <c r="A403" s="48"/>
      <c r="B403" s="5" t="s">
        <v>146</v>
      </c>
      <c r="C403" s="6">
        <v>0.19500000000000001</v>
      </c>
      <c r="D403" s="7">
        <f t="shared" si="26"/>
        <v>0.1925625</v>
      </c>
      <c r="E403" s="7">
        <f t="shared" si="27"/>
        <v>0.1675625</v>
      </c>
      <c r="F403" s="7">
        <f t="shared" si="28"/>
        <v>3.3512500000000001E-3</v>
      </c>
      <c r="G403" s="7">
        <f t="shared" si="29"/>
        <v>0.16421125</v>
      </c>
    </row>
    <row r="404" spans="1:7" x14ac:dyDescent="0.35">
      <c r="A404" s="48"/>
      <c r="B404" s="5" t="s">
        <v>147</v>
      </c>
      <c r="C404" s="6">
        <v>0.19500000000000001</v>
      </c>
      <c r="D404" s="7">
        <f t="shared" si="26"/>
        <v>0.1925625</v>
      </c>
      <c r="E404" s="7">
        <f t="shared" si="27"/>
        <v>0.1675625</v>
      </c>
      <c r="F404" s="7">
        <f t="shared" si="28"/>
        <v>3.3512500000000001E-3</v>
      </c>
      <c r="G404" s="7">
        <f t="shared" si="29"/>
        <v>0.16421125</v>
      </c>
    </row>
    <row r="405" spans="1:7" x14ac:dyDescent="0.35">
      <c r="A405" s="48"/>
      <c r="B405" s="5" t="s">
        <v>120</v>
      </c>
      <c r="C405" s="6">
        <v>0.19500000000000001</v>
      </c>
      <c r="D405" s="7">
        <f t="shared" si="26"/>
        <v>0.1925625</v>
      </c>
      <c r="E405" s="7">
        <f t="shared" si="27"/>
        <v>0.1675625</v>
      </c>
      <c r="F405" s="7">
        <f t="shared" si="28"/>
        <v>3.3512500000000001E-3</v>
      </c>
      <c r="G405" s="7">
        <f t="shared" si="29"/>
        <v>0.16421125</v>
      </c>
    </row>
    <row r="406" spans="1:7" x14ac:dyDescent="0.35">
      <c r="A406" s="48"/>
      <c r="B406" s="5" t="s">
        <v>148</v>
      </c>
      <c r="C406" s="6">
        <v>0.19500000000000001</v>
      </c>
      <c r="D406" s="7">
        <f t="shared" si="26"/>
        <v>0.1925625</v>
      </c>
      <c r="E406" s="7">
        <f t="shared" si="27"/>
        <v>0.1675625</v>
      </c>
      <c r="F406" s="7">
        <f t="shared" si="28"/>
        <v>3.3512500000000001E-3</v>
      </c>
      <c r="G406" s="7">
        <f t="shared" si="29"/>
        <v>0.16421125</v>
      </c>
    </row>
    <row r="407" spans="1:7" x14ac:dyDescent="0.35">
      <c r="A407" s="48"/>
      <c r="B407" s="5" t="s">
        <v>149</v>
      </c>
      <c r="C407" s="6">
        <v>0.19500000000000001</v>
      </c>
      <c r="D407" s="7">
        <f t="shared" si="26"/>
        <v>0.1925625</v>
      </c>
      <c r="E407" s="7">
        <f t="shared" si="27"/>
        <v>0.1675625</v>
      </c>
      <c r="F407" s="7">
        <f t="shared" si="28"/>
        <v>3.3512500000000001E-3</v>
      </c>
      <c r="G407" s="7">
        <f t="shared" si="29"/>
        <v>0.16421125</v>
      </c>
    </row>
    <row r="408" spans="1:7" x14ac:dyDescent="0.35">
      <c r="A408" s="48"/>
      <c r="B408" s="5" t="s">
        <v>150</v>
      </c>
      <c r="C408" s="6">
        <v>0.19500000000000001</v>
      </c>
      <c r="D408" s="7">
        <f t="shared" si="26"/>
        <v>0.1925625</v>
      </c>
      <c r="E408" s="7">
        <f t="shared" si="27"/>
        <v>0.1675625</v>
      </c>
      <c r="F408" s="7">
        <f t="shared" si="28"/>
        <v>3.3512500000000001E-3</v>
      </c>
      <c r="G408" s="7">
        <f t="shared" si="29"/>
        <v>0.16421125</v>
      </c>
    </row>
    <row r="409" spans="1:7" x14ac:dyDescent="0.35">
      <c r="A409" s="48"/>
      <c r="B409" s="5" t="s">
        <v>151</v>
      </c>
      <c r="C409" s="6">
        <v>0.19500000000000001</v>
      </c>
      <c r="D409" s="7">
        <f t="shared" si="26"/>
        <v>0.1925625</v>
      </c>
      <c r="E409" s="7">
        <f t="shared" si="27"/>
        <v>0.1675625</v>
      </c>
      <c r="F409" s="7">
        <f t="shared" si="28"/>
        <v>3.3512500000000001E-3</v>
      </c>
      <c r="G409" s="7">
        <f t="shared" si="29"/>
        <v>0.16421125</v>
      </c>
    </row>
    <row r="410" spans="1:7" x14ac:dyDescent="0.35">
      <c r="A410" s="48"/>
      <c r="B410" s="5" t="s">
        <v>152</v>
      </c>
      <c r="C410" s="6">
        <v>0.19500000000000001</v>
      </c>
      <c r="D410" s="7">
        <f t="shared" si="26"/>
        <v>0.1925625</v>
      </c>
      <c r="E410" s="7">
        <f t="shared" si="27"/>
        <v>0.1675625</v>
      </c>
      <c r="F410" s="7">
        <f t="shared" si="28"/>
        <v>3.3512500000000001E-3</v>
      </c>
      <c r="G410" s="7">
        <f t="shared" si="29"/>
        <v>0.16421125</v>
      </c>
    </row>
    <row r="411" spans="1:7" x14ac:dyDescent="0.35">
      <c r="A411" s="48"/>
      <c r="B411" s="5" t="s">
        <v>121</v>
      </c>
      <c r="C411" s="6">
        <v>0.19500000000000001</v>
      </c>
      <c r="D411" s="7">
        <f t="shared" si="26"/>
        <v>0.1925625</v>
      </c>
      <c r="E411" s="7">
        <f t="shared" si="27"/>
        <v>0.1675625</v>
      </c>
      <c r="F411" s="7">
        <f t="shared" si="28"/>
        <v>3.3512500000000001E-3</v>
      </c>
      <c r="G411" s="7">
        <f t="shared" si="29"/>
        <v>0.16421125</v>
      </c>
    </row>
    <row r="412" spans="1:7" x14ac:dyDescent="0.35">
      <c r="A412" s="48"/>
      <c r="B412" s="5" t="s">
        <v>122</v>
      </c>
      <c r="C412" s="6">
        <v>0.19500000000000001</v>
      </c>
      <c r="D412" s="7">
        <f t="shared" si="26"/>
        <v>0.1925625</v>
      </c>
      <c r="E412" s="7">
        <f t="shared" si="27"/>
        <v>0.1675625</v>
      </c>
      <c r="F412" s="7">
        <f t="shared" si="28"/>
        <v>3.3512500000000001E-3</v>
      </c>
      <c r="G412" s="7">
        <f t="shared" si="29"/>
        <v>0.16421125</v>
      </c>
    </row>
    <row r="413" spans="1:7" x14ac:dyDescent="0.35">
      <c r="A413" s="48"/>
      <c r="B413" s="5" t="s">
        <v>123</v>
      </c>
      <c r="C413" s="6">
        <v>0.19500000000000001</v>
      </c>
      <c r="D413" s="7">
        <f t="shared" si="26"/>
        <v>0.1925625</v>
      </c>
      <c r="E413" s="7">
        <f t="shared" si="27"/>
        <v>0.1675625</v>
      </c>
      <c r="F413" s="7">
        <f t="shared" si="28"/>
        <v>3.3512500000000001E-3</v>
      </c>
      <c r="G413" s="7">
        <f t="shared" si="29"/>
        <v>0.16421125</v>
      </c>
    </row>
    <row r="414" spans="1:7" x14ac:dyDescent="0.35">
      <c r="A414" s="48"/>
      <c r="B414" s="5" t="s">
        <v>124</v>
      </c>
      <c r="C414" s="6">
        <v>0.19500000000000001</v>
      </c>
      <c r="D414" s="7">
        <f t="shared" si="26"/>
        <v>0.1925625</v>
      </c>
      <c r="E414" s="7">
        <f t="shared" si="27"/>
        <v>0.1675625</v>
      </c>
      <c r="F414" s="7">
        <f t="shared" si="28"/>
        <v>3.3512500000000001E-3</v>
      </c>
      <c r="G414" s="7">
        <f t="shared" si="29"/>
        <v>0.16421125</v>
      </c>
    </row>
    <row r="415" spans="1:7" x14ac:dyDescent="0.35">
      <c r="A415" s="48"/>
      <c r="B415" s="5" t="s">
        <v>125</v>
      </c>
      <c r="C415" s="6">
        <v>0.19500000000000001</v>
      </c>
      <c r="D415" s="7">
        <f t="shared" si="26"/>
        <v>0.1925625</v>
      </c>
      <c r="E415" s="7">
        <f t="shared" si="27"/>
        <v>0.1675625</v>
      </c>
      <c r="F415" s="7">
        <f t="shared" si="28"/>
        <v>3.3512500000000001E-3</v>
      </c>
      <c r="G415" s="7">
        <f t="shared" si="29"/>
        <v>0.16421125</v>
      </c>
    </row>
    <row r="416" spans="1:7" x14ac:dyDescent="0.35">
      <c r="A416" s="48" t="s">
        <v>161</v>
      </c>
      <c r="B416" s="5" t="s">
        <v>145</v>
      </c>
      <c r="C416" s="6">
        <v>0.19500000000000001</v>
      </c>
      <c r="D416" s="7">
        <f t="shared" si="26"/>
        <v>0.1925625</v>
      </c>
      <c r="E416" s="7">
        <f t="shared" si="27"/>
        <v>0.1675625</v>
      </c>
      <c r="F416" s="7">
        <f t="shared" si="28"/>
        <v>3.3512500000000001E-3</v>
      </c>
      <c r="G416" s="7">
        <f t="shared" si="29"/>
        <v>0.16421125</v>
      </c>
    </row>
    <row r="417" spans="1:7" x14ac:dyDescent="0.35">
      <c r="A417" s="48"/>
      <c r="B417" s="5" t="s">
        <v>146</v>
      </c>
      <c r="C417" s="6">
        <v>0.19500000000000001</v>
      </c>
      <c r="D417" s="7">
        <f t="shared" si="26"/>
        <v>0.1925625</v>
      </c>
      <c r="E417" s="7">
        <f t="shared" si="27"/>
        <v>0.1675625</v>
      </c>
      <c r="F417" s="7">
        <f t="shared" si="28"/>
        <v>3.3512500000000001E-3</v>
      </c>
      <c r="G417" s="7">
        <f t="shared" si="29"/>
        <v>0.16421125</v>
      </c>
    </row>
    <row r="418" spans="1:7" x14ac:dyDescent="0.35">
      <c r="A418" s="48"/>
      <c r="B418" s="5" t="s">
        <v>147</v>
      </c>
      <c r="C418" s="6">
        <v>0.19500000000000001</v>
      </c>
      <c r="D418" s="7">
        <f t="shared" si="26"/>
        <v>0.1925625</v>
      </c>
      <c r="E418" s="7">
        <f t="shared" si="27"/>
        <v>0.1675625</v>
      </c>
      <c r="F418" s="7">
        <f t="shared" si="28"/>
        <v>3.3512500000000001E-3</v>
      </c>
      <c r="G418" s="7">
        <f t="shared" si="29"/>
        <v>0.16421125</v>
      </c>
    </row>
    <row r="419" spans="1:7" x14ac:dyDescent="0.35">
      <c r="A419" s="48"/>
      <c r="B419" s="5" t="s">
        <v>120</v>
      </c>
      <c r="C419" s="6">
        <v>0.19500000000000001</v>
      </c>
      <c r="D419" s="7">
        <f t="shared" si="26"/>
        <v>0.1925625</v>
      </c>
      <c r="E419" s="7">
        <f t="shared" si="27"/>
        <v>0.1675625</v>
      </c>
      <c r="F419" s="7">
        <f t="shared" si="28"/>
        <v>3.3512500000000001E-3</v>
      </c>
      <c r="G419" s="7">
        <f t="shared" si="29"/>
        <v>0.16421125</v>
      </c>
    </row>
    <row r="420" spans="1:7" x14ac:dyDescent="0.35">
      <c r="A420" s="48"/>
      <c r="B420" s="5" t="s">
        <v>148</v>
      </c>
      <c r="C420" s="6">
        <v>0.19500000000000001</v>
      </c>
      <c r="D420" s="7">
        <f t="shared" si="26"/>
        <v>0.1925625</v>
      </c>
      <c r="E420" s="7">
        <f t="shared" si="27"/>
        <v>0.1675625</v>
      </c>
      <c r="F420" s="7">
        <f t="shared" si="28"/>
        <v>3.3512500000000001E-3</v>
      </c>
      <c r="G420" s="7">
        <f t="shared" si="29"/>
        <v>0.16421125</v>
      </c>
    </row>
    <row r="421" spans="1:7" x14ac:dyDescent="0.35">
      <c r="A421" s="48"/>
      <c r="B421" s="5" t="s">
        <v>149</v>
      </c>
      <c r="C421" s="6">
        <v>0.19500000000000001</v>
      </c>
      <c r="D421" s="7">
        <f t="shared" si="26"/>
        <v>0.1925625</v>
      </c>
      <c r="E421" s="7">
        <f t="shared" si="27"/>
        <v>0.1675625</v>
      </c>
      <c r="F421" s="7">
        <f t="shared" si="28"/>
        <v>3.3512500000000001E-3</v>
      </c>
      <c r="G421" s="7">
        <f t="shared" si="29"/>
        <v>0.16421125</v>
      </c>
    </row>
    <row r="422" spans="1:7" x14ac:dyDescent="0.35">
      <c r="A422" s="48"/>
      <c r="B422" s="5" t="s">
        <v>150</v>
      </c>
      <c r="C422" s="6">
        <v>0.19500000000000001</v>
      </c>
      <c r="D422" s="7">
        <f t="shared" si="26"/>
        <v>0.1925625</v>
      </c>
      <c r="E422" s="7">
        <f t="shared" si="27"/>
        <v>0.1675625</v>
      </c>
      <c r="F422" s="7">
        <f t="shared" si="28"/>
        <v>3.3512500000000001E-3</v>
      </c>
      <c r="G422" s="7">
        <f t="shared" si="29"/>
        <v>0.16421125</v>
      </c>
    </row>
    <row r="423" spans="1:7" x14ac:dyDescent="0.35">
      <c r="A423" s="48"/>
      <c r="B423" s="5" t="s">
        <v>151</v>
      </c>
      <c r="C423" s="6">
        <v>0.19500000000000001</v>
      </c>
      <c r="D423" s="7">
        <f t="shared" si="26"/>
        <v>0.1925625</v>
      </c>
      <c r="E423" s="7">
        <f t="shared" si="27"/>
        <v>0.1675625</v>
      </c>
      <c r="F423" s="7">
        <f t="shared" si="28"/>
        <v>3.3512500000000001E-3</v>
      </c>
      <c r="G423" s="7">
        <f t="shared" si="29"/>
        <v>0.16421125</v>
      </c>
    </row>
    <row r="424" spans="1:7" x14ac:dyDescent="0.35">
      <c r="A424" s="48"/>
      <c r="B424" s="5" t="s">
        <v>152</v>
      </c>
      <c r="C424" s="6">
        <v>0.19500000000000001</v>
      </c>
      <c r="D424" s="7">
        <f t="shared" si="26"/>
        <v>0.1925625</v>
      </c>
      <c r="E424" s="7">
        <f t="shared" si="27"/>
        <v>0.1675625</v>
      </c>
      <c r="F424" s="7">
        <f t="shared" si="28"/>
        <v>3.3512500000000001E-3</v>
      </c>
      <c r="G424" s="7">
        <f t="shared" si="29"/>
        <v>0.16421125</v>
      </c>
    </row>
    <row r="425" spans="1:7" x14ac:dyDescent="0.35">
      <c r="A425" s="48"/>
      <c r="B425" s="5" t="s">
        <v>121</v>
      </c>
      <c r="C425" s="6">
        <v>0.19500000000000001</v>
      </c>
      <c r="D425" s="7">
        <f t="shared" si="26"/>
        <v>0.1925625</v>
      </c>
      <c r="E425" s="7">
        <f t="shared" si="27"/>
        <v>0.1675625</v>
      </c>
      <c r="F425" s="7">
        <f t="shared" si="28"/>
        <v>3.3512500000000001E-3</v>
      </c>
      <c r="G425" s="7">
        <f t="shared" si="29"/>
        <v>0.16421125</v>
      </c>
    </row>
    <row r="426" spans="1:7" x14ac:dyDescent="0.35">
      <c r="A426" s="48"/>
      <c r="B426" s="5" t="s">
        <v>122</v>
      </c>
      <c r="C426" s="6">
        <v>0.19500000000000001</v>
      </c>
      <c r="D426" s="7">
        <f t="shared" si="26"/>
        <v>0.1925625</v>
      </c>
      <c r="E426" s="7">
        <f t="shared" si="27"/>
        <v>0.1675625</v>
      </c>
      <c r="F426" s="7">
        <f t="shared" si="28"/>
        <v>3.3512500000000001E-3</v>
      </c>
      <c r="G426" s="7">
        <f t="shared" si="29"/>
        <v>0.16421125</v>
      </c>
    </row>
    <row r="427" spans="1:7" x14ac:dyDescent="0.35">
      <c r="A427" s="48"/>
      <c r="B427" s="5" t="s">
        <v>123</v>
      </c>
      <c r="C427" s="6">
        <v>0.19500000000000001</v>
      </c>
      <c r="D427" s="7">
        <f t="shared" si="26"/>
        <v>0.1925625</v>
      </c>
      <c r="E427" s="7">
        <f t="shared" si="27"/>
        <v>0.1675625</v>
      </c>
      <c r="F427" s="7">
        <f t="shared" si="28"/>
        <v>3.3512500000000001E-3</v>
      </c>
      <c r="G427" s="7">
        <f t="shared" si="29"/>
        <v>0.16421125</v>
      </c>
    </row>
    <row r="428" spans="1:7" x14ac:dyDescent="0.35">
      <c r="A428" s="48"/>
      <c r="B428" s="5" t="s">
        <v>124</v>
      </c>
      <c r="C428" s="6">
        <v>0.19500000000000001</v>
      </c>
      <c r="D428" s="7">
        <f t="shared" si="26"/>
        <v>0.1925625</v>
      </c>
      <c r="E428" s="7">
        <f t="shared" si="27"/>
        <v>0.1675625</v>
      </c>
      <c r="F428" s="7">
        <f t="shared" si="28"/>
        <v>3.3512500000000001E-3</v>
      </c>
      <c r="G428" s="7">
        <f t="shared" si="29"/>
        <v>0.16421125</v>
      </c>
    </row>
    <row r="429" spans="1:7" x14ac:dyDescent="0.35">
      <c r="A429" s="48"/>
      <c r="B429" s="5" t="s">
        <v>125</v>
      </c>
      <c r="C429" s="6">
        <v>0.19500000000000001</v>
      </c>
      <c r="D429" s="7">
        <f t="shared" si="26"/>
        <v>0.1925625</v>
      </c>
      <c r="E429" s="7">
        <f t="shared" si="27"/>
        <v>0.1675625</v>
      </c>
      <c r="F429" s="7">
        <f t="shared" si="28"/>
        <v>3.3512500000000001E-3</v>
      </c>
      <c r="G429" s="7">
        <f t="shared" si="29"/>
        <v>0.16421125</v>
      </c>
    </row>
    <row r="430" spans="1:7" x14ac:dyDescent="0.35">
      <c r="A430" s="48" t="s">
        <v>162</v>
      </c>
      <c r="B430" s="5" t="s">
        <v>14</v>
      </c>
      <c r="C430" s="6">
        <v>0.25</v>
      </c>
      <c r="D430" s="7">
        <f t="shared" si="26"/>
        <v>0.24687500000000001</v>
      </c>
      <c r="E430" s="7">
        <f t="shared" si="27"/>
        <v>0.22187500000000002</v>
      </c>
      <c r="F430" s="7">
        <f t="shared" si="28"/>
        <v>4.4375000000000005E-3</v>
      </c>
      <c r="G430" s="7">
        <f t="shared" si="29"/>
        <v>0.21743750000000001</v>
      </c>
    </row>
    <row r="431" spans="1:7" x14ac:dyDescent="0.35">
      <c r="A431" s="48"/>
      <c r="B431" s="5" t="s">
        <v>13</v>
      </c>
      <c r="C431" s="6">
        <v>0.25</v>
      </c>
      <c r="D431" s="7">
        <f t="shared" si="26"/>
        <v>0.24687500000000001</v>
      </c>
      <c r="E431" s="7">
        <f t="shared" si="27"/>
        <v>0.22187500000000002</v>
      </c>
      <c r="F431" s="7">
        <f t="shared" si="28"/>
        <v>4.4375000000000005E-3</v>
      </c>
      <c r="G431" s="7">
        <f t="shared" si="29"/>
        <v>0.21743750000000001</v>
      </c>
    </row>
    <row r="432" spans="1:7" x14ac:dyDescent="0.35">
      <c r="A432" s="48"/>
      <c r="B432" s="5" t="s">
        <v>17</v>
      </c>
      <c r="C432" s="6">
        <v>0.25</v>
      </c>
      <c r="D432" s="7">
        <f t="shared" si="26"/>
        <v>0.24687500000000001</v>
      </c>
      <c r="E432" s="7">
        <f t="shared" si="27"/>
        <v>0.22187500000000002</v>
      </c>
      <c r="F432" s="7">
        <f t="shared" si="28"/>
        <v>4.4375000000000005E-3</v>
      </c>
      <c r="G432" s="7">
        <f t="shared" si="29"/>
        <v>0.21743750000000001</v>
      </c>
    </row>
    <row r="433" spans="1:7" x14ac:dyDescent="0.35">
      <c r="A433" s="48"/>
      <c r="B433" s="5" t="s">
        <v>163</v>
      </c>
      <c r="C433" s="6">
        <v>0.25</v>
      </c>
      <c r="D433" s="7">
        <f t="shared" si="26"/>
        <v>0.24687500000000001</v>
      </c>
      <c r="E433" s="7">
        <f t="shared" si="27"/>
        <v>0.22187500000000002</v>
      </c>
      <c r="F433" s="7">
        <f t="shared" si="28"/>
        <v>4.4375000000000005E-3</v>
      </c>
      <c r="G433" s="7">
        <f t="shared" si="29"/>
        <v>0.21743750000000001</v>
      </c>
    </row>
    <row r="434" spans="1:7" x14ac:dyDescent="0.35">
      <c r="A434" s="48"/>
      <c r="B434" s="5" t="s">
        <v>18</v>
      </c>
      <c r="C434" s="6">
        <v>0.25</v>
      </c>
      <c r="D434" s="7">
        <f t="shared" si="26"/>
        <v>0.24687500000000001</v>
      </c>
      <c r="E434" s="7">
        <f t="shared" si="27"/>
        <v>0.22187500000000002</v>
      </c>
      <c r="F434" s="7">
        <f t="shared" si="28"/>
        <v>4.4375000000000005E-3</v>
      </c>
      <c r="G434" s="7">
        <f t="shared" si="29"/>
        <v>0.21743750000000001</v>
      </c>
    </row>
    <row r="435" spans="1:7" x14ac:dyDescent="0.35">
      <c r="A435" s="48"/>
      <c r="B435" s="5" t="s">
        <v>22</v>
      </c>
      <c r="C435" s="6">
        <v>0.25</v>
      </c>
      <c r="D435" s="7">
        <f t="shared" si="26"/>
        <v>0.24687500000000001</v>
      </c>
      <c r="E435" s="7">
        <f t="shared" si="27"/>
        <v>0.22187500000000002</v>
      </c>
      <c r="F435" s="7">
        <f t="shared" si="28"/>
        <v>4.4375000000000005E-3</v>
      </c>
      <c r="G435" s="7">
        <f t="shared" si="29"/>
        <v>0.21743750000000001</v>
      </c>
    </row>
    <row r="436" spans="1:7" x14ac:dyDescent="0.35">
      <c r="A436" s="48"/>
      <c r="B436" s="5" t="s">
        <v>23</v>
      </c>
      <c r="C436" s="6">
        <v>0.25</v>
      </c>
      <c r="D436" s="7">
        <f t="shared" si="26"/>
        <v>0.24687500000000001</v>
      </c>
      <c r="E436" s="7">
        <f t="shared" si="27"/>
        <v>0.22187500000000002</v>
      </c>
      <c r="F436" s="7">
        <f t="shared" si="28"/>
        <v>4.4375000000000005E-3</v>
      </c>
      <c r="G436" s="7">
        <f t="shared" si="29"/>
        <v>0.21743750000000001</v>
      </c>
    </row>
    <row r="437" spans="1:7" x14ac:dyDescent="0.35">
      <c r="A437" s="48"/>
      <c r="B437" s="5" t="s">
        <v>26</v>
      </c>
      <c r="C437" s="6">
        <v>0.25</v>
      </c>
      <c r="D437" s="7">
        <f t="shared" si="26"/>
        <v>0.24687500000000001</v>
      </c>
      <c r="E437" s="7">
        <f t="shared" si="27"/>
        <v>0.22187500000000002</v>
      </c>
      <c r="F437" s="7">
        <f t="shared" si="28"/>
        <v>4.4375000000000005E-3</v>
      </c>
      <c r="G437" s="7">
        <f t="shared" si="29"/>
        <v>0.21743750000000001</v>
      </c>
    </row>
    <row r="438" spans="1:7" x14ac:dyDescent="0.35">
      <c r="A438" s="48"/>
      <c r="B438" s="5" t="s">
        <v>15</v>
      </c>
      <c r="C438" s="6">
        <v>0.25</v>
      </c>
      <c r="D438" s="7">
        <f t="shared" si="26"/>
        <v>0.24687500000000001</v>
      </c>
      <c r="E438" s="7">
        <f t="shared" si="27"/>
        <v>0.22187500000000002</v>
      </c>
      <c r="F438" s="7">
        <f t="shared" si="28"/>
        <v>4.4375000000000005E-3</v>
      </c>
      <c r="G438" s="7">
        <f t="shared" si="29"/>
        <v>0.21743750000000001</v>
      </c>
    </row>
    <row r="439" spans="1:7" x14ac:dyDescent="0.35">
      <c r="A439" s="48"/>
      <c r="B439" s="5" t="s">
        <v>164</v>
      </c>
      <c r="C439" s="6">
        <v>0.25</v>
      </c>
      <c r="D439" s="7">
        <f t="shared" si="26"/>
        <v>0.24687500000000001</v>
      </c>
      <c r="E439" s="7">
        <f t="shared" si="27"/>
        <v>0.22187500000000002</v>
      </c>
      <c r="F439" s="7">
        <f t="shared" si="28"/>
        <v>4.4375000000000005E-3</v>
      </c>
      <c r="G439" s="7">
        <f t="shared" si="29"/>
        <v>0.21743750000000001</v>
      </c>
    </row>
    <row r="440" spans="1:7" x14ac:dyDescent="0.35">
      <c r="A440" s="48"/>
      <c r="B440" s="5" t="s">
        <v>165</v>
      </c>
      <c r="C440" s="6">
        <v>0.25</v>
      </c>
      <c r="D440" s="7">
        <f t="shared" si="26"/>
        <v>0.24687500000000001</v>
      </c>
      <c r="E440" s="7">
        <f t="shared" si="27"/>
        <v>0.22187500000000002</v>
      </c>
      <c r="F440" s="7">
        <f t="shared" si="28"/>
        <v>4.4375000000000005E-3</v>
      </c>
      <c r="G440" s="7">
        <f t="shared" si="29"/>
        <v>0.21743750000000001</v>
      </c>
    </row>
    <row r="441" spans="1:7" x14ac:dyDescent="0.35">
      <c r="A441" s="48"/>
      <c r="B441" s="5" t="s">
        <v>166</v>
      </c>
      <c r="C441" s="6">
        <v>0.25</v>
      </c>
      <c r="D441" s="7">
        <f t="shared" si="26"/>
        <v>0.24687500000000001</v>
      </c>
      <c r="E441" s="7">
        <f t="shared" si="27"/>
        <v>0.22187500000000002</v>
      </c>
      <c r="F441" s="7">
        <f t="shared" si="28"/>
        <v>4.4375000000000005E-3</v>
      </c>
      <c r="G441" s="7">
        <f t="shared" si="29"/>
        <v>0.21743750000000001</v>
      </c>
    </row>
    <row r="442" spans="1:7" x14ac:dyDescent="0.35">
      <c r="A442" s="48"/>
      <c r="B442" s="5" t="s">
        <v>167</v>
      </c>
      <c r="C442" s="6">
        <v>0.25</v>
      </c>
      <c r="D442" s="7">
        <f t="shared" si="26"/>
        <v>0.24687500000000001</v>
      </c>
      <c r="E442" s="7">
        <f t="shared" si="27"/>
        <v>0.22187500000000002</v>
      </c>
      <c r="F442" s="7">
        <f t="shared" si="28"/>
        <v>4.4375000000000005E-3</v>
      </c>
      <c r="G442" s="7">
        <f t="shared" si="29"/>
        <v>0.21743750000000001</v>
      </c>
    </row>
    <row r="443" spans="1:7" x14ac:dyDescent="0.35">
      <c r="A443" s="48"/>
      <c r="B443" s="5" t="s">
        <v>125</v>
      </c>
      <c r="C443" s="6">
        <v>0.19500000000000001</v>
      </c>
      <c r="D443" s="7">
        <f t="shared" si="26"/>
        <v>0.1925625</v>
      </c>
      <c r="E443" s="7">
        <f t="shared" si="27"/>
        <v>0.1675625</v>
      </c>
      <c r="F443" s="7">
        <f t="shared" si="28"/>
        <v>3.3512500000000001E-3</v>
      </c>
      <c r="G443" s="7">
        <f t="shared" si="29"/>
        <v>0.16421125</v>
      </c>
    </row>
    <row r="444" spans="1:7" x14ac:dyDescent="0.35">
      <c r="A444" s="48" t="s">
        <v>168</v>
      </c>
      <c r="B444" s="5" t="s">
        <v>14</v>
      </c>
      <c r="C444" s="6">
        <v>0.2</v>
      </c>
      <c r="D444" s="7">
        <f t="shared" si="26"/>
        <v>0.19750000000000001</v>
      </c>
      <c r="E444" s="7">
        <f t="shared" si="27"/>
        <v>0.17250000000000001</v>
      </c>
      <c r="F444" s="7">
        <f t="shared" si="28"/>
        <v>3.4500000000000004E-3</v>
      </c>
      <c r="G444" s="7">
        <f t="shared" si="29"/>
        <v>0.16905000000000001</v>
      </c>
    </row>
    <row r="445" spans="1:7" x14ac:dyDescent="0.35">
      <c r="A445" s="48"/>
      <c r="B445" s="5" t="s">
        <v>13</v>
      </c>
      <c r="C445" s="6">
        <v>0.2</v>
      </c>
      <c r="D445" s="7">
        <f t="shared" si="26"/>
        <v>0.19750000000000001</v>
      </c>
      <c r="E445" s="7">
        <f t="shared" si="27"/>
        <v>0.17250000000000001</v>
      </c>
      <c r="F445" s="7">
        <f t="shared" si="28"/>
        <v>3.4500000000000004E-3</v>
      </c>
      <c r="G445" s="7">
        <f t="shared" si="29"/>
        <v>0.16905000000000001</v>
      </c>
    </row>
    <row r="446" spans="1:7" x14ac:dyDescent="0.35">
      <c r="A446" s="48"/>
      <c r="B446" s="5" t="s">
        <v>17</v>
      </c>
      <c r="C446" s="6">
        <v>0.2</v>
      </c>
      <c r="D446" s="7">
        <f t="shared" si="26"/>
        <v>0.19750000000000001</v>
      </c>
      <c r="E446" s="7">
        <f t="shared" si="27"/>
        <v>0.17250000000000001</v>
      </c>
      <c r="F446" s="7">
        <f t="shared" si="28"/>
        <v>3.4500000000000004E-3</v>
      </c>
      <c r="G446" s="7">
        <f t="shared" si="29"/>
        <v>0.16905000000000001</v>
      </c>
    </row>
    <row r="447" spans="1:7" x14ac:dyDescent="0.35">
      <c r="A447" s="48"/>
      <c r="B447" s="5" t="s">
        <v>163</v>
      </c>
      <c r="C447" s="6">
        <v>0.2</v>
      </c>
      <c r="D447" s="7">
        <f t="shared" si="26"/>
        <v>0.19750000000000001</v>
      </c>
      <c r="E447" s="7">
        <f t="shared" si="27"/>
        <v>0.17250000000000001</v>
      </c>
      <c r="F447" s="7">
        <f t="shared" si="28"/>
        <v>3.4500000000000004E-3</v>
      </c>
      <c r="G447" s="7">
        <f t="shared" si="29"/>
        <v>0.16905000000000001</v>
      </c>
    </row>
    <row r="448" spans="1:7" x14ac:dyDescent="0.35">
      <c r="A448" s="48"/>
      <c r="B448" s="5" t="s">
        <v>18</v>
      </c>
      <c r="C448" s="6">
        <v>0.2</v>
      </c>
      <c r="D448" s="7">
        <f t="shared" si="26"/>
        <v>0.19750000000000001</v>
      </c>
      <c r="E448" s="7">
        <f t="shared" si="27"/>
        <v>0.17250000000000001</v>
      </c>
      <c r="F448" s="7">
        <f t="shared" si="28"/>
        <v>3.4500000000000004E-3</v>
      </c>
      <c r="G448" s="7">
        <f t="shared" si="29"/>
        <v>0.16905000000000001</v>
      </c>
    </row>
    <row r="449" spans="1:7" x14ac:dyDescent="0.35">
      <c r="A449" s="48"/>
      <c r="B449" s="5" t="s">
        <v>22</v>
      </c>
      <c r="C449" s="6">
        <v>0.2</v>
      </c>
      <c r="D449" s="7">
        <f t="shared" si="26"/>
        <v>0.19750000000000001</v>
      </c>
      <c r="E449" s="7">
        <f t="shared" si="27"/>
        <v>0.17250000000000001</v>
      </c>
      <c r="F449" s="7">
        <f t="shared" si="28"/>
        <v>3.4500000000000004E-3</v>
      </c>
      <c r="G449" s="7">
        <f t="shared" si="29"/>
        <v>0.16905000000000001</v>
      </c>
    </row>
    <row r="450" spans="1:7" x14ac:dyDescent="0.35">
      <c r="A450" s="48"/>
      <c r="B450" s="5" t="s">
        <v>23</v>
      </c>
      <c r="C450" s="6">
        <v>0.2</v>
      </c>
      <c r="D450" s="7">
        <f t="shared" si="26"/>
        <v>0.19750000000000001</v>
      </c>
      <c r="E450" s="7">
        <f t="shared" si="27"/>
        <v>0.17250000000000001</v>
      </c>
      <c r="F450" s="7">
        <f t="shared" si="28"/>
        <v>3.4500000000000004E-3</v>
      </c>
      <c r="G450" s="7">
        <f t="shared" si="29"/>
        <v>0.16905000000000001</v>
      </c>
    </row>
    <row r="451" spans="1:7" x14ac:dyDescent="0.35">
      <c r="A451" s="48"/>
      <c r="B451" s="5" t="s">
        <v>26</v>
      </c>
      <c r="C451" s="6">
        <v>0.2</v>
      </c>
      <c r="D451" s="7">
        <f t="shared" si="26"/>
        <v>0.19750000000000001</v>
      </c>
      <c r="E451" s="7">
        <f t="shared" si="27"/>
        <v>0.17250000000000001</v>
      </c>
      <c r="F451" s="7">
        <f t="shared" si="28"/>
        <v>3.4500000000000004E-3</v>
      </c>
      <c r="G451" s="7">
        <f t="shared" si="29"/>
        <v>0.16905000000000001</v>
      </c>
    </row>
    <row r="452" spans="1:7" x14ac:dyDescent="0.35">
      <c r="A452" s="48"/>
      <c r="B452" s="5" t="s">
        <v>15</v>
      </c>
      <c r="C452" s="6">
        <v>0.2</v>
      </c>
      <c r="D452" s="7">
        <f t="shared" si="26"/>
        <v>0.19750000000000001</v>
      </c>
      <c r="E452" s="7">
        <f t="shared" si="27"/>
        <v>0.17250000000000001</v>
      </c>
      <c r="F452" s="7">
        <f t="shared" si="28"/>
        <v>3.4500000000000004E-3</v>
      </c>
      <c r="G452" s="7">
        <f t="shared" si="29"/>
        <v>0.16905000000000001</v>
      </c>
    </row>
    <row r="453" spans="1:7" x14ac:dyDescent="0.35">
      <c r="A453" s="48"/>
      <c r="B453" s="5" t="s">
        <v>164</v>
      </c>
      <c r="C453" s="6">
        <v>0.2</v>
      </c>
      <c r="D453" s="7">
        <f t="shared" si="26"/>
        <v>0.19750000000000001</v>
      </c>
      <c r="E453" s="7">
        <f t="shared" si="27"/>
        <v>0.17250000000000001</v>
      </c>
      <c r="F453" s="7">
        <f t="shared" si="28"/>
        <v>3.4500000000000004E-3</v>
      </c>
      <c r="G453" s="7">
        <f t="shared" si="29"/>
        <v>0.16905000000000001</v>
      </c>
    </row>
    <row r="454" spans="1:7" x14ac:dyDescent="0.35">
      <c r="A454" s="48"/>
      <c r="B454" s="5" t="s">
        <v>165</v>
      </c>
      <c r="C454" s="6">
        <v>0.2</v>
      </c>
      <c r="D454" s="7">
        <f t="shared" si="26"/>
        <v>0.19750000000000001</v>
      </c>
      <c r="E454" s="7">
        <f t="shared" si="27"/>
        <v>0.17250000000000001</v>
      </c>
      <c r="F454" s="7">
        <f t="shared" si="28"/>
        <v>3.4500000000000004E-3</v>
      </c>
      <c r="G454" s="7">
        <f t="shared" si="29"/>
        <v>0.16905000000000001</v>
      </c>
    </row>
    <row r="455" spans="1:7" x14ac:dyDescent="0.35">
      <c r="A455" s="48"/>
      <c r="B455" s="5" t="s">
        <v>166</v>
      </c>
      <c r="C455" s="6">
        <v>0.2</v>
      </c>
      <c r="D455" s="7">
        <f t="shared" ref="D455:D518" si="30">(C455-(C455*1.25%))</f>
        <v>0.19750000000000001</v>
      </c>
      <c r="E455" s="7">
        <f t="shared" ref="E455:E518" si="31">D455-(2.5%)</f>
        <v>0.17250000000000001</v>
      </c>
      <c r="F455" s="7">
        <f t="shared" ref="F455:F518" si="32">E455*(2%)</f>
        <v>3.4500000000000004E-3</v>
      </c>
      <c r="G455" s="7">
        <f t="shared" ref="G455:G518" si="33">E455-F455</f>
        <v>0.16905000000000001</v>
      </c>
    </row>
    <row r="456" spans="1:7" x14ac:dyDescent="0.35">
      <c r="A456" s="48"/>
      <c r="B456" s="5" t="s">
        <v>167</v>
      </c>
      <c r="C456" s="6">
        <v>0.2</v>
      </c>
      <c r="D456" s="7">
        <f t="shared" si="30"/>
        <v>0.19750000000000001</v>
      </c>
      <c r="E456" s="7">
        <f t="shared" si="31"/>
        <v>0.17250000000000001</v>
      </c>
      <c r="F456" s="7">
        <f t="shared" si="32"/>
        <v>3.4500000000000004E-3</v>
      </c>
      <c r="G456" s="7">
        <f t="shared" si="33"/>
        <v>0.16905000000000001</v>
      </c>
    </row>
    <row r="457" spans="1:7" x14ac:dyDescent="0.35">
      <c r="A457" s="48"/>
      <c r="B457" s="5" t="s">
        <v>125</v>
      </c>
      <c r="C457" s="6">
        <v>0.19500000000000001</v>
      </c>
      <c r="D457" s="7">
        <f t="shared" si="30"/>
        <v>0.1925625</v>
      </c>
      <c r="E457" s="7">
        <f t="shared" si="31"/>
        <v>0.1675625</v>
      </c>
      <c r="F457" s="7">
        <f t="shared" si="32"/>
        <v>3.3512500000000001E-3</v>
      </c>
      <c r="G457" s="7">
        <f t="shared" si="33"/>
        <v>0.16421125</v>
      </c>
    </row>
    <row r="458" spans="1:7" x14ac:dyDescent="0.35">
      <c r="A458" s="48" t="s">
        <v>169</v>
      </c>
      <c r="B458" s="5" t="s">
        <v>14</v>
      </c>
      <c r="C458" s="6">
        <v>0.26</v>
      </c>
      <c r="D458" s="7">
        <f t="shared" si="30"/>
        <v>0.25675000000000003</v>
      </c>
      <c r="E458" s="7">
        <f t="shared" si="31"/>
        <v>0.23175000000000004</v>
      </c>
      <c r="F458" s="7">
        <f t="shared" si="32"/>
        <v>4.6350000000000011E-3</v>
      </c>
      <c r="G458" s="7">
        <f t="shared" si="33"/>
        <v>0.22711500000000004</v>
      </c>
    </row>
    <row r="459" spans="1:7" x14ac:dyDescent="0.35">
      <c r="A459" s="48"/>
      <c r="B459" s="5" t="s">
        <v>13</v>
      </c>
      <c r="C459" s="6">
        <v>0.15</v>
      </c>
      <c r="D459" s="7">
        <f t="shared" si="30"/>
        <v>0.14812500000000001</v>
      </c>
      <c r="E459" s="7">
        <f t="shared" si="31"/>
        <v>0.12312500000000001</v>
      </c>
      <c r="F459" s="7">
        <f t="shared" si="32"/>
        <v>2.4625000000000003E-3</v>
      </c>
      <c r="G459" s="7">
        <f t="shared" si="33"/>
        <v>0.12066250000000001</v>
      </c>
    </row>
    <row r="460" spans="1:7" x14ac:dyDescent="0.35">
      <c r="A460" s="48"/>
      <c r="B460" s="5" t="s">
        <v>17</v>
      </c>
      <c r="C460" s="6">
        <v>0.26</v>
      </c>
      <c r="D460" s="7">
        <f t="shared" si="30"/>
        <v>0.25675000000000003</v>
      </c>
      <c r="E460" s="7">
        <f t="shared" si="31"/>
        <v>0.23175000000000004</v>
      </c>
      <c r="F460" s="7">
        <f t="shared" si="32"/>
        <v>4.6350000000000011E-3</v>
      </c>
      <c r="G460" s="7">
        <f t="shared" si="33"/>
        <v>0.22711500000000004</v>
      </c>
    </row>
    <row r="461" spans="1:7" x14ac:dyDescent="0.35">
      <c r="A461" s="48"/>
      <c r="B461" s="5" t="s">
        <v>163</v>
      </c>
      <c r="C461" s="6">
        <v>0.26</v>
      </c>
      <c r="D461" s="7">
        <f t="shared" si="30"/>
        <v>0.25675000000000003</v>
      </c>
      <c r="E461" s="7">
        <f t="shared" si="31"/>
        <v>0.23175000000000004</v>
      </c>
      <c r="F461" s="7">
        <f t="shared" si="32"/>
        <v>4.6350000000000011E-3</v>
      </c>
      <c r="G461" s="7">
        <f t="shared" si="33"/>
        <v>0.22711500000000004</v>
      </c>
    </row>
    <row r="462" spans="1:7" x14ac:dyDescent="0.35">
      <c r="A462" s="48"/>
      <c r="B462" s="5" t="s">
        <v>18</v>
      </c>
      <c r="C462" s="6">
        <v>0.15</v>
      </c>
      <c r="D462" s="7">
        <f t="shared" si="30"/>
        <v>0.14812500000000001</v>
      </c>
      <c r="E462" s="7">
        <f t="shared" si="31"/>
        <v>0.12312500000000001</v>
      </c>
      <c r="F462" s="7">
        <f t="shared" si="32"/>
        <v>2.4625000000000003E-3</v>
      </c>
      <c r="G462" s="7">
        <f t="shared" si="33"/>
        <v>0.12066250000000001</v>
      </c>
    </row>
    <row r="463" spans="1:7" x14ac:dyDescent="0.35">
      <c r="A463" s="48"/>
      <c r="B463" s="5" t="s">
        <v>22</v>
      </c>
      <c r="C463" s="6">
        <v>0.15</v>
      </c>
      <c r="D463" s="7">
        <f t="shared" si="30"/>
        <v>0.14812500000000001</v>
      </c>
      <c r="E463" s="7">
        <f t="shared" si="31"/>
        <v>0.12312500000000001</v>
      </c>
      <c r="F463" s="7">
        <f t="shared" si="32"/>
        <v>2.4625000000000003E-3</v>
      </c>
      <c r="G463" s="7">
        <f t="shared" si="33"/>
        <v>0.12066250000000001</v>
      </c>
    </row>
    <row r="464" spans="1:7" x14ac:dyDescent="0.35">
      <c r="A464" s="48"/>
      <c r="B464" s="5" t="s">
        <v>23</v>
      </c>
      <c r="C464" s="6">
        <v>0.15</v>
      </c>
      <c r="D464" s="7">
        <f t="shared" si="30"/>
        <v>0.14812500000000001</v>
      </c>
      <c r="E464" s="7">
        <f t="shared" si="31"/>
        <v>0.12312500000000001</v>
      </c>
      <c r="F464" s="7">
        <f t="shared" si="32"/>
        <v>2.4625000000000003E-3</v>
      </c>
      <c r="G464" s="7">
        <f t="shared" si="33"/>
        <v>0.12066250000000001</v>
      </c>
    </row>
    <row r="465" spans="1:7" x14ac:dyDescent="0.35">
      <c r="A465" s="48"/>
      <c r="B465" s="5" t="s">
        <v>26</v>
      </c>
      <c r="C465" s="6">
        <v>0.15</v>
      </c>
      <c r="D465" s="7">
        <f t="shared" si="30"/>
        <v>0.14812500000000001</v>
      </c>
      <c r="E465" s="7">
        <f t="shared" si="31"/>
        <v>0.12312500000000001</v>
      </c>
      <c r="F465" s="7">
        <f t="shared" si="32"/>
        <v>2.4625000000000003E-3</v>
      </c>
      <c r="G465" s="7">
        <f t="shared" si="33"/>
        <v>0.12066250000000001</v>
      </c>
    </row>
    <row r="466" spans="1:7" x14ac:dyDescent="0.35">
      <c r="A466" s="48"/>
      <c r="B466" s="5" t="s">
        <v>15</v>
      </c>
      <c r="C466" s="6">
        <v>0.15</v>
      </c>
      <c r="D466" s="7">
        <f t="shared" si="30"/>
        <v>0.14812500000000001</v>
      </c>
      <c r="E466" s="7">
        <f t="shared" si="31"/>
        <v>0.12312500000000001</v>
      </c>
      <c r="F466" s="7">
        <f t="shared" si="32"/>
        <v>2.4625000000000003E-3</v>
      </c>
      <c r="G466" s="7">
        <f t="shared" si="33"/>
        <v>0.12066250000000001</v>
      </c>
    </row>
    <row r="467" spans="1:7" x14ac:dyDescent="0.35">
      <c r="A467" s="48"/>
      <c r="B467" s="5" t="s">
        <v>164</v>
      </c>
      <c r="C467" s="6">
        <v>0.15</v>
      </c>
      <c r="D467" s="7">
        <f t="shared" si="30"/>
        <v>0.14812500000000001</v>
      </c>
      <c r="E467" s="7">
        <f t="shared" si="31"/>
        <v>0.12312500000000001</v>
      </c>
      <c r="F467" s="7">
        <f t="shared" si="32"/>
        <v>2.4625000000000003E-3</v>
      </c>
      <c r="G467" s="7">
        <f t="shared" si="33"/>
        <v>0.12066250000000001</v>
      </c>
    </row>
    <row r="468" spans="1:7" x14ac:dyDescent="0.35">
      <c r="A468" s="48"/>
      <c r="B468" s="5" t="s">
        <v>165</v>
      </c>
      <c r="C468" s="6">
        <v>0.15</v>
      </c>
      <c r="D468" s="7">
        <f t="shared" si="30"/>
        <v>0.14812500000000001</v>
      </c>
      <c r="E468" s="7">
        <f t="shared" si="31"/>
        <v>0.12312500000000001</v>
      </c>
      <c r="F468" s="7">
        <f t="shared" si="32"/>
        <v>2.4625000000000003E-3</v>
      </c>
      <c r="G468" s="7">
        <f t="shared" si="33"/>
        <v>0.12066250000000001</v>
      </c>
    </row>
    <row r="469" spans="1:7" x14ac:dyDescent="0.35">
      <c r="A469" s="48"/>
      <c r="B469" s="5" t="s">
        <v>166</v>
      </c>
      <c r="C469" s="6">
        <v>0.15</v>
      </c>
      <c r="D469" s="7">
        <f t="shared" si="30"/>
        <v>0.14812500000000001</v>
      </c>
      <c r="E469" s="7">
        <f t="shared" si="31"/>
        <v>0.12312500000000001</v>
      </c>
      <c r="F469" s="7">
        <f t="shared" si="32"/>
        <v>2.4625000000000003E-3</v>
      </c>
      <c r="G469" s="7">
        <f t="shared" si="33"/>
        <v>0.12066250000000001</v>
      </c>
    </row>
    <row r="470" spans="1:7" x14ac:dyDescent="0.35">
      <c r="A470" s="48"/>
      <c r="B470" s="5" t="s">
        <v>167</v>
      </c>
      <c r="C470" s="6">
        <v>0.15</v>
      </c>
      <c r="D470" s="7">
        <f t="shared" si="30"/>
        <v>0.14812500000000001</v>
      </c>
      <c r="E470" s="7">
        <f t="shared" si="31"/>
        <v>0.12312500000000001</v>
      </c>
      <c r="F470" s="7">
        <f t="shared" si="32"/>
        <v>2.4625000000000003E-3</v>
      </c>
      <c r="G470" s="7">
        <f t="shared" si="33"/>
        <v>0.12066250000000001</v>
      </c>
    </row>
    <row r="471" spans="1:7" x14ac:dyDescent="0.35">
      <c r="A471" s="48"/>
      <c r="B471" s="5" t="s">
        <v>125</v>
      </c>
      <c r="C471" s="6">
        <v>0.19500000000000001</v>
      </c>
      <c r="D471" s="7">
        <f t="shared" si="30"/>
        <v>0.1925625</v>
      </c>
      <c r="E471" s="7">
        <f t="shared" si="31"/>
        <v>0.1675625</v>
      </c>
      <c r="F471" s="7">
        <f t="shared" si="32"/>
        <v>3.3512500000000001E-3</v>
      </c>
      <c r="G471" s="7">
        <f t="shared" si="33"/>
        <v>0.16421125</v>
      </c>
    </row>
    <row r="472" spans="1:7" x14ac:dyDescent="0.35">
      <c r="A472" s="48" t="s">
        <v>170</v>
      </c>
      <c r="B472" s="5" t="s">
        <v>13</v>
      </c>
      <c r="C472" s="6">
        <v>0</v>
      </c>
      <c r="D472" s="7" t="s">
        <v>20</v>
      </c>
      <c r="E472" s="7" t="s">
        <v>20</v>
      </c>
      <c r="F472" s="7" t="s">
        <v>20</v>
      </c>
      <c r="G472" s="7" t="s">
        <v>20</v>
      </c>
    </row>
    <row r="473" spans="1:7" x14ac:dyDescent="0.35">
      <c r="A473" s="48"/>
      <c r="B473" s="5" t="s">
        <v>14</v>
      </c>
      <c r="C473" s="6">
        <v>0.3</v>
      </c>
      <c r="D473" s="7">
        <f t="shared" si="30"/>
        <v>0.29625000000000001</v>
      </c>
      <c r="E473" s="7">
        <f t="shared" si="31"/>
        <v>0.27124999999999999</v>
      </c>
      <c r="F473" s="7">
        <f t="shared" si="32"/>
        <v>5.4250000000000001E-3</v>
      </c>
      <c r="G473" s="7">
        <f t="shared" si="33"/>
        <v>0.26582499999999998</v>
      </c>
    </row>
    <row r="474" spans="1:7" x14ac:dyDescent="0.35">
      <c r="A474" s="48"/>
      <c r="B474" s="5" t="s">
        <v>15</v>
      </c>
      <c r="C474" s="6">
        <v>0.26</v>
      </c>
      <c r="D474" s="7">
        <f t="shared" si="30"/>
        <v>0.25675000000000003</v>
      </c>
      <c r="E474" s="7">
        <f t="shared" si="31"/>
        <v>0.23175000000000004</v>
      </c>
      <c r="F474" s="7">
        <f t="shared" si="32"/>
        <v>4.6350000000000011E-3</v>
      </c>
      <c r="G474" s="7">
        <f t="shared" si="33"/>
        <v>0.22711500000000004</v>
      </c>
    </row>
    <row r="475" spans="1:7" x14ac:dyDescent="0.35">
      <c r="A475" s="48"/>
      <c r="B475" s="5" t="s">
        <v>16</v>
      </c>
      <c r="C475" s="6">
        <v>0.20300000000000001</v>
      </c>
      <c r="D475" s="7">
        <f t="shared" si="30"/>
        <v>0.20046250000000002</v>
      </c>
      <c r="E475" s="7">
        <f t="shared" si="31"/>
        <v>0.17546250000000002</v>
      </c>
      <c r="F475" s="7">
        <f t="shared" si="32"/>
        <v>3.5092500000000007E-3</v>
      </c>
      <c r="G475" s="7">
        <f t="shared" si="33"/>
        <v>0.17195325000000003</v>
      </c>
    </row>
    <row r="476" spans="1:7" x14ac:dyDescent="0.35">
      <c r="A476" s="48"/>
      <c r="B476" s="5" t="s">
        <v>17</v>
      </c>
      <c r="C476" s="6">
        <v>0.35</v>
      </c>
      <c r="D476" s="7">
        <f t="shared" si="30"/>
        <v>0.34562499999999996</v>
      </c>
      <c r="E476" s="7">
        <f t="shared" si="31"/>
        <v>0.32062499999999994</v>
      </c>
      <c r="F476" s="7">
        <f t="shared" si="32"/>
        <v>6.4124999999999989E-3</v>
      </c>
      <c r="G476" s="7">
        <f t="shared" si="33"/>
        <v>0.31421249999999995</v>
      </c>
    </row>
    <row r="477" spans="1:7" x14ac:dyDescent="0.35">
      <c r="A477" s="48"/>
      <c r="B477" s="5" t="s">
        <v>18</v>
      </c>
      <c r="C477" s="6">
        <v>2E-3</v>
      </c>
      <c r="D477" s="7" t="s">
        <v>20</v>
      </c>
      <c r="E477" s="7" t="s">
        <v>20</v>
      </c>
      <c r="F477" s="7" t="s">
        <v>20</v>
      </c>
      <c r="G477" s="7" t="s">
        <v>20</v>
      </c>
    </row>
    <row r="478" spans="1:7" x14ac:dyDescent="0.35">
      <c r="A478" s="48"/>
      <c r="B478" s="5" t="s">
        <v>19</v>
      </c>
      <c r="C478" s="6">
        <v>0.15</v>
      </c>
      <c r="D478" s="7">
        <f t="shared" si="30"/>
        <v>0.14812500000000001</v>
      </c>
      <c r="E478" s="7">
        <f t="shared" si="31"/>
        <v>0.12312500000000001</v>
      </c>
      <c r="F478" s="7">
        <f t="shared" si="32"/>
        <v>2.4625000000000003E-3</v>
      </c>
      <c r="G478" s="7">
        <f t="shared" si="33"/>
        <v>0.12066250000000001</v>
      </c>
    </row>
    <row r="479" spans="1:7" x14ac:dyDescent="0.35">
      <c r="A479" s="48"/>
      <c r="B479" s="5" t="s">
        <v>21</v>
      </c>
      <c r="C479" s="6">
        <v>5.4000000000000097E-2</v>
      </c>
      <c r="D479" s="7">
        <f t="shared" si="30"/>
        <v>5.3325000000000095E-2</v>
      </c>
      <c r="E479" s="7">
        <f t="shared" si="31"/>
        <v>2.8325000000000093E-2</v>
      </c>
      <c r="F479" s="7">
        <f t="shared" si="32"/>
        <v>5.665000000000019E-4</v>
      </c>
      <c r="G479" s="7">
        <f t="shared" si="33"/>
        <v>2.7758500000000092E-2</v>
      </c>
    </row>
    <row r="480" spans="1:7" x14ac:dyDescent="0.35">
      <c r="A480" s="48"/>
      <c r="B480" s="5" t="s">
        <v>22</v>
      </c>
      <c r="C480" s="6">
        <v>0.28000000000000003</v>
      </c>
      <c r="D480" s="7">
        <f t="shared" si="30"/>
        <v>0.27650000000000002</v>
      </c>
      <c r="E480" s="7">
        <f t="shared" si="31"/>
        <v>0.2515</v>
      </c>
      <c r="F480" s="7">
        <f t="shared" si="32"/>
        <v>5.0299999999999997E-3</v>
      </c>
      <c r="G480" s="7">
        <f t="shared" si="33"/>
        <v>0.24646999999999999</v>
      </c>
    </row>
    <row r="481" spans="1:7" x14ac:dyDescent="0.35">
      <c r="A481" s="48"/>
      <c r="B481" s="5" t="s">
        <v>23</v>
      </c>
      <c r="C481" s="6">
        <v>0.34599999999999997</v>
      </c>
      <c r="D481" s="7">
        <f t="shared" si="30"/>
        <v>0.34167499999999995</v>
      </c>
      <c r="E481" s="7">
        <f t="shared" si="31"/>
        <v>0.31667499999999993</v>
      </c>
      <c r="F481" s="7">
        <f t="shared" si="32"/>
        <v>6.3334999999999989E-3</v>
      </c>
      <c r="G481" s="7">
        <f t="shared" si="33"/>
        <v>0.31034149999999994</v>
      </c>
    </row>
    <row r="482" spans="1:7" x14ac:dyDescent="0.35">
      <c r="A482" s="48"/>
      <c r="B482" s="5" t="s">
        <v>24</v>
      </c>
      <c r="C482" s="6">
        <v>0.28000000000000003</v>
      </c>
      <c r="D482" s="7">
        <f t="shared" si="30"/>
        <v>0.27650000000000002</v>
      </c>
      <c r="E482" s="7">
        <f t="shared" si="31"/>
        <v>0.2515</v>
      </c>
      <c r="F482" s="7">
        <f t="shared" si="32"/>
        <v>5.0299999999999997E-3</v>
      </c>
      <c r="G482" s="7">
        <f t="shared" si="33"/>
        <v>0.24646999999999999</v>
      </c>
    </row>
    <row r="483" spans="1:7" x14ac:dyDescent="0.35">
      <c r="A483" s="48"/>
      <c r="B483" s="5" t="s">
        <v>25</v>
      </c>
      <c r="C483" s="6">
        <v>0.2</v>
      </c>
      <c r="D483" s="7">
        <f t="shared" si="30"/>
        <v>0.19750000000000001</v>
      </c>
      <c r="E483" s="7">
        <f t="shared" si="31"/>
        <v>0.17250000000000001</v>
      </c>
      <c r="F483" s="7">
        <f t="shared" si="32"/>
        <v>3.4500000000000004E-3</v>
      </c>
      <c r="G483" s="7">
        <f t="shared" si="33"/>
        <v>0.16905000000000001</v>
      </c>
    </row>
    <row r="484" spans="1:7" x14ac:dyDescent="0.35">
      <c r="A484" s="48"/>
      <c r="B484" s="5" t="s">
        <v>26</v>
      </c>
      <c r="C484" s="6">
        <v>0.28799999999999998</v>
      </c>
      <c r="D484" s="7">
        <f t="shared" si="30"/>
        <v>0.28439999999999999</v>
      </c>
      <c r="E484" s="7">
        <f t="shared" si="31"/>
        <v>0.25939999999999996</v>
      </c>
      <c r="F484" s="7">
        <f t="shared" si="32"/>
        <v>5.187999999999999E-3</v>
      </c>
      <c r="G484" s="7">
        <f t="shared" si="33"/>
        <v>0.25421199999999994</v>
      </c>
    </row>
    <row r="485" spans="1:7" x14ac:dyDescent="0.35">
      <c r="A485" s="48"/>
      <c r="B485" s="5" t="s">
        <v>27</v>
      </c>
      <c r="C485" s="6">
        <v>0</v>
      </c>
      <c r="D485" s="7" t="s">
        <v>20</v>
      </c>
      <c r="E485" s="7" t="s">
        <v>20</v>
      </c>
      <c r="F485" s="7" t="s">
        <v>20</v>
      </c>
      <c r="G485" s="7" t="s">
        <v>20</v>
      </c>
    </row>
    <row r="486" spans="1:7" ht="24" x14ac:dyDescent="0.35">
      <c r="A486" s="5" t="s">
        <v>171</v>
      </c>
      <c r="B486" s="5" t="s">
        <v>8</v>
      </c>
      <c r="C486" s="6">
        <v>0.15</v>
      </c>
      <c r="D486" s="7">
        <f t="shared" si="30"/>
        <v>0.14812500000000001</v>
      </c>
      <c r="E486" s="7">
        <f t="shared" si="31"/>
        <v>0.12312500000000001</v>
      </c>
      <c r="F486" s="7">
        <f t="shared" si="32"/>
        <v>2.4625000000000003E-3</v>
      </c>
      <c r="G486" s="7">
        <f t="shared" si="33"/>
        <v>0.12066250000000001</v>
      </c>
    </row>
    <row r="487" spans="1:7" ht="24" x14ac:dyDescent="0.35">
      <c r="A487" s="5" t="s">
        <v>172</v>
      </c>
      <c r="B487" s="5" t="s">
        <v>132</v>
      </c>
      <c r="C487" s="6">
        <v>0.15</v>
      </c>
      <c r="D487" s="7">
        <f t="shared" si="30"/>
        <v>0.14812500000000001</v>
      </c>
      <c r="E487" s="7">
        <f t="shared" si="31"/>
        <v>0.12312500000000001</v>
      </c>
      <c r="F487" s="7">
        <f t="shared" si="32"/>
        <v>2.4625000000000003E-3</v>
      </c>
      <c r="G487" s="7">
        <f t="shared" si="33"/>
        <v>0.12066250000000001</v>
      </c>
    </row>
    <row r="488" spans="1:7" ht="36" x14ac:dyDescent="0.35">
      <c r="A488" s="5" t="s">
        <v>1541</v>
      </c>
      <c r="B488" s="5" t="s">
        <v>157</v>
      </c>
      <c r="C488" s="6">
        <v>0.12</v>
      </c>
      <c r="D488" s="7">
        <f t="shared" si="30"/>
        <v>0.11849999999999999</v>
      </c>
      <c r="E488" s="7">
        <f t="shared" si="31"/>
        <v>9.35E-2</v>
      </c>
      <c r="F488" s="7">
        <f t="shared" si="32"/>
        <v>1.8700000000000001E-3</v>
      </c>
      <c r="G488" s="7">
        <f t="shared" si="33"/>
        <v>9.1630000000000003E-2</v>
      </c>
    </row>
    <row r="489" spans="1:7" ht="36" x14ac:dyDescent="0.35">
      <c r="A489" s="5" t="s">
        <v>1542</v>
      </c>
      <c r="B489" s="5" t="s">
        <v>157</v>
      </c>
      <c r="C489" s="6">
        <v>0.14000000000000001</v>
      </c>
      <c r="D489" s="7">
        <f t="shared" si="30"/>
        <v>0.13825000000000001</v>
      </c>
      <c r="E489" s="7">
        <f t="shared" si="31"/>
        <v>0.11325000000000002</v>
      </c>
      <c r="F489" s="7">
        <f t="shared" si="32"/>
        <v>2.2650000000000005E-3</v>
      </c>
      <c r="G489" s="7">
        <f t="shared" si="33"/>
        <v>0.11098500000000001</v>
      </c>
    </row>
    <row r="490" spans="1:7" ht="36" x14ac:dyDescent="0.35">
      <c r="A490" s="5" t="s">
        <v>1543</v>
      </c>
      <c r="B490" s="5" t="s">
        <v>157</v>
      </c>
      <c r="C490" s="6">
        <v>0.22</v>
      </c>
      <c r="D490" s="7">
        <f t="shared" si="30"/>
        <v>0.21725</v>
      </c>
      <c r="E490" s="7">
        <f t="shared" si="31"/>
        <v>0.19225</v>
      </c>
      <c r="F490" s="7">
        <f t="shared" si="32"/>
        <v>3.8450000000000003E-3</v>
      </c>
      <c r="G490" s="7">
        <f t="shared" si="33"/>
        <v>0.18840500000000002</v>
      </c>
    </row>
    <row r="491" spans="1:7" ht="36" x14ac:dyDescent="0.35">
      <c r="A491" s="5" t="s">
        <v>1544</v>
      </c>
      <c r="B491" s="5" t="s">
        <v>157</v>
      </c>
      <c r="C491" s="6">
        <v>0.24</v>
      </c>
      <c r="D491" s="7">
        <f t="shared" si="30"/>
        <v>0.23699999999999999</v>
      </c>
      <c r="E491" s="7">
        <f t="shared" si="31"/>
        <v>0.21199999999999999</v>
      </c>
      <c r="F491" s="7">
        <f t="shared" si="32"/>
        <v>4.2399999999999998E-3</v>
      </c>
      <c r="G491" s="7">
        <f t="shared" si="33"/>
        <v>0.20776</v>
      </c>
    </row>
    <row r="492" spans="1:7" ht="36" x14ac:dyDescent="0.35">
      <c r="A492" s="5" t="s">
        <v>1545</v>
      </c>
      <c r="B492" s="5" t="s">
        <v>157</v>
      </c>
      <c r="C492" s="6">
        <v>0.27</v>
      </c>
      <c r="D492" s="7">
        <f t="shared" si="30"/>
        <v>0.266625</v>
      </c>
      <c r="E492" s="7">
        <f t="shared" si="31"/>
        <v>0.24162500000000001</v>
      </c>
      <c r="F492" s="7">
        <f t="shared" si="32"/>
        <v>4.8325E-3</v>
      </c>
      <c r="G492" s="7">
        <f t="shared" si="33"/>
        <v>0.23679250000000002</v>
      </c>
    </row>
    <row r="493" spans="1:7" ht="36" x14ac:dyDescent="0.35">
      <c r="A493" s="5" t="s">
        <v>1546</v>
      </c>
      <c r="B493" s="5" t="s">
        <v>157</v>
      </c>
      <c r="C493" s="6">
        <v>0.28000000000000003</v>
      </c>
      <c r="D493" s="7">
        <f t="shared" si="30"/>
        <v>0.27650000000000002</v>
      </c>
      <c r="E493" s="7">
        <f t="shared" si="31"/>
        <v>0.2515</v>
      </c>
      <c r="F493" s="7">
        <f t="shared" si="32"/>
        <v>5.0299999999999997E-3</v>
      </c>
      <c r="G493" s="7">
        <f t="shared" si="33"/>
        <v>0.24646999999999999</v>
      </c>
    </row>
    <row r="494" spans="1:7" ht="36" x14ac:dyDescent="0.35">
      <c r="A494" s="5" t="s">
        <v>1547</v>
      </c>
      <c r="B494" s="5" t="s">
        <v>157</v>
      </c>
      <c r="C494" s="6">
        <v>0.13</v>
      </c>
      <c r="D494" s="7">
        <f t="shared" si="30"/>
        <v>0.12837500000000002</v>
      </c>
      <c r="E494" s="7">
        <f t="shared" si="31"/>
        <v>0.10337500000000002</v>
      </c>
      <c r="F494" s="7">
        <f t="shared" si="32"/>
        <v>2.0675000000000003E-3</v>
      </c>
      <c r="G494" s="7">
        <f t="shared" si="33"/>
        <v>0.10130750000000002</v>
      </c>
    </row>
    <row r="495" spans="1:7" ht="36" x14ac:dyDescent="0.35">
      <c r="A495" s="5" t="s">
        <v>1548</v>
      </c>
      <c r="B495" s="5" t="s">
        <v>157</v>
      </c>
      <c r="C495" s="6">
        <v>0.18</v>
      </c>
      <c r="D495" s="7">
        <f t="shared" si="30"/>
        <v>0.17774999999999999</v>
      </c>
      <c r="E495" s="7">
        <f t="shared" si="31"/>
        <v>0.15275</v>
      </c>
      <c r="F495" s="7">
        <f t="shared" si="32"/>
        <v>3.055E-3</v>
      </c>
      <c r="G495" s="7">
        <f t="shared" si="33"/>
        <v>0.14969499999999999</v>
      </c>
    </row>
    <row r="496" spans="1:7" ht="36" x14ac:dyDescent="0.35">
      <c r="A496" s="5" t="s">
        <v>1549</v>
      </c>
      <c r="B496" s="5" t="s">
        <v>157</v>
      </c>
      <c r="C496" s="6">
        <v>0.15</v>
      </c>
      <c r="D496" s="7">
        <f t="shared" si="30"/>
        <v>0.14812500000000001</v>
      </c>
      <c r="E496" s="7">
        <f t="shared" si="31"/>
        <v>0.12312500000000001</v>
      </c>
      <c r="F496" s="7">
        <f t="shared" si="32"/>
        <v>2.4625000000000003E-3</v>
      </c>
      <c r="G496" s="7">
        <f t="shared" si="33"/>
        <v>0.12066250000000001</v>
      </c>
    </row>
    <row r="497" spans="1:7" ht="36" x14ac:dyDescent="0.35">
      <c r="A497" s="5" t="s">
        <v>1550</v>
      </c>
      <c r="B497" s="5" t="s">
        <v>157</v>
      </c>
      <c r="C497" s="6">
        <v>0.17</v>
      </c>
      <c r="D497" s="7">
        <f t="shared" si="30"/>
        <v>0.16787500000000002</v>
      </c>
      <c r="E497" s="7">
        <f t="shared" si="31"/>
        <v>0.14287500000000003</v>
      </c>
      <c r="F497" s="7">
        <f t="shared" si="32"/>
        <v>2.8575000000000007E-3</v>
      </c>
      <c r="G497" s="7">
        <f t="shared" si="33"/>
        <v>0.14001750000000002</v>
      </c>
    </row>
    <row r="498" spans="1:7" ht="36" x14ac:dyDescent="0.35">
      <c r="A498" s="5" t="s">
        <v>1551</v>
      </c>
      <c r="B498" s="5" t="s">
        <v>157</v>
      </c>
      <c r="C498" s="6">
        <v>0.22</v>
      </c>
      <c r="D498" s="7">
        <f t="shared" si="30"/>
        <v>0.21725</v>
      </c>
      <c r="E498" s="7">
        <f t="shared" si="31"/>
        <v>0.19225</v>
      </c>
      <c r="F498" s="7">
        <f t="shared" si="32"/>
        <v>3.8450000000000003E-3</v>
      </c>
      <c r="G498" s="7">
        <f t="shared" si="33"/>
        <v>0.18840500000000002</v>
      </c>
    </row>
    <row r="499" spans="1:7" ht="36" x14ac:dyDescent="0.35">
      <c r="A499" s="5" t="s">
        <v>1552</v>
      </c>
      <c r="B499" s="5" t="s">
        <v>157</v>
      </c>
      <c r="C499" s="6">
        <v>0.24</v>
      </c>
      <c r="D499" s="7">
        <f t="shared" si="30"/>
        <v>0.23699999999999999</v>
      </c>
      <c r="E499" s="7">
        <f t="shared" si="31"/>
        <v>0.21199999999999999</v>
      </c>
      <c r="F499" s="7">
        <f t="shared" si="32"/>
        <v>4.2399999999999998E-3</v>
      </c>
      <c r="G499" s="7">
        <f t="shared" si="33"/>
        <v>0.20776</v>
      </c>
    </row>
    <row r="500" spans="1:7" ht="36" x14ac:dyDescent="0.35">
      <c r="A500" s="5" t="s">
        <v>1553</v>
      </c>
      <c r="B500" s="5" t="s">
        <v>157</v>
      </c>
      <c r="C500" s="6">
        <v>0.27</v>
      </c>
      <c r="D500" s="7">
        <f t="shared" si="30"/>
        <v>0.266625</v>
      </c>
      <c r="E500" s="7">
        <f t="shared" si="31"/>
        <v>0.24162500000000001</v>
      </c>
      <c r="F500" s="7">
        <f t="shared" si="32"/>
        <v>4.8325E-3</v>
      </c>
      <c r="G500" s="7">
        <f t="shared" si="33"/>
        <v>0.23679250000000002</v>
      </c>
    </row>
    <row r="501" spans="1:7" ht="36" x14ac:dyDescent="0.35">
      <c r="A501" s="5" t="s">
        <v>1554</v>
      </c>
      <c r="B501" s="5" t="s">
        <v>157</v>
      </c>
      <c r="C501" s="6">
        <v>0.28000000000000003</v>
      </c>
      <c r="D501" s="7">
        <f t="shared" si="30"/>
        <v>0.27650000000000002</v>
      </c>
      <c r="E501" s="7">
        <f t="shared" si="31"/>
        <v>0.2515</v>
      </c>
      <c r="F501" s="7">
        <f t="shared" si="32"/>
        <v>5.0299999999999997E-3</v>
      </c>
      <c r="G501" s="7">
        <f t="shared" si="33"/>
        <v>0.24646999999999999</v>
      </c>
    </row>
    <row r="502" spans="1:7" ht="36" x14ac:dyDescent="0.35">
      <c r="A502" s="5" t="s">
        <v>1555</v>
      </c>
      <c r="B502" s="5" t="s">
        <v>157</v>
      </c>
      <c r="C502" s="6">
        <v>0.13</v>
      </c>
      <c r="D502" s="7">
        <f t="shared" si="30"/>
        <v>0.12837500000000002</v>
      </c>
      <c r="E502" s="7">
        <f t="shared" si="31"/>
        <v>0.10337500000000002</v>
      </c>
      <c r="F502" s="7">
        <f t="shared" si="32"/>
        <v>2.0675000000000003E-3</v>
      </c>
      <c r="G502" s="7">
        <f t="shared" si="33"/>
        <v>0.10130750000000002</v>
      </c>
    </row>
    <row r="503" spans="1:7" ht="36" x14ac:dyDescent="0.35">
      <c r="A503" s="5" t="s">
        <v>1556</v>
      </c>
      <c r="B503" s="5" t="s">
        <v>157</v>
      </c>
      <c r="C503" s="6">
        <v>0.18</v>
      </c>
      <c r="D503" s="7">
        <f t="shared" si="30"/>
        <v>0.17774999999999999</v>
      </c>
      <c r="E503" s="7">
        <f t="shared" si="31"/>
        <v>0.15275</v>
      </c>
      <c r="F503" s="7">
        <f t="shared" si="32"/>
        <v>3.055E-3</v>
      </c>
      <c r="G503" s="7">
        <f t="shared" si="33"/>
        <v>0.14969499999999999</v>
      </c>
    </row>
    <row r="504" spans="1:7" x14ac:dyDescent="0.35">
      <c r="A504" s="2" t="s">
        <v>175</v>
      </c>
      <c r="B504" s="2" t="s">
        <v>1</v>
      </c>
      <c r="C504" s="3" t="s">
        <v>2</v>
      </c>
      <c r="D504" s="4" t="s">
        <v>1275</v>
      </c>
      <c r="E504" s="4" t="s">
        <v>1276</v>
      </c>
      <c r="F504" s="4" t="s">
        <v>363</v>
      </c>
      <c r="G504" s="4" t="s">
        <v>364</v>
      </c>
    </row>
    <row r="505" spans="1:7" ht="24" x14ac:dyDescent="0.35">
      <c r="A505" s="5" t="s">
        <v>176</v>
      </c>
      <c r="B505" s="5" t="s">
        <v>8</v>
      </c>
      <c r="C505" s="7">
        <v>0.125</v>
      </c>
      <c r="D505" s="7">
        <f t="shared" si="30"/>
        <v>0.12343750000000001</v>
      </c>
      <c r="E505" s="7">
        <f t="shared" si="31"/>
        <v>9.8437500000000011E-2</v>
      </c>
      <c r="F505" s="7">
        <f t="shared" si="32"/>
        <v>1.9687500000000004E-3</v>
      </c>
      <c r="G505" s="7">
        <f t="shared" si="33"/>
        <v>9.6468750000000006E-2</v>
      </c>
    </row>
    <row r="506" spans="1:7" ht="24" x14ac:dyDescent="0.35">
      <c r="A506" s="5" t="s">
        <v>177</v>
      </c>
      <c r="B506" s="5" t="s">
        <v>132</v>
      </c>
      <c r="C506" s="7">
        <v>0.125</v>
      </c>
      <c r="D506" s="7">
        <f t="shared" si="30"/>
        <v>0.12343750000000001</v>
      </c>
      <c r="E506" s="7">
        <f t="shared" si="31"/>
        <v>9.8437500000000011E-2</v>
      </c>
      <c r="F506" s="7">
        <f t="shared" si="32"/>
        <v>1.9687500000000004E-3</v>
      </c>
      <c r="G506" s="7">
        <f t="shared" si="33"/>
        <v>9.6468750000000006E-2</v>
      </c>
    </row>
    <row r="507" spans="1:7" ht="24" x14ac:dyDescent="0.35">
      <c r="A507" s="5" t="s">
        <v>178</v>
      </c>
      <c r="B507" s="5" t="s">
        <v>8</v>
      </c>
      <c r="C507" s="7">
        <v>0.125</v>
      </c>
      <c r="D507" s="7">
        <f t="shared" si="30"/>
        <v>0.12343750000000001</v>
      </c>
      <c r="E507" s="7">
        <f t="shared" si="31"/>
        <v>9.8437500000000011E-2</v>
      </c>
      <c r="F507" s="7">
        <f t="shared" si="32"/>
        <v>1.9687500000000004E-3</v>
      </c>
      <c r="G507" s="7">
        <f t="shared" si="33"/>
        <v>9.6468750000000006E-2</v>
      </c>
    </row>
    <row r="508" spans="1:7" x14ac:dyDescent="0.35">
      <c r="A508" s="5" t="s">
        <v>179</v>
      </c>
      <c r="B508" s="5" t="s">
        <v>132</v>
      </c>
      <c r="C508" s="7">
        <v>0.125</v>
      </c>
      <c r="D508" s="7">
        <f t="shared" si="30"/>
        <v>0.12343750000000001</v>
      </c>
      <c r="E508" s="7">
        <f t="shared" si="31"/>
        <v>9.8437500000000011E-2</v>
      </c>
      <c r="F508" s="7">
        <f t="shared" si="32"/>
        <v>1.9687500000000004E-3</v>
      </c>
      <c r="G508" s="7">
        <f t="shared" si="33"/>
        <v>9.6468750000000006E-2</v>
      </c>
    </row>
    <row r="509" spans="1:7" ht="24" x14ac:dyDescent="0.35">
      <c r="A509" s="5" t="s">
        <v>180</v>
      </c>
      <c r="B509" s="5" t="s">
        <v>96</v>
      </c>
      <c r="C509" s="6">
        <v>0.11</v>
      </c>
      <c r="D509" s="7">
        <f t="shared" si="30"/>
        <v>0.108625</v>
      </c>
      <c r="E509" s="7">
        <f t="shared" si="31"/>
        <v>8.3625000000000005E-2</v>
      </c>
      <c r="F509" s="7">
        <f t="shared" si="32"/>
        <v>1.6725000000000002E-3</v>
      </c>
      <c r="G509" s="7">
        <f t="shared" si="33"/>
        <v>8.1952500000000011E-2</v>
      </c>
    </row>
    <row r="510" spans="1:7" x14ac:dyDescent="0.35">
      <c r="A510" s="41" t="s">
        <v>181</v>
      </c>
      <c r="B510" s="5" t="s">
        <v>98</v>
      </c>
      <c r="C510" s="6">
        <v>0.19500000000000001</v>
      </c>
      <c r="D510" s="7">
        <f t="shared" si="30"/>
        <v>0.1925625</v>
      </c>
      <c r="E510" s="7">
        <f t="shared" si="31"/>
        <v>0.1675625</v>
      </c>
      <c r="F510" s="7">
        <f t="shared" si="32"/>
        <v>3.3512500000000001E-3</v>
      </c>
      <c r="G510" s="7">
        <f t="shared" si="33"/>
        <v>0.16421125</v>
      </c>
    </row>
    <row r="511" spans="1:7" x14ac:dyDescent="0.35">
      <c r="A511" s="43"/>
      <c r="B511" s="5" t="s">
        <v>99</v>
      </c>
      <c r="C511" s="6">
        <v>0.3</v>
      </c>
      <c r="D511" s="7">
        <f t="shared" si="30"/>
        <v>0.29625000000000001</v>
      </c>
      <c r="E511" s="7">
        <f t="shared" si="31"/>
        <v>0.27124999999999999</v>
      </c>
      <c r="F511" s="7">
        <f t="shared" si="32"/>
        <v>5.4250000000000001E-3</v>
      </c>
      <c r="G511" s="7">
        <f t="shared" si="33"/>
        <v>0.26582499999999998</v>
      </c>
    </row>
    <row r="512" spans="1:7" x14ac:dyDescent="0.35">
      <c r="A512" s="2" t="s">
        <v>182</v>
      </c>
      <c r="B512" s="2" t="s">
        <v>1</v>
      </c>
      <c r="C512" s="3" t="s">
        <v>2</v>
      </c>
      <c r="D512" s="4" t="s">
        <v>1275</v>
      </c>
      <c r="E512" s="4" t="s">
        <v>1276</v>
      </c>
      <c r="F512" s="4" t="s">
        <v>363</v>
      </c>
      <c r="G512" s="4" t="s">
        <v>364</v>
      </c>
    </row>
    <row r="513" spans="1:7" x14ac:dyDescent="0.35">
      <c r="A513" s="41" t="s">
        <v>183</v>
      </c>
      <c r="B513" s="5" t="s">
        <v>92</v>
      </c>
      <c r="C513" s="6">
        <v>0.15</v>
      </c>
      <c r="D513" s="7">
        <f t="shared" si="30"/>
        <v>0.14812500000000001</v>
      </c>
      <c r="E513" s="7">
        <f t="shared" si="31"/>
        <v>0.12312500000000001</v>
      </c>
      <c r="F513" s="7">
        <f t="shared" si="32"/>
        <v>2.4625000000000003E-3</v>
      </c>
      <c r="G513" s="7">
        <f t="shared" si="33"/>
        <v>0.12066250000000001</v>
      </c>
    </row>
    <row r="514" spans="1:7" x14ac:dyDescent="0.35">
      <c r="A514" s="43"/>
      <c r="B514" s="5" t="s">
        <v>93</v>
      </c>
      <c r="C514" s="6">
        <v>0.1</v>
      </c>
      <c r="D514" s="7">
        <f t="shared" si="30"/>
        <v>9.8750000000000004E-2</v>
      </c>
      <c r="E514" s="7">
        <f t="shared" si="31"/>
        <v>7.375000000000001E-2</v>
      </c>
      <c r="F514" s="7">
        <f t="shared" si="32"/>
        <v>1.4750000000000002E-3</v>
      </c>
      <c r="G514" s="7">
        <f t="shared" si="33"/>
        <v>7.2275000000000006E-2</v>
      </c>
    </row>
    <row r="515" spans="1:7" ht="14.5" customHeight="1" x14ac:dyDescent="0.35">
      <c r="A515" s="44" t="s">
        <v>184</v>
      </c>
      <c r="B515" s="5" t="s">
        <v>92</v>
      </c>
      <c r="C515" s="6">
        <v>0.27</v>
      </c>
      <c r="D515" s="7">
        <f t="shared" si="30"/>
        <v>0.266625</v>
      </c>
      <c r="E515" s="7">
        <f t="shared" si="31"/>
        <v>0.24162500000000001</v>
      </c>
      <c r="F515" s="7">
        <f t="shared" si="32"/>
        <v>4.8325E-3</v>
      </c>
      <c r="G515" s="7">
        <f t="shared" si="33"/>
        <v>0.23679250000000002</v>
      </c>
    </row>
    <row r="516" spans="1:7" x14ac:dyDescent="0.35">
      <c r="A516" s="45"/>
      <c r="B516" s="5" t="s">
        <v>93</v>
      </c>
      <c r="C516" s="6">
        <v>0.27</v>
      </c>
      <c r="D516" s="7">
        <f t="shared" si="30"/>
        <v>0.266625</v>
      </c>
      <c r="E516" s="7">
        <f t="shared" si="31"/>
        <v>0.24162500000000001</v>
      </c>
      <c r="F516" s="7">
        <f t="shared" si="32"/>
        <v>4.8325E-3</v>
      </c>
      <c r="G516" s="7">
        <f t="shared" si="33"/>
        <v>0.23679250000000002</v>
      </c>
    </row>
    <row r="517" spans="1:7" x14ac:dyDescent="0.35">
      <c r="A517" s="2" t="s">
        <v>185</v>
      </c>
      <c r="B517" s="2" t="s">
        <v>1</v>
      </c>
      <c r="C517" s="3" t="s">
        <v>2</v>
      </c>
      <c r="D517" s="4" t="s">
        <v>1275</v>
      </c>
      <c r="E517" s="4" t="s">
        <v>1276</v>
      </c>
      <c r="F517" s="4" t="s">
        <v>363</v>
      </c>
      <c r="G517" s="4" t="s">
        <v>364</v>
      </c>
    </row>
    <row r="518" spans="1:7" x14ac:dyDescent="0.35">
      <c r="A518" s="5" t="s">
        <v>186</v>
      </c>
      <c r="B518" s="5" t="s">
        <v>100</v>
      </c>
      <c r="C518" s="6">
        <v>0.35</v>
      </c>
      <c r="D518" s="7">
        <f t="shared" si="30"/>
        <v>0.34562499999999996</v>
      </c>
      <c r="E518" s="7">
        <f t="shared" si="31"/>
        <v>0.32062499999999994</v>
      </c>
      <c r="F518" s="7">
        <f t="shared" si="32"/>
        <v>6.4124999999999989E-3</v>
      </c>
      <c r="G518" s="7">
        <f t="shared" si="33"/>
        <v>0.31421249999999995</v>
      </c>
    </row>
    <row r="519" spans="1:7" x14ac:dyDescent="0.35">
      <c r="A519" s="5" t="s">
        <v>187</v>
      </c>
      <c r="B519" s="5" t="s">
        <v>188</v>
      </c>
      <c r="C519" s="6">
        <v>0.3</v>
      </c>
      <c r="D519" s="7">
        <f t="shared" ref="D519:D582" si="34">(C519-(C519*1.25%))</f>
        <v>0.29625000000000001</v>
      </c>
      <c r="E519" s="7">
        <f t="shared" ref="E519:E577" si="35">D519-(2.5%)</f>
        <v>0.27124999999999999</v>
      </c>
      <c r="F519" s="7">
        <f t="shared" ref="F519:F582" si="36">E519*(2%)</f>
        <v>5.4250000000000001E-3</v>
      </c>
      <c r="G519" s="7">
        <f t="shared" ref="G519:G582" si="37">E519-F519</f>
        <v>0.26582499999999998</v>
      </c>
    </row>
    <row r="520" spans="1:7" x14ac:dyDescent="0.35">
      <c r="A520" s="48" t="s">
        <v>189</v>
      </c>
      <c r="B520" s="5" t="s">
        <v>87</v>
      </c>
      <c r="C520" s="6">
        <v>0.28000000000000003</v>
      </c>
      <c r="D520" s="7">
        <f t="shared" si="34"/>
        <v>0.27650000000000002</v>
      </c>
      <c r="E520" s="7">
        <f t="shared" si="35"/>
        <v>0.2515</v>
      </c>
      <c r="F520" s="7">
        <f t="shared" si="36"/>
        <v>5.0299999999999997E-3</v>
      </c>
      <c r="G520" s="7">
        <f t="shared" si="37"/>
        <v>0.24646999999999999</v>
      </c>
    </row>
    <row r="521" spans="1:7" x14ac:dyDescent="0.35">
      <c r="A521" s="48"/>
      <c r="B521" s="5" t="s">
        <v>88</v>
      </c>
      <c r="C521" s="6">
        <v>0.24</v>
      </c>
      <c r="D521" s="7">
        <f t="shared" si="34"/>
        <v>0.23699999999999999</v>
      </c>
      <c r="E521" s="7">
        <f t="shared" si="35"/>
        <v>0.21199999999999999</v>
      </c>
      <c r="F521" s="7">
        <f t="shared" si="36"/>
        <v>4.2399999999999998E-3</v>
      </c>
      <c r="G521" s="7">
        <f t="shared" si="37"/>
        <v>0.20776</v>
      </c>
    </row>
    <row r="522" spans="1:7" x14ac:dyDescent="0.35">
      <c r="A522" s="48"/>
      <c r="B522" s="5" t="s">
        <v>89</v>
      </c>
      <c r="C522" s="6">
        <v>0.35</v>
      </c>
      <c r="D522" s="7">
        <f t="shared" si="34"/>
        <v>0.34562499999999996</v>
      </c>
      <c r="E522" s="7">
        <f t="shared" si="35"/>
        <v>0.32062499999999994</v>
      </c>
      <c r="F522" s="7">
        <f t="shared" si="36"/>
        <v>6.4124999999999989E-3</v>
      </c>
      <c r="G522" s="7">
        <f t="shared" si="37"/>
        <v>0.31421249999999995</v>
      </c>
    </row>
    <row r="523" spans="1:7" x14ac:dyDescent="0.35">
      <c r="A523" s="48" t="s">
        <v>190</v>
      </c>
      <c r="B523" s="5" t="s">
        <v>87</v>
      </c>
      <c r="C523" s="6">
        <v>0.28000000000000003</v>
      </c>
      <c r="D523" s="7">
        <f t="shared" si="34"/>
        <v>0.27650000000000002</v>
      </c>
      <c r="E523" s="7">
        <f t="shared" si="35"/>
        <v>0.2515</v>
      </c>
      <c r="F523" s="7">
        <f t="shared" si="36"/>
        <v>5.0299999999999997E-3</v>
      </c>
      <c r="G523" s="7">
        <f t="shared" si="37"/>
        <v>0.24646999999999999</v>
      </c>
    </row>
    <row r="524" spans="1:7" x14ac:dyDescent="0.35">
      <c r="A524" s="48"/>
      <c r="B524" s="5" t="s">
        <v>88</v>
      </c>
      <c r="C524" s="6">
        <v>0.24</v>
      </c>
      <c r="D524" s="7">
        <f t="shared" si="34"/>
        <v>0.23699999999999999</v>
      </c>
      <c r="E524" s="7">
        <f t="shared" si="35"/>
        <v>0.21199999999999999</v>
      </c>
      <c r="F524" s="7">
        <f t="shared" si="36"/>
        <v>4.2399999999999998E-3</v>
      </c>
      <c r="G524" s="7">
        <f t="shared" si="37"/>
        <v>0.20776</v>
      </c>
    </row>
    <row r="525" spans="1:7" x14ac:dyDescent="0.35">
      <c r="A525" s="48"/>
      <c r="B525" s="5" t="s">
        <v>89</v>
      </c>
      <c r="C525" s="6">
        <v>0.35</v>
      </c>
      <c r="D525" s="7">
        <f t="shared" si="34"/>
        <v>0.34562499999999996</v>
      </c>
      <c r="E525" s="7">
        <f t="shared" si="35"/>
        <v>0.32062499999999994</v>
      </c>
      <c r="F525" s="7">
        <f t="shared" si="36"/>
        <v>6.4124999999999989E-3</v>
      </c>
      <c r="G525" s="7">
        <f t="shared" si="37"/>
        <v>0.31421249999999995</v>
      </c>
    </row>
    <row r="526" spans="1:7" x14ac:dyDescent="0.35">
      <c r="A526" s="48" t="s">
        <v>191</v>
      </c>
      <c r="B526" s="5" t="s">
        <v>87</v>
      </c>
      <c r="C526" s="6">
        <v>0.18</v>
      </c>
      <c r="D526" s="7">
        <f t="shared" si="34"/>
        <v>0.17774999999999999</v>
      </c>
      <c r="E526" s="7">
        <f t="shared" si="35"/>
        <v>0.15275</v>
      </c>
      <c r="F526" s="7">
        <f t="shared" si="36"/>
        <v>3.055E-3</v>
      </c>
      <c r="G526" s="7">
        <f t="shared" si="37"/>
        <v>0.14969499999999999</v>
      </c>
    </row>
    <row r="527" spans="1:7" x14ac:dyDescent="0.35">
      <c r="A527" s="48"/>
      <c r="B527" s="5" t="s">
        <v>88</v>
      </c>
      <c r="C527" s="6">
        <v>0.18</v>
      </c>
      <c r="D527" s="7">
        <f t="shared" si="34"/>
        <v>0.17774999999999999</v>
      </c>
      <c r="E527" s="7">
        <f t="shared" si="35"/>
        <v>0.15275</v>
      </c>
      <c r="F527" s="7">
        <f t="shared" si="36"/>
        <v>3.055E-3</v>
      </c>
      <c r="G527" s="7">
        <f t="shared" si="37"/>
        <v>0.14969499999999999</v>
      </c>
    </row>
    <row r="528" spans="1:7" x14ac:dyDescent="0.35">
      <c r="A528" s="48"/>
      <c r="B528" s="5" t="s">
        <v>89</v>
      </c>
      <c r="C528" s="6">
        <v>0.18</v>
      </c>
      <c r="D528" s="7">
        <f t="shared" si="34"/>
        <v>0.17774999999999999</v>
      </c>
      <c r="E528" s="7">
        <f t="shared" si="35"/>
        <v>0.15275</v>
      </c>
      <c r="F528" s="7">
        <f t="shared" si="36"/>
        <v>3.055E-3</v>
      </c>
      <c r="G528" s="7">
        <f t="shared" si="37"/>
        <v>0.14969499999999999</v>
      </c>
    </row>
    <row r="529" spans="1:7" x14ac:dyDescent="0.35">
      <c r="A529" s="48" t="s">
        <v>192</v>
      </c>
      <c r="B529" s="5" t="s">
        <v>87</v>
      </c>
      <c r="C529" s="6">
        <v>0.21</v>
      </c>
      <c r="D529" s="7">
        <f t="shared" si="34"/>
        <v>0.207375</v>
      </c>
      <c r="E529" s="7">
        <f t="shared" si="35"/>
        <v>0.18237500000000001</v>
      </c>
      <c r="F529" s="7">
        <f t="shared" si="36"/>
        <v>3.6475000000000001E-3</v>
      </c>
      <c r="G529" s="7">
        <f t="shared" si="37"/>
        <v>0.17872750000000001</v>
      </c>
    </row>
    <row r="530" spans="1:7" x14ac:dyDescent="0.35">
      <c r="A530" s="48"/>
      <c r="B530" s="5" t="s">
        <v>88</v>
      </c>
      <c r="C530" s="6">
        <v>0.21</v>
      </c>
      <c r="D530" s="7">
        <f t="shared" si="34"/>
        <v>0.207375</v>
      </c>
      <c r="E530" s="7">
        <f t="shared" si="35"/>
        <v>0.18237500000000001</v>
      </c>
      <c r="F530" s="7">
        <f t="shared" si="36"/>
        <v>3.6475000000000001E-3</v>
      </c>
      <c r="G530" s="7">
        <f t="shared" si="37"/>
        <v>0.17872750000000001</v>
      </c>
    </row>
    <row r="531" spans="1:7" x14ac:dyDescent="0.35">
      <c r="A531" s="48"/>
      <c r="B531" s="5" t="s">
        <v>89</v>
      </c>
      <c r="C531" s="6">
        <v>0.22</v>
      </c>
      <c r="D531" s="7">
        <f t="shared" si="34"/>
        <v>0.21725</v>
      </c>
      <c r="E531" s="7">
        <f t="shared" si="35"/>
        <v>0.19225</v>
      </c>
      <c r="F531" s="7">
        <f t="shared" si="36"/>
        <v>3.8450000000000003E-3</v>
      </c>
      <c r="G531" s="7">
        <f t="shared" si="37"/>
        <v>0.18840500000000002</v>
      </c>
    </row>
    <row r="532" spans="1:7" x14ac:dyDescent="0.35">
      <c r="A532" s="48" t="s">
        <v>193</v>
      </c>
      <c r="B532" s="5" t="s">
        <v>87</v>
      </c>
      <c r="C532" s="6">
        <v>0.13</v>
      </c>
      <c r="D532" s="7">
        <f t="shared" si="34"/>
        <v>0.12837500000000002</v>
      </c>
      <c r="E532" s="7">
        <f t="shared" si="35"/>
        <v>0.10337500000000002</v>
      </c>
      <c r="F532" s="7">
        <f t="shared" si="36"/>
        <v>2.0675000000000003E-3</v>
      </c>
      <c r="G532" s="7">
        <f t="shared" si="37"/>
        <v>0.10130750000000002</v>
      </c>
    </row>
    <row r="533" spans="1:7" x14ac:dyDescent="0.35">
      <c r="A533" s="48"/>
      <c r="B533" s="5" t="s">
        <v>88</v>
      </c>
      <c r="C533" s="6">
        <v>0.13</v>
      </c>
      <c r="D533" s="7">
        <f t="shared" si="34"/>
        <v>0.12837500000000002</v>
      </c>
      <c r="E533" s="7">
        <f t="shared" si="35"/>
        <v>0.10337500000000002</v>
      </c>
      <c r="F533" s="7">
        <f t="shared" si="36"/>
        <v>2.0675000000000003E-3</v>
      </c>
      <c r="G533" s="7">
        <f t="shared" si="37"/>
        <v>0.10130750000000002</v>
      </c>
    </row>
    <row r="534" spans="1:7" x14ac:dyDescent="0.35">
      <c r="A534" s="48"/>
      <c r="B534" s="5" t="s">
        <v>89</v>
      </c>
      <c r="C534" s="6">
        <v>0.13</v>
      </c>
      <c r="D534" s="7">
        <f t="shared" si="34"/>
        <v>0.12837500000000002</v>
      </c>
      <c r="E534" s="7">
        <f t="shared" si="35"/>
        <v>0.10337500000000002</v>
      </c>
      <c r="F534" s="7">
        <f t="shared" si="36"/>
        <v>2.0675000000000003E-3</v>
      </c>
      <c r="G534" s="7">
        <f t="shared" si="37"/>
        <v>0.10130750000000002</v>
      </c>
    </row>
    <row r="535" spans="1:7" x14ac:dyDescent="0.35">
      <c r="A535" s="48" t="s">
        <v>194</v>
      </c>
      <c r="B535" s="5" t="s">
        <v>87</v>
      </c>
      <c r="C535" s="6">
        <v>0.13</v>
      </c>
      <c r="D535" s="7">
        <f t="shared" si="34"/>
        <v>0.12837500000000002</v>
      </c>
      <c r="E535" s="7">
        <f t="shared" si="35"/>
        <v>0.10337500000000002</v>
      </c>
      <c r="F535" s="7">
        <f t="shared" si="36"/>
        <v>2.0675000000000003E-3</v>
      </c>
      <c r="G535" s="7">
        <f t="shared" si="37"/>
        <v>0.10130750000000002</v>
      </c>
    </row>
    <row r="536" spans="1:7" x14ac:dyDescent="0.35">
      <c r="A536" s="48"/>
      <c r="B536" s="5" t="s">
        <v>88</v>
      </c>
      <c r="C536" s="6">
        <v>0.14000000000000001</v>
      </c>
      <c r="D536" s="7">
        <f t="shared" si="34"/>
        <v>0.13825000000000001</v>
      </c>
      <c r="E536" s="7">
        <f t="shared" si="35"/>
        <v>0.11325000000000002</v>
      </c>
      <c r="F536" s="7">
        <f t="shared" si="36"/>
        <v>2.2650000000000005E-3</v>
      </c>
      <c r="G536" s="7">
        <f t="shared" si="37"/>
        <v>0.11098500000000001</v>
      </c>
    </row>
    <row r="537" spans="1:7" x14ac:dyDescent="0.35">
      <c r="A537" s="48"/>
      <c r="B537" s="5" t="s">
        <v>89</v>
      </c>
      <c r="C537" s="6">
        <v>0.12</v>
      </c>
      <c r="D537" s="7">
        <f t="shared" si="34"/>
        <v>0.11849999999999999</v>
      </c>
      <c r="E537" s="7">
        <f t="shared" si="35"/>
        <v>9.35E-2</v>
      </c>
      <c r="F537" s="7">
        <f t="shared" si="36"/>
        <v>1.8700000000000001E-3</v>
      </c>
      <c r="G537" s="7">
        <f t="shared" si="37"/>
        <v>9.1630000000000003E-2</v>
      </c>
    </row>
    <row r="538" spans="1:7" x14ac:dyDescent="0.35">
      <c r="A538" s="5" t="s">
        <v>195</v>
      </c>
      <c r="B538" s="5" t="s">
        <v>32</v>
      </c>
      <c r="C538" s="6">
        <v>0.32</v>
      </c>
      <c r="D538" s="7">
        <f t="shared" si="34"/>
        <v>0.316</v>
      </c>
      <c r="E538" s="7">
        <f t="shared" si="35"/>
        <v>0.29099999999999998</v>
      </c>
      <c r="F538" s="7">
        <f t="shared" si="36"/>
        <v>5.8199999999999997E-3</v>
      </c>
      <c r="G538" s="7">
        <f t="shared" si="37"/>
        <v>0.28517999999999999</v>
      </c>
    </row>
    <row r="539" spans="1:7" x14ac:dyDescent="0.35">
      <c r="A539" s="5" t="s">
        <v>196</v>
      </c>
      <c r="B539" s="5" t="s">
        <v>32</v>
      </c>
      <c r="C539" s="6">
        <v>0.32</v>
      </c>
      <c r="D539" s="7">
        <f t="shared" si="34"/>
        <v>0.316</v>
      </c>
      <c r="E539" s="7">
        <f t="shared" si="35"/>
        <v>0.29099999999999998</v>
      </c>
      <c r="F539" s="7">
        <f t="shared" si="36"/>
        <v>5.8199999999999997E-3</v>
      </c>
      <c r="G539" s="7">
        <f t="shared" si="37"/>
        <v>0.28517999999999999</v>
      </c>
    </row>
    <row r="540" spans="1:7" ht="36" x14ac:dyDescent="0.35">
      <c r="A540" s="5" t="s">
        <v>197</v>
      </c>
      <c r="B540" s="5" t="s">
        <v>198</v>
      </c>
      <c r="C540" s="6">
        <v>0.17499999999999999</v>
      </c>
      <c r="D540" s="7">
        <f t="shared" si="34"/>
        <v>0.17281249999999998</v>
      </c>
      <c r="E540" s="7">
        <f t="shared" si="35"/>
        <v>0.14781249999999999</v>
      </c>
      <c r="F540" s="7">
        <f t="shared" si="36"/>
        <v>2.9562499999999997E-3</v>
      </c>
      <c r="G540" s="7">
        <f t="shared" si="37"/>
        <v>0.14485624999999999</v>
      </c>
    </row>
    <row r="541" spans="1:7" x14ac:dyDescent="0.35">
      <c r="A541" s="5" t="s">
        <v>199</v>
      </c>
      <c r="B541" s="5" t="s">
        <v>32</v>
      </c>
      <c r="C541" s="6">
        <v>0.23</v>
      </c>
      <c r="D541" s="7">
        <f t="shared" si="34"/>
        <v>0.22712500000000002</v>
      </c>
      <c r="E541" s="7">
        <f t="shared" si="35"/>
        <v>0.20212500000000003</v>
      </c>
      <c r="F541" s="7">
        <f t="shared" si="36"/>
        <v>4.042500000000001E-3</v>
      </c>
      <c r="G541" s="7">
        <f t="shared" si="37"/>
        <v>0.19808250000000002</v>
      </c>
    </row>
    <row r="542" spans="1:7" x14ac:dyDescent="0.35">
      <c r="A542" s="44" t="s">
        <v>200</v>
      </c>
      <c r="B542" s="5" t="s">
        <v>92</v>
      </c>
      <c r="C542" s="6">
        <v>0.35</v>
      </c>
      <c r="D542" s="7">
        <f t="shared" si="34"/>
        <v>0.34562499999999996</v>
      </c>
      <c r="E542" s="7">
        <f t="shared" si="35"/>
        <v>0.32062499999999994</v>
      </c>
      <c r="F542" s="7">
        <f t="shared" si="36"/>
        <v>6.4124999999999989E-3</v>
      </c>
      <c r="G542" s="7">
        <f t="shared" si="37"/>
        <v>0.31421249999999995</v>
      </c>
    </row>
    <row r="543" spans="1:7" x14ac:dyDescent="0.35">
      <c r="A543" s="45"/>
      <c r="B543" s="5" t="s">
        <v>93</v>
      </c>
      <c r="C543" s="6">
        <v>0.35</v>
      </c>
      <c r="D543" s="7">
        <f t="shared" si="34"/>
        <v>0.34562499999999996</v>
      </c>
      <c r="E543" s="7">
        <f t="shared" si="35"/>
        <v>0.32062499999999994</v>
      </c>
      <c r="F543" s="7">
        <f t="shared" si="36"/>
        <v>6.4124999999999989E-3</v>
      </c>
      <c r="G543" s="7">
        <f t="shared" si="37"/>
        <v>0.31421249999999995</v>
      </c>
    </row>
    <row r="544" spans="1:7" x14ac:dyDescent="0.35">
      <c r="A544" s="44" t="s">
        <v>1146</v>
      </c>
      <c r="B544" s="5" t="s">
        <v>33</v>
      </c>
      <c r="C544" s="6">
        <v>0.25</v>
      </c>
      <c r="D544" s="7">
        <f t="shared" si="34"/>
        <v>0.24687500000000001</v>
      </c>
      <c r="E544" s="7">
        <f t="shared" si="35"/>
        <v>0.22187500000000002</v>
      </c>
      <c r="F544" s="7">
        <f t="shared" si="36"/>
        <v>4.4375000000000005E-3</v>
      </c>
      <c r="G544" s="7">
        <f t="shared" si="37"/>
        <v>0.21743750000000001</v>
      </c>
    </row>
    <row r="545" spans="1:7" x14ac:dyDescent="0.35">
      <c r="A545" s="47"/>
      <c r="B545" s="5" t="s">
        <v>34</v>
      </c>
      <c r="C545" s="6">
        <v>0</v>
      </c>
      <c r="D545" s="7" t="s">
        <v>20</v>
      </c>
      <c r="E545" s="7" t="s">
        <v>20</v>
      </c>
      <c r="F545" s="7" t="s">
        <v>20</v>
      </c>
      <c r="G545" s="7" t="s">
        <v>20</v>
      </c>
    </row>
    <row r="546" spans="1:7" x14ac:dyDescent="0.35">
      <c r="A546" s="45"/>
      <c r="B546" s="5" t="s">
        <v>35</v>
      </c>
      <c r="C546" s="6">
        <v>0</v>
      </c>
      <c r="D546" s="7" t="s">
        <v>20</v>
      </c>
      <c r="E546" s="7" t="s">
        <v>20</v>
      </c>
      <c r="F546" s="7" t="s">
        <v>20</v>
      </c>
      <c r="G546" s="7" t="s">
        <v>20</v>
      </c>
    </row>
    <row r="547" spans="1:7" x14ac:dyDescent="0.35">
      <c r="A547" s="48" t="s">
        <v>1142</v>
      </c>
      <c r="B547" s="5" t="s">
        <v>33</v>
      </c>
      <c r="C547" s="6">
        <v>0.14000000000000001</v>
      </c>
      <c r="D547" s="7">
        <f t="shared" si="34"/>
        <v>0.13825000000000001</v>
      </c>
      <c r="E547" s="7">
        <f t="shared" si="35"/>
        <v>0.11325000000000002</v>
      </c>
      <c r="F547" s="7">
        <f t="shared" si="36"/>
        <v>2.2650000000000005E-3</v>
      </c>
      <c r="G547" s="7">
        <f t="shared" si="37"/>
        <v>0.11098500000000001</v>
      </c>
    </row>
    <row r="548" spans="1:7" x14ac:dyDescent="0.35">
      <c r="A548" s="48"/>
      <c r="B548" s="5" t="s">
        <v>34</v>
      </c>
      <c r="C548" s="6">
        <v>0.35</v>
      </c>
      <c r="D548" s="7">
        <f t="shared" si="34"/>
        <v>0.34562499999999996</v>
      </c>
      <c r="E548" s="7">
        <f t="shared" si="35"/>
        <v>0.32062499999999994</v>
      </c>
      <c r="F548" s="7">
        <f t="shared" si="36"/>
        <v>6.4124999999999989E-3</v>
      </c>
      <c r="G548" s="7">
        <f t="shared" si="37"/>
        <v>0.31421249999999995</v>
      </c>
    </row>
    <row r="549" spans="1:7" x14ac:dyDescent="0.35">
      <c r="A549" s="48"/>
      <c r="B549" s="5" t="s">
        <v>35</v>
      </c>
      <c r="C549" s="6">
        <v>0</v>
      </c>
      <c r="D549" s="7" t="s">
        <v>20</v>
      </c>
      <c r="E549" s="7" t="s">
        <v>20</v>
      </c>
      <c r="F549" s="7" t="s">
        <v>20</v>
      </c>
      <c r="G549" s="7" t="s">
        <v>20</v>
      </c>
    </row>
    <row r="550" spans="1:7" x14ac:dyDescent="0.35">
      <c r="A550" s="48" t="s">
        <v>1557</v>
      </c>
      <c r="B550" s="5" t="s">
        <v>34</v>
      </c>
      <c r="C550" s="6">
        <v>0.4</v>
      </c>
      <c r="D550" s="7">
        <f t="shared" si="34"/>
        <v>0.39500000000000002</v>
      </c>
      <c r="E550" s="7">
        <f t="shared" si="35"/>
        <v>0.37</v>
      </c>
      <c r="F550" s="7">
        <f t="shared" si="36"/>
        <v>7.4000000000000003E-3</v>
      </c>
      <c r="G550" s="7">
        <f t="shared" si="37"/>
        <v>0.36259999999999998</v>
      </c>
    </row>
    <row r="551" spans="1:7" x14ac:dyDescent="0.35">
      <c r="A551" s="48"/>
      <c r="B551" s="5" t="s">
        <v>201</v>
      </c>
      <c r="C551" s="6">
        <v>0.31</v>
      </c>
      <c r="D551" s="7">
        <f t="shared" si="34"/>
        <v>0.30612499999999998</v>
      </c>
      <c r="E551" s="7">
        <f t="shared" si="35"/>
        <v>0.28112499999999996</v>
      </c>
      <c r="F551" s="7">
        <f t="shared" si="36"/>
        <v>5.622499999999999E-3</v>
      </c>
      <c r="G551" s="7">
        <f t="shared" si="37"/>
        <v>0.27550249999999998</v>
      </c>
    </row>
    <row r="552" spans="1:7" x14ac:dyDescent="0.35">
      <c r="A552" s="48"/>
      <c r="B552" s="5" t="s">
        <v>202</v>
      </c>
      <c r="C552" s="6">
        <v>0.4</v>
      </c>
      <c r="D552" s="7">
        <f t="shared" si="34"/>
        <v>0.39500000000000002</v>
      </c>
      <c r="E552" s="7">
        <f t="shared" si="35"/>
        <v>0.37</v>
      </c>
      <c r="F552" s="7">
        <f t="shared" si="36"/>
        <v>7.4000000000000003E-3</v>
      </c>
      <c r="G552" s="7">
        <f t="shared" si="37"/>
        <v>0.36259999999999998</v>
      </c>
    </row>
    <row r="553" spans="1:7" x14ac:dyDescent="0.35">
      <c r="A553" s="48" t="s">
        <v>1558</v>
      </c>
      <c r="B553" s="5" t="s">
        <v>34</v>
      </c>
      <c r="C553" s="6">
        <v>0.39</v>
      </c>
      <c r="D553" s="7">
        <f t="shared" si="34"/>
        <v>0.385125</v>
      </c>
      <c r="E553" s="7">
        <f t="shared" si="35"/>
        <v>0.36012499999999997</v>
      </c>
      <c r="F553" s="7">
        <f t="shared" si="36"/>
        <v>7.2024999999999997E-3</v>
      </c>
      <c r="G553" s="7">
        <f t="shared" si="37"/>
        <v>0.35292249999999997</v>
      </c>
    </row>
    <row r="554" spans="1:7" x14ac:dyDescent="0.35">
      <c r="A554" s="48"/>
      <c r="B554" s="5" t="s">
        <v>201</v>
      </c>
      <c r="C554" s="6">
        <v>0.28000000000000003</v>
      </c>
      <c r="D554" s="7">
        <f t="shared" si="34"/>
        <v>0.27650000000000002</v>
      </c>
      <c r="E554" s="7">
        <f t="shared" si="35"/>
        <v>0.2515</v>
      </c>
      <c r="F554" s="7">
        <f t="shared" si="36"/>
        <v>5.0299999999999997E-3</v>
      </c>
      <c r="G554" s="7">
        <f t="shared" si="37"/>
        <v>0.24646999999999999</v>
      </c>
    </row>
    <row r="555" spans="1:7" x14ac:dyDescent="0.35">
      <c r="A555" s="48"/>
      <c r="B555" s="5" t="s">
        <v>202</v>
      </c>
      <c r="C555" s="6">
        <v>0.39</v>
      </c>
      <c r="D555" s="7">
        <f t="shared" si="34"/>
        <v>0.385125</v>
      </c>
      <c r="E555" s="7">
        <f t="shared" si="35"/>
        <v>0.36012499999999997</v>
      </c>
      <c r="F555" s="7">
        <f t="shared" si="36"/>
        <v>7.2024999999999997E-3</v>
      </c>
      <c r="G555" s="7">
        <f t="shared" si="37"/>
        <v>0.35292249999999997</v>
      </c>
    </row>
    <row r="556" spans="1:7" x14ac:dyDescent="0.35">
      <c r="A556" s="48" t="s">
        <v>1559</v>
      </c>
      <c r="B556" s="5" t="s">
        <v>61</v>
      </c>
      <c r="C556" s="6">
        <v>0.3</v>
      </c>
      <c r="D556" s="7">
        <f t="shared" si="34"/>
        <v>0.29625000000000001</v>
      </c>
      <c r="E556" s="7">
        <f t="shared" si="35"/>
        <v>0.27124999999999999</v>
      </c>
      <c r="F556" s="7">
        <f t="shared" si="36"/>
        <v>5.4250000000000001E-3</v>
      </c>
      <c r="G556" s="7">
        <f t="shared" si="37"/>
        <v>0.26582499999999998</v>
      </c>
    </row>
    <row r="557" spans="1:7" x14ac:dyDescent="0.35">
      <c r="A557" s="48"/>
      <c r="B557" s="5" t="s">
        <v>62</v>
      </c>
      <c r="C557" s="6">
        <v>0.3</v>
      </c>
      <c r="D557" s="7">
        <f t="shared" si="34"/>
        <v>0.29625000000000001</v>
      </c>
      <c r="E557" s="7">
        <f t="shared" si="35"/>
        <v>0.27124999999999999</v>
      </c>
      <c r="F557" s="7">
        <f t="shared" si="36"/>
        <v>5.4250000000000001E-3</v>
      </c>
      <c r="G557" s="7">
        <f t="shared" si="37"/>
        <v>0.26582499999999998</v>
      </c>
    </row>
    <row r="558" spans="1:7" x14ac:dyDescent="0.35">
      <c r="A558" s="48"/>
      <c r="B558" s="5" t="s">
        <v>202</v>
      </c>
      <c r="C558" s="6">
        <v>0.3</v>
      </c>
      <c r="D558" s="7">
        <f t="shared" si="34"/>
        <v>0.29625000000000001</v>
      </c>
      <c r="E558" s="7">
        <f t="shared" si="35"/>
        <v>0.27124999999999999</v>
      </c>
      <c r="F558" s="7">
        <f t="shared" si="36"/>
        <v>5.4250000000000001E-3</v>
      </c>
      <c r="G558" s="7">
        <f t="shared" si="37"/>
        <v>0.26582499999999998</v>
      </c>
    </row>
    <row r="559" spans="1:7" x14ac:dyDescent="0.35">
      <c r="A559" s="48" t="s">
        <v>1560</v>
      </c>
      <c r="B559" s="5" t="s">
        <v>61</v>
      </c>
      <c r="C559" s="6">
        <v>0.28999999999999998</v>
      </c>
      <c r="D559" s="7">
        <f t="shared" si="34"/>
        <v>0.28637499999999999</v>
      </c>
      <c r="E559" s="7">
        <f t="shared" si="35"/>
        <v>0.26137499999999997</v>
      </c>
      <c r="F559" s="7">
        <f t="shared" si="36"/>
        <v>5.2274999999999995E-3</v>
      </c>
      <c r="G559" s="7">
        <f t="shared" si="37"/>
        <v>0.25614749999999997</v>
      </c>
    </row>
    <row r="560" spans="1:7" x14ac:dyDescent="0.35">
      <c r="A560" s="48"/>
      <c r="B560" s="5" t="s">
        <v>62</v>
      </c>
      <c r="C560" s="6">
        <v>0.28999999999999998</v>
      </c>
      <c r="D560" s="7">
        <f t="shared" si="34"/>
        <v>0.28637499999999999</v>
      </c>
      <c r="E560" s="7">
        <f t="shared" si="35"/>
        <v>0.26137499999999997</v>
      </c>
      <c r="F560" s="7">
        <f t="shared" si="36"/>
        <v>5.2274999999999995E-3</v>
      </c>
      <c r="G560" s="7">
        <f t="shared" si="37"/>
        <v>0.25614749999999997</v>
      </c>
    </row>
    <row r="561" spans="1:7" x14ac:dyDescent="0.35">
      <c r="A561" s="48"/>
      <c r="B561" s="5" t="s">
        <v>202</v>
      </c>
      <c r="C561" s="6">
        <v>0.28999999999999998</v>
      </c>
      <c r="D561" s="7">
        <f t="shared" si="34"/>
        <v>0.28637499999999999</v>
      </c>
      <c r="E561" s="7">
        <f t="shared" si="35"/>
        <v>0.26137499999999997</v>
      </c>
      <c r="F561" s="7">
        <f t="shared" si="36"/>
        <v>5.2274999999999995E-3</v>
      </c>
      <c r="G561" s="7">
        <f t="shared" si="37"/>
        <v>0.25614749999999997</v>
      </c>
    </row>
    <row r="562" spans="1:7" x14ac:dyDescent="0.35">
      <c r="A562" s="5" t="s">
        <v>203</v>
      </c>
      <c r="B562" s="5" t="s">
        <v>58</v>
      </c>
      <c r="C562" s="6">
        <v>0.3</v>
      </c>
      <c r="D562" s="7">
        <f t="shared" si="34"/>
        <v>0.29625000000000001</v>
      </c>
      <c r="E562" s="7">
        <f t="shared" si="35"/>
        <v>0.27124999999999999</v>
      </c>
      <c r="F562" s="7">
        <f t="shared" si="36"/>
        <v>5.4250000000000001E-3</v>
      </c>
      <c r="G562" s="7">
        <f t="shared" si="37"/>
        <v>0.26582499999999998</v>
      </c>
    </row>
    <row r="563" spans="1:7" x14ac:dyDescent="0.35">
      <c r="A563" s="5" t="s">
        <v>204</v>
      </c>
      <c r="B563" s="5" t="s">
        <v>27</v>
      </c>
      <c r="C563" s="6">
        <v>0.3</v>
      </c>
      <c r="D563" s="7">
        <f t="shared" si="34"/>
        <v>0.29625000000000001</v>
      </c>
      <c r="E563" s="7">
        <f t="shared" si="35"/>
        <v>0.27124999999999999</v>
      </c>
      <c r="F563" s="7">
        <f t="shared" si="36"/>
        <v>5.4250000000000001E-3</v>
      </c>
      <c r="G563" s="7">
        <f t="shared" si="37"/>
        <v>0.26582499999999998</v>
      </c>
    </row>
    <row r="564" spans="1:7" x14ac:dyDescent="0.35">
      <c r="A564" s="5" t="s">
        <v>205</v>
      </c>
      <c r="B564" s="5" t="s">
        <v>27</v>
      </c>
      <c r="C564" s="6">
        <v>0.25</v>
      </c>
      <c r="D564" s="7">
        <f t="shared" si="34"/>
        <v>0.24687500000000001</v>
      </c>
      <c r="E564" s="7">
        <f t="shared" si="35"/>
        <v>0.22187500000000002</v>
      </c>
      <c r="F564" s="7">
        <f t="shared" si="36"/>
        <v>4.4375000000000005E-3</v>
      </c>
      <c r="G564" s="7">
        <f t="shared" si="37"/>
        <v>0.21743750000000001</v>
      </c>
    </row>
    <row r="565" spans="1:7" x14ac:dyDescent="0.35">
      <c r="A565" s="41" t="s">
        <v>1182</v>
      </c>
      <c r="B565" s="5" t="s">
        <v>34</v>
      </c>
      <c r="C565" s="6">
        <v>9.5000000000000001E-2</v>
      </c>
      <c r="D565" s="7">
        <f t="shared" si="34"/>
        <v>9.3812500000000007E-2</v>
      </c>
      <c r="E565" s="7">
        <f t="shared" si="35"/>
        <v>6.8812499999999999E-2</v>
      </c>
      <c r="F565" s="7">
        <f t="shared" si="36"/>
        <v>1.3762500000000001E-3</v>
      </c>
      <c r="G565" s="7">
        <f t="shared" si="37"/>
        <v>6.7436250000000003E-2</v>
      </c>
    </row>
    <row r="566" spans="1:7" x14ac:dyDescent="0.35">
      <c r="A566" s="42"/>
      <c r="B566" s="5" t="s">
        <v>35</v>
      </c>
      <c r="C566" s="6">
        <v>0.13500000000000001</v>
      </c>
      <c r="D566" s="7">
        <f t="shared" si="34"/>
        <v>0.1333125</v>
      </c>
      <c r="E566" s="7">
        <f t="shared" si="35"/>
        <v>0.10831250000000001</v>
      </c>
      <c r="F566" s="7">
        <f t="shared" si="36"/>
        <v>2.1662500000000002E-3</v>
      </c>
      <c r="G566" s="7">
        <f t="shared" si="37"/>
        <v>0.10614625000000001</v>
      </c>
    </row>
    <row r="567" spans="1:7" x14ac:dyDescent="0.35">
      <c r="A567" s="43"/>
      <c r="B567" s="5" t="s">
        <v>1183</v>
      </c>
      <c r="C567" s="6">
        <v>0.14499999999999999</v>
      </c>
      <c r="D567" s="7">
        <f t="shared" si="34"/>
        <v>0.1431875</v>
      </c>
      <c r="E567" s="7">
        <f t="shared" si="35"/>
        <v>0.1181875</v>
      </c>
      <c r="F567" s="7">
        <f t="shared" si="36"/>
        <v>2.36375E-3</v>
      </c>
      <c r="G567" s="7">
        <f t="shared" si="37"/>
        <v>0.11582375</v>
      </c>
    </row>
    <row r="568" spans="1:7" ht="48" x14ac:dyDescent="0.35">
      <c r="A568" s="2" t="s">
        <v>206</v>
      </c>
      <c r="B568" s="2" t="s">
        <v>1</v>
      </c>
      <c r="C568" s="3" t="s">
        <v>2</v>
      </c>
      <c r="D568" s="4" t="s">
        <v>1275</v>
      </c>
      <c r="E568" s="38" t="s">
        <v>1277</v>
      </c>
      <c r="F568" s="4" t="s">
        <v>363</v>
      </c>
      <c r="G568" s="4" t="s">
        <v>364</v>
      </c>
    </row>
    <row r="569" spans="1:7" x14ac:dyDescent="0.35">
      <c r="A569" s="5" t="s">
        <v>207</v>
      </c>
      <c r="B569" s="5" t="s">
        <v>100</v>
      </c>
      <c r="C569" s="7">
        <v>0.6</v>
      </c>
      <c r="D569" s="7">
        <f t="shared" si="34"/>
        <v>0.59250000000000003</v>
      </c>
      <c r="E569" s="7">
        <f t="shared" si="35"/>
        <v>0.5675</v>
      </c>
      <c r="F569" s="7">
        <f t="shared" si="36"/>
        <v>1.1350000000000001E-2</v>
      </c>
      <c r="G569" s="7">
        <f t="shared" si="37"/>
        <v>0.55615000000000003</v>
      </c>
    </row>
    <row r="570" spans="1:7" x14ac:dyDescent="0.35">
      <c r="A570" s="5" t="s">
        <v>208</v>
      </c>
      <c r="B570" s="5" t="s">
        <v>100</v>
      </c>
      <c r="C570" s="7">
        <v>0.6</v>
      </c>
      <c r="D570" s="7">
        <f t="shared" si="34"/>
        <v>0.59250000000000003</v>
      </c>
      <c r="E570" s="7">
        <f t="shared" si="35"/>
        <v>0.5675</v>
      </c>
      <c r="F570" s="7">
        <f t="shared" si="36"/>
        <v>1.1350000000000001E-2</v>
      </c>
      <c r="G570" s="7">
        <f t="shared" si="37"/>
        <v>0.55615000000000003</v>
      </c>
    </row>
    <row r="571" spans="1:7" x14ac:dyDescent="0.35">
      <c r="A571" s="48" t="s">
        <v>209</v>
      </c>
      <c r="B571" s="5" t="s">
        <v>87</v>
      </c>
      <c r="C571" s="6">
        <v>0</v>
      </c>
      <c r="D571" s="7" t="s">
        <v>20</v>
      </c>
      <c r="E571" s="7" t="s">
        <v>20</v>
      </c>
      <c r="F571" s="7" t="s">
        <v>20</v>
      </c>
      <c r="G571" s="7" t="s">
        <v>20</v>
      </c>
    </row>
    <row r="572" spans="1:7" x14ac:dyDescent="0.35">
      <c r="A572" s="48"/>
      <c r="B572" s="5" t="s">
        <v>88</v>
      </c>
      <c r="C572" s="6">
        <v>0.6</v>
      </c>
      <c r="D572" s="7">
        <f t="shared" si="34"/>
        <v>0.59250000000000003</v>
      </c>
      <c r="E572" s="7">
        <f t="shared" si="35"/>
        <v>0.5675</v>
      </c>
      <c r="F572" s="7">
        <f t="shared" si="36"/>
        <v>1.1350000000000001E-2</v>
      </c>
      <c r="G572" s="7">
        <f t="shared" si="37"/>
        <v>0.55615000000000003</v>
      </c>
    </row>
    <row r="573" spans="1:7" x14ac:dyDescent="0.35">
      <c r="A573" s="48"/>
      <c r="B573" s="5" t="s">
        <v>89</v>
      </c>
      <c r="C573" s="6">
        <v>0.6</v>
      </c>
      <c r="D573" s="7">
        <f t="shared" si="34"/>
        <v>0.59250000000000003</v>
      </c>
      <c r="E573" s="7">
        <f t="shared" si="35"/>
        <v>0.5675</v>
      </c>
      <c r="F573" s="7">
        <f t="shared" si="36"/>
        <v>1.1350000000000001E-2</v>
      </c>
      <c r="G573" s="7">
        <f t="shared" si="37"/>
        <v>0.55615000000000003</v>
      </c>
    </row>
    <row r="574" spans="1:7" x14ac:dyDescent="0.35">
      <c r="A574" s="48" t="s">
        <v>210</v>
      </c>
      <c r="B574" s="5" t="s">
        <v>87</v>
      </c>
      <c r="C574" s="6">
        <v>0.28000000000000003</v>
      </c>
      <c r="D574" s="7">
        <f t="shared" si="34"/>
        <v>0.27650000000000002</v>
      </c>
      <c r="E574" s="7">
        <f t="shared" si="35"/>
        <v>0.2515</v>
      </c>
      <c r="F574" s="7">
        <f t="shared" si="36"/>
        <v>5.0299999999999997E-3</v>
      </c>
      <c r="G574" s="7">
        <f t="shared" si="37"/>
        <v>0.24646999999999999</v>
      </c>
    </row>
    <row r="575" spans="1:7" x14ac:dyDescent="0.35">
      <c r="A575" s="48"/>
      <c r="B575" s="5" t="s">
        <v>88</v>
      </c>
      <c r="C575" s="6">
        <v>0.28000000000000003</v>
      </c>
      <c r="D575" s="7">
        <f t="shared" si="34"/>
        <v>0.27650000000000002</v>
      </c>
      <c r="E575" s="7">
        <f t="shared" si="35"/>
        <v>0.2515</v>
      </c>
      <c r="F575" s="7">
        <f t="shared" si="36"/>
        <v>5.0299999999999997E-3</v>
      </c>
      <c r="G575" s="7">
        <f t="shared" si="37"/>
        <v>0.24646999999999999</v>
      </c>
    </row>
    <row r="576" spans="1:7" x14ac:dyDescent="0.35">
      <c r="A576" s="48"/>
      <c r="B576" s="5" t="s">
        <v>89</v>
      </c>
      <c r="C576" s="6">
        <v>0.28000000000000003</v>
      </c>
      <c r="D576" s="7">
        <f t="shared" si="34"/>
        <v>0.27650000000000002</v>
      </c>
      <c r="E576" s="7">
        <f t="shared" si="35"/>
        <v>0.2515</v>
      </c>
      <c r="F576" s="7">
        <f t="shared" si="36"/>
        <v>5.0299999999999997E-3</v>
      </c>
      <c r="G576" s="7">
        <f t="shared" si="37"/>
        <v>0.24646999999999999</v>
      </c>
    </row>
    <row r="577" spans="1:7" x14ac:dyDescent="0.35">
      <c r="A577" s="5" t="s">
        <v>211</v>
      </c>
      <c r="B577" s="5" t="s">
        <v>198</v>
      </c>
      <c r="C577" s="6">
        <v>0.5</v>
      </c>
      <c r="D577" s="7">
        <f t="shared" si="34"/>
        <v>0.49375000000000002</v>
      </c>
      <c r="E577" s="7">
        <f t="shared" si="35"/>
        <v>0.46875</v>
      </c>
      <c r="F577" s="7">
        <f t="shared" si="36"/>
        <v>9.3749999999999997E-3</v>
      </c>
      <c r="G577" s="7">
        <f t="shared" si="37"/>
        <v>0.45937499999999998</v>
      </c>
    </row>
    <row r="578" spans="1:7" x14ac:dyDescent="0.35">
      <c r="A578" s="29" t="s">
        <v>212</v>
      </c>
      <c r="B578" s="5" t="s">
        <v>100</v>
      </c>
      <c r="C578" s="6">
        <v>0.625</v>
      </c>
      <c r="D578" s="7">
        <f t="shared" si="34"/>
        <v>0.6171875</v>
      </c>
      <c r="E578" s="7">
        <f>D578-(1.5%)</f>
        <v>0.60218749999999999</v>
      </c>
      <c r="F578" s="7">
        <f t="shared" si="36"/>
        <v>1.2043750000000001E-2</v>
      </c>
      <c r="G578" s="7">
        <f t="shared" si="37"/>
        <v>0.59014374999999997</v>
      </c>
    </row>
    <row r="579" spans="1:7" ht="24" x14ac:dyDescent="0.35">
      <c r="A579" s="29" t="s">
        <v>1173</v>
      </c>
      <c r="B579" s="5" t="s">
        <v>100</v>
      </c>
      <c r="C579" s="6">
        <v>0.65</v>
      </c>
      <c r="D579" s="7">
        <f t="shared" si="34"/>
        <v>0.64187499999999997</v>
      </c>
      <c r="E579" s="7">
        <f t="shared" ref="E579:E586" si="38">D579-(1.5%)</f>
        <v>0.62687499999999996</v>
      </c>
      <c r="F579" s="7">
        <f t="shared" si="36"/>
        <v>1.25375E-2</v>
      </c>
      <c r="G579" s="7">
        <f t="shared" si="37"/>
        <v>0.61433749999999998</v>
      </c>
    </row>
    <row r="580" spans="1:7" ht="24" x14ac:dyDescent="0.35">
      <c r="A580" s="29" t="s">
        <v>1174</v>
      </c>
      <c r="B580" s="5" t="s">
        <v>100</v>
      </c>
      <c r="C580" s="6">
        <v>0.65</v>
      </c>
      <c r="D580" s="7">
        <f t="shared" si="34"/>
        <v>0.64187499999999997</v>
      </c>
      <c r="E580" s="7">
        <f t="shared" si="38"/>
        <v>0.62687499999999996</v>
      </c>
      <c r="F580" s="7">
        <f t="shared" si="36"/>
        <v>1.25375E-2</v>
      </c>
      <c r="G580" s="7">
        <f t="shared" si="37"/>
        <v>0.61433749999999998</v>
      </c>
    </row>
    <row r="581" spans="1:7" ht="24" x14ac:dyDescent="0.35">
      <c r="A581" s="29" t="s">
        <v>1175</v>
      </c>
      <c r="B581" s="5" t="s">
        <v>100</v>
      </c>
      <c r="C581" s="6">
        <v>0.7</v>
      </c>
      <c r="D581" s="7">
        <f t="shared" si="34"/>
        <v>0.69124999999999992</v>
      </c>
      <c r="E581" s="7">
        <f t="shared" si="38"/>
        <v>0.67624999999999991</v>
      </c>
      <c r="F581" s="7">
        <f t="shared" si="36"/>
        <v>1.3524999999999999E-2</v>
      </c>
      <c r="G581" s="7">
        <f t="shared" si="37"/>
        <v>0.6627249999999999</v>
      </c>
    </row>
    <row r="582" spans="1:7" ht="24" x14ac:dyDescent="0.35">
      <c r="A582" s="5" t="s">
        <v>213</v>
      </c>
      <c r="B582" s="5" t="s">
        <v>37</v>
      </c>
      <c r="C582" s="6">
        <v>0.74</v>
      </c>
      <c r="D582" s="7">
        <f t="shared" si="34"/>
        <v>0.73075000000000001</v>
      </c>
      <c r="E582" s="7">
        <f t="shared" si="38"/>
        <v>0.71575</v>
      </c>
      <c r="F582" s="7">
        <f t="shared" si="36"/>
        <v>1.4315E-2</v>
      </c>
      <c r="G582" s="7">
        <f t="shared" si="37"/>
        <v>0.70143500000000003</v>
      </c>
    </row>
    <row r="583" spans="1:7" ht="24" customHeight="1" x14ac:dyDescent="0.35">
      <c r="A583" s="41" t="s">
        <v>213</v>
      </c>
      <c r="B583" s="5" t="s">
        <v>214</v>
      </c>
      <c r="C583" s="6">
        <v>0</v>
      </c>
      <c r="D583" s="7" t="s">
        <v>20</v>
      </c>
      <c r="E583" s="7" t="s">
        <v>20</v>
      </c>
      <c r="F583" s="7" t="s">
        <v>20</v>
      </c>
      <c r="G583" s="7" t="s">
        <v>20</v>
      </c>
    </row>
    <row r="584" spans="1:7" x14ac:dyDescent="0.35">
      <c r="A584" s="42"/>
      <c r="B584" s="5" t="s">
        <v>215</v>
      </c>
      <c r="C584" s="6">
        <v>0.61</v>
      </c>
      <c r="D584" s="7">
        <f t="shared" ref="D584:D646" si="39">(C584-(C584*1.25%))</f>
        <v>0.60237499999999999</v>
      </c>
      <c r="E584" s="7">
        <f t="shared" si="38"/>
        <v>0.58737499999999998</v>
      </c>
      <c r="F584" s="7">
        <f t="shared" ref="F584:F646" si="40">E584*(2%)</f>
        <v>1.1747499999999999E-2</v>
      </c>
      <c r="G584" s="7">
        <f t="shared" ref="G584:G646" si="41">E584-F584</f>
        <v>0.57562749999999996</v>
      </c>
    </row>
    <row r="585" spans="1:7" x14ac:dyDescent="0.35">
      <c r="A585" s="42"/>
      <c r="B585" s="5" t="s">
        <v>216</v>
      </c>
      <c r="C585" s="6">
        <v>0.67</v>
      </c>
      <c r="D585" s="7">
        <f t="shared" si="39"/>
        <v>0.66162500000000002</v>
      </c>
      <c r="E585" s="7">
        <f t="shared" si="38"/>
        <v>0.64662500000000001</v>
      </c>
      <c r="F585" s="7">
        <f t="shared" si="40"/>
        <v>1.29325E-2</v>
      </c>
      <c r="G585" s="7">
        <f t="shared" si="41"/>
        <v>0.63369249999999999</v>
      </c>
    </row>
    <row r="586" spans="1:7" x14ac:dyDescent="0.35">
      <c r="A586" s="43"/>
      <c r="B586" s="5" t="s">
        <v>217</v>
      </c>
      <c r="C586" s="6">
        <v>0.72</v>
      </c>
      <c r="D586" s="7">
        <f t="shared" si="39"/>
        <v>0.71099999999999997</v>
      </c>
      <c r="E586" s="7">
        <f t="shared" si="38"/>
        <v>0.69599999999999995</v>
      </c>
      <c r="F586" s="7">
        <f t="shared" si="40"/>
        <v>1.392E-2</v>
      </c>
      <c r="G586" s="7">
        <f t="shared" si="41"/>
        <v>0.68207999999999991</v>
      </c>
    </row>
    <row r="587" spans="1:7" x14ac:dyDescent="0.35">
      <c r="A587" s="5" t="s">
        <v>1441</v>
      </c>
      <c r="B587" s="5" t="s">
        <v>100</v>
      </c>
      <c r="C587" s="6">
        <v>0.65</v>
      </c>
      <c r="D587" s="7">
        <f t="shared" si="39"/>
        <v>0.64187499999999997</v>
      </c>
      <c r="E587" s="7">
        <f t="shared" ref="E587:E646" si="42">D587-(2.5%)</f>
        <v>0.61687499999999995</v>
      </c>
      <c r="F587" s="7">
        <f t="shared" si="40"/>
        <v>1.23375E-2</v>
      </c>
      <c r="G587" s="7">
        <f t="shared" si="41"/>
        <v>0.60453749999999995</v>
      </c>
    </row>
    <row r="588" spans="1:7" x14ac:dyDescent="0.35">
      <c r="A588" s="5" t="s">
        <v>1442</v>
      </c>
      <c r="B588" s="5" t="s">
        <v>100</v>
      </c>
      <c r="C588" s="6">
        <v>0.67</v>
      </c>
      <c r="D588" s="7">
        <f t="shared" si="39"/>
        <v>0.66162500000000002</v>
      </c>
      <c r="E588" s="7">
        <f t="shared" si="42"/>
        <v>0.636625</v>
      </c>
      <c r="F588" s="7">
        <f t="shared" si="40"/>
        <v>1.2732500000000001E-2</v>
      </c>
      <c r="G588" s="7">
        <f t="shared" si="41"/>
        <v>0.62389249999999996</v>
      </c>
    </row>
    <row r="589" spans="1:7" ht="24" x14ac:dyDescent="0.35">
      <c r="A589" s="5" t="s">
        <v>1445</v>
      </c>
      <c r="B589" s="5" t="s">
        <v>100</v>
      </c>
      <c r="C589" s="6">
        <v>0.55000000000000004</v>
      </c>
      <c r="D589" s="7">
        <f t="shared" si="39"/>
        <v>0.54312500000000008</v>
      </c>
      <c r="E589" s="7">
        <f t="shared" si="42"/>
        <v>0.51812500000000006</v>
      </c>
      <c r="F589" s="7">
        <f t="shared" si="40"/>
        <v>1.0362500000000002E-2</v>
      </c>
      <c r="G589" s="7">
        <f t="shared" si="41"/>
        <v>0.50776250000000001</v>
      </c>
    </row>
    <row r="590" spans="1:7" x14ac:dyDescent="0.35">
      <c r="A590" s="5" t="s">
        <v>1446</v>
      </c>
      <c r="B590" s="5" t="s">
        <v>100</v>
      </c>
      <c r="C590" s="6">
        <v>0.56999999999999995</v>
      </c>
      <c r="D590" s="7">
        <f t="shared" si="39"/>
        <v>0.5628749999999999</v>
      </c>
      <c r="E590" s="7">
        <f t="shared" si="42"/>
        <v>0.53787499999999988</v>
      </c>
      <c r="F590" s="7">
        <f t="shared" si="40"/>
        <v>1.0757499999999998E-2</v>
      </c>
      <c r="G590" s="7">
        <f t="shared" si="41"/>
        <v>0.52711749999999991</v>
      </c>
    </row>
    <row r="591" spans="1:7" x14ac:dyDescent="0.35">
      <c r="A591" s="5" t="s">
        <v>1144</v>
      </c>
      <c r="B591" s="5" t="s">
        <v>100</v>
      </c>
      <c r="C591" s="6">
        <v>0.6</v>
      </c>
      <c r="D591" s="7">
        <f t="shared" si="39"/>
        <v>0.59250000000000003</v>
      </c>
      <c r="E591" s="7">
        <f t="shared" si="42"/>
        <v>0.5675</v>
      </c>
      <c r="F591" s="7">
        <f t="shared" si="40"/>
        <v>1.1350000000000001E-2</v>
      </c>
      <c r="G591" s="7">
        <f t="shared" si="41"/>
        <v>0.55615000000000003</v>
      </c>
    </row>
    <row r="592" spans="1:7" x14ac:dyDescent="0.35">
      <c r="A592" s="41" t="s">
        <v>1145</v>
      </c>
      <c r="B592" s="5" t="s">
        <v>33</v>
      </c>
      <c r="C592" s="6">
        <v>0.3</v>
      </c>
      <c r="D592" s="7">
        <f t="shared" si="39"/>
        <v>0.29625000000000001</v>
      </c>
      <c r="E592" s="7">
        <f t="shared" si="42"/>
        <v>0.27124999999999999</v>
      </c>
      <c r="F592" s="7">
        <f t="shared" si="40"/>
        <v>5.4250000000000001E-3</v>
      </c>
      <c r="G592" s="7">
        <f t="shared" si="41"/>
        <v>0.26582499999999998</v>
      </c>
    </row>
    <row r="593" spans="1:7" x14ac:dyDescent="0.35">
      <c r="A593" s="42"/>
      <c r="B593" s="5" t="s">
        <v>34</v>
      </c>
      <c r="C593" s="6">
        <v>0.5</v>
      </c>
      <c r="D593" s="7">
        <f t="shared" si="39"/>
        <v>0.49375000000000002</v>
      </c>
      <c r="E593" s="7">
        <f t="shared" si="42"/>
        <v>0.46875</v>
      </c>
      <c r="F593" s="7">
        <f t="shared" si="40"/>
        <v>9.3749999999999997E-3</v>
      </c>
      <c r="G593" s="7">
        <f t="shared" si="41"/>
        <v>0.45937499999999998</v>
      </c>
    </row>
    <row r="594" spans="1:7" x14ac:dyDescent="0.35">
      <c r="A594" s="43"/>
      <c r="B594" s="5" t="s">
        <v>35</v>
      </c>
      <c r="C594" s="6">
        <v>0.6</v>
      </c>
      <c r="D594" s="7">
        <f t="shared" si="39"/>
        <v>0.59250000000000003</v>
      </c>
      <c r="E594" s="7">
        <f t="shared" si="42"/>
        <v>0.5675</v>
      </c>
      <c r="F594" s="7">
        <f t="shared" si="40"/>
        <v>1.1350000000000001E-2</v>
      </c>
      <c r="G594" s="7">
        <f t="shared" si="41"/>
        <v>0.55615000000000003</v>
      </c>
    </row>
    <row r="595" spans="1:7" x14ac:dyDescent="0.35">
      <c r="A595" s="2" t="s">
        <v>218</v>
      </c>
      <c r="B595" s="2" t="s">
        <v>1</v>
      </c>
      <c r="C595" s="3" t="s">
        <v>2</v>
      </c>
      <c r="D595" s="4" t="s">
        <v>1275</v>
      </c>
      <c r="E595" s="4" t="s">
        <v>1276</v>
      </c>
      <c r="F595" s="4" t="s">
        <v>363</v>
      </c>
      <c r="G595" s="4" t="s">
        <v>364</v>
      </c>
    </row>
    <row r="596" spans="1:7" ht="36" x14ac:dyDescent="0.35">
      <c r="A596" s="5" t="s">
        <v>219</v>
      </c>
      <c r="B596" s="5" t="s">
        <v>220</v>
      </c>
      <c r="C596" s="6">
        <v>0.4</v>
      </c>
      <c r="D596" s="7">
        <f t="shared" si="39"/>
        <v>0.39500000000000002</v>
      </c>
      <c r="E596" s="7">
        <f t="shared" si="42"/>
        <v>0.37</v>
      </c>
      <c r="F596" s="7">
        <f t="shared" si="40"/>
        <v>7.4000000000000003E-3</v>
      </c>
      <c r="G596" s="7">
        <f t="shared" si="41"/>
        <v>0.36259999999999998</v>
      </c>
    </row>
    <row r="597" spans="1:7" x14ac:dyDescent="0.35">
      <c r="A597" s="5" t="s">
        <v>219</v>
      </c>
      <c r="B597" s="5" t="s">
        <v>221</v>
      </c>
      <c r="C597" s="6">
        <v>0.35</v>
      </c>
      <c r="D597" s="7">
        <f t="shared" si="39"/>
        <v>0.34562499999999996</v>
      </c>
      <c r="E597" s="7">
        <f t="shared" si="42"/>
        <v>0.32062499999999994</v>
      </c>
      <c r="F597" s="7">
        <f t="shared" si="40"/>
        <v>6.4124999999999989E-3</v>
      </c>
      <c r="G597" s="7">
        <f t="shared" si="41"/>
        <v>0.31421249999999995</v>
      </c>
    </row>
    <row r="598" spans="1:7" x14ac:dyDescent="0.35">
      <c r="A598" s="5" t="s">
        <v>209</v>
      </c>
      <c r="B598" s="5" t="s">
        <v>222</v>
      </c>
      <c r="C598" s="6">
        <v>0.47</v>
      </c>
      <c r="D598" s="7">
        <f t="shared" si="39"/>
        <v>0.46412499999999995</v>
      </c>
      <c r="E598" s="7">
        <f t="shared" si="42"/>
        <v>0.43912499999999993</v>
      </c>
      <c r="F598" s="7">
        <f t="shared" si="40"/>
        <v>8.7824999999999986E-3</v>
      </c>
      <c r="G598" s="7">
        <f t="shared" si="41"/>
        <v>0.43034249999999996</v>
      </c>
    </row>
    <row r="599" spans="1:7" x14ac:dyDescent="0.35">
      <c r="A599" s="5" t="s">
        <v>210</v>
      </c>
      <c r="B599" s="5" t="s">
        <v>223</v>
      </c>
      <c r="C599" s="6">
        <v>0.45</v>
      </c>
      <c r="D599" s="7">
        <f t="shared" si="39"/>
        <v>0.44437500000000002</v>
      </c>
      <c r="E599" s="7">
        <f t="shared" si="42"/>
        <v>0.419375</v>
      </c>
      <c r="F599" s="7">
        <f t="shared" si="40"/>
        <v>8.3875000000000009E-3</v>
      </c>
      <c r="G599" s="7">
        <f t="shared" si="41"/>
        <v>0.41098750000000001</v>
      </c>
    </row>
    <row r="600" spans="1:7" x14ac:dyDescent="0.35">
      <c r="A600" s="5" t="s">
        <v>224</v>
      </c>
      <c r="B600" s="5" t="s">
        <v>198</v>
      </c>
      <c r="C600" s="6">
        <v>0.42</v>
      </c>
      <c r="D600" s="7">
        <f t="shared" si="39"/>
        <v>0.41475000000000001</v>
      </c>
      <c r="E600" s="7">
        <f t="shared" si="42"/>
        <v>0.38974999999999999</v>
      </c>
      <c r="F600" s="7">
        <f t="shared" si="40"/>
        <v>7.7949999999999998E-3</v>
      </c>
      <c r="G600" s="7">
        <f t="shared" si="41"/>
        <v>0.38195499999999999</v>
      </c>
    </row>
    <row r="601" spans="1:7" ht="24" customHeight="1" x14ac:dyDescent="0.35">
      <c r="A601" s="41" t="s">
        <v>1188</v>
      </c>
      <c r="B601" s="5" t="s">
        <v>34</v>
      </c>
      <c r="C601" s="6">
        <v>0.41499999999999998</v>
      </c>
      <c r="D601" s="7">
        <f t="shared" si="39"/>
        <v>0.40981249999999997</v>
      </c>
      <c r="E601" s="7">
        <f t="shared" si="42"/>
        <v>0.38481249999999995</v>
      </c>
      <c r="F601" s="7">
        <f t="shared" si="40"/>
        <v>7.6962499999999991E-3</v>
      </c>
      <c r="G601" s="7">
        <f t="shared" si="41"/>
        <v>0.37711624999999993</v>
      </c>
    </row>
    <row r="602" spans="1:7" x14ac:dyDescent="0.35">
      <c r="A602" s="42"/>
      <c r="B602" s="5" t="s">
        <v>35</v>
      </c>
      <c r="C602" s="6">
        <v>0.38500000000000001</v>
      </c>
      <c r="D602" s="7">
        <f t="shared" si="39"/>
        <v>0.38018750000000001</v>
      </c>
      <c r="E602" s="7">
        <f t="shared" si="42"/>
        <v>0.35518749999999999</v>
      </c>
      <c r="F602" s="7">
        <f t="shared" si="40"/>
        <v>7.1037499999999998E-3</v>
      </c>
      <c r="G602" s="7">
        <f t="shared" si="41"/>
        <v>0.34808374999999997</v>
      </c>
    </row>
    <row r="603" spans="1:7" x14ac:dyDescent="0.35">
      <c r="A603" s="43"/>
      <c r="B603" s="5" t="s">
        <v>33</v>
      </c>
      <c r="C603" s="6">
        <v>0</v>
      </c>
      <c r="D603" s="7" t="s">
        <v>20</v>
      </c>
      <c r="E603" s="7" t="s">
        <v>20</v>
      </c>
      <c r="F603" s="7" t="s">
        <v>20</v>
      </c>
      <c r="G603" s="7" t="s">
        <v>20</v>
      </c>
    </row>
    <row r="604" spans="1:7" x14ac:dyDescent="0.35">
      <c r="A604" s="41" t="s">
        <v>1189</v>
      </c>
      <c r="B604" s="5" t="s">
        <v>34</v>
      </c>
      <c r="C604" s="6">
        <v>0.435</v>
      </c>
      <c r="D604" s="7">
        <f t="shared" si="39"/>
        <v>0.42956250000000001</v>
      </c>
      <c r="E604" s="7">
        <f t="shared" si="42"/>
        <v>0.40456249999999999</v>
      </c>
      <c r="F604" s="7">
        <f t="shared" si="40"/>
        <v>8.0912499999999995E-3</v>
      </c>
      <c r="G604" s="7">
        <f t="shared" si="41"/>
        <v>0.39647125</v>
      </c>
    </row>
    <row r="605" spans="1:7" x14ac:dyDescent="0.35">
      <c r="A605" s="42"/>
      <c r="B605" s="5" t="s">
        <v>35</v>
      </c>
      <c r="C605" s="6">
        <v>0.41</v>
      </c>
      <c r="D605" s="7">
        <f t="shared" si="39"/>
        <v>0.40487499999999998</v>
      </c>
      <c r="E605" s="7">
        <f t="shared" si="42"/>
        <v>0.37987499999999996</v>
      </c>
      <c r="F605" s="7">
        <f t="shared" si="40"/>
        <v>7.5974999999999992E-3</v>
      </c>
      <c r="G605" s="7">
        <f t="shared" si="41"/>
        <v>0.37227749999999998</v>
      </c>
    </row>
    <row r="606" spans="1:7" x14ac:dyDescent="0.35">
      <c r="A606" s="43"/>
      <c r="B606" s="5" t="s">
        <v>33</v>
      </c>
      <c r="C606" s="6">
        <v>0</v>
      </c>
      <c r="D606" s="7" t="s">
        <v>20</v>
      </c>
      <c r="E606" s="7" t="s">
        <v>20</v>
      </c>
      <c r="F606" s="7" t="s">
        <v>20</v>
      </c>
      <c r="G606" s="7" t="s">
        <v>20</v>
      </c>
    </row>
    <row r="607" spans="1:7" x14ac:dyDescent="0.35">
      <c r="A607" s="2" t="s">
        <v>225</v>
      </c>
      <c r="B607" s="2" t="s">
        <v>1</v>
      </c>
      <c r="C607" s="3" t="s">
        <v>2</v>
      </c>
      <c r="D607" s="4" t="s">
        <v>1275</v>
      </c>
      <c r="E607" s="4" t="s">
        <v>1276</v>
      </c>
      <c r="F607" s="4" t="s">
        <v>363</v>
      </c>
      <c r="G607" s="4" t="s">
        <v>364</v>
      </c>
    </row>
    <row r="608" spans="1:7" x14ac:dyDescent="0.35">
      <c r="A608" s="5" t="s">
        <v>226</v>
      </c>
      <c r="B608" s="5" t="s">
        <v>100</v>
      </c>
      <c r="C608" s="6">
        <v>0.47499999999999998</v>
      </c>
      <c r="D608" s="7">
        <f t="shared" si="39"/>
        <v>0.46906249999999999</v>
      </c>
      <c r="E608" s="7">
        <f t="shared" si="42"/>
        <v>0.44406249999999997</v>
      </c>
      <c r="F608" s="7">
        <f t="shared" si="40"/>
        <v>8.8812500000000003E-3</v>
      </c>
      <c r="G608" s="7">
        <f t="shared" si="41"/>
        <v>0.43518124999999996</v>
      </c>
    </row>
    <row r="609" spans="1:7" x14ac:dyDescent="0.35">
      <c r="A609" s="5" t="s">
        <v>1136</v>
      </c>
      <c r="B609" s="5" t="s">
        <v>1137</v>
      </c>
      <c r="C609" s="6">
        <v>0.47499999999999998</v>
      </c>
      <c r="D609" s="7">
        <f t="shared" si="39"/>
        <v>0.46906249999999999</v>
      </c>
      <c r="E609" s="7">
        <f t="shared" si="42"/>
        <v>0.44406249999999997</v>
      </c>
      <c r="F609" s="7">
        <f t="shared" si="40"/>
        <v>8.8812500000000003E-3</v>
      </c>
      <c r="G609" s="7">
        <f t="shared" si="41"/>
        <v>0.43518124999999996</v>
      </c>
    </row>
    <row r="610" spans="1:7" x14ac:dyDescent="0.35">
      <c r="A610" s="5" t="s">
        <v>1138</v>
      </c>
      <c r="B610" s="5" t="s">
        <v>1139</v>
      </c>
      <c r="C610" s="6">
        <v>0.47499999999999998</v>
      </c>
      <c r="D610" s="7">
        <f t="shared" si="39"/>
        <v>0.46906249999999999</v>
      </c>
      <c r="E610" s="7">
        <f t="shared" si="42"/>
        <v>0.44406249999999997</v>
      </c>
      <c r="F610" s="7">
        <f t="shared" si="40"/>
        <v>8.8812500000000003E-3</v>
      </c>
      <c r="G610" s="7">
        <f t="shared" si="41"/>
        <v>0.43518124999999996</v>
      </c>
    </row>
    <row r="611" spans="1:7" x14ac:dyDescent="0.35">
      <c r="A611" s="5" t="s">
        <v>227</v>
      </c>
      <c r="B611" s="5" t="s">
        <v>228</v>
      </c>
      <c r="C611" s="6">
        <v>0.4</v>
      </c>
      <c r="D611" s="7">
        <f t="shared" si="39"/>
        <v>0.39500000000000002</v>
      </c>
      <c r="E611" s="7">
        <f t="shared" si="42"/>
        <v>0.37</v>
      </c>
      <c r="F611" s="7">
        <f t="shared" si="40"/>
        <v>7.4000000000000003E-3</v>
      </c>
      <c r="G611" s="7">
        <f t="shared" si="41"/>
        <v>0.36259999999999998</v>
      </c>
    </row>
    <row r="612" spans="1:7" x14ac:dyDescent="0.35">
      <c r="A612" s="44" t="s">
        <v>184</v>
      </c>
      <c r="B612" s="5" t="s">
        <v>92</v>
      </c>
      <c r="C612" s="6">
        <v>0.38</v>
      </c>
      <c r="D612" s="7">
        <f t="shared" si="39"/>
        <v>0.37525000000000003</v>
      </c>
      <c r="E612" s="7">
        <f t="shared" si="42"/>
        <v>0.35025000000000001</v>
      </c>
      <c r="F612" s="7">
        <f t="shared" si="40"/>
        <v>7.0049999999999999E-3</v>
      </c>
      <c r="G612" s="7">
        <f t="shared" si="41"/>
        <v>0.34324500000000002</v>
      </c>
    </row>
    <row r="613" spans="1:7" x14ac:dyDescent="0.35">
      <c r="A613" s="45"/>
      <c r="B613" s="5" t="s">
        <v>93</v>
      </c>
      <c r="C613" s="6">
        <v>0.43</v>
      </c>
      <c r="D613" s="7">
        <f t="shared" si="39"/>
        <v>0.42462499999999997</v>
      </c>
      <c r="E613" s="7">
        <f t="shared" si="42"/>
        <v>0.39962499999999995</v>
      </c>
      <c r="F613" s="7">
        <f t="shared" si="40"/>
        <v>7.9924999999999996E-3</v>
      </c>
      <c r="G613" s="7">
        <f t="shared" si="41"/>
        <v>0.39163249999999994</v>
      </c>
    </row>
    <row r="614" spans="1:7" x14ac:dyDescent="0.35">
      <c r="A614" s="5" t="s">
        <v>12</v>
      </c>
      <c r="B614" s="5" t="s">
        <v>100</v>
      </c>
      <c r="C614" s="6">
        <v>0.42499999999999999</v>
      </c>
      <c r="D614" s="7">
        <f t="shared" si="39"/>
        <v>0.41968749999999999</v>
      </c>
      <c r="E614" s="7">
        <f t="shared" si="42"/>
        <v>0.39468749999999997</v>
      </c>
      <c r="F614" s="7">
        <f t="shared" si="40"/>
        <v>7.8937499999999997E-3</v>
      </c>
      <c r="G614" s="7">
        <f t="shared" si="41"/>
        <v>0.38679374999999999</v>
      </c>
    </row>
    <row r="615" spans="1:7" x14ac:dyDescent="0.35">
      <c r="A615" s="5" t="s">
        <v>28</v>
      </c>
      <c r="B615" s="5" t="s">
        <v>100</v>
      </c>
      <c r="C615" s="7">
        <v>0.59</v>
      </c>
      <c r="D615" s="7">
        <f t="shared" si="39"/>
        <v>0.58262499999999995</v>
      </c>
      <c r="E615" s="7">
        <f t="shared" si="42"/>
        <v>0.55762499999999993</v>
      </c>
      <c r="F615" s="7">
        <f t="shared" si="40"/>
        <v>1.1152499999999999E-2</v>
      </c>
      <c r="G615" s="7">
        <f t="shared" si="41"/>
        <v>0.54647249999999992</v>
      </c>
    </row>
    <row r="616" spans="1:7" x14ac:dyDescent="0.35">
      <c r="A616" s="5" t="s">
        <v>229</v>
      </c>
      <c r="B616" s="5" t="s">
        <v>34</v>
      </c>
      <c r="C616" s="7">
        <v>0.41</v>
      </c>
      <c r="D616" s="7">
        <f t="shared" si="39"/>
        <v>0.40487499999999998</v>
      </c>
      <c r="E616" s="7">
        <f t="shared" si="42"/>
        <v>0.37987499999999996</v>
      </c>
      <c r="F616" s="7">
        <f t="shared" si="40"/>
        <v>7.5974999999999992E-3</v>
      </c>
      <c r="G616" s="7">
        <f t="shared" si="41"/>
        <v>0.37227749999999998</v>
      </c>
    </row>
    <row r="617" spans="1:7" x14ac:dyDescent="0.35">
      <c r="A617" s="5" t="s">
        <v>230</v>
      </c>
      <c r="B617" s="5" t="s">
        <v>34</v>
      </c>
      <c r="C617" s="6">
        <v>0.43</v>
      </c>
      <c r="D617" s="7">
        <f t="shared" si="39"/>
        <v>0.42462499999999997</v>
      </c>
      <c r="E617" s="7">
        <f t="shared" si="42"/>
        <v>0.39962499999999995</v>
      </c>
      <c r="F617" s="7">
        <f t="shared" si="40"/>
        <v>7.9924999999999996E-3</v>
      </c>
      <c r="G617" s="7">
        <f t="shared" si="41"/>
        <v>0.39163249999999994</v>
      </c>
    </row>
    <row r="618" spans="1:7" x14ac:dyDescent="0.35">
      <c r="A618" s="41" t="s">
        <v>231</v>
      </c>
      <c r="B618" s="5" t="s">
        <v>87</v>
      </c>
      <c r="C618" s="6">
        <v>0.27</v>
      </c>
      <c r="D618" s="7">
        <f t="shared" si="39"/>
        <v>0.266625</v>
      </c>
      <c r="E618" s="7">
        <f t="shared" si="42"/>
        <v>0.24162500000000001</v>
      </c>
      <c r="F618" s="7">
        <f t="shared" si="40"/>
        <v>4.8325E-3</v>
      </c>
      <c r="G618" s="7">
        <f t="shared" si="41"/>
        <v>0.23679250000000002</v>
      </c>
    </row>
    <row r="619" spans="1:7" x14ac:dyDescent="0.35">
      <c r="A619" s="43"/>
      <c r="B619" s="5" t="s">
        <v>232</v>
      </c>
      <c r="C619" s="6">
        <v>0.19</v>
      </c>
      <c r="D619" s="7">
        <f t="shared" si="39"/>
        <v>0.18762500000000001</v>
      </c>
      <c r="E619" s="7">
        <f t="shared" si="42"/>
        <v>0.16262500000000002</v>
      </c>
      <c r="F619" s="7">
        <f t="shared" si="40"/>
        <v>3.2525000000000006E-3</v>
      </c>
      <c r="G619" s="7">
        <f t="shared" si="41"/>
        <v>0.15937250000000003</v>
      </c>
    </row>
    <row r="620" spans="1:7" x14ac:dyDescent="0.35">
      <c r="A620" s="5" t="s">
        <v>233</v>
      </c>
      <c r="B620" s="5" t="s">
        <v>87</v>
      </c>
      <c r="C620" s="6">
        <v>0.27</v>
      </c>
      <c r="D620" s="7">
        <f t="shared" si="39"/>
        <v>0.266625</v>
      </c>
      <c r="E620" s="7">
        <f t="shared" si="42"/>
        <v>0.24162500000000001</v>
      </c>
      <c r="F620" s="7">
        <f t="shared" si="40"/>
        <v>4.8325E-3</v>
      </c>
      <c r="G620" s="7">
        <f t="shared" si="41"/>
        <v>0.23679250000000002</v>
      </c>
    </row>
    <row r="621" spans="1:7" x14ac:dyDescent="0.35">
      <c r="A621" s="41" t="s">
        <v>234</v>
      </c>
      <c r="B621" s="5" t="s">
        <v>87</v>
      </c>
      <c r="C621" s="6">
        <v>0.13</v>
      </c>
      <c r="D621" s="7">
        <f t="shared" si="39"/>
        <v>0.12837500000000002</v>
      </c>
      <c r="E621" s="7">
        <f t="shared" si="42"/>
        <v>0.10337500000000002</v>
      </c>
      <c r="F621" s="7">
        <f t="shared" si="40"/>
        <v>2.0675000000000003E-3</v>
      </c>
      <c r="G621" s="7">
        <f t="shared" si="41"/>
        <v>0.10130750000000002</v>
      </c>
    </row>
    <row r="622" spans="1:7" x14ac:dyDescent="0.35">
      <c r="A622" s="43"/>
      <c r="B622" s="5" t="s">
        <v>232</v>
      </c>
      <c r="C622" s="6">
        <v>0.17</v>
      </c>
      <c r="D622" s="7">
        <f t="shared" si="39"/>
        <v>0.16787500000000002</v>
      </c>
      <c r="E622" s="7">
        <f t="shared" si="42"/>
        <v>0.14287500000000003</v>
      </c>
      <c r="F622" s="7">
        <f t="shared" si="40"/>
        <v>2.8575000000000007E-3</v>
      </c>
      <c r="G622" s="7">
        <f t="shared" si="41"/>
        <v>0.14001750000000002</v>
      </c>
    </row>
    <row r="623" spans="1:7" x14ac:dyDescent="0.35">
      <c r="A623" s="49" t="s">
        <v>1247</v>
      </c>
      <c r="B623" s="5" t="s">
        <v>33</v>
      </c>
      <c r="C623" s="6">
        <v>0.55000000000000004</v>
      </c>
      <c r="D623" s="7">
        <f t="shared" si="39"/>
        <v>0.54312500000000008</v>
      </c>
      <c r="E623" s="7">
        <f t="shared" si="42"/>
        <v>0.51812500000000006</v>
      </c>
      <c r="F623" s="7">
        <f t="shared" si="40"/>
        <v>1.0362500000000002E-2</v>
      </c>
      <c r="G623" s="7">
        <f t="shared" si="41"/>
        <v>0.50776250000000001</v>
      </c>
    </row>
    <row r="624" spans="1:7" x14ac:dyDescent="0.35">
      <c r="A624" s="50"/>
      <c r="B624" s="5" t="s">
        <v>34</v>
      </c>
      <c r="C624" s="6">
        <v>0.47</v>
      </c>
      <c r="D624" s="7">
        <f t="shared" si="39"/>
        <v>0.46412499999999995</v>
      </c>
      <c r="E624" s="7">
        <f t="shared" si="42"/>
        <v>0.43912499999999993</v>
      </c>
      <c r="F624" s="7">
        <f t="shared" si="40"/>
        <v>8.7824999999999986E-3</v>
      </c>
      <c r="G624" s="7">
        <f t="shared" si="41"/>
        <v>0.43034249999999996</v>
      </c>
    </row>
    <row r="625" spans="1:7" x14ac:dyDescent="0.35">
      <c r="A625" s="51"/>
      <c r="B625" s="5" t="s">
        <v>35</v>
      </c>
      <c r="C625" s="6">
        <v>0.6</v>
      </c>
      <c r="D625" s="7">
        <f t="shared" si="39"/>
        <v>0.59250000000000003</v>
      </c>
      <c r="E625" s="7">
        <f t="shared" si="42"/>
        <v>0.5675</v>
      </c>
      <c r="F625" s="7">
        <f t="shared" si="40"/>
        <v>1.1350000000000001E-2</v>
      </c>
      <c r="G625" s="7">
        <f t="shared" si="41"/>
        <v>0.55615000000000003</v>
      </c>
    </row>
    <row r="626" spans="1:7" x14ac:dyDescent="0.35">
      <c r="A626" s="49" t="s">
        <v>1248</v>
      </c>
      <c r="B626" s="5" t="s">
        <v>33</v>
      </c>
      <c r="C626" s="6">
        <v>0</v>
      </c>
      <c r="D626" s="7" t="s">
        <v>20</v>
      </c>
      <c r="E626" s="7" t="s">
        <v>20</v>
      </c>
      <c r="F626" s="7" t="s">
        <v>20</v>
      </c>
      <c r="G626" s="7" t="s">
        <v>20</v>
      </c>
    </row>
    <row r="627" spans="1:7" x14ac:dyDescent="0.35">
      <c r="A627" s="50"/>
      <c r="B627" s="5" t="s">
        <v>34</v>
      </c>
      <c r="C627" s="6">
        <v>0.45</v>
      </c>
      <c r="D627" s="7">
        <f t="shared" si="39"/>
        <v>0.44437500000000002</v>
      </c>
      <c r="E627" s="7">
        <f t="shared" si="42"/>
        <v>0.419375</v>
      </c>
      <c r="F627" s="7">
        <f t="shared" si="40"/>
        <v>8.3875000000000009E-3</v>
      </c>
      <c r="G627" s="7">
        <f t="shared" si="41"/>
        <v>0.41098750000000001</v>
      </c>
    </row>
    <row r="628" spans="1:7" x14ac:dyDescent="0.35">
      <c r="A628" s="51"/>
      <c r="B628" s="5" t="s">
        <v>35</v>
      </c>
      <c r="C628" s="6">
        <v>0.45</v>
      </c>
      <c r="D628" s="7">
        <f t="shared" si="39"/>
        <v>0.44437500000000002</v>
      </c>
      <c r="E628" s="7">
        <f t="shared" si="42"/>
        <v>0.419375</v>
      </c>
      <c r="F628" s="7">
        <f t="shared" si="40"/>
        <v>8.3875000000000009E-3</v>
      </c>
      <c r="G628" s="7">
        <f t="shared" si="41"/>
        <v>0.41098750000000001</v>
      </c>
    </row>
    <row r="629" spans="1:7" x14ac:dyDescent="0.35">
      <c r="A629" s="49" t="s">
        <v>1249</v>
      </c>
      <c r="B629" s="5" t="s">
        <v>33</v>
      </c>
      <c r="C629" s="6">
        <v>0.6</v>
      </c>
      <c r="D629" s="7">
        <f t="shared" si="39"/>
        <v>0.59250000000000003</v>
      </c>
      <c r="E629" s="7">
        <f t="shared" si="42"/>
        <v>0.5675</v>
      </c>
      <c r="F629" s="7">
        <f t="shared" si="40"/>
        <v>1.1350000000000001E-2</v>
      </c>
      <c r="G629" s="7">
        <f t="shared" si="41"/>
        <v>0.55615000000000003</v>
      </c>
    </row>
    <row r="630" spans="1:7" x14ac:dyDescent="0.35">
      <c r="A630" s="50"/>
      <c r="B630" s="5" t="s">
        <v>34</v>
      </c>
      <c r="C630" s="6">
        <v>0.43</v>
      </c>
      <c r="D630" s="7">
        <f t="shared" si="39"/>
        <v>0.42462499999999997</v>
      </c>
      <c r="E630" s="7">
        <f t="shared" si="42"/>
        <v>0.39962499999999995</v>
      </c>
      <c r="F630" s="7">
        <f t="shared" si="40"/>
        <v>7.9924999999999996E-3</v>
      </c>
      <c r="G630" s="7">
        <f t="shared" si="41"/>
        <v>0.39163249999999994</v>
      </c>
    </row>
    <row r="631" spans="1:7" x14ac:dyDescent="0.35">
      <c r="A631" s="51"/>
      <c r="B631" s="5" t="s">
        <v>35</v>
      </c>
      <c r="C631" s="6">
        <v>0.6</v>
      </c>
      <c r="D631" s="7">
        <f t="shared" si="39"/>
        <v>0.59250000000000003</v>
      </c>
      <c r="E631" s="7">
        <f t="shared" si="42"/>
        <v>0.5675</v>
      </c>
      <c r="F631" s="7">
        <f t="shared" si="40"/>
        <v>1.1350000000000001E-2</v>
      </c>
      <c r="G631" s="7">
        <f t="shared" si="41"/>
        <v>0.55615000000000003</v>
      </c>
    </row>
    <row r="632" spans="1:7" x14ac:dyDescent="0.35">
      <c r="A632" s="49" t="s">
        <v>1250</v>
      </c>
      <c r="B632" s="5" t="s">
        <v>33</v>
      </c>
      <c r="C632" s="6">
        <v>0.15</v>
      </c>
      <c r="D632" s="7">
        <f t="shared" si="39"/>
        <v>0.14812500000000001</v>
      </c>
      <c r="E632" s="7">
        <f t="shared" si="42"/>
        <v>0.12312500000000001</v>
      </c>
      <c r="F632" s="7">
        <f t="shared" si="40"/>
        <v>2.4625000000000003E-3</v>
      </c>
      <c r="G632" s="7">
        <f t="shared" si="41"/>
        <v>0.12066250000000001</v>
      </c>
    </row>
    <row r="633" spans="1:7" x14ac:dyDescent="0.35">
      <c r="A633" s="50"/>
      <c r="B633" s="5" t="s">
        <v>34</v>
      </c>
      <c r="C633" s="6">
        <v>0</v>
      </c>
      <c r="D633" s="7" t="s">
        <v>20</v>
      </c>
      <c r="E633" s="7" t="s">
        <v>20</v>
      </c>
      <c r="F633" s="7" t="s">
        <v>20</v>
      </c>
      <c r="G633" s="7" t="s">
        <v>20</v>
      </c>
    </row>
    <row r="634" spans="1:7" x14ac:dyDescent="0.35">
      <c r="A634" s="51"/>
      <c r="B634" s="5" t="s">
        <v>35</v>
      </c>
      <c r="C634" s="6">
        <v>0</v>
      </c>
      <c r="D634" s="7" t="s">
        <v>20</v>
      </c>
      <c r="E634" s="7" t="s">
        <v>20</v>
      </c>
      <c r="F634" s="7" t="s">
        <v>20</v>
      </c>
      <c r="G634" s="7" t="s">
        <v>20</v>
      </c>
    </row>
    <row r="635" spans="1:7" x14ac:dyDescent="0.35">
      <c r="A635" s="48" t="s">
        <v>1299</v>
      </c>
      <c r="B635" s="5" t="s">
        <v>1251</v>
      </c>
      <c r="C635" s="6">
        <v>0.55000000000000004</v>
      </c>
      <c r="D635" s="7">
        <f t="shared" si="39"/>
        <v>0.54312500000000008</v>
      </c>
      <c r="E635" s="7">
        <f t="shared" si="42"/>
        <v>0.51812500000000006</v>
      </c>
      <c r="F635" s="7">
        <f t="shared" si="40"/>
        <v>1.0362500000000002E-2</v>
      </c>
      <c r="G635" s="7">
        <f t="shared" si="41"/>
        <v>0.50776250000000001</v>
      </c>
    </row>
    <row r="636" spans="1:7" ht="24" x14ac:dyDescent="0.35">
      <c r="A636" s="48"/>
      <c r="B636" s="5" t="s">
        <v>1252</v>
      </c>
      <c r="C636" s="6">
        <v>0.55000000000000004</v>
      </c>
      <c r="D636" s="7">
        <f t="shared" si="39"/>
        <v>0.54312500000000008</v>
      </c>
      <c r="E636" s="7">
        <f t="shared" si="42"/>
        <v>0.51812500000000006</v>
      </c>
      <c r="F636" s="7">
        <f t="shared" si="40"/>
        <v>1.0362500000000002E-2</v>
      </c>
      <c r="G636" s="7">
        <f t="shared" si="41"/>
        <v>0.50776250000000001</v>
      </c>
    </row>
    <row r="637" spans="1:7" ht="24" x14ac:dyDescent="0.35">
      <c r="A637" s="29" t="s">
        <v>1300</v>
      </c>
      <c r="B637" s="5" t="s">
        <v>1253</v>
      </c>
      <c r="C637" s="6">
        <v>0.4</v>
      </c>
      <c r="D637" s="7">
        <f t="shared" si="39"/>
        <v>0.39500000000000002</v>
      </c>
      <c r="E637" s="7">
        <f t="shared" si="42"/>
        <v>0.37</v>
      </c>
      <c r="F637" s="7">
        <f t="shared" si="40"/>
        <v>7.4000000000000003E-3</v>
      </c>
      <c r="G637" s="7">
        <f t="shared" si="41"/>
        <v>0.36259999999999998</v>
      </c>
    </row>
    <row r="638" spans="1:7" ht="48" x14ac:dyDescent="0.35">
      <c r="A638" s="29" t="s">
        <v>1301</v>
      </c>
      <c r="B638" s="5" t="s">
        <v>1254</v>
      </c>
      <c r="C638" s="6">
        <v>0.55000000000000004</v>
      </c>
      <c r="D638" s="7">
        <f t="shared" si="39"/>
        <v>0.54312500000000008</v>
      </c>
      <c r="E638" s="7">
        <f t="shared" si="42"/>
        <v>0.51812500000000006</v>
      </c>
      <c r="F638" s="7">
        <f t="shared" si="40"/>
        <v>1.0362500000000002E-2</v>
      </c>
      <c r="G638" s="7">
        <f t="shared" si="41"/>
        <v>0.50776250000000001</v>
      </c>
    </row>
    <row r="639" spans="1:7" ht="24" x14ac:dyDescent="0.35">
      <c r="A639" s="29" t="s">
        <v>1302</v>
      </c>
      <c r="B639" s="5" t="s">
        <v>1255</v>
      </c>
      <c r="C639" s="6">
        <v>0.55000000000000004</v>
      </c>
      <c r="D639" s="7">
        <f t="shared" si="39"/>
        <v>0.54312500000000008</v>
      </c>
      <c r="E639" s="7">
        <f t="shared" si="42"/>
        <v>0.51812500000000006</v>
      </c>
      <c r="F639" s="7">
        <f t="shared" si="40"/>
        <v>1.0362500000000002E-2</v>
      </c>
      <c r="G639" s="7">
        <f t="shared" si="41"/>
        <v>0.50776250000000001</v>
      </c>
    </row>
    <row r="640" spans="1:7" ht="24" x14ac:dyDescent="0.35">
      <c r="A640" s="29" t="s">
        <v>1303</v>
      </c>
      <c r="B640" s="5" t="s">
        <v>1256</v>
      </c>
      <c r="C640" s="6">
        <v>0.55000000000000004</v>
      </c>
      <c r="D640" s="7">
        <f t="shared" si="39"/>
        <v>0.54312500000000008</v>
      </c>
      <c r="E640" s="7">
        <f t="shared" si="42"/>
        <v>0.51812500000000006</v>
      </c>
      <c r="F640" s="7">
        <f t="shared" si="40"/>
        <v>1.0362500000000002E-2</v>
      </c>
      <c r="G640" s="7">
        <f t="shared" si="41"/>
        <v>0.50776250000000001</v>
      </c>
    </row>
    <row r="641" spans="1:7" ht="24" x14ac:dyDescent="0.35">
      <c r="A641" s="29" t="s">
        <v>1304</v>
      </c>
      <c r="B641" s="5" t="s">
        <v>1257</v>
      </c>
      <c r="C641" s="6">
        <v>0.55000000000000004</v>
      </c>
      <c r="D641" s="7">
        <f t="shared" si="39"/>
        <v>0.54312500000000008</v>
      </c>
      <c r="E641" s="7">
        <f t="shared" si="42"/>
        <v>0.51812500000000006</v>
      </c>
      <c r="F641" s="7">
        <f t="shared" si="40"/>
        <v>1.0362500000000002E-2</v>
      </c>
      <c r="G641" s="7">
        <f t="shared" si="41"/>
        <v>0.50776250000000001</v>
      </c>
    </row>
    <row r="642" spans="1:7" ht="60" x14ac:dyDescent="0.35">
      <c r="A642" s="29" t="s">
        <v>1305</v>
      </c>
      <c r="B642" s="5" t="s">
        <v>1258</v>
      </c>
      <c r="C642" s="6">
        <v>0.5</v>
      </c>
      <c r="D642" s="7">
        <f t="shared" si="39"/>
        <v>0.49375000000000002</v>
      </c>
      <c r="E642" s="7">
        <f t="shared" si="42"/>
        <v>0.46875</v>
      </c>
      <c r="F642" s="7">
        <f t="shared" si="40"/>
        <v>9.3749999999999997E-3</v>
      </c>
      <c r="G642" s="7">
        <f t="shared" si="41"/>
        <v>0.45937499999999998</v>
      </c>
    </row>
    <row r="643" spans="1:7" ht="24" x14ac:dyDescent="0.35">
      <c r="A643" s="29" t="s">
        <v>1305</v>
      </c>
      <c r="B643" s="5" t="s">
        <v>1259</v>
      </c>
      <c r="C643" s="6">
        <v>0.5</v>
      </c>
      <c r="D643" s="7">
        <f t="shared" si="39"/>
        <v>0.49375000000000002</v>
      </c>
      <c r="E643" s="7">
        <f t="shared" si="42"/>
        <v>0.46875</v>
      </c>
      <c r="F643" s="7">
        <f t="shared" si="40"/>
        <v>9.3749999999999997E-3</v>
      </c>
      <c r="G643" s="7">
        <f t="shared" si="41"/>
        <v>0.45937499999999998</v>
      </c>
    </row>
    <row r="644" spans="1:7" ht="24" x14ac:dyDescent="0.35">
      <c r="A644" s="29" t="s">
        <v>1305</v>
      </c>
      <c r="B644" s="5" t="s">
        <v>1260</v>
      </c>
      <c r="C644" s="6">
        <v>0.5</v>
      </c>
      <c r="D644" s="7">
        <f t="shared" si="39"/>
        <v>0.49375000000000002</v>
      </c>
      <c r="E644" s="7">
        <f t="shared" si="42"/>
        <v>0.46875</v>
      </c>
      <c r="F644" s="7">
        <f t="shared" si="40"/>
        <v>9.3749999999999997E-3</v>
      </c>
      <c r="G644" s="7">
        <f t="shared" si="41"/>
        <v>0.45937499999999998</v>
      </c>
    </row>
    <row r="645" spans="1:7" ht="36" x14ac:dyDescent="0.35">
      <c r="A645" s="29" t="s">
        <v>1306</v>
      </c>
      <c r="B645" s="5" t="s">
        <v>1261</v>
      </c>
      <c r="C645" s="6">
        <v>0.55000000000000004</v>
      </c>
      <c r="D645" s="7">
        <f t="shared" si="39"/>
        <v>0.54312500000000008</v>
      </c>
      <c r="E645" s="7">
        <f t="shared" si="42"/>
        <v>0.51812500000000006</v>
      </c>
      <c r="F645" s="7">
        <f t="shared" si="40"/>
        <v>1.0362500000000002E-2</v>
      </c>
      <c r="G645" s="7">
        <f t="shared" si="41"/>
        <v>0.50776250000000001</v>
      </c>
    </row>
    <row r="646" spans="1:7" ht="48" x14ac:dyDescent="0.35">
      <c r="A646" s="29" t="s">
        <v>1307</v>
      </c>
      <c r="B646" s="5" t="s">
        <v>1262</v>
      </c>
      <c r="C646" s="6">
        <v>0.55000000000000004</v>
      </c>
      <c r="D646" s="7">
        <f t="shared" si="39"/>
        <v>0.54312500000000008</v>
      </c>
      <c r="E646" s="7">
        <f t="shared" si="42"/>
        <v>0.51812500000000006</v>
      </c>
      <c r="F646" s="7">
        <f t="shared" si="40"/>
        <v>1.0362500000000002E-2</v>
      </c>
      <c r="G646" s="7">
        <f t="shared" si="41"/>
        <v>0.50776250000000001</v>
      </c>
    </row>
    <row r="647" spans="1:7" ht="48" x14ac:dyDescent="0.35">
      <c r="A647" s="29" t="s">
        <v>1308</v>
      </c>
      <c r="B647" s="5" t="s">
        <v>1263</v>
      </c>
      <c r="C647" s="6">
        <v>0.5</v>
      </c>
      <c r="D647" s="7">
        <f t="shared" ref="D647:D710" si="43">(C647-(C647*1.25%))</f>
        <v>0.49375000000000002</v>
      </c>
      <c r="E647" s="7">
        <f t="shared" ref="E647:E710" si="44">D647-(2.5%)</f>
        <v>0.46875</v>
      </c>
      <c r="F647" s="7">
        <f t="shared" ref="F647:F710" si="45">E647*(2%)</f>
        <v>9.3749999999999997E-3</v>
      </c>
      <c r="G647" s="7">
        <f t="shared" ref="G647:G710" si="46">E647-F647</f>
        <v>0.45937499999999998</v>
      </c>
    </row>
    <row r="648" spans="1:7" ht="24" x14ac:dyDescent="0.35">
      <c r="A648" s="29" t="s">
        <v>1308</v>
      </c>
      <c r="B648" s="5" t="s">
        <v>1264</v>
      </c>
      <c r="C648" s="6">
        <v>0.5</v>
      </c>
      <c r="D648" s="7">
        <f t="shared" si="43"/>
        <v>0.49375000000000002</v>
      </c>
      <c r="E648" s="7">
        <f t="shared" si="44"/>
        <v>0.46875</v>
      </c>
      <c r="F648" s="7">
        <f t="shared" si="45"/>
        <v>9.3749999999999997E-3</v>
      </c>
      <c r="G648" s="7">
        <f t="shared" si="46"/>
        <v>0.45937499999999998</v>
      </c>
    </row>
    <row r="649" spans="1:7" x14ac:dyDescent="0.35">
      <c r="A649" s="41" t="s">
        <v>1184</v>
      </c>
      <c r="B649" s="5" t="s">
        <v>34</v>
      </c>
      <c r="C649" s="6">
        <v>0.39500000000000002</v>
      </c>
      <c r="D649" s="7">
        <f t="shared" si="43"/>
        <v>0.39006250000000003</v>
      </c>
      <c r="E649" s="7">
        <f t="shared" si="44"/>
        <v>0.36506250000000001</v>
      </c>
      <c r="F649" s="7">
        <f t="shared" si="45"/>
        <v>7.3012500000000004E-3</v>
      </c>
      <c r="G649" s="7">
        <f t="shared" si="46"/>
        <v>0.35776125000000003</v>
      </c>
    </row>
    <row r="650" spans="1:7" x14ac:dyDescent="0.35">
      <c r="A650" s="42"/>
      <c r="B650" s="5" t="s">
        <v>35</v>
      </c>
      <c r="C650" s="6">
        <v>0.27500000000000002</v>
      </c>
      <c r="D650" s="7">
        <f t="shared" si="43"/>
        <v>0.27156250000000004</v>
      </c>
      <c r="E650" s="7">
        <f t="shared" si="44"/>
        <v>0.24656250000000005</v>
      </c>
      <c r="F650" s="7">
        <f t="shared" si="45"/>
        <v>4.9312500000000007E-3</v>
      </c>
      <c r="G650" s="7">
        <f t="shared" si="46"/>
        <v>0.24163125000000005</v>
      </c>
    </row>
    <row r="651" spans="1:7" x14ac:dyDescent="0.35">
      <c r="A651" s="43"/>
      <c r="B651" s="5" t="s">
        <v>33</v>
      </c>
      <c r="C651" s="6">
        <v>0</v>
      </c>
      <c r="D651" s="7" t="s">
        <v>20</v>
      </c>
      <c r="E651" s="7" t="s">
        <v>20</v>
      </c>
      <c r="F651" s="7" t="s">
        <v>20</v>
      </c>
      <c r="G651" s="7" t="s">
        <v>20</v>
      </c>
    </row>
    <row r="652" spans="1:7" x14ac:dyDescent="0.35">
      <c r="A652" s="41" t="s">
        <v>1185</v>
      </c>
      <c r="B652" s="5" t="s">
        <v>34</v>
      </c>
      <c r="C652" s="6">
        <v>0.44500000000000001</v>
      </c>
      <c r="D652" s="7">
        <f t="shared" si="43"/>
        <v>0.43943749999999998</v>
      </c>
      <c r="E652" s="7">
        <f t="shared" si="44"/>
        <v>0.41443749999999996</v>
      </c>
      <c r="F652" s="7">
        <f t="shared" si="45"/>
        <v>8.2887499999999992E-3</v>
      </c>
      <c r="G652" s="7">
        <f t="shared" si="46"/>
        <v>0.40614874999999995</v>
      </c>
    </row>
    <row r="653" spans="1:7" x14ac:dyDescent="0.35">
      <c r="A653" s="42"/>
      <c r="B653" s="5" t="s">
        <v>35</v>
      </c>
      <c r="C653" s="6">
        <v>0.27500000000000002</v>
      </c>
      <c r="D653" s="7">
        <f t="shared" si="43"/>
        <v>0.27156250000000004</v>
      </c>
      <c r="E653" s="7">
        <f t="shared" si="44"/>
        <v>0.24656250000000005</v>
      </c>
      <c r="F653" s="7">
        <f t="shared" si="45"/>
        <v>4.9312500000000007E-3</v>
      </c>
      <c r="G653" s="7">
        <f t="shared" si="46"/>
        <v>0.24163125000000005</v>
      </c>
    </row>
    <row r="654" spans="1:7" x14ac:dyDescent="0.35">
      <c r="A654" s="43"/>
      <c r="B654" s="5" t="s">
        <v>33</v>
      </c>
      <c r="C654" s="6">
        <v>0</v>
      </c>
      <c r="D654" s="7" t="s">
        <v>20</v>
      </c>
      <c r="E654" s="7" t="s">
        <v>20</v>
      </c>
      <c r="F654" s="7" t="s">
        <v>20</v>
      </c>
      <c r="G654" s="7" t="s">
        <v>20</v>
      </c>
    </row>
    <row r="655" spans="1:7" x14ac:dyDescent="0.35">
      <c r="A655" s="41" t="s">
        <v>1186</v>
      </c>
      <c r="B655" s="5" t="s">
        <v>34</v>
      </c>
      <c r="C655" s="6">
        <v>0.495</v>
      </c>
      <c r="D655" s="7">
        <f t="shared" si="43"/>
        <v>0.48881249999999998</v>
      </c>
      <c r="E655" s="7">
        <f t="shared" si="44"/>
        <v>0.46381249999999996</v>
      </c>
      <c r="F655" s="7">
        <f t="shared" si="45"/>
        <v>9.2762499999999998E-3</v>
      </c>
      <c r="G655" s="7">
        <f t="shared" si="46"/>
        <v>0.45453624999999998</v>
      </c>
    </row>
    <row r="656" spans="1:7" x14ac:dyDescent="0.35">
      <c r="A656" s="42"/>
      <c r="B656" s="5" t="s">
        <v>35</v>
      </c>
      <c r="C656" s="6">
        <v>0.27500000000000002</v>
      </c>
      <c r="D656" s="7">
        <f t="shared" si="43"/>
        <v>0.27156250000000004</v>
      </c>
      <c r="E656" s="7">
        <f t="shared" si="44"/>
        <v>0.24656250000000005</v>
      </c>
      <c r="F656" s="7">
        <f t="shared" si="45"/>
        <v>4.9312500000000007E-3</v>
      </c>
      <c r="G656" s="7">
        <f t="shared" si="46"/>
        <v>0.24163125000000005</v>
      </c>
    </row>
    <row r="657" spans="1:7" x14ac:dyDescent="0.35">
      <c r="A657" s="43"/>
      <c r="B657" s="5" t="s">
        <v>33</v>
      </c>
      <c r="C657" s="6">
        <v>0</v>
      </c>
      <c r="D657" s="7" t="s">
        <v>20</v>
      </c>
      <c r="E657" s="7" t="s">
        <v>20</v>
      </c>
      <c r="F657" s="7" t="s">
        <v>20</v>
      </c>
      <c r="G657" s="7" t="s">
        <v>20</v>
      </c>
    </row>
    <row r="658" spans="1:7" x14ac:dyDescent="0.35">
      <c r="A658" s="41" t="s">
        <v>1187</v>
      </c>
      <c r="B658" s="5" t="s">
        <v>34</v>
      </c>
      <c r="C658" s="6">
        <v>0.44500000000000001</v>
      </c>
      <c r="D658" s="7">
        <f t="shared" si="43"/>
        <v>0.43943749999999998</v>
      </c>
      <c r="E658" s="7">
        <f t="shared" si="44"/>
        <v>0.41443749999999996</v>
      </c>
      <c r="F658" s="7">
        <f t="shared" si="45"/>
        <v>8.2887499999999992E-3</v>
      </c>
      <c r="G658" s="7">
        <f t="shared" si="46"/>
        <v>0.40614874999999995</v>
      </c>
    </row>
    <row r="659" spans="1:7" x14ac:dyDescent="0.35">
      <c r="A659" s="42"/>
      <c r="B659" s="5" t="s">
        <v>35</v>
      </c>
      <c r="C659" s="6">
        <v>0.27500000000000002</v>
      </c>
      <c r="D659" s="7">
        <f t="shared" si="43"/>
        <v>0.27156250000000004</v>
      </c>
      <c r="E659" s="7">
        <f t="shared" si="44"/>
        <v>0.24656250000000005</v>
      </c>
      <c r="F659" s="7">
        <f t="shared" si="45"/>
        <v>4.9312500000000007E-3</v>
      </c>
      <c r="G659" s="7">
        <f t="shared" si="46"/>
        <v>0.24163125000000005</v>
      </c>
    </row>
    <row r="660" spans="1:7" x14ac:dyDescent="0.35">
      <c r="A660" s="43"/>
      <c r="B660" s="5" t="s">
        <v>33</v>
      </c>
      <c r="C660" s="6">
        <v>0</v>
      </c>
      <c r="D660" s="7" t="s">
        <v>20</v>
      </c>
      <c r="E660" s="7" t="s">
        <v>20</v>
      </c>
      <c r="F660" s="7" t="s">
        <v>20</v>
      </c>
      <c r="G660" s="7" t="s">
        <v>20</v>
      </c>
    </row>
    <row r="661" spans="1:7" x14ac:dyDescent="0.35">
      <c r="A661" s="48" t="s">
        <v>1561</v>
      </c>
      <c r="B661" s="5" t="s">
        <v>235</v>
      </c>
      <c r="C661" s="6">
        <v>0.44</v>
      </c>
      <c r="D661" s="7">
        <f t="shared" si="43"/>
        <v>0.4345</v>
      </c>
      <c r="E661" s="7">
        <f t="shared" si="44"/>
        <v>0.40949999999999998</v>
      </c>
      <c r="F661" s="7">
        <f t="shared" si="45"/>
        <v>8.1899999999999994E-3</v>
      </c>
      <c r="G661" s="7">
        <f t="shared" si="46"/>
        <v>0.40131</v>
      </c>
    </row>
    <row r="662" spans="1:7" x14ac:dyDescent="0.35">
      <c r="A662" s="48"/>
      <c r="B662" s="5" t="s">
        <v>236</v>
      </c>
      <c r="C662" s="6">
        <v>0.42</v>
      </c>
      <c r="D662" s="7">
        <f t="shared" si="43"/>
        <v>0.41475000000000001</v>
      </c>
      <c r="E662" s="7">
        <f t="shared" si="44"/>
        <v>0.38974999999999999</v>
      </c>
      <c r="F662" s="7">
        <f t="shared" si="45"/>
        <v>7.7949999999999998E-3</v>
      </c>
      <c r="G662" s="7">
        <f t="shared" si="46"/>
        <v>0.38195499999999999</v>
      </c>
    </row>
    <row r="663" spans="1:7" x14ac:dyDescent="0.35">
      <c r="A663" s="48" t="s">
        <v>1562</v>
      </c>
      <c r="B663" s="5" t="s">
        <v>235</v>
      </c>
      <c r="C663" s="6">
        <v>0.46</v>
      </c>
      <c r="D663" s="7">
        <f t="shared" si="43"/>
        <v>0.45425000000000004</v>
      </c>
      <c r="E663" s="7">
        <f t="shared" si="44"/>
        <v>0.42925000000000002</v>
      </c>
      <c r="F663" s="7">
        <f t="shared" si="45"/>
        <v>8.5850000000000006E-3</v>
      </c>
      <c r="G663" s="7">
        <f t="shared" si="46"/>
        <v>0.42066500000000001</v>
      </c>
    </row>
    <row r="664" spans="1:7" x14ac:dyDescent="0.35">
      <c r="A664" s="48"/>
      <c r="B664" s="5" t="s">
        <v>236</v>
      </c>
      <c r="C664" s="6">
        <v>0.44</v>
      </c>
      <c r="D664" s="7">
        <f t="shared" si="43"/>
        <v>0.4345</v>
      </c>
      <c r="E664" s="7">
        <f t="shared" si="44"/>
        <v>0.40949999999999998</v>
      </c>
      <c r="F664" s="7">
        <f t="shared" si="45"/>
        <v>8.1899999999999994E-3</v>
      </c>
      <c r="G664" s="7">
        <f t="shared" si="46"/>
        <v>0.40131</v>
      </c>
    </row>
    <row r="665" spans="1:7" x14ac:dyDescent="0.35">
      <c r="A665" s="48" t="s">
        <v>1563</v>
      </c>
      <c r="B665" s="5" t="s">
        <v>235</v>
      </c>
      <c r="C665" s="6">
        <v>0.53</v>
      </c>
      <c r="D665" s="7">
        <f t="shared" si="43"/>
        <v>0.52337500000000003</v>
      </c>
      <c r="E665" s="7">
        <f t="shared" si="44"/>
        <v>0.49837500000000001</v>
      </c>
      <c r="F665" s="7">
        <f t="shared" si="45"/>
        <v>9.9675000000000007E-3</v>
      </c>
      <c r="G665" s="7">
        <f t="shared" si="46"/>
        <v>0.48840749999999999</v>
      </c>
    </row>
    <row r="666" spans="1:7" x14ac:dyDescent="0.35">
      <c r="A666" s="48"/>
      <c r="B666" s="5" t="s">
        <v>236</v>
      </c>
      <c r="C666" s="6">
        <v>0.51</v>
      </c>
      <c r="D666" s="7">
        <f t="shared" si="43"/>
        <v>0.50362499999999999</v>
      </c>
      <c r="E666" s="7">
        <f t="shared" si="44"/>
        <v>0.47862499999999997</v>
      </c>
      <c r="F666" s="7">
        <f t="shared" si="45"/>
        <v>9.5724999999999994E-3</v>
      </c>
      <c r="G666" s="7">
        <f t="shared" si="46"/>
        <v>0.46905249999999998</v>
      </c>
    </row>
    <row r="667" spans="1:7" x14ac:dyDescent="0.35">
      <c r="A667" s="48" t="s">
        <v>1564</v>
      </c>
      <c r="B667" s="5" t="s">
        <v>235</v>
      </c>
      <c r="C667" s="6">
        <v>0.54</v>
      </c>
      <c r="D667" s="7">
        <f t="shared" si="43"/>
        <v>0.53325</v>
      </c>
      <c r="E667" s="7">
        <f t="shared" si="44"/>
        <v>0.50824999999999998</v>
      </c>
      <c r="F667" s="7">
        <f t="shared" si="45"/>
        <v>1.0165E-2</v>
      </c>
      <c r="G667" s="7">
        <f t="shared" si="46"/>
        <v>0.498085</v>
      </c>
    </row>
    <row r="668" spans="1:7" x14ac:dyDescent="0.35">
      <c r="A668" s="48"/>
      <c r="B668" s="5" t="s">
        <v>236</v>
      </c>
      <c r="C668" s="6">
        <v>0.52</v>
      </c>
      <c r="D668" s="7">
        <f t="shared" si="43"/>
        <v>0.51350000000000007</v>
      </c>
      <c r="E668" s="7">
        <f t="shared" si="44"/>
        <v>0.48850000000000005</v>
      </c>
      <c r="F668" s="7">
        <f t="shared" si="45"/>
        <v>9.7700000000000009E-3</v>
      </c>
      <c r="G668" s="7">
        <f t="shared" si="46"/>
        <v>0.47873000000000004</v>
      </c>
    </row>
    <row r="669" spans="1:7" x14ac:dyDescent="0.35">
      <c r="A669" s="48" t="s">
        <v>1565</v>
      </c>
      <c r="B669" s="5" t="s">
        <v>235</v>
      </c>
      <c r="C669" s="6">
        <v>0.34</v>
      </c>
      <c r="D669" s="7">
        <f t="shared" si="43"/>
        <v>0.33575000000000005</v>
      </c>
      <c r="E669" s="7">
        <f t="shared" si="44"/>
        <v>0.31075000000000003</v>
      </c>
      <c r="F669" s="7">
        <f t="shared" si="45"/>
        <v>6.2150000000000009E-3</v>
      </c>
      <c r="G669" s="7">
        <f t="shared" si="46"/>
        <v>0.304535</v>
      </c>
    </row>
    <row r="670" spans="1:7" x14ac:dyDescent="0.35">
      <c r="A670" s="48"/>
      <c r="B670" s="5" t="s">
        <v>236</v>
      </c>
      <c r="C670" s="6">
        <v>0.32</v>
      </c>
      <c r="D670" s="7">
        <f t="shared" si="43"/>
        <v>0.316</v>
      </c>
      <c r="E670" s="7">
        <f t="shared" si="44"/>
        <v>0.29099999999999998</v>
      </c>
      <c r="F670" s="7">
        <f t="shared" si="45"/>
        <v>5.8199999999999997E-3</v>
      </c>
      <c r="G670" s="7">
        <f t="shared" si="46"/>
        <v>0.28517999999999999</v>
      </c>
    </row>
    <row r="671" spans="1:7" x14ac:dyDescent="0.35">
      <c r="A671" s="48" t="s">
        <v>1566</v>
      </c>
      <c r="B671" s="5" t="s">
        <v>235</v>
      </c>
      <c r="C671" s="6">
        <v>0.36</v>
      </c>
      <c r="D671" s="7">
        <f t="shared" si="43"/>
        <v>0.35549999999999998</v>
      </c>
      <c r="E671" s="7">
        <f t="shared" si="44"/>
        <v>0.33049999999999996</v>
      </c>
      <c r="F671" s="7">
        <f t="shared" si="45"/>
        <v>6.6099999999999996E-3</v>
      </c>
      <c r="G671" s="7">
        <f t="shared" si="46"/>
        <v>0.32388999999999996</v>
      </c>
    </row>
    <row r="672" spans="1:7" x14ac:dyDescent="0.35">
      <c r="A672" s="48"/>
      <c r="B672" s="5" t="s">
        <v>236</v>
      </c>
      <c r="C672" s="6">
        <v>0.34</v>
      </c>
      <c r="D672" s="7">
        <f t="shared" si="43"/>
        <v>0.33575000000000005</v>
      </c>
      <c r="E672" s="7">
        <f t="shared" si="44"/>
        <v>0.31075000000000003</v>
      </c>
      <c r="F672" s="7">
        <f t="shared" si="45"/>
        <v>6.2150000000000009E-3</v>
      </c>
      <c r="G672" s="7">
        <f t="shared" si="46"/>
        <v>0.304535</v>
      </c>
    </row>
    <row r="673" spans="1:7" x14ac:dyDescent="0.35">
      <c r="A673" s="48" t="s">
        <v>1567</v>
      </c>
      <c r="B673" s="5" t="s">
        <v>235</v>
      </c>
      <c r="C673" s="6">
        <v>0.43</v>
      </c>
      <c r="D673" s="7">
        <f t="shared" si="43"/>
        <v>0.42462499999999997</v>
      </c>
      <c r="E673" s="7">
        <f t="shared" si="44"/>
        <v>0.39962499999999995</v>
      </c>
      <c r="F673" s="7">
        <f t="shared" si="45"/>
        <v>7.9924999999999996E-3</v>
      </c>
      <c r="G673" s="7">
        <f t="shared" si="46"/>
        <v>0.39163249999999994</v>
      </c>
    </row>
    <row r="674" spans="1:7" x14ac:dyDescent="0.35">
      <c r="A674" s="48"/>
      <c r="B674" s="5" t="s">
        <v>236</v>
      </c>
      <c r="C674" s="6">
        <v>0.41</v>
      </c>
      <c r="D674" s="7">
        <f t="shared" si="43"/>
        <v>0.40487499999999998</v>
      </c>
      <c r="E674" s="7">
        <f t="shared" si="44"/>
        <v>0.37987499999999996</v>
      </c>
      <c r="F674" s="7">
        <f t="shared" si="45"/>
        <v>7.5974999999999992E-3</v>
      </c>
      <c r="G674" s="7">
        <f t="shared" si="46"/>
        <v>0.37227749999999998</v>
      </c>
    </row>
    <row r="675" spans="1:7" x14ac:dyDescent="0.35">
      <c r="A675" s="48" t="s">
        <v>1568</v>
      </c>
      <c r="B675" s="5" t="s">
        <v>235</v>
      </c>
      <c r="C675" s="6">
        <v>0.44</v>
      </c>
      <c r="D675" s="7">
        <f t="shared" si="43"/>
        <v>0.4345</v>
      </c>
      <c r="E675" s="7">
        <f t="shared" si="44"/>
        <v>0.40949999999999998</v>
      </c>
      <c r="F675" s="7">
        <f t="shared" si="45"/>
        <v>8.1899999999999994E-3</v>
      </c>
      <c r="G675" s="7">
        <f t="shared" si="46"/>
        <v>0.40131</v>
      </c>
    </row>
    <row r="676" spans="1:7" x14ac:dyDescent="0.35">
      <c r="A676" s="48"/>
      <c r="B676" s="5" t="s">
        <v>236</v>
      </c>
      <c r="C676" s="6">
        <v>0.42</v>
      </c>
      <c r="D676" s="7">
        <f t="shared" si="43"/>
        <v>0.41475000000000001</v>
      </c>
      <c r="E676" s="7">
        <f t="shared" si="44"/>
        <v>0.38974999999999999</v>
      </c>
      <c r="F676" s="7">
        <f t="shared" si="45"/>
        <v>7.7949999999999998E-3</v>
      </c>
      <c r="G676" s="7">
        <f t="shared" si="46"/>
        <v>0.38195499999999999</v>
      </c>
    </row>
    <row r="677" spans="1:7" x14ac:dyDescent="0.35">
      <c r="A677" s="41" t="s">
        <v>237</v>
      </c>
      <c r="B677" s="5" t="s">
        <v>98</v>
      </c>
      <c r="C677" s="6">
        <v>0.19500000000000001</v>
      </c>
      <c r="D677" s="7">
        <f t="shared" si="43"/>
        <v>0.1925625</v>
      </c>
      <c r="E677" s="7">
        <f t="shared" si="44"/>
        <v>0.1675625</v>
      </c>
      <c r="F677" s="7">
        <f t="shared" si="45"/>
        <v>3.3512500000000001E-3</v>
      </c>
      <c r="G677" s="7">
        <f t="shared" si="46"/>
        <v>0.16421125</v>
      </c>
    </row>
    <row r="678" spans="1:7" x14ac:dyDescent="0.35">
      <c r="A678" s="43"/>
      <c r="B678" s="5" t="s">
        <v>99</v>
      </c>
      <c r="C678" s="6">
        <v>0.25</v>
      </c>
      <c r="D678" s="7">
        <f t="shared" si="43"/>
        <v>0.24687500000000001</v>
      </c>
      <c r="E678" s="7">
        <f t="shared" si="44"/>
        <v>0.22187500000000002</v>
      </c>
      <c r="F678" s="7">
        <f t="shared" si="45"/>
        <v>4.4375000000000005E-3</v>
      </c>
      <c r="G678" s="7">
        <f t="shared" si="46"/>
        <v>0.21743750000000001</v>
      </c>
    </row>
    <row r="679" spans="1:7" x14ac:dyDescent="0.35">
      <c r="A679" s="41" t="s">
        <v>1265</v>
      </c>
      <c r="B679" s="5" t="s">
        <v>238</v>
      </c>
      <c r="C679" s="6">
        <v>0.4</v>
      </c>
      <c r="D679" s="7">
        <f t="shared" si="43"/>
        <v>0.39500000000000002</v>
      </c>
      <c r="E679" s="7">
        <f t="shared" si="44"/>
        <v>0.37</v>
      </c>
      <c r="F679" s="7">
        <f t="shared" si="45"/>
        <v>7.4000000000000003E-3</v>
      </c>
      <c r="G679" s="7">
        <f t="shared" si="46"/>
        <v>0.36259999999999998</v>
      </c>
    </row>
    <row r="680" spans="1:7" x14ac:dyDescent="0.35">
      <c r="A680" s="42"/>
      <c r="B680" s="5" t="s">
        <v>239</v>
      </c>
      <c r="C680" s="6">
        <v>0.2</v>
      </c>
      <c r="D680" s="7">
        <f t="shared" si="43"/>
        <v>0.19750000000000001</v>
      </c>
      <c r="E680" s="7">
        <f t="shared" si="44"/>
        <v>0.17250000000000001</v>
      </c>
      <c r="F680" s="7">
        <f t="shared" si="45"/>
        <v>3.4500000000000004E-3</v>
      </c>
      <c r="G680" s="7">
        <f t="shared" si="46"/>
        <v>0.16905000000000001</v>
      </c>
    </row>
    <row r="681" spans="1:7" x14ac:dyDescent="0.35">
      <c r="A681" s="43"/>
      <c r="B681" s="5" t="s">
        <v>240</v>
      </c>
      <c r="C681" s="6">
        <v>0.4</v>
      </c>
      <c r="D681" s="7">
        <f t="shared" si="43"/>
        <v>0.39500000000000002</v>
      </c>
      <c r="E681" s="7">
        <f t="shared" si="44"/>
        <v>0.37</v>
      </c>
      <c r="F681" s="7">
        <f t="shared" si="45"/>
        <v>7.4000000000000003E-3</v>
      </c>
      <c r="G681" s="7">
        <f t="shared" si="46"/>
        <v>0.36259999999999998</v>
      </c>
    </row>
    <row r="682" spans="1:7" x14ac:dyDescent="0.35">
      <c r="A682" s="41" t="s">
        <v>1266</v>
      </c>
      <c r="B682" s="5" t="s">
        <v>238</v>
      </c>
      <c r="C682" s="6">
        <v>0.45</v>
      </c>
      <c r="D682" s="7">
        <f t="shared" si="43"/>
        <v>0.44437500000000002</v>
      </c>
      <c r="E682" s="7">
        <f t="shared" si="44"/>
        <v>0.419375</v>
      </c>
      <c r="F682" s="7">
        <f t="shared" si="45"/>
        <v>8.3875000000000009E-3</v>
      </c>
      <c r="G682" s="7">
        <f t="shared" si="46"/>
        <v>0.41098750000000001</v>
      </c>
    </row>
    <row r="683" spans="1:7" x14ac:dyDescent="0.35">
      <c r="A683" s="42"/>
      <c r="B683" s="5" t="s">
        <v>239</v>
      </c>
      <c r="C683" s="6">
        <v>0.3</v>
      </c>
      <c r="D683" s="7">
        <f t="shared" si="43"/>
        <v>0.29625000000000001</v>
      </c>
      <c r="E683" s="7">
        <f t="shared" si="44"/>
        <v>0.27124999999999999</v>
      </c>
      <c r="F683" s="7">
        <f t="shared" si="45"/>
        <v>5.4250000000000001E-3</v>
      </c>
      <c r="G683" s="7">
        <f t="shared" si="46"/>
        <v>0.26582499999999998</v>
      </c>
    </row>
    <row r="684" spans="1:7" x14ac:dyDescent="0.35">
      <c r="A684" s="43"/>
      <c r="B684" s="5" t="s">
        <v>240</v>
      </c>
      <c r="C684" s="6">
        <v>0.55000000000000004</v>
      </c>
      <c r="D684" s="7">
        <f t="shared" si="43"/>
        <v>0.54312500000000008</v>
      </c>
      <c r="E684" s="7">
        <f t="shared" si="44"/>
        <v>0.51812500000000006</v>
      </c>
      <c r="F684" s="7">
        <f t="shared" si="45"/>
        <v>1.0362500000000002E-2</v>
      </c>
      <c r="G684" s="7">
        <f t="shared" si="46"/>
        <v>0.50776250000000001</v>
      </c>
    </row>
    <row r="685" spans="1:7" x14ac:dyDescent="0.35">
      <c r="A685" s="41" t="s">
        <v>1267</v>
      </c>
      <c r="B685" s="5" t="s">
        <v>238</v>
      </c>
      <c r="C685" s="6">
        <v>0.1</v>
      </c>
      <c r="D685" s="7">
        <f t="shared" si="43"/>
        <v>9.8750000000000004E-2</v>
      </c>
      <c r="E685" s="7">
        <f t="shared" si="44"/>
        <v>7.375000000000001E-2</v>
      </c>
      <c r="F685" s="7">
        <f t="shared" si="45"/>
        <v>1.4750000000000002E-3</v>
      </c>
      <c r="G685" s="7">
        <f t="shared" si="46"/>
        <v>7.2275000000000006E-2</v>
      </c>
    </row>
    <row r="686" spans="1:7" x14ac:dyDescent="0.35">
      <c r="A686" s="42"/>
      <c r="B686" s="5" t="s">
        <v>239</v>
      </c>
      <c r="C686" s="6">
        <v>0.1</v>
      </c>
      <c r="D686" s="7">
        <f t="shared" si="43"/>
        <v>9.8750000000000004E-2</v>
      </c>
      <c r="E686" s="7">
        <f t="shared" si="44"/>
        <v>7.375000000000001E-2</v>
      </c>
      <c r="F686" s="7">
        <f t="shared" si="45"/>
        <v>1.4750000000000002E-3</v>
      </c>
      <c r="G686" s="7">
        <f t="shared" si="46"/>
        <v>7.2275000000000006E-2</v>
      </c>
    </row>
    <row r="687" spans="1:7" x14ac:dyDescent="0.35">
      <c r="A687" s="43"/>
      <c r="B687" s="5" t="s">
        <v>240</v>
      </c>
      <c r="C687" s="6">
        <v>0.1</v>
      </c>
      <c r="D687" s="7">
        <f t="shared" si="43"/>
        <v>9.8750000000000004E-2</v>
      </c>
      <c r="E687" s="7">
        <f t="shared" si="44"/>
        <v>7.375000000000001E-2</v>
      </c>
      <c r="F687" s="7">
        <f t="shared" si="45"/>
        <v>1.4750000000000002E-3</v>
      </c>
      <c r="G687" s="7">
        <f t="shared" si="46"/>
        <v>7.2275000000000006E-2</v>
      </c>
    </row>
    <row r="688" spans="1:7" x14ac:dyDescent="0.35">
      <c r="A688" s="2" t="s">
        <v>241</v>
      </c>
      <c r="B688" s="2" t="s">
        <v>1</v>
      </c>
      <c r="C688" s="3" t="s">
        <v>2</v>
      </c>
      <c r="D688" s="4" t="s">
        <v>1275</v>
      </c>
      <c r="E688" s="4" t="s">
        <v>1276</v>
      </c>
      <c r="F688" s="4" t="s">
        <v>363</v>
      </c>
      <c r="G688" s="4" t="s">
        <v>364</v>
      </c>
    </row>
    <row r="689" spans="1:7" ht="36" x14ac:dyDescent="0.35">
      <c r="A689" s="5" t="s">
        <v>242</v>
      </c>
      <c r="B689" s="5" t="s">
        <v>220</v>
      </c>
      <c r="C689" s="6">
        <v>0.18</v>
      </c>
      <c r="D689" s="7">
        <f t="shared" si="43"/>
        <v>0.17774999999999999</v>
      </c>
      <c r="E689" s="7">
        <f t="shared" si="44"/>
        <v>0.15275</v>
      </c>
      <c r="F689" s="7">
        <f t="shared" si="45"/>
        <v>3.055E-3</v>
      </c>
      <c r="G689" s="7">
        <f t="shared" si="46"/>
        <v>0.14969499999999999</v>
      </c>
    </row>
    <row r="690" spans="1:7" ht="36" x14ac:dyDescent="0.35">
      <c r="A690" s="5" t="s">
        <v>243</v>
      </c>
      <c r="B690" s="5" t="s">
        <v>220</v>
      </c>
      <c r="C690" s="6">
        <v>0.18</v>
      </c>
      <c r="D690" s="7">
        <f t="shared" si="43"/>
        <v>0.17774999999999999</v>
      </c>
      <c r="E690" s="7">
        <f t="shared" si="44"/>
        <v>0.15275</v>
      </c>
      <c r="F690" s="7">
        <f t="shared" si="45"/>
        <v>3.055E-3</v>
      </c>
      <c r="G690" s="7">
        <f t="shared" si="46"/>
        <v>0.14969499999999999</v>
      </c>
    </row>
    <row r="691" spans="1:7" x14ac:dyDescent="0.35">
      <c r="A691" s="5" t="s">
        <v>242</v>
      </c>
      <c r="B691" s="5" t="s">
        <v>221</v>
      </c>
      <c r="C691" s="6">
        <v>0.105</v>
      </c>
      <c r="D691" s="7">
        <f t="shared" si="43"/>
        <v>0.1036875</v>
      </c>
      <c r="E691" s="7">
        <f t="shared" si="44"/>
        <v>7.8687499999999994E-2</v>
      </c>
      <c r="F691" s="7">
        <f t="shared" si="45"/>
        <v>1.5737499999999998E-3</v>
      </c>
      <c r="G691" s="7">
        <f t="shared" si="46"/>
        <v>7.7113749999999995E-2</v>
      </c>
    </row>
    <row r="692" spans="1:7" x14ac:dyDescent="0.35">
      <c r="A692" s="5" t="s">
        <v>243</v>
      </c>
      <c r="B692" s="5" t="s">
        <v>221</v>
      </c>
      <c r="C692" s="6">
        <v>0.105</v>
      </c>
      <c r="D692" s="7">
        <f t="shared" si="43"/>
        <v>0.1036875</v>
      </c>
      <c r="E692" s="7">
        <f t="shared" si="44"/>
        <v>7.8687499999999994E-2</v>
      </c>
      <c r="F692" s="7">
        <f t="shared" si="45"/>
        <v>1.5737499999999998E-3</v>
      </c>
      <c r="G692" s="7">
        <f t="shared" si="46"/>
        <v>7.7113749999999995E-2</v>
      </c>
    </row>
    <row r="693" spans="1:7" ht="24" x14ac:dyDescent="0.35">
      <c r="A693" s="5" t="s">
        <v>244</v>
      </c>
      <c r="B693" s="5" t="s">
        <v>245</v>
      </c>
      <c r="C693" s="6">
        <v>0.15</v>
      </c>
      <c r="D693" s="7">
        <f t="shared" si="43"/>
        <v>0.14812500000000001</v>
      </c>
      <c r="E693" s="7">
        <f t="shared" si="44"/>
        <v>0.12312500000000001</v>
      </c>
      <c r="F693" s="7">
        <f t="shared" si="45"/>
        <v>2.4625000000000003E-3</v>
      </c>
      <c r="G693" s="7">
        <f t="shared" si="46"/>
        <v>0.12066250000000001</v>
      </c>
    </row>
    <row r="694" spans="1:7" ht="24" x14ac:dyDescent="0.35">
      <c r="A694" s="48" t="s">
        <v>1494</v>
      </c>
      <c r="B694" s="5" t="s">
        <v>246</v>
      </c>
      <c r="C694" s="6">
        <v>0.24</v>
      </c>
      <c r="D694" s="7">
        <f t="shared" si="43"/>
        <v>0.23699999999999999</v>
      </c>
      <c r="E694" s="7">
        <f t="shared" si="44"/>
        <v>0.21199999999999999</v>
      </c>
      <c r="F694" s="7">
        <f t="shared" si="45"/>
        <v>4.2399999999999998E-3</v>
      </c>
      <c r="G694" s="7">
        <f t="shared" si="46"/>
        <v>0.20776</v>
      </c>
    </row>
    <row r="695" spans="1:7" ht="24" x14ac:dyDescent="0.35">
      <c r="A695" s="48"/>
      <c r="B695" s="5" t="s">
        <v>247</v>
      </c>
      <c r="C695" s="6">
        <v>0.3</v>
      </c>
      <c r="D695" s="7">
        <f t="shared" si="43"/>
        <v>0.29625000000000001</v>
      </c>
      <c r="E695" s="7">
        <f t="shared" si="44"/>
        <v>0.27124999999999999</v>
      </c>
      <c r="F695" s="7">
        <f t="shared" si="45"/>
        <v>5.4250000000000001E-3</v>
      </c>
      <c r="G695" s="7">
        <f t="shared" si="46"/>
        <v>0.26582499999999998</v>
      </c>
    </row>
    <row r="696" spans="1:7" x14ac:dyDescent="0.35">
      <c r="A696" s="48"/>
      <c r="B696" s="5" t="s">
        <v>248</v>
      </c>
      <c r="C696" s="6">
        <v>0.35</v>
      </c>
      <c r="D696" s="7">
        <f t="shared" si="43"/>
        <v>0.34562499999999996</v>
      </c>
      <c r="E696" s="7">
        <f t="shared" si="44"/>
        <v>0.32062499999999994</v>
      </c>
      <c r="F696" s="7">
        <f t="shared" si="45"/>
        <v>6.4124999999999989E-3</v>
      </c>
      <c r="G696" s="7">
        <f t="shared" si="46"/>
        <v>0.31421249999999995</v>
      </c>
    </row>
    <row r="697" spans="1:7" ht="24" x14ac:dyDescent="0.35">
      <c r="A697" s="48" t="s">
        <v>1504</v>
      </c>
      <c r="B697" s="5" t="s">
        <v>246</v>
      </c>
      <c r="C697" s="6">
        <v>0.14000000000000001</v>
      </c>
      <c r="D697" s="7">
        <f t="shared" si="43"/>
        <v>0.13825000000000001</v>
      </c>
      <c r="E697" s="7">
        <f t="shared" si="44"/>
        <v>0.11325000000000002</v>
      </c>
      <c r="F697" s="7">
        <f t="shared" si="45"/>
        <v>2.2650000000000005E-3</v>
      </c>
      <c r="G697" s="7">
        <f t="shared" si="46"/>
        <v>0.11098500000000001</v>
      </c>
    </row>
    <row r="698" spans="1:7" ht="24" x14ac:dyDescent="0.35">
      <c r="A698" s="48"/>
      <c r="B698" s="5" t="s">
        <v>247</v>
      </c>
      <c r="C698" s="6">
        <v>0.2</v>
      </c>
      <c r="D698" s="7">
        <f t="shared" si="43"/>
        <v>0.19750000000000001</v>
      </c>
      <c r="E698" s="7">
        <f t="shared" si="44"/>
        <v>0.17250000000000001</v>
      </c>
      <c r="F698" s="7">
        <f t="shared" si="45"/>
        <v>3.4500000000000004E-3</v>
      </c>
      <c r="G698" s="7">
        <f t="shared" si="46"/>
        <v>0.16905000000000001</v>
      </c>
    </row>
    <row r="699" spans="1:7" x14ac:dyDescent="0.35">
      <c r="A699" s="48"/>
      <c r="B699" s="5" t="s">
        <v>248</v>
      </c>
      <c r="C699" s="6">
        <v>0.25</v>
      </c>
      <c r="D699" s="7">
        <f t="shared" si="43"/>
        <v>0.24687500000000001</v>
      </c>
      <c r="E699" s="7">
        <f t="shared" si="44"/>
        <v>0.22187500000000002</v>
      </c>
      <c r="F699" s="7">
        <f t="shared" si="45"/>
        <v>4.4375000000000005E-3</v>
      </c>
      <c r="G699" s="7">
        <f t="shared" si="46"/>
        <v>0.21743750000000001</v>
      </c>
    </row>
    <row r="700" spans="1:7" x14ac:dyDescent="0.35">
      <c r="A700" s="5" t="s">
        <v>249</v>
      </c>
      <c r="B700" s="5" t="s">
        <v>100</v>
      </c>
      <c r="C700" s="6">
        <v>0.2</v>
      </c>
      <c r="D700" s="7">
        <f t="shared" si="43"/>
        <v>0.19750000000000001</v>
      </c>
      <c r="E700" s="7">
        <f t="shared" si="44"/>
        <v>0.17250000000000001</v>
      </c>
      <c r="F700" s="7">
        <f t="shared" si="45"/>
        <v>3.4500000000000004E-3</v>
      </c>
      <c r="G700" s="7">
        <f t="shared" si="46"/>
        <v>0.16905000000000001</v>
      </c>
    </row>
    <row r="701" spans="1:7" x14ac:dyDescent="0.35">
      <c r="A701" s="5" t="s">
        <v>250</v>
      </c>
      <c r="B701" s="5" t="s">
        <v>100</v>
      </c>
      <c r="C701" s="6">
        <v>0.11</v>
      </c>
      <c r="D701" s="7">
        <f t="shared" si="43"/>
        <v>0.108625</v>
      </c>
      <c r="E701" s="7">
        <f t="shared" si="44"/>
        <v>8.3625000000000005E-2</v>
      </c>
      <c r="F701" s="7">
        <f t="shared" si="45"/>
        <v>1.6725000000000002E-3</v>
      </c>
      <c r="G701" s="7">
        <f t="shared" si="46"/>
        <v>8.1952500000000011E-2</v>
      </c>
    </row>
    <row r="702" spans="1:7" x14ac:dyDescent="0.35">
      <c r="A702" s="41" t="s">
        <v>251</v>
      </c>
      <c r="B702" s="5" t="s">
        <v>39</v>
      </c>
      <c r="C702" s="6">
        <v>0.23</v>
      </c>
      <c r="D702" s="7">
        <f t="shared" si="43"/>
        <v>0.22712500000000002</v>
      </c>
      <c r="E702" s="7">
        <f t="shared" si="44"/>
        <v>0.20212500000000003</v>
      </c>
      <c r="F702" s="7">
        <f t="shared" si="45"/>
        <v>4.042500000000001E-3</v>
      </c>
      <c r="G702" s="7">
        <f t="shared" si="46"/>
        <v>0.19808250000000002</v>
      </c>
    </row>
    <row r="703" spans="1:7" x14ac:dyDescent="0.35">
      <c r="A703" s="43"/>
      <c r="B703" s="5" t="s">
        <v>40</v>
      </c>
      <c r="C703" s="6">
        <v>0.25</v>
      </c>
      <c r="D703" s="7">
        <f t="shared" si="43"/>
        <v>0.24687500000000001</v>
      </c>
      <c r="E703" s="7">
        <f t="shared" si="44"/>
        <v>0.22187500000000002</v>
      </c>
      <c r="F703" s="7">
        <f t="shared" si="45"/>
        <v>4.4375000000000005E-3</v>
      </c>
      <c r="G703" s="7">
        <f t="shared" si="46"/>
        <v>0.21743750000000001</v>
      </c>
    </row>
    <row r="704" spans="1:7" x14ac:dyDescent="0.35">
      <c r="A704" s="41" t="s">
        <v>1143</v>
      </c>
      <c r="B704" s="5" t="s">
        <v>33</v>
      </c>
      <c r="C704" s="6">
        <v>0.1</v>
      </c>
      <c r="D704" s="7">
        <f t="shared" si="43"/>
        <v>9.8750000000000004E-2</v>
      </c>
      <c r="E704" s="7">
        <f t="shared" si="44"/>
        <v>7.375000000000001E-2</v>
      </c>
      <c r="F704" s="7">
        <f t="shared" si="45"/>
        <v>1.4750000000000002E-3</v>
      </c>
      <c r="G704" s="7">
        <f t="shared" si="46"/>
        <v>7.2275000000000006E-2</v>
      </c>
    </row>
    <row r="705" spans="1:7" x14ac:dyDescent="0.35">
      <c r="A705" s="42"/>
      <c r="B705" s="5" t="s">
        <v>34</v>
      </c>
      <c r="C705" s="6">
        <v>0</v>
      </c>
      <c r="D705" s="7" t="s">
        <v>20</v>
      </c>
      <c r="E705" s="7" t="s">
        <v>20</v>
      </c>
      <c r="F705" s="7" t="s">
        <v>20</v>
      </c>
      <c r="G705" s="7" t="s">
        <v>20</v>
      </c>
    </row>
    <row r="706" spans="1:7" x14ac:dyDescent="0.35">
      <c r="A706" s="43"/>
      <c r="B706" s="5" t="s">
        <v>35</v>
      </c>
      <c r="C706" s="6">
        <v>0</v>
      </c>
      <c r="D706" s="7" t="s">
        <v>20</v>
      </c>
      <c r="E706" s="7" t="s">
        <v>20</v>
      </c>
      <c r="F706" s="7" t="s">
        <v>20</v>
      </c>
      <c r="G706" s="7" t="s">
        <v>20</v>
      </c>
    </row>
    <row r="707" spans="1:7" x14ac:dyDescent="0.35">
      <c r="A707" s="2" t="s">
        <v>252</v>
      </c>
      <c r="B707" s="2" t="s">
        <v>1</v>
      </c>
      <c r="C707" s="3" t="s">
        <v>2</v>
      </c>
      <c r="D707" s="4" t="s">
        <v>1275</v>
      </c>
      <c r="E707" s="4" t="s">
        <v>1276</v>
      </c>
      <c r="F707" s="4" t="s">
        <v>363</v>
      </c>
      <c r="G707" s="4" t="s">
        <v>364</v>
      </c>
    </row>
    <row r="708" spans="1:7" ht="24" x14ac:dyDescent="0.35">
      <c r="A708" s="5" t="s">
        <v>253</v>
      </c>
      <c r="B708" s="5" t="s">
        <v>254</v>
      </c>
      <c r="C708" s="7">
        <v>0.25</v>
      </c>
      <c r="D708" s="7">
        <f t="shared" si="43"/>
        <v>0.24687500000000001</v>
      </c>
      <c r="E708" s="7">
        <f t="shared" si="44"/>
        <v>0.22187500000000002</v>
      </c>
      <c r="F708" s="7">
        <f t="shared" si="45"/>
        <v>4.4375000000000005E-3</v>
      </c>
      <c r="G708" s="7">
        <f t="shared" si="46"/>
        <v>0.21743750000000001</v>
      </c>
    </row>
    <row r="709" spans="1:7" x14ac:dyDescent="0.35">
      <c r="A709" s="5" t="s">
        <v>255</v>
      </c>
      <c r="B709" s="5" t="s">
        <v>254</v>
      </c>
      <c r="C709" s="7">
        <v>0.25</v>
      </c>
      <c r="D709" s="7">
        <f t="shared" si="43"/>
        <v>0.24687500000000001</v>
      </c>
      <c r="E709" s="7">
        <f t="shared" si="44"/>
        <v>0.22187500000000002</v>
      </c>
      <c r="F709" s="7">
        <f t="shared" si="45"/>
        <v>4.4375000000000005E-3</v>
      </c>
      <c r="G709" s="7">
        <f t="shared" si="46"/>
        <v>0.21743750000000001</v>
      </c>
    </row>
    <row r="710" spans="1:7" ht="24" x14ac:dyDescent="0.35">
      <c r="A710" s="5" t="s">
        <v>256</v>
      </c>
      <c r="B710" s="5" t="s">
        <v>254</v>
      </c>
      <c r="C710" s="7">
        <v>0.22</v>
      </c>
      <c r="D710" s="7">
        <f t="shared" si="43"/>
        <v>0.21725</v>
      </c>
      <c r="E710" s="7">
        <f t="shared" si="44"/>
        <v>0.19225</v>
      </c>
      <c r="F710" s="7">
        <f t="shared" si="45"/>
        <v>3.8450000000000003E-3</v>
      </c>
      <c r="G710" s="7">
        <f t="shared" si="46"/>
        <v>0.18840500000000002</v>
      </c>
    </row>
    <row r="711" spans="1:7" x14ac:dyDescent="0.35">
      <c r="A711" s="41" t="s">
        <v>257</v>
      </c>
      <c r="B711" s="5" t="s">
        <v>37</v>
      </c>
      <c r="C711" s="6">
        <v>0.19500000000000001</v>
      </c>
      <c r="D711" s="7">
        <f t="shared" ref="D711:D774" si="47">(C711-(C711*1.25%))</f>
        <v>0.1925625</v>
      </c>
      <c r="E711" s="7">
        <f t="shared" ref="E711:E774" si="48">D711-(2.5%)</f>
        <v>0.1675625</v>
      </c>
      <c r="F711" s="7">
        <f t="shared" ref="F711:F774" si="49">E711*(2%)</f>
        <v>3.3512500000000001E-3</v>
      </c>
      <c r="G711" s="7">
        <f t="shared" ref="G711:G774" si="50">E711-F711</f>
        <v>0.16421125</v>
      </c>
    </row>
    <row r="712" spans="1:7" x14ac:dyDescent="0.35">
      <c r="A712" s="43"/>
      <c r="B712" s="5" t="s">
        <v>258</v>
      </c>
      <c r="C712" s="6">
        <v>0.125</v>
      </c>
      <c r="D712" s="7">
        <f t="shared" si="47"/>
        <v>0.12343750000000001</v>
      </c>
      <c r="E712" s="7">
        <f t="shared" si="48"/>
        <v>9.8437500000000011E-2</v>
      </c>
      <c r="F712" s="7">
        <f t="shared" si="49"/>
        <v>1.9687500000000004E-3</v>
      </c>
      <c r="G712" s="7">
        <f t="shared" si="50"/>
        <v>9.6468750000000006E-2</v>
      </c>
    </row>
    <row r="713" spans="1:7" x14ac:dyDescent="0.35">
      <c r="A713" s="5" t="s">
        <v>259</v>
      </c>
      <c r="B713" s="5" t="s">
        <v>100</v>
      </c>
      <c r="C713" s="6">
        <v>0.19500000000000001</v>
      </c>
      <c r="D713" s="7">
        <f t="shared" si="47"/>
        <v>0.1925625</v>
      </c>
      <c r="E713" s="7">
        <f t="shared" si="48"/>
        <v>0.1675625</v>
      </c>
      <c r="F713" s="7">
        <f t="shared" si="49"/>
        <v>3.3512500000000001E-3</v>
      </c>
      <c r="G713" s="7">
        <f t="shared" si="50"/>
        <v>0.16421125</v>
      </c>
    </row>
    <row r="714" spans="1:7" x14ac:dyDescent="0.35">
      <c r="A714" s="48" t="s">
        <v>260</v>
      </c>
      <c r="B714" s="5" t="s">
        <v>34</v>
      </c>
      <c r="C714" s="7">
        <v>0.17</v>
      </c>
      <c r="D714" s="7">
        <f t="shared" si="47"/>
        <v>0.16787500000000002</v>
      </c>
      <c r="E714" s="7">
        <f t="shared" si="48"/>
        <v>0.14287500000000003</v>
      </c>
      <c r="F714" s="7">
        <f t="shared" si="49"/>
        <v>2.8575000000000007E-3</v>
      </c>
      <c r="G714" s="7">
        <f t="shared" si="50"/>
        <v>0.14001750000000002</v>
      </c>
    </row>
    <row r="715" spans="1:7" x14ac:dyDescent="0.35">
      <c r="A715" s="48"/>
      <c r="B715" s="5" t="s">
        <v>17</v>
      </c>
      <c r="C715" s="7">
        <v>0.08</v>
      </c>
      <c r="D715" s="7">
        <f t="shared" si="47"/>
        <v>7.9000000000000001E-2</v>
      </c>
      <c r="E715" s="7">
        <f t="shared" si="48"/>
        <v>5.3999999999999999E-2</v>
      </c>
      <c r="F715" s="7">
        <f t="shared" si="49"/>
        <v>1.08E-3</v>
      </c>
      <c r="G715" s="7">
        <f t="shared" si="50"/>
        <v>5.2920000000000002E-2</v>
      </c>
    </row>
    <row r="716" spans="1:7" x14ac:dyDescent="0.35">
      <c r="A716" s="48" t="s">
        <v>261</v>
      </c>
      <c r="B716" s="5" t="s">
        <v>34</v>
      </c>
      <c r="C716" s="7">
        <v>0.21</v>
      </c>
      <c r="D716" s="7">
        <f t="shared" si="47"/>
        <v>0.207375</v>
      </c>
      <c r="E716" s="7">
        <f t="shared" si="48"/>
        <v>0.18237500000000001</v>
      </c>
      <c r="F716" s="7">
        <f t="shared" si="49"/>
        <v>3.6475000000000001E-3</v>
      </c>
      <c r="G716" s="7">
        <f t="shared" si="50"/>
        <v>0.17872750000000001</v>
      </c>
    </row>
    <row r="717" spans="1:7" x14ac:dyDescent="0.35">
      <c r="A717" s="48"/>
      <c r="B717" s="5" t="s">
        <v>17</v>
      </c>
      <c r="C717" s="7">
        <v>0.12</v>
      </c>
      <c r="D717" s="7">
        <f t="shared" si="47"/>
        <v>0.11849999999999999</v>
      </c>
      <c r="E717" s="7">
        <f t="shared" si="48"/>
        <v>9.35E-2</v>
      </c>
      <c r="F717" s="7">
        <f t="shared" si="49"/>
        <v>1.8700000000000001E-3</v>
      </c>
      <c r="G717" s="7">
        <f t="shared" si="50"/>
        <v>9.1630000000000003E-2</v>
      </c>
    </row>
    <row r="718" spans="1:7" ht="24" x14ac:dyDescent="0.35">
      <c r="A718" s="5" t="s">
        <v>262</v>
      </c>
      <c r="B718" s="5" t="s">
        <v>263</v>
      </c>
      <c r="C718" s="6">
        <v>0.28000000000000003</v>
      </c>
      <c r="D718" s="7">
        <f t="shared" si="47"/>
        <v>0.27650000000000002</v>
      </c>
      <c r="E718" s="7">
        <f t="shared" si="48"/>
        <v>0.2515</v>
      </c>
      <c r="F718" s="7">
        <f t="shared" si="49"/>
        <v>5.0299999999999997E-3</v>
      </c>
      <c r="G718" s="7">
        <f t="shared" si="50"/>
        <v>0.24646999999999999</v>
      </c>
    </row>
    <row r="719" spans="1:7" ht="36" x14ac:dyDescent="0.35">
      <c r="A719" s="5" t="s">
        <v>264</v>
      </c>
      <c r="B719" s="5" t="s">
        <v>265</v>
      </c>
      <c r="C719" s="6">
        <v>0.28000000000000003</v>
      </c>
      <c r="D719" s="7">
        <f t="shared" si="47"/>
        <v>0.27650000000000002</v>
      </c>
      <c r="E719" s="7">
        <f t="shared" si="48"/>
        <v>0.2515</v>
      </c>
      <c r="F719" s="7">
        <f t="shared" si="49"/>
        <v>5.0299999999999997E-3</v>
      </c>
      <c r="G719" s="7">
        <f t="shared" si="50"/>
        <v>0.24646999999999999</v>
      </c>
    </row>
    <row r="720" spans="1:7" ht="36" x14ac:dyDescent="0.35">
      <c r="A720" s="48" t="s">
        <v>266</v>
      </c>
      <c r="B720" s="5" t="s">
        <v>267</v>
      </c>
      <c r="C720" s="6">
        <v>0.15</v>
      </c>
      <c r="D720" s="7">
        <f t="shared" si="47"/>
        <v>0.14812500000000001</v>
      </c>
      <c r="E720" s="7">
        <f t="shared" si="48"/>
        <v>0.12312500000000001</v>
      </c>
      <c r="F720" s="7">
        <f t="shared" si="49"/>
        <v>2.4625000000000003E-3</v>
      </c>
      <c r="G720" s="7">
        <f t="shared" si="50"/>
        <v>0.12066250000000001</v>
      </c>
    </row>
    <row r="721" spans="1:7" ht="24" x14ac:dyDescent="0.35">
      <c r="A721" s="48"/>
      <c r="B721" s="5" t="s">
        <v>268</v>
      </c>
      <c r="C721" s="6">
        <v>0.1</v>
      </c>
      <c r="D721" s="7">
        <f t="shared" si="47"/>
        <v>9.8750000000000004E-2</v>
      </c>
      <c r="E721" s="7">
        <f t="shared" si="48"/>
        <v>7.375000000000001E-2</v>
      </c>
      <c r="F721" s="7">
        <f t="shared" si="49"/>
        <v>1.4750000000000002E-3</v>
      </c>
      <c r="G721" s="7">
        <f t="shared" si="50"/>
        <v>7.2275000000000006E-2</v>
      </c>
    </row>
    <row r="722" spans="1:7" x14ac:dyDescent="0.35">
      <c r="A722" s="48"/>
      <c r="B722" s="5" t="s">
        <v>258</v>
      </c>
      <c r="C722" s="6">
        <v>0.1</v>
      </c>
      <c r="D722" s="7">
        <f t="shared" si="47"/>
        <v>9.8750000000000004E-2</v>
      </c>
      <c r="E722" s="7">
        <f t="shared" si="48"/>
        <v>7.375000000000001E-2</v>
      </c>
      <c r="F722" s="7">
        <f t="shared" si="49"/>
        <v>1.4750000000000002E-3</v>
      </c>
      <c r="G722" s="7">
        <f t="shared" si="50"/>
        <v>7.2275000000000006E-2</v>
      </c>
    </row>
    <row r="723" spans="1:7" ht="36" x14ac:dyDescent="0.35">
      <c r="A723" s="5" t="s">
        <v>269</v>
      </c>
      <c r="B723" s="5" t="s">
        <v>267</v>
      </c>
      <c r="C723" s="6">
        <v>0.12</v>
      </c>
      <c r="D723" s="7">
        <f t="shared" si="47"/>
        <v>0.11849999999999999</v>
      </c>
      <c r="E723" s="7">
        <f t="shared" si="48"/>
        <v>9.35E-2</v>
      </c>
      <c r="F723" s="7">
        <f t="shared" si="49"/>
        <v>1.8700000000000001E-3</v>
      </c>
      <c r="G723" s="7">
        <f t="shared" si="50"/>
        <v>9.1630000000000003E-2</v>
      </c>
    </row>
    <row r="724" spans="1:7" ht="36" x14ac:dyDescent="0.35">
      <c r="A724" s="48" t="s">
        <v>270</v>
      </c>
      <c r="B724" s="5" t="s">
        <v>267</v>
      </c>
      <c r="C724" s="6">
        <v>0.16</v>
      </c>
      <c r="D724" s="7">
        <f t="shared" si="47"/>
        <v>0.158</v>
      </c>
      <c r="E724" s="7">
        <f t="shared" si="48"/>
        <v>0.13300000000000001</v>
      </c>
      <c r="F724" s="7">
        <f t="shared" si="49"/>
        <v>2.66E-3</v>
      </c>
      <c r="G724" s="7">
        <f t="shared" si="50"/>
        <v>0.13034000000000001</v>
      </c>
    </row>
    <row r="725" spans="1:7" ht="24" x14ac:dyDescent="0.35">
      <c r="A725" s="48"/>
      <c r="B725" s="5" t="s">
        <v>268</v>
      </c>
      <c r="C725" s="6">
        <v>0</v>
      </c>
      <c r="D725" s="7" t="s">
        <v>20</v>
      </c>
      <c r="E725" s="7" t="s">
        <v>20</v>
      </c>
      <c r="F725" s="7" t="s">
        <v>20</v>
      </c>
      <c r="G725" s="7" t="s">
        <v>20</v>
      </c>
    </row>
    <row r="726" spans="1:7" x14ac:dyDescent="0.35">
      <c r="A726" s="48"/>
      <c r="B726" s="5" t="s">
        <v>258</v>
      </c>
      <c r="C726" s="6">
        <v>0.21</v>
      </c>
      <c r="D726" s="7">
        <f t="shared" si="47"/>
        <v>0.207375</v>
      </c>
      <c r="E726" s="7">
        <f t="shared" si="48"/>
        <v>0.18237500000000001</v>
      </c>
      <c r="F726" s="7">
        <f t="shared" si="49"/>
        <v>3.6475000000000001E-3</v>
      </c>
      <c r="G726" s="7">
        <f t="shared" si="50"/>
        <v>0.17872750000000001</v>
      </c>
    </row>
    <row r="727" spans="1:7" ht="36" x14ac:dyDescent="0.35">
      <c r="A727" s="48" t="s">
        <v>271</v>
      </c>
      <c r="B727" s="5" t="s">
        <v>267</v>
      </c>
      <c r="C727" s="6">
        <v>0.20499999999999999</v>
      </c>
      <c r="D727" s="7">
        <f t="shared" si="47"/>
        <v>0.20243749999999999</v>
      </c>
      <c r="E727" s="7">
        <f t="shared" si="48"/>
        <v>0.1774375</v>
      </c>
      <c r="F727" s="7">
        <f t="shared" si="49"/>
        <v>3.5487499999999998E-3</v>
      </c>
      <c r="G727" s="7">
        <f t="shared" si="50"/>
        <v>0.17388875000000001</v>
      </c>
    </row>
    <row r="728" spans="1:7" ht="24" x14ac:dyDescent="0.35">
      <c r="A728" s="48"/>
      <c r="B728" s="5" t="s">
        <v>268</v>
      </c>
      <c r="C728" s="6">
        <v>0</v>
      </c>
      <c r="D728" s="7" t="s">
        <v>20</v>
      </c>
      <c r="E728" s="7" t="s">
        <v>20</v>
      </c>
      <c r="F728" s="7" t="s">
        <v>20</v>
      </c>
      <c r="G728" s="7" t="s">
        <v>20</v>
      </c>
    </row>
    <row r="729" spans="1:7" x14ac:dyDescent="0.35">
      <c r="A729" s="48"/>
      <c r="B729" s="5" t="s">
        <v>258</v>
      </c>
      <c r="C729" s="6">
        <v>0.16</v>
      </c>
      <c r="D729" s="7">
        <f t="shared" si="47"/>
        <v>0.158</v>
      </c>
      <c r="E729" s="7">
        <f t="shared" si="48"/>
        <v>0.13300000000000001</v>
      </c>
      <c r="F729" s="7">
        <f t="shared" si="49"/>
        <v>2.66E-3</v>
      </c>
      <c r="G729" s="7">
        <f t="shared" si="50"/>
        <v>0.13034000000000001</v>
      </c>
    </row>
    <row r="730" spans="1:7" x14ac:dyDescent="0.35">
      <c r="A730" s="5" t="s">
        <v>272</v>
      </c>
      <c r="B730" s="5" t="s">
        <v>273</v>
      </c>
      <c r="C730" s="6">
        <v>0.25</v>
      </c>
      <c r="D730" s="7">
        <f t="shared" si="47"/>
        <v>0.24687500000000001</v>
      </c>
      <c r="E730" s="7">
        <f t="shared" si="48"/>
        <v>0.22187500000000002</v>
      </c>
      <c r="F730" s="7">
        <f t="shared" si="49"/>
        <v>4.4375000000000005E-3</v>
      </c>
      <c r="G730" s="7">
        <f t="shared" si="50"/>
        <v>0.21743750000000001</v>
      </c>
    </row>
    <row r="731" spans="1:7" x14ac:dyDescent="0.35">
      <c r="A731" s="5" t="s">
        <v>274</v>
      </c>
      <c r="B731" s="5" t="s">
        <v>273</v>
      </c>
      <c r="C731" s="6">
        <v>0.25</v>
      </c>
      <c r="D731" s="7">
        <f t="shared" si="47"/>
        <v>0.24687500000000001</v>
      </c>
      <c r="E731" s="7">
        <f t="shared" si="48"/>
        <v>0.22187500000000002</v>
      </c>
      <c r="F731" s="7">
        <f t="shared" si="49"/>
        <v>4.4375000000000005E-3</v>
      </c>
      <c r="G731" s="7">
        <f t="shared" si="50"/>
        <v>0.21743750000000001</v>
      </c>
    </row>
    <row r="732" spans="1:7" x14ac:dyDescent="0.35">
      <c r="A732" s="5" t="s">
        <v>275</v>
      </c>
      <c r="B732" s="5" t="s">
        <v>273</v>
      </c>
      <c r="C732" s="6">
        <v>0.3</v>
      </c>
      <c r="D732" s="7">
        <f t="shared" si="47"/>
        <v>0.29625000000000001</v>
      </c>
      <c r="E732" s="7">
        <f t="shared" si="48"/>
        <v>0.27124999999999999</v>
      </c>
      <c r="F732" s="7">
        <f t="shared" si="49"/>
        <v>5.4250000000000001E-3</v>
      </c>
      <c r="G732" s="7">
        <f t="shared" si="50"/>
        <v>0.26582499999999998</v>
      </c>
    </row>
    <row r="733" spans="1:7" x14ac:dyDescent="0.35">
      <c r="A733" s="5" t="s">
        <v>276</v>
      </c>
      <c r="B733" s="5" t="s">
        <v>273</v>
      </c>
      <c r="C733" s="6">
        <v>0.1</v>
      </c>
      <c r="D733" s="7">
        <f t="shared" si="47"/>
        <v>9.8750000000000004E-2</v>
      </c>
      <c r="E733" s="7">
        <f t="shared" si="48"/>
        <v>7.375000000000001E-2</v>
      </c>
      <c r="F733" s="7">
        <f t="shared" si="49"/>
        <v>1.4750000000000002E-3</v>
      </c>
      <c r="G733" s="7">
        <f t="shared" si="50"/>
        <v>7.2275000000000006E-2</v>
      </c>
    </row>
    <row r="734" spans="1:7" x14ac:dyDescent="0.35">
      <c r="A734" s="5" t="s">
        <v>277</v>
      </c>
      <c r="B734" s="5" t="s">
        <v>273</v>
      </c>
      <c r="C734" s="6">
        <v>0.16</v>
      </c>
      <c r="D734" s="7">
        <f t="shared" si="47"/>
        <v>0.158</v>
      </c>
      <c r="E734" s="7">
        <f t="shared" si="48"/>
        <v>0.13300000000000001</v>
      </c>
      <c r="F734" s="7">
        <f t="shared" si="49"/>
        <v>2.66E-3</v>
      </c>
      <c r="G734" s="7">
        <f t="shared" si="50"/>
        <v>0.13034000000000001</v>
      </c>
    </row>
    <row r="735" spans="1:7" x14ac:dyDescent="0.35">
      <c r="A735" s="5" t="s">
        <v>278</v>
      </c>
      <c r="B735" s="5" t="s">
        <v>273</v>
      </c>
      <c r="C735" s="6">
        <v>0.2</v>
      </c>
      <c r="D735" s="7">
        <f t="shared" si="47"/>
        <v>0.19750000000000001</v>
      </c>
      <c r="E735" s="7">
        <f t="shared" si="48"/>
        <v>0.17250000000000001</v>
      </c>
      <c r="F735" s="7">
        <f t="shared" si="49"/>
        <v>3.4500000000000004E-3</v>
      </c>
      <c r="G735" s="7">
        <f t="shared" si="50"/>
        <v>0.16905000000000001</v>
      </c>
    </row>
    <row r="736" spans="1:7" x14ac:dyDescent="0.35">
      <c r="A736" s="5" t="s">
        <v>279</v>
      </c>
      <c r="B736" s="5" t="s">
        <v>273</v>
      </c>
      <c r="C736" s="6">
        <v>0.1</v>
      </c>
      <c r="D736" s="7">
        <f t="shared" si="47"/>
        <v>9.8750000000000004E-2</v>
      </c>
      <c r="E736" s="7">
        <f t="shared" si="48"/>
        <v>7.375000000000001E-2</v>
      </c>
      <c r="F736" s="7">
        <f t="shared" si="49"/>
        <v>1.4750000000000002E-3</v>
      </c>
      <c r="G736" s="7">
        <f t="shared" si="50"/>
        <v>7.2275000000000006E-2</v>
      </c>
    </row>
    <row r="737" spans="1:7" x14ac:dyDescent="0.35">
      <c r="A737" s="5" t="s">
        <v>280</v>
      </c>
      <c r="B737" s="5" t="s">
        <v>273</v>
      </c>
      <c r="C737" s="6">
        <v>0.1</v>
      </c>
      <c r="D737" s="7">
        <f t="shared" si="47"/>
        <v>9.8750000000000004E-2</v>
      </c>
      <c r="E737" s="7">
        <f t="shared" si="48"/>
        <v>7.375000000000001E-2</v>
      </c>
      <c r="F737" s="7">
        <f t="shared" si="49"/>
        <v>1.4750000000000002E-3</v>
      </c>
      <c r="G737" s="7">
        <f t="shared" si="50"/>
        <v>7.2275000000000006E-2</v>
      </c>
    </row>
    <row r="738" spans="1:7" x14ac:dyDescent="0.35">
      <c r="A738" s="5" t="s">
        <v>281</v>
      </c>
      <c r="B738" s="5" t="s">
        <v>273</v>
      </c>
      <c r="C738" s="6">
        <v>0.15</v>
      </c>
      <c r="D738" s="7">
        <f t="shared" si="47"/>
        <v>0.14812500000000001</v>
      </c>
      <c r="E738" s="7">
        <f t="shared" si="48"/>
        <v>0.12312500000000001</v>
      </c>
      <c r="F738" s="7">
        <f t="shared" si="49"/>
        <v>2.4625000000000003E-3</v>
      </c>
      <c r="G738" s="7">
        <f t="shared" si="50"/>
        <v>0.12066250000000001</v>
      </c>
    </row>
    <row r="739" spans="1:7" x14ac:dyDescent="0.35">
      <c r="A739" s="5" t="s">
        <v>1159</v>
      </c>
      <c r="B739" s="5" t="s">
        <v>100</v>
      </c>
      <c r="C739" s="7">
        <v>0.125</v>
      </c>
      <c r="D739" s="7">
        <f t="shared" si="47"/>
        <v>0.12343750000000001</v>
      </c>
      <c r="E739" s="7">
        <f t="shared" si="48"/>
        <v>9.8437500000000011E-2</v>
      </c>
      <c r="F739" s="7">
        <f t="shared" si="49"/>
        <v>1.9687500000000004E-3</v>
      </c>
      <c r="G739" s="7">
        <f t="shared" si="50"/>
        <v>9.6468750000000006E-2</v>
      </c>
    </row>
    <row r="740" spans="1:7" x14ac:dyDescent="0.35">
      <c r="A740" s="5" t="s">
        <v>1160</v>
      </c>
      <c r="B740" s="5" t="s">
        <v>100</v>
      </c>
      <c r="C740" s="7">
        <v>0.05</v>
      </c>
      <c r="D740" s="7">
        <f t="shared" si="47"/>
        <v>4.9375000000000002E-2</v>
      </c>
      <c r="E740" s="7">
        <f t="shared" si="48"/>
        <v>2.4375000000000001E-2</v>
      </c>
      <c r="F740" s="7">
        <f t="shared" si="49"/>
        <v>4.8750000000000003E-4</v>
      </c>
      <c r="G740" s="7">
        <f t="shared" si="50"/>
        <v>2.3887500000000002E-2</v>
      </c>
    </row>
    <row r="741" spans="1:7" x14ac:dyDescent="0.35">
      <c r="A741" s="5" t="s">
        <v>334</v>
      </c>
      <c r="B741" s="5" t="s">
        <v>100</v>
      </c>
      <c r="C741" s="7">
        <v>0.2</v>
      </c>
      <c r="D741" s="7">
        <f t="shared" si="47"/>
        <v>0.19750000000000001</v>
      </c>
      <c r="E741" s="7">
        <f t="shared" si="48"/>
        <v>0.17250000000000001</v>
      </c>
      <c r="F741" s="7">
        <f t="shared" si="49"/>
        <v>3.4500000000000004E-3</v>
      </c>
      <c r="G741" s="7">
        <f t="shared" si="50"/>
        <v>0.16905000000000001</v>
      </c>
    </row>
    <row r="742" spans="1:7" x14ac:dyDescent="0.35">
      <c r="A742" s="5" t="s">
        <v>1297</v>
      </c>
      <c r="B742" s="5" t="s">
        <v>100</v>
      </c>
      <c r="C742" s="6">
        <v>0.25</v>
      </c>
      <c r="D742" s="7">
        <f t="shared" si="47"/>
        <v>0.24687500000000001</v>
      </c>
      <c r="E742" s="7">
        <f t="shared" si="48"/>
        <v>0.22187500000000002</v>
      </c>
      <c r="F742" s="7">
        <f t="shared" si="49"/>
        <v>4.4375000000000005E-3</v>
      </c>
      <c r="G742" s="7">
        <f t="shared" si="50"/>
        <v>0.21743750000000001</v>
      </c>
    </row>
    <row r="743" spans="1:7" x14ac:dyDescent="0.35">
      <c r="A743" s="5" t="s">
        <v>1298</v>
      </c>
      <c r="B743" s="5" t="s">
        <v>100</v>
      </c>
      <c r="C743" s="6">
        <v>0.245</v>
      </c>
      <c r="D743" s="7">
        <f t="shared" si="47"/>
        <v>0.2419375</v>
      </c>
      <c r="E743" s="7">
        <f t="shared" si="48"/>
        <v>0.21693750000000001</v>
      </c>
      <c r="F743" s="7">
        <f t="shared" si="49"/>
        <v>4.3387500000000006E-3</v>
      </c>
      <c r="G743" s="7">
        <f t="shared" si="50"/>
        <v>0.21259875</v>
      </c>
    </row>
    <row r="744" spans="1:7" x14ac:dyDescent="0.35">
      <c r="A744" s="14" t="s">
        <v>282</v>
      </c>
      <c r="B744" s="5" t="s">
        <v>100</v>
      </c>
      <c r="C744" s="6">
        <v>0.3</v>
      </c>
      <c r="D744" s="7">
        <f t="shared" si="47"/>
        <v>0.29625000000000001</v>
      </c>
      <c r="E744" s="7">
        <f t="shared" si="48"/>
        <v>0.27124999999999999</v>
      </c>
      <c r="F744" s="7">
        <f t="shared" si="49"/>
        <v>5.4250000000000001E-3</v>
      </c>
      <c r="G744" s="7">
        <f t="shared" si="50"/>
        <v>0.26582499999999998</v>
      </c>
    </row>
    <row r="745" spans="1:7" x14ac:dyDescent="0.35">
      <c r="A745" s="14" t="s">
        <v>283</v>
      </c>
      <c r="B745" s="5" t="s">
        <v>100</v>
      </c>
      <c r="C745" s="6">
        <v>0.27</v>
      </c>
      <c r="D745" s="7">
        <f t="shared" si="47"/>
        <v>0.266625</v>
      </c>
      <c r="E745" s="7">
        <f t="shared" si="48"/>
        <v>0.24162500000000001</v>
      </c>
      <c r="F745" s="7">
        <f t="shared" si="49"/>
        <v>4.8325E-3</v>
      </c>
      <c r="G745" s="7">
        <f t="shared" si="50"/>
        <v>0.23679250000000002</v>
      </c>
    </row>
    <row r="746" spans="1:7" x14ac:dyDescent="0.35">
      <c r="A746" s="14" t="s">
        <v>284</v>
      </c>
      <c r="B746" s="5" t="s">
        <v>100</v>
      </c>
      <c r="C746" s="6">
        <v>0.22</v>
      </c>
      <c r="D746" s="7">
        <f t="shared" si="47"/>
        <v>0.21725</v>
      </c>
      <c r="E746" s="7">
        <f t="shared" si="48"/>
        <v>0.19225</v>
      </c>
      <c r="F746" s="7">
        <f t="shared" si="49"/>
        <v>3.8450000000000003E-3</v>
      </c>
      <c r="G746" s="7">
        <f t="shared" si="50"/>
        <v>0.18840500000000002</v>
      </c>
    </row>
    <row r="747" spans="1:7" x14ac:dyDescent="0.35">
      <c r="A747" s="14" t="s">
        <v>285</v>
      </c>
      <c r="B747" s="5" t="s">
        <v>100</v>
      </c>
      <c r="C747" s="6">
        <v>0.19500000000000001</v>
      </c>
      <c r="D747" s="7">
        <f t="shared" si="47"/>
        <v>0.1925625</v>
      </c>
      <c r="E747" s="7">
        <f t="shared" si="48"/>
        <v>0.1675625</v>
      </c>
      <c r="F747" s="7">
        <f t="shared" si="49"/>
        <v>3.3512500000000001E-3</v>
      </c>
      <c r="G747" s="7">
        <f t="shared" si="50"/>
        <v>0.16421125</v>
      </c>
    </row>
    <row r="748" spans="1:7" x14ac:dyDescent="0.35">
      <c r="A748" s="14" t="s">
        <v>286</v>
      </c>
      <c r="B748" s="5" t="s">
        <v>100</v>
      </c>
      <c r="C748" s="6">
        <v>0.15</v>
      </c>
      <c r="D748" s="7">
        <f t="shared" si="47"/>
        <v>0.14812500000000001</v>
      </c>
      <c r="E748" s="7">
        <f t="shared" si="48"/>
        <v>0.12312500000000001</v>
      </c>
      <c r="F748" s="7">
        <f t="shared" si="49"/>
        <v>2.4625000000000003E-3</v>
      </c>
      <c r="G748" s="7">
        <f t="shared" si="50"/>
        <v>0.12066250000000001</v>
      </c>
    </row>
    <row r="749" spans="1:7" x14ac:dyDescent="0.35">
      <c r="A749" s="14" t="s">
        <v>1233</v>
      </c>
      <c r="B749" s="5" t="s">
        <v>1234</v>
      </c>
      <c r="C749" s="6">
        <v>0.18</v>
      </c>
      <c r="D749" s="7">
        <f t="shared" si="47"/>
        <v>0.17774999999999999</v>
      </c>
      <c r="E749" s="7">
        <f t="shared" si="48"/>
        <v>0.15275</v>
      </c>
      <c r="F749" s="7">
        <f t="shared" si="49"/>
        <v>3.055E-3</v>
      </c>
      <c r="G749" s="7">
        <f t="shared" si="50"/>
        <v>0.14969499999999999</v>
      </c>
    </row>
    <row r="750" spans="1:7" x14ac:dyDescent="0.35">
      <c r="A750" s="41" t="s">
        <v>287</v>
      </c>
      <c r="B750" s="5" t="s">
        <v>34</v>
      </c>
      <c r="C750" s="6">
        <v>0.27500000000000002</v>
      </c>
      <c r="D750" s="7">
        <f t="shared" si="47"/>
        <v>0.27156250000000004</v>
      </c>
      <c r="E750" s="7">
        <f t="shared" si="48"/>
        <v>0.24656250000000005</v>
      </c>
      <c r="F750" s="7">
        <f t="shared" si="49"/>
        <v>4.9312500000000007E-3</v>
      </c>
      <c r="G750" s="7">
        <f t="shared" si="50"/>
        <v>0.24163125000000005</v>
      </c>
    </row>
    <row r="751" spans="1:7" x14ac:dyDescent="0.35">
      <c r="A751" s="42"/>
      <c r="B751" s="5" t="s">
        <v>35</v>
      </c>
      <c r="C751" s="6">
        <v>0.22500000000000001</v>
      </c>
      <c r="D751" s="7">
        <f t="shared" si="47"/>
        <v>0.22218750000000001</v>
      </c>
      <c r="E751" s="7">
        <f t="shared" si="48"/>
        <v>0.19718750000000002</v>
      </c>
      <c r="F751" s="7">
        <f t="shared" si="49"/>
        <v>3.9437500000000002E-3</v>
      </c>
      <c r="G751" s="7">
        <f t="shared" si="50"/>
        <v>0.19324375000000002</v>
      </c>
    </row>
    <row r="752" spans="1:7" x14ac:dyDescent="0.35">
      <c r="A752" s="43"/>
      <c r="B752" s="5" t="s">
        <v>288</v>
      </c>
      <c r="C752" s="6">
        <v>0.15</v>
      </c>
      <c r="D752" s="7">
        <f t="shared" si="47"/>
        <v>0.14812500000000001</v>
      </c>
      <c r="E752" s="7">
        <f t="shared" si="48"/>
        <v>0.12312500000000001</v>
      </c>
      <c r="F752" s="7">
        <f t="shared" si="49"/>
        <v>2.4625000000000003E-3</v>
      </c>
      <c r="G752" s="7">
        <f t="shared" si="50"/>
        <v>0.12066250000000001</v>
      </c>
    </row>
    <row r="753" spans="1:7" x14ac:dyDescent="0.35">
      <c r="A753" s="41" t="s">
        <v>289</v>
      </c>
      <c r="B753" s="5" t="s">
        <v>34</v>
      </c>
      <c r="C753" s="6">
        <v>0.3</v>
      </c>
      <c r="D753" s="7">
        <f t="shared" si="47"/>
        <v>0.29625000000000001</v>
      </c>
      <c r="E753" s="7">
        <f t="shared" si="48"/>
        <v>0.27124999999999999</v>
      </c>
      <c r="F753" s="7">
        <f t="shared" si="49"/>
        <v>5.4250000000000001E-3</v>
      </c>
      <c r="G753" s="7">
        <f t="shared" si="50"/>
        <v>0.26582499999999998</v>
      </c>
    </row>
    <row r="754" spans="1:7" x14ac:dyDescent="0.35">
      <c r="A754" s="42"/>
      <c r="B754" s="5" t="s">
        <v>35</v>
      </c>
      <c r="C754" s="6">
        <v>0.22500000000000001</v>
      </c>
      <c r="D754" s="7">
        <f t="shared" si="47"/>
        <v>0.22218750000000001</v>
      </c>
      <c r="E754" s="7">
        <f t="shared" si="48"/>
        <v>0.19718750000000002</v>
      </c>
      <c r="F754" s="7">
        <f t="shared" si="49"/>
        <v>3.9437500000000002E-3</v>
      </c>
      <c r="G754" s="7">
        <f t="shared" si="50"/>
        <v>0.19324375000000002</v>
      </c>
    </row>
    <row r="755" spans="1:7" x14ac:dyDescent="0.35">
      <c r="A755" s="43"/>
      <c r="B755" s="5" t="s">
        <v>288</v>
      </c>
      <c r="C755" s="6">
        <v>0.25</v>
      </c>
      <c r="D755" s="7">
        <f t="shared" si="47"/>
        <v>0.24687500000000001</v>
      </c>
      <c r="E755" s="7">
        <f t="shared" si="48"/>
        <v>0.22187500000000002</v>
      </c>
      <c r="F755" s="7">
        <f t="shared" si="49"/>
        <v>4.4375000000000005E-3</v>
      </c>
      <c r="G755" s="7">
        <f t="shared" si="50"/>
        <v>0.21743750000000001</v>
      </c>
    </row>
    <row r="756" spans="1:7" x14ac:dyDescent="0.35">
      <c r="A756" s="41" t="s">
        <v>290</v>
      </c>
      <c r="B756" s="5" t="s">
        <v>34</v>
      </c>
      <c r="C756" s="6">
        <v>0.27500000000000002</v>
      </c>
      <c r="D756" s="7">
        <f t="shared" si="47"/>
        <v>0.27156250000000004</v>
      </c>
      <c r="E756" s="7">
        <f t="shared" si="48"/>
        <v>0.24656250000000005</v>
      </c>
      <c r="F756" s="7">
        <f t="shared" si="49"/>
        <v>4.9312500000000007E-3</v>
      </c>
      <c r="G756" s="7">
        <f t="shared" si="50"/>
        <v>0.24163125000000005</v>
      </c>
    </row>
    <row r="757" spans="1:7" x14ac:dyDescent="0.35">
      <c r="A757" s="42"/>
      <c r="B757" s="5" t="s">
        <v>35</v>
      </c>
      <c r="C757" s="6">
        <v>0.22500000000000001</v>
      </c>
      <c r="D757" s="7">
        <f t="shared" si="47"/>
        <v>0.22218750000000001</v>
      </c>
      <c r="E757" s="7">
        <f t="shared" si="48"/>
        <v>0.19718750000000002</v>
      </c>
      <c r="F757" s="7">
        <f t="shared" si="49"/>
        <v>3.9437500000000002E-3</v>
      </c>
      <c r="G757" s="7">
        <f t="shared" si="50"/>
        <v>0.19324375000000002</v>
      </c>
    </row>
    <row r="758" spans="1:7" x14ac:dyDescent="0.35">
      <c r="A758" s="43"/>
      <c r="B758" s="5" t="s">
        <v>288</v>
      </c>
      <c r="C758" s="6">
        <v>0.19500000000000001</v>
      </c>
      <c r="D758" s="7">
        <f t="shared" si="47"/>
        <v>0.1925625</v>
      </c>
      <c r="E758" s="7">
        <f t="shared" si="48"/>
        <v>0.1675625</v>
      </c>
      <c r="F758" s="7">
        <f t="shared" si="49"/>
        <v>3.3512500000000001E-3</v>
      </c>
      <c r="G758" s="7">
        <f t="shared" si="50"/>
        <v>0.16421125</v>
      </c>
    </row>
    <row r="759" spans="1:7" ht="48" x14ac:dyDescent="0.35">
      <c r="A759" s="5" t="s">
        <v>291</v>
      </c>
      <c r="B759" s="5" t="s">
        <v>100</v>
      </c>
      <c r="C759" s="6">
        <v>0.25</v>
      </c>
      <c r="D759" s="7">
        <f t="shared" si="47"/>
        <v>0.24687500000000001</v>
      </c>
      <c r="E759" s="7">
        <f t="shared" si="48"/>
        <v>0.22187500000000002</v>
      </c>
      <c r="F759" s="7">
        <f t="shared" si="49"/>
        <v>4.4375000000000005E-3</v>
      </c>
      <c r="G759" s="7">
        <f t="shared" si="50"/>
        <v>0.21743750000000001</v>
      </c>
    </row>
    <row r="760" spans="1:7" ht="48" x14ac:dyDescent="0.35">
      <c r="A760" s="5" t="s">
        <v>292</v>
      </c>
      <c r="B760" s="5" t="s">
        <v>100</v>
      </c>
      <c r="C760" s="6">
        <v>0.15</v>
      </c>
      <c r="D760" s="7">
        <f t="shared" si="47"/>
        <v>0.14812500000000001</v>
      </c>
      <c r="E760" s="7">
        <f t="shared" si="48"/>
        <v>0.12312500000000001</v>
      </c>
      <c r="F760" s="7">
        <f t="shared" si="49"/>
        <v>2.4625000000000003E-3</v>
      </c>
      <c r="G760" s="7">
        <f t="shared" si="50"/>
        <v>0.12066250000000001</v>
      </c>
    </row>
    <row r="761" spans="1:7" x14ac:dyDescent="0.35">
      <c r="A761" s="41" t="s">
        <v>293</v>
      </c>
      <c r="B761" s="5" t="s">
        <v>34</v>
      </c>
      <c r="C761" s="6">
        <v>0.18</v>
      </c>
      <c r="D761" s="7">
        <f t="shared" si="47"/>
        <v>0.17774999999999999</v>
      </c>
      <c r="E761" s="7">
        <f t="shared" si="48"/>
        <v>0.15275</v>
      </c>
      <c r="F761" s="7">
        <f t="shared" si="49"/>
        <v>3.055E-3</v>
      </c>
      <c r="G761" s="7">
        <f t="shared" si="50"/>
        <v>0.14969499999999999</v>
      </c>
    </row>
    <row r="762" spans="1:7" x14ac:dyDescent="0.35">
      <c r="A762" s="42"/>
      <c r="B762" s="5" t="s">
        <v>35</v>
      </c>
      <c r="C762" s="6">
        <v>0.18</v>
      </c>
      <c r="D762" s="7">
        <f t="shared" si="47"/>
        <v>0.17774999999999999</v>
      </c>
      <c r="E762" s="7">
        <f t="shared" si="48"/>
        <v>0.15275</v>
      </c>
      <c r="F762" s="7">
        <f t="shared" si="49"/>
        <v>3.055E-3</v>
      </c>
      <c r="G762" s="7">
        <f t="shared" si="50"/>
        <v>0.14969499999999999</v>
      </c>
    </row>
    <row r="763" spans="1:7" x14ac:dyDescent="0.35">
      <c r="A763" s="43"/>
      <c r="B763" s="5" t="s">
        <v>288</v>
      </c>
      <c r="C763" s="6">
        <v>0.185</v>
      </c>
      <c r="D763" s="7">
        <f t="shared" si="47"/>
        <v>0.1826875</v>
      </c>
      <c r="E763" s="7">
        <f t="shared" si="48"/>
        <v>0.15768750000000001</v>
      </c>
      <c r="F763" s="7">
        <f t="shared" si="49"/>
        <v>3.1537500000000003E-3</v>
      </c>
      <c r="G763" s="7">
        <f t="shared" si="50"/>
        <v>0.15453375</v>
      </c>
    </row>
    <row r="764" spans="1:7" x14ac:dyDescent="0.35">
      <c r="A764" s="41" t="s">
        <v>294</v>
      </c>
      <c r="B764" s="5" t="s">
        <v>34</v>
      </c>
      <c r="C764" s="6">
        <v>0.18</v>
      </c>
      <c r="D764" s="7">
        <f t="shared" si="47"/>
        <v>0.17774999999999999</v>
      </c>
      <c r="E764" s="7">
        <f t="shared" si="48"/>
        <v>0.15275</v>
      </c>
      <c r="F764" s="7">
        <f t="shared" si="49"/>
        <v>3.055E-3</v>
      </c>
      <c r="G764" s="7">
        <f t="shared" si="50"/>
        <v>0.14969499999999999</v>
      </c>
    </row>
    <row r="765" spans="1:7" x14ac:dyDescent="0.35">
      <c r="A765" s="42"/>
      <c r="B765" s="5" t="s">
        <v>35</v>
      </c>
      <c r="C765" s="6">
        <v>0.18</v>
      </c>
      <c r="D765" s="7">
        <f t="shared" si="47"/>
        <v>0.17774999999999999</v>
      </c>
      <c r="E765" s="7">
        <f t="shared" si="48"/>
        <v>0.15275</v>
      </c>
      <c r="F765" s="7">
        <f t="shared" si="49"/>
        <v>3.055E-3</v>
      </c>
      <c r="G765" s="7">
        <f t="shared" si="50"/>
        <v>0.14969499999999999</v>
      </c>
    </row>
    <row r="766" spans="1:7" x14ac:dyDescent="0.35">
      <c r="A766" s="43"/>
      <c r="B766" s="5" t="s">
        <v>288</v>
      </c>
      <c r="C766" s="6">
        <v>0.185</v>
      </c>
      <c r="D766" s="7">
        <f t="shared" si="47"/>
        <v>0.1826875</v>
      </c>
      <c r="E766" s="7">
        <f t="shared" si="48"/>
        <v>0.15768750000000001</v>
      </c>
      <c r="F766" s="7">
        <f t="shared" si="49"/>
        <v>3.1537500000000003E-3</v>
      </c>
      <c r="G766" s="7">
        <f t="shared" si="50"/>
        <v>0.15453375</v>
      </c>
    </row>
    <row r="767" spans="1:7" x14ac:dyDescent="0.35">
      <c r="A767" s="23" t="s">
        <v>295</v>
      </c>
      <c r="B767" s="5" t="s">
        <v>100</v>
      </c>
      <c r="C767" s="6">
        <v>0.17499999999999999</v>
      </c>
      <c r="D767" s="7">
        <f t="shared" si="47"/>
        <v>0.17281249999999998</v>
      </c>
      <c r="E767" s="7">
        <f t="shared" si="48"/>
        <v>0.14781249999999999</v>
      </c>
      <c r="F767" s="7">
        <f t="shared" si="49"/>
        <v>2.9562499999999997E-3</v>
      </c>
      <c r="G767" s="7">
        <f t="shared" si="50"/>
        <v>0.14485624999999999</v>
      </c>
    </row>
    <row r="768" spans="1:7" x14ac:dyDescent="0.35">
      <c r="A768" s="23" t="s">
        <v>296</v>
      </c>
      <c r="B768" s="5" t="s">
        <v>100</v>
      </c>
      <c r="C768" s="6">
        <v>0.1</v>
      </c>
      <c r="D768" s="7">
        <f t="shared" si="47"/>
        <v>9.8750000000000004E-2</v>
      </c>
      <c r="E768" s="7">
        <f t="shared" si="48"/>
        <v>7.375000000000001E-2</v>
      </c>
      <c r="F768" s="7">
        <f t="shared" si="49"/>
        <v>1.4750000000000002E-3</v>
      </c>
      <c r="G768" s="7">
        <f t="shared" si="50"/>
        <v>7.2275000000000006E-2</v>
      </c>
    </row>
    <row r="769" spans="1:7" x14ac:dyDescent="0.35">
      <c r="A769" s="23" t="s">
        <v>297</v>
      </c>
      <c r="B769" s="5" t="s">
        <v>100</v>
      </c>
      <c r="C769" s="6">
        <v>0.17499999999999999</v>
      </c>
      <c r="D769" s="7">
        <f t="shared" si="47"/>
        <v>0.17281249999999998</v>
      </c>
      <c r="E769" s="7">
        <f t="shared" si="48"/>
        <v>0.14781249999999999</v>
      </c>
      <c r="F769" s="7">
        <f t="shared" si="49"/>
        <v>2.9562499999999997E-3</v>
      </c>
      <c r="G769" s="7">
        <f t="shared" si="50"/>
        <v>0.14485624999999999</v>
      </c>
    </row>
    <row r="770" spans="1:7" x14ac:dyDescent="0.35">
      <c r="A770" s="23" t="s">
        <v>298</v>
      </c>
      <c r="B770" s="5" t="s">
        <v>100</v>
      </c>
      <c r="C770" s="6">
        <v>0.12</v>
      </c>
      <c r="D770" s="7">
        <f t="shared" si="47"/>
        <v>0.11849999999999999</v>
      </c>
      <c r="E770" s="7">
        <f t="shared" si="48"/>
        <v>9.35E-2</v>
      </c>
      <c r="F770" s="7">
        <f t="shared" si="49"/>
        <v>1.8700000000000001E-3</v>
      </c>
      <c r="G770" s="7">
        <f t="shared" si="50"/>
        <v>9.1630000000000003E-2</v>
      </c>
    </row>
    <row r="771" spans="1:7" x14ac:dyDescent="0.35">
      <c r="A771" s="23" t="s">
        <v>299</v>
      </c>
      <c r="B771" s="5" t="s">
        <v>100</v>
      </c>
      <c r="C771" s="6">
        <v>0.1</v>
      </c>
      <c r="D771" s="7">
        <f t="shared" si="47"/>
        <v>9.8750000000000004E-2</v>
      </c>
      <c r="E771" s="7">
        <f t="shared" si="48"/>
        <v>7.375000000000001E-2</v>
      </c>
      <c r="F771" s="7">
        <f t="shared" si="49"/>
        <v>1.4750000000000002E-3</v>
      </c>
      <c r="G771" s="7">
        <f t="shared" si="50"/>
        <v>7.2275000000000006E-2</v>
      </c>
    </row>
    <row r="772" spans="1:7" x14ac:dyDescent="0.35">
      <c r="A772" s="5" t="s">
        <v>300</v>
      </c>
      <c r="B772" s="5" t="s">
        <v>301</v>
      </c>
      <c r="C772" s="7">
        <v>0.22500000000000001</v>
      </c>
      <c r="D772" s="7">
        <f t="shared" si="47"/>
        <v>0.22218750000000001</v>
      </c>
      <c r="E772" s="7">
        <f t="shared" si="48"/>
        <v>0.19718750000000002</v>
      </c>
      <c r="F772" s="7">
        <f t="shared" si="49"/>
        <v>3.9437500000000002E-3</v>
      </c>
      <c r="G772" s="7">
        <f t="shared" si="50"/>
        <v>0.19324375000000002</v>
      </c>
    </row>
    <row r="773" spans="1:7" x14ac:dyDescent="0.35">
      <c r="A773" s="5" t="s">
        <v>302</v>
      </c>
      <c r="B773" s="5" t="s">
        <v>301</v>
      </c>
      <c r="C773" s="7">
        <v>0.19500000000000001</v>
      </c>
      <c r="D773" s="7">
        <f t="shared" si="47"/>
        <v>0.1925625</v>
      </c>
      <c r="E773" s="7">
        <f t="shared" si="48"/>
        <v>0.1675625</v>
      </c>
      <c r="F773" s="7">
        <f t="shared" si="49"/>
        <v>3.3512500000000001E-3</v>
      </c>
      <c r="G773" s="7">
        <f t="shared" si="50"/>
        <v>0.16421125</v>
      </c>
    </row>
    <row r="774" spans="1:7" x14ac:dyDescent="0.35">
      <c r="A774" s="5" t="s">
        <v>303</v>
      </c>
      <c r="B774" s="5" t="s">
        <v>301</v>
      </c>
      <c r="C774" s="7">
        <v>0.19500000000000001</v>
      </c>
      <c r="D774" s="7">
        <f t="shared" si="47"/>
        <v>0.1925625</v>
      </c>
      <c r="E774" s="7">
        <f t="shared" si="48"/>
        <v>0.1675625</v>
      </c>
      <c r="F774" s="7">
        <f t="shared" si="49"/>
        <v>3.3512500000000001E-3</v>
      </c>
      <c r="G774" s="7">
        <f t="shared" si="50"/>
        <v>0.16421125</v>
      </c>
    </row>
    <row r="775" spans="1:7" x14ac:dyDescent="0.35">
      <c r="A775" s="41" t="s">
        <v>304</v>
      </c>
      <c r="B775" s="5" t="s">
        <v>61</v>
      </c>
      <c r="C775" s="6">
        <v>0.28000000000000003</v>
      </c>
      <c r="D775" s="7">
        <f t="shared" ref="D775:D838" si="51">(C775-(C775*1.25%))</f>
        <v>0.27650000000000002</v>
      </c>
      <c r="E775" s="7">
        <f t="shared" ref="E775:E838" si="52">D775-(2.5%)</f>
        <v>0.2515</v>
      </c>
      <c r="F775" s="7">
        <f t="shared" ref="F775:F838" si="53">E775*(2%)</f>
        <v>5.0299999999999997E-3</v>
      </c>
      <c r="G775" s="7">
        <f t="shared" ref="G775:G838" si="54">E775-F775</f>
        <v>0.24646999999999999</v>
      </c>
    </row>
    <row r="776" spans="1:7" x14ac:dyDescent="0.35">
      <c r="A776" s="42"/>
      <c r="B776" s="5" t="s">
        <v>305</v>
      </c>
      <c r="C776" s="6">
        <v>0.26</v>
      </c>
      <c r="D776" s="7">
        <f t="shared" si="51"/>
        <v>0.25675000000000003</v>
      </c>
      <c r="E776" s="7">
        <f t="shared" si="52"/>
        <v>0.23175000000000004</v>
      </c>
      <c r="F776" s="7">
        <f t="shared" si="53"/>
        <v>4.6350000000000011E-3</v>
      </c>
      <c r="G776" s="7">
        <f t="shared" si="54"/>
        <v>0.22711500000000004</v>
      </c>
    </row>
    <row r="777" spans="1:7" x14ac:dyDescent="0.35">
      <c r="A777" s="43"/>
      <c r="B777" s="5" t="s">
        <v>27</v>
      </c>
      <c r="C777" s="6">
        <v>0.28000000000000003</v>
      </c>
      <c r="D777" s="7">
        <f t="shared" si="51"/>
        <v>0.27650000000000002</v>
      </c>
      <c r="E777" s="7">
        <f t="shared" si="52"/>
        <v>0.2515</v>
      </c>
      <c r="F777" s="7">
        <f t="shared" si="53"/>
        <v>5.0299999999999997E-3</v>
      </c>
      <c r="G777" s="7">
        <f t="shared" si="54"/>
        <v>0.24646999999999999</v>
      </c>
    </row>
    <row r="778" spans="1:7" x14ac:dyDescent="0.35">
      <c r="A778" s="41" t="s">
        <v>306</v>
      </c>
      <c r="B778" s="5" t="s">
        <v>61</v>
      </c>
      <c r="C778" s="6">
        <v>0.23</v>
      </c>
      <c r="D778" s="7">
        <f t="shared" si="51"/>
        <v>0.22712500000000002</v>
      </c>
      <c r="E778" s="7">
        <f t="shared" si="52"/>
        <v>0.20212500000000003</v>
      </c>
      <c r="F778" s="7">
        <f t="shared" si="53"/>
        <v>4.042500000000001E-3</v>
      </c>
      <c r="G778" s="7">
        <f t="shared" si="54"/>
        <v>0.19808250000000002</v>
      </c>
    </row>
    <row r="779" spans="1:7" x14ac:dyDescent="0.35">
      <c r="A779" s="42"/>
      <c r="B779" s="5" t="s">
        <v>305</v>
      </c>
      <c r="C779" s="6">
        <v>0.21</v>
      </c>
      <c r="D779" s="7">
        <f t="shared" si="51"/>
        <v>0.207375</v>
      </c>
      <c r="E779" s="7">
        <f t="shared" si="52"/>
        <v>0.18237500000000001</v>
      </c>
      <c r="F779" s="7">
        <f t="shared" si="53"/>
        <v>3.6475000000000001E-3</v>
      </c>
      <c r="G779" s="7">
        <f t="shared" si="54"/>
        <v>0.17872750000000001</v>
      </c>
    </row>
    <row r="780" spans="1:7" x14ac:dyDescent="0.35">
      <c r="A780" s="43"/>
      <c r="B780" s="5" t="s">
        <v>27</v>
      </c>
      <c r="C780" s="6">
        <v>0.23</v>
      </c>
      <c r="D780" s="7">
        <f t="shared" si="51"/>
        <v>0.22712500000000002</v>
      </c>
      <c r="E780" s="7">
        <f t="shared" si="52"/>
        <v>0.20212500000000003</v>
      </c>
      <c r="F780" s="7">
        <f t="shared" si="53"/>
        <v>4.042500000000001E-3</v>
      </c>
      <c r="G780" s="7">
        <f t="shared" si="54"/>
        <v>0.19808250000000002</v>
      </c>
    </row>
    <row r="781" spans="1:7" x14ac:dyDescent="0.35">
      <c r="A781" s="41" t="s">
        <v>307</v>
      </c>
      <c r="B781" s="5" t="s">
        <v>61</v>
      </c>
      <c r="C781" s="6">
        <v>0.25</v>
      </c>
      <c r="D781" s="7">
        <f t="shared" si="51"/>
        <v>0.24687500000000001</v>
      </c>
      <c r="E781" s="7">
        <f t="shared" si="52"/>
        <v>0.22187500000000002</v>
      </c>
      <c r="F781" s="7">
        <f t="shared" si="53"/>
        <v>4.4375000000000005E-3</v>
      </c>
      <c r="G781" s="7">
        <f t="shared" si="54"/>
        <v>0.21743750000000001</v>
      </c>
    </row>
    <row r="782" spans="1:7" x14ac:dyDescent="0.35">
      <c r="A782" s="42"/>
      <c r="B782" s="5" t="s">
        <v>305</v>
      </c>
      <c r="C782" s="6">
        <v>0.23</v>
      </c>
      <c r="D782" s="7">
        <f t="shared" si="51"/>
        <v>0.22712500000000002</v>
      </c>
      <c r="E782" s="7">
        <f t="shared" si="52"/>
        <v>0.20212500000000003</v>
      </c>
      <c r="F782" s="7">
        <f t="shared" si="53"/>
        <v>4.042500000000001E-3</v>
      </c>
      <c r="G782" s="7">
        <f t="shared" si="54"/>
        <v>0.19808250000000002</v>
      </c>
    </row>
    <row r="783" spans="1:7" x14ac:dyDescent="0.35">
      <c r="A783" s="43"/>
      <c r="B783" s="5" t="s">
        <v>27</v>
      </c>
      <c r="C783" s="6">
        <v>0.25</v>
      </c>
      <c r="D783" s="7">
        <f t="shared" si="51"/>
        <v>0.24687500000000001</v>
      </c>
      <c r="E783" s="7">
        <f t="shared" si="52"/>
        <v>0.22187500000000002</v>
      </c>
      <c r="F783" s="7">
        <f t="shared" si="53"/>
        <v>4.4375000000000005E-3</v>
      </c>
      <c r="G783" s="7">
        <f t="shared" si="54"/>
        <v>0.21743750000000001</v>
      </c>
    </row>
    <row r="784" spans="1:7" x14ac:dyDescent="0.35">
      <c r="A784" s="41" t="s">
        <v>308</v>
      </c>
      <c r="B784" s="5" t="s">
        <v>61</v>
      </c>
      <c r="C784" s="6">
        <v>0.2</v>
      </c>
      <c r="D784" s="7">
        <f t="shared" si="51"/>
        <v>0.19750000000000001</v>
      </c>
      <c r="E784" s="7">
        <f t="shared" si="52"/>
        <v>0.17250000000000001</v>
      </c>
      <c r="F784" s="7">
        <f t="shared" si="53"/>
        <v>3.4500000000000004E-3</v>
      </c>
      <c r="G784" s="7">
        <f t="shared" si="54"/>
        <v>0.16905000000000001</v>
      </c>
    </row>
    <row r="785" spans="1:7" x14ac:dyDescent="0.35">
      <c r="A785" s="42"/>
      <c r="B785" s="5" t="s">
        <v>305</v>
      </c>
      <c r="C785" s="6">
        <v>0.18</v>
      </c>
      <c r="D785" s="7">
        <f t="shared" si="51"/>
        <v>0.17774999999999999</v>
      </c>
      <c r="E785" s="7">
        <f t="shared" si="52"/>
        <v>0.15275</v>
      </c>
      <c r="F785" s="7">
        <f t="shared" si="53"/>
        <v>3.055E-3</v>
      </c>
      <c r="G785" s="7">
        <f t="shared" si="54"/>
        <v>0.14969499999999999</v>
      </c>
    </row>
    <row r="786" spans="1:7" x14ac:dyDescent="0.35">
      <c r="A786" s="43"/>
      <c r="B786" s="5" t="s">
        <v>27</v>
      </c>
      <c r="C786" s="6">
        <v>0.2</v>
      </c>
      <c r="D786" s="7">
        <f t="shared" si="51"/>
        <v>0.19750000000000001</v>
      </c>
      <c r="E786" s="7">
        <f t="shared" si="52"/>
        <v>0.17250000000000001</v>
      </c>
      <c r="F786" s="7">
        <f t="shared" si="53"/>
        <v>3.4500000000000004E-3</v>
      </c>
      <c r="G786" s="7">
        <f t="shared" si="54"/>
        <v>0.16905000000000001</v>
      </c>
    </row>
    <row r="787" spans="1:7" x14ac:dyDescent="0.35">
      <c r="A787" s="5" t="s">
        <v>309</v>
      </c>
      <c r="B787" s="5" t="s">
        <v>310</v>
      </c>
      <c r="C787" s="6">
        <v>0.35</v>
      </c>
      <c r="D787" s="7">
        <f t="shared" si="51"/>
        <v>0.34562499999999996</v>
      </c>
      <c r="E787" s="7">
        <f t="shared" si="52"/>
        <v>0.32062499999999994</v>
      </c>
      <c r="F787" s="7">
        <f t="shared" si="53"/>
        <v>6.4124999999999989E-3</v>
      </c>
      <c r="G787" s="7">
        <f t="shared" si="54"/>
        <v>0.31421249999999995</v>
      </c>
    </row>
    <row r="788" spans="1:7" x14ac:dyDescent="0.35">
      <c r="A788" s="5" t="s">
        <v>311</v>
      </c>
      <c r="B788" s="5" t="s">
        <v>310</v>
      </c>
      <c r="C788" s="6">
        <v>0.3</v>
      </c>
      <c r="D788" s="7">
        <f t="shared" si="51"/>
        <v>0.29625000000000001</v>
      </c>
      <c r="E788" s="7">
        <f t="shared" si="52"/>
        <v>0.27124999999999999</v>
      </c>
      <c r="F788" s="7">
        <f t="shared" si="53"/>
        <v>5.4250000000000001E-3</v>
      </c>
      <c r="G788" s="7">
        <f t="shared" si="54"/>
        <v>0.26582499999999998</v>
      </c>
    </row>
    <row r="789" spans="1:7" x14ac:dyDescent="0.35">
      <c r="A789" s="5" t="s">
        <v>312</v>
      </c>
      <c r="B789" s="5" t="s">
        <v>310</v>
      </c>
      <c r="C789" s="6">
        <v>0.3</v>
      </c>
      <c r="D789" s="7">
        <f t="shared" si="51"/>
        <v>0.29625000000000001</v>
      </c>
      <c r="E789" s="7">
        <f t="shared" si="52"/>
        <v>0.27124999999999999</v>
      </c>
      <c r="F789" s="7">
        <f t="shared" si="53"/>
        <v>5.4250000000000001E-3</v>
      </c>
      <c r="G789" s="7">
        <f t="shared" si="54"/>
        <v>0.26582499999999998</v>
      </c>
    </row>
    <row r="790" spans="1:7" x14ac:dyDescent="0.35">
      <c r="A790" s="5" t="s">
        <v>313</v>
      </c>
      <c r="B790" s="5" t="s">
        <v>310</v>
      </c>
      <c r="C790" s="6">
        <v>0.15</v>
      </c>
      <c r="D790" s="7">
        <f t="shared" si="51"/>
        <v>0.14812500000000001</v>
      </c>
      <c r="E790" s="7">
        <f t="shared" si="52"/>
        <v>0.12312500000000001</v>
      </c>
      <c r="F790" s="7">
        <f t="shared" si="53"/>
        <v>2.4625000000000003E-3</v>
      </c>
      <c r="G790" s="7">
        <f t="shared" si="54"/>
        <v>0.12066250000000001</v>
      </c>
    </row>
    <row r="791" spans="1:7" x14ac:dyDescent="0.35">
      <c r="A791" s="5" t="s">
        <v>314</v>
      </c>
      <c r="B791" s="5" t="s">
        <v>310</v>
      </c>
      <c r="C791" s="6">
        <v>0.25</v>
      </c>
      <c r="D791" s="7">
        <f t="shared" si="51"/>
        <v>0.24687500000000001</v>
      </c>
      <c r="E791" s="7">
        <f t="shared" si="52"/>
        <v>0.22187500000000002</v>
      </c>
      <c r="F791" s="7">
        <f t="shared" si="53"/>
        <v>4.4375000000000005E-3</v>
      </c>
      <c r="G791" s="7">
        <f t="shared" si="54"/>
        <v>0.21743750000000001</v>
      </c>
    </row>
    <row r="792" spans="1:7" x14ac:dyDescent="0.35">
      <c r="A792" s="41" t="s">
        <v>315</v>
      </c>
      <c r="B792" s="5" t="s">
        <v>316</v>
      </c>
      <c r="C792" s="6">
        <v>0.16</v>
      </c>
      <c r="D792" s="7">
        <f t="shared" si="51"/>
        <v>0.158</v>
      </c>
      <c r="E792" s="7">
        <f t="shared" si="52"/>
        <v>0.13300000000000001</v>
      </c>
      <c r="F792" s="7">
        <f t="shared" si="53"/>
        <v>2.66E-3</v>
      </c>
      <c r="G792" s="7">
        <f t="shared" si="54"/>
        <v>0.13034000000000001</v>
      </c>
    </row>
    <row r="793" spans="1:7" x14ac:dyDescent="0.35">
      <c r="A793" s="43"/>
      <c r="B793" s="5" t="s">
        <v>317</v>
      </c>
      <c r="C793" s="6">
        <v>0.15</v>
      </c>
      <c r="D793" s="7">
        <f t="shared" si="51"/>
        <v>0.14812500000000001</v>
      </c>
      <c r="E793" s="7">
        <f t="shared" si="52"/>
        <v>0.12312500000000001</v>
      </c>
      <c r="F793" s="7">
        <f t="shared" si="53"/>
        <v>2.4625000000000003E-3</v>
      </c>
      <c r="G793" s="7">
        <f t="shared" si="54"/>
        <v>0.12066250000000001</v>
      </c>
    </row>
    <row r="794" spans="1:7" x14ac:dyDescent="0.35">
      <c r="A794" s="23" t="s">
        <v>1390</v>
      </c>
      <c r="B794" s="5" t="s">
        <v>100</v>
      </c>
      <c r="C794" s="6">
        <v>0.19500000000000001</v>
      </c>
      <c r="D794" s="7">
        <f t="shared" si="51"/>
        <v>0.1925625</v>
      </c>
      <c r="E794" s="7">
        <f t="shared" si="52"/>
        <v>0.1675625</v>
      </c>
      <c r="F794" s="7">
        <f t="shared" si="53"/>
        <v>3.3512500000000001E-3</v>
      </c>
      <c r="G794" s="7">
        <f t="shared" si="54"/>
        <v>0.16421125</v>
      </c>
    </row>
    <row r="795" spans="1:7" x14ac:dyDescent="0.35">
      <c r="A795" s="2" t="s">
        <v>318</v>
      </c>
      <c r="B795" s="2" t="s">
        <v>1</v>
      </c>
      <c r="C795" s="3" t="s">
        <v>2</v>
      </c>
      <c r="D795" s="4" t="s">
        <v>1275</v>
      </c>
      <c r="E795" s="4" t="s">
        <v>1276</v>
      </c>
      <c r="F795" s="4" t="s">
        <v>363</v>
      </c>
      <c r="G795" s="4" t="s">
        <v>364</v>
      </c>
    </row>
    <row r="796" spans="1:7" x14ac:dyDescent="0.35">
      <c r="A796" s="41" t="s">
        <v>319</v>
      </c>
      <c r="B796" s="5" t="s">
        <v>254</v>
      </c>
      <c r="C796" s="6">
        <v>0.22500000000000001</v>
      </c>
      <c r="D796" s="7">
        <f t="shared" si="51"/>
        <v>0.22218750000000001</v>
      </c>
      <c r="E796" s="7">
        <f t="shared" si="52"/>
        <v>0.19718750000000002</v>
      </c>
      <c r="F796" s="7">
        <f t="shared" si="53"/>
        <v>3.9437500000000002E-3</v>
      </c>
      <c r="G796" s="7">
        <f t="shared" si="54"/>
        <v>0.19324375000000002</v>
      </c>
    </row>
    <row r="797" spans="1:7" x14ac:dyDescent="0.35">
      <c r="A797" s="43"/>
      <c r="B797" s="5" t="s">
        <v>1151</v>
      </c>
      <c r="C797" s="6">
        <v>2.5000000000000001E-2</v>
      </c>
      <c r="D797" s="7" t="s">
        <v>20</v>
      </c>
      <c r="E797" s="7" t="s">
        <v>20</v>
      </c>
      <c r="F797" s="7" t="s">
        <v>20</v>
      </c>
      <c r="G797" s="7" t="s">
        <v>20</v>
      </c>
    </row>
    <row r="798" spans="1:7" x14ac:dyDescent="0.35">
      <c r="A798" s="5" t="s">
        <v>320</v>
      </c>
      <c r="B798" s="5" t="s">
        <v>100</v>
      </c>
      <c r="C798" s="7">
        <v>0.5</v>
      </c>
      <c r="D798" s="7">
        <f t="shared" si="51"/>
        <v>0.49375000000000002</v>
      </c>
      <c r="E798" s="7">
        <f t="shared" si="52"/>
        <v>0.46875</v>
      </c>
      <c r="F798" s="7">
        <f t="shared" si="53"/>
        <v>9.3749999999999997E-3</v>
      </c>
      <c r="G798" s="7">
        <f t="shared" si="54"/>
        <v>0.45937499999999998</v>
      </c>
    </row>
    <row r="799" spans="1:7" ht="14.5" customHeight="1" x14ac:dyDescent="0.35">
      <c r="A799" s="41" t="s">
        <v>321</v>
      </c>
      <c r="B799" s="5" t="s">
        <v>322</v>
      </c>
      <c r="C799" s="6">
        <v>0.06</v>
      </c>
      <c r="D799" s="7">
        <f t="shared" si="51"/>
        <v>5.9249999999999997E-2</v>
      </c>
      <c r="E799" s="7">
        <f t="shared" si="52"/>
        <v>3.4249999999999996E-2</v>
      </c>
      <c r="F799" s="7">
        <f t="shared" si="53"/>
        <v>6.8499999999999995E-4</v>
      </c>
      <c r="G799" s="7">
        <f t="shared" si="54"/>
        <v>3.3564999999999998E-2</v>
      </c>
    </row>
    <row r="800" spans="1:7" x14ac:dyDescent="0.35">
      <c r="A800" s="42"/>
      <c r="B800" s="5" t="s">
        <v>323</v>
      </c>
      <c r="C800" s="6">
        <v>0.08</v>
      </c>
      <c r="D800" s="7">
        <f t="shared" si="51"/>
        <v>7.9000000000000001E-2</v>
      </c>
      <c r="E800" s="7">
        <f t="shared" si="52"/>
        <v>5.3999999999999999E-2</v>
      </c>
      <c r="F800" s="7">
        <f t="shared" si="53"/>
        <v>1.08E-3</v>
      </c>
      <c r="G800" s="7">
        <f t="shared" si="54"/>
        <v>5.2920000000000002E-2</v>
      </c>
    </row>
    <row r="801" spans="1:7" x14ac:dyDescent="0.35">
      <c r="A801" s="42"/>
      <c r="B801" s="5" t="s">
        <v>324</v>
      </c>
      <c r="C801" s="6">
        <v>0.4</v>
      </c>
      <c r="D801" s="7">
        <f t="shared" si="51"/>
        <v>0.39500000000000002</v>
      </c>
      <c r="E801" s="7">
        <f t="shared" si="52"/>
        <v>0.37</v>
      </c>
      <c r="F801" s="7">
        <f t="shared" si="53"/>
        <v>7.4000000000000003E-3</v>
      </c>
      <c r="G801" s="7">
        <f t="shared" si="54"/>
        <v>0.36259999999999998</v>
      </c>
    </row>
    <row r="802" spans="1:7" x14ac:dyDescent="0.35">
      <c r="A802" s="43"/>
      <c r="B802" s="5" t="s">
        <v>325</v>
      </c>
      <c r="C802" s="6">
        <v>0.03</v>
      </c>
      <c r="D802" s="7" t="s">
        <v>20</v>
      </c>
      <c r="E802" s="7" t="s">
        <v>20</v>
      </c>
      <c r="F802" s="7" t="s">
        <v>20</v>
      </c>
      <c r="G802" s="7" t="s">
        <v>20</v>
      </c>
    </row>
    <row r="803" spans="1:7" x14ac:dyDescent="0.35">
      <c r="A803" s="48" t="s">
        <v>326</v>
      </c>
      <c r="B803" s="5" t="s">
        <v>322</v>
      </c>
      <c r="C803" s="6">
        <v>0.06</v>
      </c>
      <c r="D803" s="7">
        <f t="shared" si="51"/>
        <v>5.9249999999999997E-2</v>
      </c>
      <c r="E803" s="7">
        <f t="shared" si="52"/>
        <v>3.4249999999999996E-2</v>
      </c>
      <c r="F803" s="7">
        <f t="shared" si="53"/>
        <v>6.8499999999999995E-4</v>
      </c>
      <c r="G803" s="7">
        <f t="shared" si="54"/>
        <v>3.3564999999999998E-2</v>
      </c>
    </row>
    <row r="804" spans="1:7" x14ac:dyDescent="0.35">
      <c r="A804" s="48"/>
      <c r="B804" s="5" t="s">
        <v>323</v>
      </c>
      <c r="C804" s="6">
        <v>0.08</v>
      </c>
      <c r="D804" s="7">
        <f t="shared" si="51"/>
        <v>7.9000000000000001E-2</v>
      </c>
      <c r="E804" s="7">
        <f t="shared" si="52"/>
        <v>5.3999999999999999E-2</v>
      </c>
      <c r="F804" s="7">
        <f t="shared" si="53"/>
        <v>1.08E-3</v>
      </c>
      <c r="G804" s="7">
        <f t="shared" si="54"/>
        <v>5.2920000000000002E-2</v>
      </c>
    </row>
    <row r="805" spans="1:7" x14ac:dyDescent="0.35">
      <c r="A805" s="48"/>
      <c r="B805" s="5" t="s">
        <v>324</v>
      </c>
      <c r="C805" s="6">
        <v>0.4</v>
      </c>
      <c r="D805" s="7">
        <f t="shared" si="51"/>
        <v>0.39500000000000002</v>
      </c>
      <c r="E805" s="7">
        <f t="shared" si="52"/>
        <v>0.37</v>
      </c>
      <c r="F805" s="7">
        <f t="shared" si="53"/>
        <v>7.4000000000000003E-3</v>
      </c>
      <c r="G805" s="7">
        <f t="shared" si="54"/>
        <v>0.36259999999999998</v>
      </c>
    </row>
    <row r="806" spans="1:7" x14ac:dyDescent="0.35">
      <c r="A806" s="48"/>
      <c r="B806" s="5" t="s">
        <v>327</v>
      </c>
      <c r="C806" s="6">
        <v>7.4999999999999997E-2</v>
      </c>
      <c r="D806" s="7">
        <f t="shared" si="51"/>
        <v>7.4062500000000003E-2</v>
      </c>
      <c r="E806" s="7">
        <f t="shared" si="52"/>
        <v>4.9062500000000002E-2</v>
      </c>
      <c r="F806" s="7">
        <f t="shared" si="53"/>
        <v>9.8125000000000013E-4</v>
      </c>
      <c r="G806" s="7">
        <f t="shared" si="54"/>
        <v>4.8081249999999999E-2</v>
      </c>
    </row>
    <row r="807" spans="1:7" x14ac:dyDescent="0.35">
      <c r="A807" s="48"/>
      <c r="B807" s="5" t="s">
        <v>325</v>
      </c>
      <c r="C807" s="6">
        <v>0.03</v>
      </c>
      <c r="D807" s="7" t="s">
        <v>20</v>
      </c>
      <c r="E807" s="7" t="s">
        <v>20</v>
      </c>
      <c r="F807" s="7" t="s">
        <v>20</v>
      </c>
      <c r="G807" s="7" t="s">
        <v>20</v>
      </c>
    </row>
    <row r="808" spans="1:7" x14ac:dyDescent="0.35">
      <c r="A808" s="48" t="s">
        <v>328</v>
      </c>
      <c r="B808" s="5" t="s">
        <v>329</v>
      </c>
      <c r="C808" s="6">
        <v>7.4999999999999997E-2</v>
      </c>
      <c r="D808" s="7">
        <f t="shared" si="51"/>
        <v>7.4062500000000003E-2</v>
      </c>
      <c r="E808" s="7">
        <f t="shared" si="52"/>
        <v>4.9062500000000002E-2</v>
      </c>
      <c r="F808" s="7">
        <f t="shared" si="53"/>
        <v>9.8125000000000013E-4</v>
      </c>
      <c r="G808" s="7">
        <f t="shared" si="54"/>
        <v>4.8081249999999999E-2</v>
      </c>
    </row>
    <row r="809" spans="1:7" x14ac:dyDescent="0.35">
      <c r="A809" s="48"/>
      <c r="B809" s="5" t="s">
        <v>324</v>
      </c>
      <c r="C809" s="6">
        <v>0.1</v>
      </c>
      <c r="D809" s="7">
        <f t="shared" si="51"/>
        <v>9.8750000000000004E-2</v>
      </c>
      <c r="E809" s="7">
        <f t="shared" si="52"/>
        <v>7.375000000000001E-2</v>
      </c>
      <c r="F809" s="7">
        <f t="shared" si="53"/>
        <v>1.4750000000000002E-3</v>
      </c>
      <c r="G809" s="7">
        <f t="shared" si="54"/>
        <v>7.2275000000000006E-2</v>
      </c>
    </row>
    <row r="810" spans="1:7" x14ac:dyDescent="0.35">
      <c r="A810" s="48"/>
      <c r="B810" s="5" t="s">
        <v>325</v>
      </c>
      <c r="C810" s="6">
        <v>0.03</v>
      </c>
      <c r="D810" s="7" t="s">
        <v>20</v>
      </c>
      <c r="E810" s="7" t="s">
        <v>20</v>
      </c>
      <c r="F810" s="7" t="s">
        <v>20</v>
      </c>
      <c r="G810" s="7" t="s">
        <v>20</v>
      </c>
    </row>
    <row r="811" spans="1:7" x14ac:dyDescent="0.35">
      <c r="A811" s="48"/>
      <c r="B811" s="5" t="s">
        <v>330</v>
      </c>
      <c r="C811" s="6">
        <v>2.5000000000000001E-2</v>
      </c>
      <c r="D811" s="7" t="s">
        <v>20</v>
      </c>
      <c r="E811" s="7" t="s">
        <v>20</v>
      </c>
      <c r="F811" s="7" t="s">
        <v>20</v>
      </c>
      <c r="G811" s="7" t="s">
        <v>20</v>
      </c>
    </row>
    <row r="812" spans="1:7" x14ac:dyDescent="0.35">
      <c r="A812" s="48"/>
      <c r="B812" s="5" t="s">
        <v>331</v>
      </c>
      <c r="C812" s="6">
        <v>2.5000000000000001E-2</v>
      </c>
      <c r="D812" s="7" t="s">
        <v>20</v>
      </c>
      <c r="E812" s="7" t="s">
        <v>20</v>
      </c>
      <c r="F812" s="7" t="s">
        <v>20</v>
      </c>
      <c r="G812" s="7" t="s">
        <v>20</v>
      </c>
    </row>
    <row r="813" spans="1:7" x14ac:dyDescent="0.35">
      <c r="A813" s="48" t="s">
        <v>332</v>
      </c>
      <c r="B813" s="5" t="s">
        <v>333</v>
      </c>
      <c r="C813" s="6">
        <v>7.4999999999999997E-2</v>
      </c>
      <c r="D813" s="7">
        <f t="shared" si="51"/>
        <v>7.4062500000000003E-2</v>
      </c>
      <c r="E813" s="7">
        <f t="shared" si="52"/>
        <v>4.9062500000000002E-2</v>
      </c>
      <c r="F813" s="7">
        <f t="shared" si="53"/>
        <v>9.8125000000000013E-4</v>
      </c>
      <c r="G813" s="7">
        <f t="shared" si="54"/>
        <v>4.8081249999999999E-2</v>
      </c>
    </row>
    <row r="814" spans="1:7" x14ac:dyDescent="0.35">
      <c r="A814" s="48"/>
      <c r="B814" s="5" t="s">
        <v>324</v>
      </c>
      <c r="C814" s="6">
        <v>0.1</v>
      </c>
      <c r="D814" s="7">
        <f t="shared" si="51"/>
        <v>9.8750000000000004E-2</v>
      </c>
      <c r="E814" s="7">
        <f t="shared" si="52"/>
        <v>7.375000000000001E-2</v>
      </c>
      <c r="F814" s="7">
        <f t="shared" si="53"/>
        <v>1.4750000000000002E-3</v>
      </c>
      <c r="G814" s="7">
        <f t="shared" si="54"/>
        <v>7.2275000000000006E-2</v>
      </c>
    </row>
    <row r="815" spans="1:7" x14ac:dyDescent="0.35">
      <c r="A815" s="48"/>
      <c r="B815" s="5" t="s">
        <v>330</v>
      </c>
      <c r="C815" s="6">
        <v>2.5000000000000001E-2</v>
      </c>
      <c r="D815" s="7" t="s">
        <v>20</v>
      </c>
      <c r="E815" s="7" t="s">
        <v>20</v>
      </c>
      <c r="F815" s="7" t="s">
        <v>20</v>
      </c>
      <c r="G815" s="7" t="s">
        <v>20</v>
      </c>
    </row>
    <row r="816" spans="1:7" x14ac:dyDescent="0.35">
      <c r="A816" s="48"/>
      <c r="B816" s="5" t="s">
        <v>331</v>
      </c>
      <c r="C816" s="6">
        <v>2.5000000000000001E-2</v>
      </c>
      <c r="D816" s="7" t="s">
        <v>20</v>
      </c>
      <c r="E816" s="7" t="s">
        <v>20</v>
      </c>
      <c r="F816" s="7" t="s">
        <v>20</v>
      </c>
      <c r="G816" s="7" t="s">
        <v>20</v>
      </c>
    </row>
    <row r="817" spans="1:7" x14ac:dyDescent="0.35">
      <c r="A817" s="48"/>
      <c r="B817" s="5" t="s">
        <v>325</v>
      </c>
      <c r="C817" s="6">
        <v>0.03</v>
      </c>
      <c r="D817" s="7" t="s">
        <v>20</v>
      </c>
      <c r="E817" s="7" t="s">
        <v>20</v>
      </c>
      <c r="F817" s="7" t="s">
        <v>20</v>
      </c>
      <c r="G817" s="7" t="s">
        <v>20</v>
      </c>
    </row>
    <row r="818" spans="1:7" x14ac:dyDescent="0.35">
      <c r="A818" s="34" t="s">
        <v>334</v>
      </c>
      <c r="B818" s="5" t="s">
        <v>100</v>
      </c>
      <c r="C818" s="6">
        <v>0.47499999999999998</v>
      </c>
      <c r="D818" s="7">
        <f t="shared" si="51"/>
        <v>0.46906249999999999</v>
      </c>
      <c r="E818" s="7">
        <f t="shared" si="52"/>
        <v>0.44406249999999997</v>
      </c>
      <c r="F818" s="7">
        <f t="shared" si="53"/>
        <v>8.8812500000000003E-3</v>
      </c>
      <c r="G818" s="7">
        <f t="shared" si="54"/>
        <v>0.43518124999999996</v>
      </c>
    </row>
    <row r="819" spans="1:7" x14ac:dyDescent="0.35">
      <c r="A819" s="48" t="s">
        <v>335</v>
      </c>
      <c r="B819" s="5" t="s">
        <v>138</v>
      </c>
      <c r="C819" s="6">
        <v>0.17</v>
      </c>
      <c r="D819" s="7">
        <f t="shared" si="51"/>
        <v>0.16787500000000002</v>
      </c>
      <c r="E819" s="7">
        <f t="shared" si="52"/>
        <v>0.14287500000000003</v>
      </c>
      <c r="F819" s="7">
        <f t="shared" si="53"/>
        <v>2.8575000000000007E-3</v>
      </c>
      <c r="G819" s="7">
        <f t="shared" si="54"/>
        <v>0.14001750000000002</v>
      </c>
    </row>
    <row r="820" spans="1:7" x14ac:dyDescent="0.35">
      <c r="A820" s="48"/>
      <c r="B820" s="5" t="s">
        <v>232</v>
      </c>
      <c r="C820" s="6">
        <v>0.17499999999999999</v>
      </c>
      <c r="D820" s="7">
        <f t="shared" si="51"/>
        <v>0.17281249999999998</v>
      </c>
      <c r="E820" s="7">
        <f t="shared" si="52"/>
        <v>0.14781249999999999</v>
      </c>
      <c r="F820" s="7">
        <f t="shared" si="53"/>
        <v>2.9562499999999997E-3</v>
      </c>
      <c r="G820" s="7">
        <f t="shared" si="54"/>
        <v>0.14485624999999999</v>
      </c>
    </row>
    <row r="821" spans="1:7" x14ac:dyDescent="0.35">
      <c r="A821" s="48"/>
      <c r="B821" s="5" t="s">
        <v>258</v>
      </c>
      <c r="C821" s="6">
        <v>0.18</v>
      </c>
      <c r="D821" s="7">
        <f t="shared" si="51"/>
        <v>0.17774999999999999</v>
      </c>
      <c r="E821" s="7">
        <f t="shared" si="52"/>
        <v>0.15275</v>
      </c>
      <c r="F821" s="7">
        <f t="shared" si="53"/>
        <v>3.055E-3</v>
      </c>
      <c r="G821" s="7">
        <f t="shared" si="54"/>
        <v>0.14969499999999999</v>
      </c>
    </row>
    <row r="822" spans="1:7" x14ac:dyDescent="0.35">
      <c r="A822" s="48" t="s">
        <v>336</v>
      </c>
      <c r="B822" s="5" t="s">
        <v>138</v>
      </c>
      <c r="C822" s="6">
        <v>0.12</v>
      </c>
      <c r="D822" s="7">
        <f t="shared" si="51"/>
        <v>0.11849999999999999</v>
      </c>
      <c r="E822" s="7">
        <f t="shared" si="52"/>
        <v>9.35E-2</v>
      </c>
      <c r="F822" s="7">
        <f t="shared" si="53"/>
        <v>1.8700000000000001E-3</v>
      </c>
      <c r="G822" s="7">
        <f t="shared" si="54"/>
        <v>9.1630000000000003E-2</v>
      </c>
    </row>
    <row r="823" spans="1:7" x14ac:dyDescent="0.35">
      <c r="A823" s="48"/>
      <c r="B823" s="5" t="s">
        <v>232</v>
      </c>
      <c r="C823" s="6">
        <v>0.17499999999999999</v>
      </c>
      <c r="D823" s="7">
        <f t="shared" si="51"/>
        <v>0.17281249999999998</v>
      </c>
      <c r="E823" s="7">
        <f t="shared" si="52"/>
        <v>0.14781249999999999</v>
      </c>
      <c r="F823" s="7">
        <f t="shared" si="53"/>
        <v>2.9562499999999997E-3</v>
      </c>
      <c r="G823" s="7">
        <f t="shared" si="54"/>
        <v>0.14485624999999999</v>
      </c>
    </row>
    <row r="824" spans="1:7" x14ac:dyDescent="0.35">
      <c r="A824" s="48"/>
      <c r="B824" s="5" t="s">
        <v>258</v>
      </c>
      <c r="C824" s="6">
        <v>0.17</v>
      </c>
      <c r="D824" s="7">
        <f t="shared" si="51"/>
        <v>0.16787500000000002</v>
      </c>
      <c r="E824" s="7">
        <f t="shared" si="52"/>
        <v>0.14287500000000003</v>
      </c>
      <c r="F824" s="7">
        <f t="shared" si="53"/>
        <v>2.8575000000000007E-3</v>
      </c>
      <c r="G824" s="7">
        <f t="shared" si="54"/>
        <v>0.14001750000000002</v>
      </c>
    </row>
    <row r="825" spans="1:7" x14ac:dyDescent="0.35">
      <c r="A825" s="48" t="s">
        <v>337</v>
      </c>
      <c r="B825" s="5" t="s">
        <v>138</v>
      </c>
      <c r="C825" s="6">
        <v>0.17</v>
      </c>
      <c r="D825" s="7">
        <f t="shared" si="51"/>
        <v>0.16787500000000002</v>
      </c>
      <c r="E825" s="7">
        <f t="shared" si="52"/>
        <v>0.14287500000000003</v>
      </c>
      <c r="F825" s="7">
        <f t="shared" si="53"/>
        <v>2.8575000000000007E-3</v>
      </c>
      <c r="G825" s="7">
        <f t="shared" si="54"/>
        <v>0.14001750000000002</v>
      </c>
    </row>
    <row r="826" spans="1:7" x14ac:dyDescent="0.35">
      <c r="A826" s="48"/>
      <c r="B826" s="5" t="s">
        <v>232</v>
      </c>
      <c r="C826" s="6">
        <v>0</v>
      </c>
      <c r="D826" s="7" t="s">
        <v>20</v>
      </c>
      <c r="E826" s="7" t="s">
        <v>20</v>
      </c>
      <c r="F826" s="7" t="s">
        <v>20</v>
      </c>
      <c r="G826" s="7" t="s">
        <v>20</v>
      </c>
    </row>
    <row r="827" spans="1:7" x14ac:dyDescent="0.35">
      <c r="A827" s="48"/>
      <c r="B827" s="5" t="s">
        <v>258</v>
      </c>
      <c r="C827" s="6">
        <v>0.18</v>
      </c>
      <c r="D827" s="7">
        <f t="shared" si="51"/>
        <v>0.17774999999999999</v>
      </c>
      <c r="E827" s="7">
        <f t="shared" si="52"/>
        <v>0.15275</v>
      </c>
      <c r="F827" s="7">
        <f t="shared" si="53"/>
        <v>3.055E-3</v>
      </c>
      <c r="G827" s="7">
        <f t="shared" si="54"/>
        <v>0.14969499999999999</v>
      </c>
    </row>
    <row r="828" spans="1:7" x14ac:dyDescent="0.35">
      <c r="A828" s="41" t="s">
        <v>1268</v>
      </c>
      <c r="B828" s="5" t="s">
        <v>338</v>
      </c>
      <c r="C828" s="6">
        <v>0.55000000000000004</v>
      </c>
      <c r="D828" s="7">
        <f t="shared" si="51"/>
        <v>0.54312500000000008</v>
      </c>
      <c r="E828" s="7">
        <f t="shared" si="52"/>
        <v>0.51812500000000006</v>
      </c>
      <c r="F828" s="7">
        <f t="shared" si="53"/>
        <v>1.0362500000000002E-2</v>
      </c>
      <c r="G828" s="7">
        <f t="shared" si="54"/>
        <v>0.50776250000000001</v>
      </c>
    </row>
    <row r="829" spans="1:7" x14ac:dyDescent="0.35">
      <c r="A829" s="43"/>
      <c r="B829" s="5" t="s">
        <v>339</v>
      </c>
      <c r="C829" s="6">
        <v>0.45</v>
      </c>
      <c r="D829" s="7">
        <f t="shared" si="51"/>
        <v>0.44437500000000002</v>
      </c>
      <c r="E829" s="7">
        <f t="shared" si="52"/>
        <v>0.419375</v>
      </c>
      <c r="F829" s="7">
        <f t="shared" si="53"/>
        <v>8.3875000000000009E-3</v>
      </c>
      <c r="G829" s="7">
        <f t="shared" si="54"/>
        <v>0.41098750000000001</v>
      </c>
    </row>
    <row r="830" spans="1:7" x14ac:dyDescent="0.35">
      <c r="A830" s="5" t="s">
        <v>1322</v>
      </c>
      <c r="B830" s="5" t="s">
        <v>1337</v>
      </c>
      <c r="C830" s="6">
        <v>0.4</v>
      </c>
      <c r="D830" s="7">
        <f t="shared" si="51"/>
        <v>0.39500000000000002</v>
      </c>
      <c r="E830" s="7">
        <f t="shared" si="52"/>
        <v>0.37</v>
      </c>
      <c r="F830" s="7">
        <f t="shared" si="53"/>
        <v>7.4000000000000003E-3</v>
      </c>
      <c r="G830" s="7">
        <f t="shared" si="54"/>
        <v>0.36259999999999998</v>
      </c>
    </row>
    <row r="831" spans="1:7" x14ac:dyDescent="0.35">
      <c r="A831" s="5" t="s">
        <v>1338</v>
      </c>
      <c r="B831" s="5" t="s">
        <v>1337</v>
      </c>
      <c r="C831" s="6">
        <v>0.35</v>
      </c>
      <c r="D831" s="7">
        <f t="shared" si="51"/>
        <v>0.34562499999999996</v>
      </c>
      <c r="E831" s="7">
        <f t="shared" si="52"/>
        <v>0.32062499999999994</v>
      </c>
      <c r="F831" s="7">
        <f t="shared" si="53"/>
        <v>6.4124999999999989E-3</v>
      </c>
      <c r="G831" s="7">
        <f t="shared" si="54"/>
        <v>0.31421249999999995</v>
      </c>
    </row>
    <row r="832" spans="1:7" x14ac:dyDescent="0.35">
      <c r="A832" s="5" t="s">
        <v>1339</v>
      </c>
      <c r="B832" s="5" t="s">
        <v>1337</v>
      </c>
      <c r="C832" s="6">
        <v>0.32500000000000001</v>
      </c>
      <c r="D832" s="7">
        <f t="shared" si="51"/>
        <v>0.32093749999999999</v>
      </c>
      <c r="E832" s="7">
        <f t="shared" si="52"/>
        <v>0.29593749999999996</v>
      </c>
      <c r="F832" s="7">
        <f t="shared" si="53"/>
        <v>5.9187499999999995E-3</v>
      </c>
      <c r="G832" s="7">
        <f t="shared" si="54"/>
        <v>0.29001874999999999</v>
      </c>
    </row>
    <row r="833" spans="1:7" x14ac:dyDescent="0.35">
      <c r="A833" s="5" t="s">
        <v>1340</v>
      </c>
      <c r="B833" s="5" t="s">
        <v>1337</v>
      </c>
      <c r="C833" s="6">
        <v>0.3</v>
      </c>
      <c r="D833" s="7">
        <f t="shared" si="51"/>
        <v>0.29625000000000001</v>
      </c>
      <c r="E833" s="7">
        <f t="shared" si="52"/>
        <v>0.27124999999999999</v>
      </c>
      <c r="F833" s="7">
        <f t="shared" si="53"/>
        <v>5.4250000000000001E-3</v>
      </c>
      <c r="G833" s="7">
        <f t="shared" si="54"/>
        <v>0.26582499999999998</v>
      </c>
    </row>
    <row r="834" spans="1:7" x14ac:dyDescent="0.35">
      <c r="A834" s="48" t="s">
        <v>1391</v>
      </c>
      <c r="B834" s="5" t="s">
        <v>33</v>
      </c>
      <c r="C834" s="6">
        <v>0.5</v>
      </c>
      <c r="D834" s="7">
        <f t="shared" si="51"/>
        <v>0.49375000000000002</v>
      </c>
      <c r="E834" s="7">
        <f t="shared" si="52"/>
        <v>0.46875</v>
      </c>
      <c r="F834" s="7">
        <f t="shared" si="53"/>
        <v>9.3749999999999997E-3</v>
      </c>
      <c r="G834" s="7">
        <f t="shared" si="54"/>
        <v>0.45937499999999998</v>
      </c>
    </row>
    <row r="835" spans="1:7" x14ac:dyDescent="0.35">
      <c r="A835" s="48"/>
      <c r="B835" s="5" t="s">
        <v>34</v>
      </c>
      <c r="C835" s="6">
        <v>0.4</v>
      </c>
      <c r="D835" s="7">
        <f t="shared" si="51"/>
        <v>0.39500000000000002</v>
      </c>
      <c r="E835" s="7">
        <f t="shared" si="52"/>
        <v>0.37</v>
      </c>
      <c r="F835" s="7">
        <f t="shared" si="53"/>
        <v>7.4000000000000003E-3</v>
      </c>
      <c r="G835" s="7">
        <f t="shared" si="54"/>
        <v>0.36259999999999998</v>
      </c>
    </row>
    <row r="836" spans="1:7" x14ac:dyDescent="0.35">
      <c r="A836" s="48"/>
      <c r="B836" s="5" t="s">
        <v>35</v>
      </c>
      <c r="C836" s="6">
        <v>0.4</v>
      </c>
      <c r="D836" s="7">
        <f t="shared" si="51"/>
        <v>0.39500000000000002</v>
      </c>
      <c r="E836" s="7">
        <f t="shared" si="52"/>
        <v>0.37</v>
      </c>
      <c r="F836" s="7">
        <f t="shared" si="53"/>
        <v>7.4000000000000003E-3</v>
      </c>
      <c r="G836" s="7">
        <f t="shared" si="54"/>
        <v>0.36259999999999998</v>
      </c>
    </row>
    <row r="837" spans="1:7" x14ac:dyDescent="0.35">
      <c r="A837" s="48" t="s">
        <v>1392</v>
      </c>
      <c r="B837" s="5" t="s">
        <v>33</v>
      </c>
      <c r="C837" s="6">
        <v>0.26</v>
      </c>
      <c r="D837" s="7">
        <f t="shared" si="51"/>
        <v>0.25675000000000003</v>
      </c>
      <c r="E837" s="7">
        <f t="shared" si="52"/>
        <v>0.23175000000000004</v>
      </c>
      <c r="F837" s="7">
        <f t="shared" si="53"/>
        <v>4.6350000000000011E-3</v>
      </c>
      <c r="G837" s="7">
        <f t="shared" si="54"/>
        <v>0.22711500000000004</v>
      </c>
    </row>
    <row r="838" spans="1:7" x14ac:dyDescent="0.35">
      <c r="A838" s="48"/>
      <c r="B838" s="5" t="s">
        <v>34</v>
      </c>
      <c r="C838" s="6">
        <v>0.33</v>
      </c>
      <c r="D838" s="7">
        <f t="shared" si="51"/>
        <v>0.32587500000000003</v>
      </c>
      <c r="E838" s="7">
        <f t="shared" si="52"/>
        <v>0.300875</v>
      </c>
      <c r="F838" s="7">
        <f t="shared" si="53"/>
        <v>6.0175000000000003E-3</v>
      </c>
      <c r="G838" s="7">
        <f t="shared" si="54"/>
        <v>0.29485749999999999</v>
      </c>
    </row>
    <row r="839" spans="1:7" x14ac:dyDescent="0.35">
      <c r="A839" s="48"/>
      <c r="B839" s="5" t="s">
        <v>35</v>
      </c>
      <c r="C839" s="6">
        <v>0.33</v>
      </c>
      <c r="D839" s="7">
        <f t="shared" ref="D839:D902" si="55">(C839-(C839*1.25%))</f>
        <v>0.32587500000000003</v>
      </c>
      <c r="E839" s="7">
        <f t="shared" ref="E839:E902" si="56">D839-(2.5%)</f>
        <v>0.300875</v>
      </c>
      <c r="F839" s="7">
        <f t="shared" ref="F839:F902" si="57">E839*(2%)</f>
        <v>6.0175000000000003E-3</v>
      </c>
      <c r="G839" s="7">
        <f t="shared" ref="G839:G902" si="58">E839-F839</f>
        <v>0.29485749999999999</v>
      </c>
    </row>
    <row r="840" spans="1:7" x14ac:dyDescent="0.35">
      <c r="A840" s="48" t="s">
        <v>1393</v>
      </c>
      <c r="B840" s="5" t="s">
        <v>33</v>
      </c>
      <c r="C840" s="6">
        <v>0</v>
      </c>
      <c r="D840" s="7" t="s">
        <v>20</v>
      </c>
      <c r="E840" s="7" t="s">
        <v>20</v>
      </c>
      <c r="F840" s="7" t="s">
        <v>20</v>
      </c>
      <c r="G840" s="7" t="s">
        <v>20</v>
      </c>
    </row>
    <row r="841" spans="1:7" x14ac:dyDescent="0.35">
      <c r="A841" s="48"/>
      <c r="B841" s="5" t="s">
        <v>34</v>
      </c>
      <c r="C841" s="6">
        <v>0</v>
      </c>
      <c r="D841" s="7" t="s">
        <v>20</v>
      </c>
      <c r="E841" s="7" t="s">
        <v>20</v>
      </c>
      <c r="F841" s="7" t="s">
        <v>20</v>
      </c>
      <c r="G841" s="7" t="s">
        <v>20</v>
      </c>
    </row>
    <row r="842" spans="1:7" x14ac:dyDescent="0.35">
      <c r="A842" s="48"/>
      <c r="B842" s="5" t="s">
        <v>35</v>
      </c>
      <c r="C842" s="6">
        <v>0.24</v>
      </c>
      <c r="D842" s="7">
        <f t="shared" si="55"/>
        <v>0.23699999999999999</v>
      </c>
      <c r="E842" s="7">
        <f t="shared" si="56"/>
        <v>0.21199999999999999</v>
      </c>
      <c r="F842" s="7">
        <f t="shared" si="57"/>
        <v>4.2399999999999998E-3</v>
      </c>
      <c r="G842" s="7">
        <f t="shared" si="58"/>
        <v>0.20776</v>
      </c>
    </row>
    <row r="843" spans="1:7" x14ac:dyDescent="0.35">
      <c r="A843" s="48" t="s">
        <v>1394</v>
      </c>
      <c r="B843" s="5" t="s">
        <v>33</v>
      </c>
      <c r="C843" s="6">
        <v>0</v>
      </c>
      <c r="D843" s="7" t="s">
        <v>20</v>
      </c>
      <c r="E843" s="7" t="s">
        <v>20</v>
      </c>
      <c r="F843" s="7" t="s">
        <v>20</v>
      </c>
      <c r="G843" s="7" t="s">
        <v>20</v>
      </c>
    </row>
    <row r="844" spans="1:7" x14ac:dyDescent="0.35">
      <c r="A844" s="48"/>
      <c r="B844" s="5" t="s">
        <v>34</v>
      </c>
      <c r="C844" s="6">
        <v>0.33</v>
      </c>
      <c r="D844" s="7">
        <f t="shared" si="55"/>
        <v>0.32587500000000003</v>
      </c>
      <c r="E844" s="7">
        <f t="shared" si="56"/>
        <v>0.300875</v>
      </c>
      <c r="F844" s="7">
        <f t="shared" si="57"/>
        <v>6.0175000000000003E-3</v>
      </c>
      <c r="G844" s="7">
        <f t="shared" si="58"/>
        <v>0.29485749999999999</v>
      </c>
    </row>
    <row r="845" spans="1:7" x14ac:dyDescent="0.35">
      <c r="A845" s="48"/>
      <c r="B845" s="5" t="s">
        <v>35</v>
      </c>
      <c r="C845" s="6">
        <v>0.33</v>
      </c>
      <c r="D845" s="7">
        <f t="shared" si="55"/>
        <v>0.32587500000000003</v>
      </c>
      <c r="E845" s="7">
        <f t="shared" si="56"/>
        <v>0.300875</v>
      </c>
      <c r="F845" s="7">
        <f t="shared" si="57"/>
        <v>6.0175000000000003E-3</v>
      </c>
      <c r="G845" s="7">
        <f t="shared" si="58"/>
        <v>0.29485749999999999</v>
      </c>
    </row>
    <row r="846" spans="1:7" x14ac:dyDescent="0.35">
      <c r="A846" s="2" t="s">
        <v>340</v>
      </c>
      <c r="B846" s="2" t="s">
        <v>1</v>
      </c>
      <c r="C846" s="3" t="s">
        <v>2</v>
      </c>
      <c r="D846" s="4" t="s">
        <v>1275</v>
      </c>
      <c r="E846" s="4" t="s">
        <v>1276</v>
      </c>
      <c r="F846" s="4" t="s">
        <v>363</v>
      </c>
      <c r="G846" s="4" t="s">
        <v>364</v>
      </c>
    </row>
    <row r="847" spans="1:7" x14ac:dyDescent="0.35">
      <c r="A847" s="5" t="s">
        <v>341</v>
      </c>
      <c r="B847" s="5" t="s">
        <v>342</v>
      </c>
      <c r="C847" s="7">
        <v>0.4</v>
      </c>
      <c r="D847" s="7">
        <f t="shared" si="55"/>
        <v>0.39500000000000002</v>
      </c>
      <c r="E847" s="7">
        <f t="shared" si="56"/>
        <v>0.37</v>
      </c>
      <c r="F847" s="7">
        <f t="shared" si="57"/>
        <v>7.4000000000000003E-3</v>
      </c>
      <c r="G847" s="7">
        <f t="shared" si="58"/>
        <v>0.36259999999999998</v>
      </c>
    </row>
    <row r="848" spans="1:7" x14ac:dyDescent="0.35">
      <c r="A848" s="48" t="s">
        <v>343</v>
      </c>
      <c r="B848" s="5" t="s">
        <v>14</v>
      </c>
      <c r="C848" s="6">
        <v>0.34</v>
      </c>
      <c r="D848" s="7">
        <f t="shared" si="55"/>
        <v>0.33575000000000005</v>
      </c>
      <c r="E848" s="7">
        <f t="shared" si="56"/>
        <v>0.31075000000000003</v>
      </c>
      <c r="F848" s="7">
        <f t="shared" si="57"/>
        <v>6.2150000000000009E-3</v>
      </c>
      <c r="G848" s="7">
        <f t="shared" si="58"/>
        <v>0.304535</v>
      </c>
    </row>
    <row r="849" spans="1:7" x14ac:dyDescent="0.35">
      <c r="A849" s="48"/>
      <c r="B849" s="5" t="s">
        <v>17</v>
      </c>
      <c r="C849" s="6">
        <v>0.34</v>
      </c>
      <c r="D849" s="7">
        <f t="shared" si="55"/>
        <v>0.33575000000000005</v>
      </c>
      <c r="E849" s="7">
        <f t="shared" si="56"/>
        <v>0.31075000000000003</v>
      </c>
      <c r="F849" s="7">
        <f t="shared" si="57"/>
        <v>6.2150000000000009E-3</v>
      </c>
      <c r="G849" s="7">
        <f t="shared" si="58"/>
        <v>0.304535</v>
      </c>
    </row>
    <row r="850" spans="1:7" ht="24" x14ac:dyDescent="0.35">
      <c r="A850" s="48"/>
      <c r="B850" s="5" t="s">
        <v>344</v>
      </c>
      <c r="C850" s="6">
        <v>0.12</v>
      </c>
      <c r="D850" s="7">
        <f t="shared" si="55"/>
        <v>0.11849999999999999</v>
      </c>
      <c r="E850" s="7">
        <f t="shared" si="56"/>
        <v>9.35E-2</v>
      </c>
      <c r="F850" s="7">
        <f t="shared" si="57"/>
        <v>1.8700000000000001E-3</v>
      </c>
      <c r="G850" s="7">
        <f t="shared" si="58"/>
        <v>9.1630000000000003E-2</v>
      </c>
    </row>
    <row r="851" spans="1:7" x14ac:dyDescent="0.35">
      <c r="A851" s="48"/>
      <c r="B851" s="5" t="s">
        <v>25</v>
      </c>
      <c r="C851" s="6">
        <v>0.32</v>
      </c>
      <c r="D851" s="7">
        <f t="shared" si="55"/>
        <v>0.316</v>
      </c>
      <c r="E851" s="7">
        <f t="shared" si="56"/>
        <v>0.29099999999999998</v>
      </c>
      <c r="F851" s="7">
        <f t="shared" si="57"/>
        <v>5.8199999999999997E-3</v>
      </c>
      <c r="G851" s="7">
        <f t="shared" si="58"/>
        <v>0.28517999999999999</v>
      </c>
    </row>
    <row r="852" spans="1:7" x14ac:dyDescent="0.35">
      <c r="A852" s="48"/>
      <c r="B852" s="5" t="s">
        <v>345</v>
      </c>
      <c r="C852" s="6">
        <v>0.38</v>
      </c>
      <c r="D852" s="7">
        <f t="shared" si="55"/>
        <v>0.37525000000000003</v>
      </c>
      <c r="E852" s="7">
        <f t="shared" si="56"/>
        <v>0.35025000000000001</v>
      </c>
      <c r="F852" s="7">
        <f t="shared" si="57"/>
        <v>7.0049999999999999E-3</v>
      </c>
      <c r="G852" s="7">
        <f t="shared" si="58"/>
        <v>0.34324500000000002</v>
      </c>
    </row>
    <row r="853" spans="1:7" x14ac:dyDescent="0.35">
      <c r="A853" s="48"/>
      <c r="B853" s="5" t="s">
        <v>346</v>
      </c>
      <c r="C853" s="6">
        <v>0.37</v>
      </c>
      <c r="D853" s="7">
        <f t="shared" si="55"/>
        <v>0.36537500000000001</v>
      </c>
      <c r="E853" s="7">
        <f t="shared" si="56"/>
        <v>0.34037499999999998</v>
      </c>
      <c r="F853" s="7">
        <f t="shared" si="57"/>
        <v>6.8075000000000002E-3</v>
      </c>
      <c r="G853" s="7">
        <f t="shared" si="58"/>
        <v>0.33356749999999996</v>
      </c>
    </row>
    <row r="854" spans="1:7" x14ac:dyDescent="0.35">
      <c r="A854" s="48"/>
      <c r="B854" s="5" t="s">
        <v>347</v>
      </c>
      <c r="C854" s="6">
        <v>0.34</v>
      </c>
      <c r="D854" s="7">
        <f t="shared" si="55"/>
        <v>0.33575000000000005</v>
      </c>
      <c r="E854" s="7">
        <f t="shared" si="56"/>
        <v>0.31075000000000003</v>
      </c>
      <c r="F854" s="7">
        <f t="shared" si="57"/>
        <v>6.2150000000000009E-3</v>
      </c>
      <c r="G854" s="7">
        <f t="shared" si="58"/>
        <v>0.304535</v>
      </c>
    </row>
    <row r="855" spans="1:7" x14ac:dyDescent="0.35">
      <c r="A855" s="5" t="s">
        <v>320</v>
      </c>
      <c r="B855" s="5" t="s">
        <v>100</v>
      </c>
      <c r="C855" s="7">
        <v>0.5</v>
      </c>
      <c r="D855" s="7">
        <f t="shared" si="55"/>
        <v>0.49375000000000002</v>
      </c>
      <c r="E855" s="7">
        <f t="shared" si="56"/>
        <v>0.46875</v>
      </c>
      <c r="F855" s="7">
        <f t="shared" si="57"/>
        <v>9.3749999999999997E-3</v>
      </c>
      <c r="G855" s="7">
        <f t="shared" si="58"/>
        <v>0.45937499999999998</v>
      </c>
    </row>
    <row r="856" spans="1:7" x14ac:dyDescent="0.35">
      <c r="A856" s="5" t="s">
        <v>348</v>
      </c>
      <c r="B856" s="5" t="s">
        <v>100</v>
      </c>
      <c r="C856" s="7">
        <v>0.22500000000000001</v>
      </c>
      <c r="D856" s="7">
        <f t="shared" si="55"/>
        <v>0.22218750000000001</v>
      </c>
      <c r="E856" s="7">
        <f t="shared" si="56"/>
        <v>0.19718750000000002</v>
      </c>
      <c r="F856" s="7">
        <f t="shared" si="57"/>
        <v>3.9437500000000002E-3</v>
      </c>
      <c r="G856" s="7">
        <f t="shared" si="58"/>
        <v>0.19324375000000002</v>
      </c>
    </row>
    <row r="857" spans="1:7" x14ac:dyDescent="0.35">
      <c r="A857" s="48" t="s">
        <v>349</v>
      </c>
      <c r="B857" s="5" t="s">
        <v>138</v>
      </c>
      <c r="C857" s="6">
        <v>0.14000000000000001</v>
      </c>
      <c r="D857" s="7">
        <f t="shared" si="55"/>
        <v>0.13825000000000001</v>
      </c>
      <c r="E857" s="7">
        <f t="shared" si="56"/>
        <v>0.11325000000000002</v>
      </c>
      <c r="F857" s="7">
        <f t="shared" si="57"/>
        <v>2.2650000000000005E-3</v>
      </c>
      <c r="G857" s="7">
        <f t="shared" si="58"/>
        <v>0.11098500000000001</v>
      </c>
    </row>
    <row r="858" spans="1:7" x14ac:dyDescent="0.35">
      <c r="A858" s="48"/>
      <c r="B858" s="5" t="s">
        <v>232</v>
      </c>
      <c r="C858" s="6">
        <v>0.16</v>
      </c>
      <c r="D858" s="7">
        <f t="shared" si="55"/>
        <v>0.158</v>
      </c>
      <c r="E858" s="7">
        <f t="shared" si="56"/>
        <v>0.13300000000000001</v>
      </c>
      <c r="F858" s="7">
        <f t="shared" si="57"/>
        <v>2.66E-3</v>
      </c>
      <c r="G858" s="7">
        <f t="shared" si="58"/>
        <v>0.13034000000000001</v>
      </c>
    </row>
    <row r="859" spans="1:7" x14ac:dyDescent="0.35">
      <c r="A859" s="48"/>
      <c r="B859" s="5" t="s">
        <v>288</v>
      </c>
      <c r="C859" s="6">
        <v>0.17</v>
      </c>
      <c r="D859" s="7">
        <f t="shared" si="55"/>
        <v>0.16787500000000002</v>
      </c>
      <c r="E859" s="7">
        <f t="shared" si="56"/>
        <v>0.14287500000000003</v>
      </c>
      <c r="F859" s="7">
        <f t="shared" si="57"/>
        <v>2.8575000000000007E-3</v>
      </c>
      <c r="G859" s="7">
        <f t="shared" si="58"/>
        <v>0.14001750000000002</v>
      </c>
    </row>
    <row r="860" spans="1:7" x14ac:dyDescent="0.35">
      <c r="A860" s="48" t="s">
        <v>350</v>
      </c>
      <c r="B860" s="5" t="s">
        <v>138</v>
      </c>
      <c r="C860" s="6">
        <v>0.24</v>
      </c>
      <c r="D860" s="7">
        <f t="shared" si="55"/>
        <v>0.23699999999999999</v>
      </c>
      <c r="E860" s="7">
        <f t="shared" si="56"/>
        <v>0.21199999999999999</v>
      </c>
      <c r="F860" s="7">
        <f t="shared" si="57"/>
        <v>4.2399999999999998E-3</v>
      </c>
      <c r="G860" s="7">
        <f t="shared" si="58"/>
        <v>0.20776</v>
      </c>
    </row>
    <row r="861" spans="1:7" x14ac:dyDescent="0.35">
      <c r="A861" s="48"/>
      <c r="B861" s="5" t="s">
        <v>232</v>
      </c>
      <c r="C861" s="6">
        <v>0.14000000000000001</v>
      </c>
      <c r="D861" s="7">
        <f t="shared" si="55"/>
        <v>0.13825000000000001</v>
      </c>
      <c r="E861" s="7">
        <f t="shared" si="56"/>
        <v>0.11325000000000002</v>
      </c>
      <c r="F861" s="7">
        <f t="shared" si="57"/>
        <v>2.2650000000000005E-3</v>
      </c>
      <c r="G861" s="7">
        <f t="shared" si="58"/>
        <v>0.11098500000000001</v>
      </c>
    </row>
    <row r="862" spans="1:7" x14ac:dyDescent="0.35">
      <c r="A862" s="48"/>
      <c r="B862" s="5" t="s">
        <v>288</v>
      </c>
      <c r="C862" s="6">
        <v>0.14000000000000001</v>
      </c>
      <c r="D862" s="7">
        <f t="shared" si="55"/>
        <v>0.13825000000000001</v>
      </c>
      <c r="E862" s="7">
        <f t="shared" si="56"/>
        <v>0.11325000000000002</v>
      </c>
      <c r="F862" s="7">
        <f t="shared" si="57"/>
        <v>2.2650000000000005E-3</v>
      </c>
      <c r="G862" s="7">
        <f t="shared" si="58"/>
        <v>0.11098500000000001</v>
      </c>
    </row>
    <row r="863" spans="1:7" x14ac:dyDescent="0.35">
      <c r="A863" s="48" t="s">
        <v>351</v>
      </c>
      <c r="B863" s="5" t="s">
        <v>352</v>
      </c>
      <c r="C863" s="6">
        <v>0.06</v>
      </c>
      <c r="D863" s="7">
        <f t="shared" si="55"/>
        <v>5.9249999999999997E-2</v>
      </c>
      <c r="E863" s="7">
        <f t="shared" si="56"/>
        <v>3.4249999999999996E-2</v>
      </c>
      <c r="F863" s="7">
        <f t="shared" si="57"/>
        <v>6.8499999999999995E-4</v>
      </c>
      <c r="G863" s="7">
        <f t="shared" si="58"/>
        <v>3.3564999999999998E-2</v>
      </c>
    </row>
    <row r="864" spans="1:7" x14ac:dyDescent="0.35">
      <c r="A864" s="48"/>
      <c r="B864" s="5" t="s">
        <v>323</v>
      </c>
      <c r="C864" s="6">
        <v>0.32500000000000001</v>
      </c>
      <c r="D864" s="7">
        <f t="shared" si="55"/>
        <v>0.32093749999999999</v>
      </c>
      <c r="E864" s="7">
        <f t="shared" si="56"/>
        <v>0.29593749999999996</v>
      </c>
      <c r="F864" s="7">
        <f t="shared" si="57"/>
        <v>5.9187499999999995E-3</v>
      </c>
      <c r="G864" s="7">
        <f t="shared" si="58"/>
        <v>0.29001874999999999</v>
      </c>
    </row>
    <row r="865" spans="1:7" x14ac:dyDescent="0.35">
      <c r="A865" s="48"/>
      <c r="B865" s="5" t="s">
        <v>324</v>
      </c>
      <c r="C865" s="6">
        <v>0.4</v>
      </c>
      <c r="D865" s="7">
        <f t="shared" si="55"/>
        <v>0.39500000000000002</v>
      </c>
      <c r="E865" s="7">
        <f t="shared" si="56"/>
        <v>0.37</v>
      </c>
      <c r="F865" s="7">
        <f t="shared" si="57"/>
        <v>7.4000000000000003E-3</v>
      </c>
      <c r="G865" s="7">
        <f t="shared" si="58"/>
        <v>0.36259999999999998</v>
      </c>
    </row>
    <row r="866" spans="1:7" x14ac:dyDescent="0.35">
      <c r="A866" s="48"/>
      <c r="B866" s="5" t="s">
        <v>353</v>
      </c>
      <c r="C866" s="6">
        <v>0.06</v>
      </c>
      <c r="D866" s="7">
        <f t="shared" si="55"/>
        <v>5.9249999999999997E-2</v>
      </c>
      <c r="E866" s="7">
        <f t="shared" si="56"/>
        <v>3.4249999999999996E-2</v>
      </c>
      <c r="F866" s="7">
        <f t="shared" si="57"/>
        <v>6.8499999999999995E-4</v>
      </c>
      <c r="G866" s="7">
        <f t="shared" si="58"/>
        <v>3.3564999999999998E-2</v>
      </c>
    </row>
    <row r="867" spans="1:7" x14ac:dyDescent="0.35">
      <c r="A867" s="48"/>
      <c r="B867" s="5" t="s">
        <v>325</v>
      </c>
      <c r="C867" s="6">
        <v>0.29499999999999998</v>
      </c>
      <c r="D867" s="7">
        <f t="shared" si="55"/>
        <v>0.29131249999999997</v>
      </c>
      <c r="E867" s="7">
        <f t="shared" si="56"/>
        <v>0.26631249999999995</v>
      </c>
      <c r="F867" s="7">
        <f t="shared" si="57"/>
        <v>5.3262499999999994E-3</v>
      </c>
      <c r="G867" s="7">
        <f t="shared" si="58"/>
        <v>0.26098624999999998</v>
      </c>
    </row>
    <row r="868" spans="1:7" x14ac:dyDescent="0.35">
      <c r="A868" s="48"/>
      <c r="B868" s="5" t="s">
        <v>330</v>
      </c>
      <c r="C868" s="6">
        <v>0.255</v>
      </c>
      <c r="D868" s="7">
        <f t="shared" si="55"/>
        <v>0.25181249999999999</v>
      </c>
      <c r="E868" s="7">
        <f t="shared" si="56"/>
        <v>0.2268125</v>
      </c>
      <c r="F868" s="7">
        <f t="shared" si="57"/>
        <v>4.5362500000000004E-3</v>
      </c>
      <c r="G868" s="7">
        <f t="shared" si="58"/>
        <v>0.22227625000000001</v>
      </c>
    </row>
    <row r="869" spans="1:7" x14ac:dyDescent="0.35">
      <c r="A869" s="48"/>
      <c r="B869" s="5" t="s">
        <v>331</v>
      </c>
      <c r="C869" s="6">
        <v>0.39500000000000002</v>
      </c>
      <c r="D869" s="7">
        <f t="shared" si="55"/>
        <v>0.39006250000000003</v>
      </c>
      <c r="E869" s="7">
        <f t="shared" si="56"/>
        <v>0.36506250000000001</v>
      </c>
      <c r="F869" s="7">
        <f t="shared" si="57"/>
        <v>7.3012500000000004E-3</v>
      </c>
      <c r="G869" s="7">
        <f t="shared" si="58"/>
        <v>0.35776125000000003</v>
      </c>
    </row>
    <row r="870" spans="1:7" x14ac:dyDescent="0.35">
      <c r="A870" s="41" t="s">
        <v>354</v>
      </c>
      <c r="B870" s="5" t="s">
        <v>355</v>
      </c>
      <c r="C870" s="6">
        <v>0.4</v>
      </c>
      <c r="D870" s="7">
        <f t="shared" si="55"/>
        <v>0.39500000000000002</v>
      </c>
      <c r="E870" s="7">
        <f t="shared" si="56"/>
        <v>0.37</v>
      </c>
      <c r="F870" s="7">
        <f t="shared" si="57"/>
        <v>7.4000000000000003E-3</v>
      </c>
      <c r="G870" s="7">
        <f t="shared" si="58"/>
        <v>0.36259999999999998</v>
      </c>
    </row>
    <row r="871" spans="1:7" x14ac:dyDescent="0.35">
      <c r="A871" s="43"/>
      <c r="B871" s="5" t="s">
        <v>356</v>
      </c>
      <c r="C871" s="6">
        <v>0.375</v>
      </c>
      <c r="D871" s="7">
        <f t="shared" si="55"/>
        <v>0.37031249999999999</v>
      </c>
      <c r="E871" s="7">
        <f t="shared" si="56"/>
        <v>0.34531249999999997</v>
      </c>
      <c r="F871" s="7">
        <f t="shared" si="57"/>
        <v>6.9062499999999992E-3</v>
      </c>
      <c r="G871" s="7">
        <f t="shared" si="58"/>
        <v>0.33840624999999996</v>
      </c>
    </row>
    <row r="872" spans="1:7" x14ac:dyDescent="0.35">
      <c r="A872" s="41" t="s">
        <v>357</v>
      </c>
      <c r="B872" s="5" t="s">
        <v>355</v>
      </c>
      <c r="C872" s="6">
        <v>0.3</v>
      </c>
      <c r="D872" s="7">
        <f t="shared" si="55"/>
        <v>0.29625000000000001</v>
      </c>
      <c r="E872" s="7">
        <f t="shared" si="56"/>
        <v>0.27124999999999999</v>
      </c>
      <c r="F872" s="7">
        <f t="shared" si="57"/>
        <v>5.4250000000000001E-3</v>
      </c>
      <c r="G872" s="7">
        <f t="shared" si="58"/>
        <v>0.26582499999999998</v>
      </c>
    </row>
    <row r="873" spans="1:7" x14ac:dyDescent="0.35">
      <c r="A873" s="43"/>
      <c r="B873" s="5" t="s">
        <v>356</v>
      </c>
      <c r="C873" s="6">
        <v>0.27500000000000002</v>
      </c>
      <c r="D873" s="7">
        <f t="shared" si="55"/>
        <v>0.27156250000000004</v>
      </c>
      <c r="E873" s="7">
        <f t="shared" si="56"/>
        <v>0.24656250000000005</v>
      </c>
      <c r="F873" s="7">
        <f t="shared" si="57"/>
        <v>4.9312500000000007E-3</v>
      </c>
      <c r="G873" s="7">
        <f t="shared" si="58"/>
        <v>0.24163125000000005</v>
      </c>
    </row>
    <row r="874" spans="1:7" ht="24" x14ac:dyDescent="0.35">
      <c r="A874" s="5" t="s">
        <v>358</v>
      </c>
      <c r="B874" s="5" t="s">
        <v>100</v>
      </c>
      <c r="C874" s="6">
        <v>0.27</v>
      </c>
      <c r="D874" s="7">
        <f t="shared" si="55"/>
        <v>0.266625</v>
      </c>
      <c r="E874" s="7">
        <f t="shared" si="56"/>
        <v>0.24162500000000001</v>
      </c>
      <c r="F874" s="7">
        <f t="shared" si="57"/>
        <v>4.8325E-3</v>
      </c>
      <c r="G874" s="7">
        <f t="shared" si="58"/>
        <v>0.23679250000000002</v>
      </c>
    </row>
    <row r="875" spans="1:7" ht="36" x14ac:dyDescent="0.35">
      <c r="A875" s="5" t="s">
        <v>1164</v>
      </c>
      <c r="B875" s="5" t="s">
        <v>100</v>
      </c>
      <c r="C875" s="6">
        <v>0.2</v>
      </c>
      <c r="D875" s="7">
        <f t="shared" si="55"/>
        <v>0.19750000000000001</v>
      </c>
      <c r="E875" s="7">
        <f t="shared" si="56"/>
        <v>0.17250000000000001</v>
      </c>
      <c r="F875" s="7">
        <f t="shared" si="57"/>
        <v>3.4500000000000004E-3</v>
      </c>
      <c r="G875" s="7">
        <f t="shared" si="58"/>
        <v>0.16905000000000001</v>
      </c>
    </row>
    <row r="876" spans="1:7" ht="36" x14ac:dyDescent="0.35">
      <c r="A876" s="5" t="s">
        <v>1165</v>
      </c>
      <c r="B876" s="5" t="s">
        <v>100</v>
      </c>
      <c r="C876" s="6">
        <v>0.125</v>
      </c>
      <c r="D876" s="7">
        <f t="shared" si="55"/>
        <v>0.12343750000000001</v>
      </c>
      <c r="E876" s="7">
        <f t="shared" si="56"/>
        <v>9.8437500000000011E-2</v>
      </c>
      <c r="F876" s="7">
        <f t="shared" si="57"/>
        <v>1.9687500000000004E-3</v>
      </c>
      <c r="G876" s="7">
        <f t="shared" si="58"/>
        <v>9.6468750000000006E-2</v>
      </c>
    </row>
    <row r="877" spans="1:7" ht="36" x14ac:dyDescent="0.35">
      <c r="A877" s="5" t="s">
        <v>1166</v>
      </c>
      <c r="B877" s="5" t="s">
        <v>100</v>
      </c>
      <c r="C877" s="6">
        <v>0.1875</v>
      </c>
      <c r="D877" s="7">
        <f t="shared" si="55"/>
        <v>0.18515624999999999</v>
      </c>
      <c r="E877" s="7">
        <f t="shared" si="56"/>
        <v>0.16015625</v>
      </c>
      <c r="F877" s="7">
        <f t="shared" si="57"/>
        <v>3.2031250000000002E-3</v>
      </c>
      <c r="G877" s="7">
        <f t="shared" si="58"/>
        <v>0.156953125</v>
      </c>
    </row>
    <row r="878" spans="1:7" ht="36" x14ac:dyDescent="0.35">
      <c r="A878" s="5" t="s">
        <v>1167</v>
      </c>
      <c r="B878" s="5" t="s">
        <v>100</v>
      </c>
      <c r="C878" s="6">
        <v>0.17499999999999999</v>
      </c>
      <c r="D878" s="7">
        <f t="shared" si="55"/>
        <v>0.17281249999999998</v>
      </c>
      <c r="E878" s="7">
        <f t="shared" si="56"/>
        <v>0.14781249999999999</v>
      </c>
      <c r="F878" s="7">
        <f t="shared" si="57"/>
        <v>2.9562499999999997E-3</v>
      </c>
      <c r="G878" s="7">
        <f t="shared" si="58"/>
        <v>0.14485624999999999</v>
      </c>
    </row>
    <row r="879" spans="1:7" ht="36" x14ac:dyDescent="0.35">
      <c r="A879" s="5" t="s">
        <v>1168</v>
      </c>
      <c r="B879" s="5" t="s">
        <v>100</v>
      </c>
      <c r="C879" s="6">
        <v>0.125</v>
      </c>
      <c r="D879" s="7">
        <f t="shared" si="55"/>
        <v>0.12343750000000001</v>
      </c>
      <c r="E879" s="7">
        <f t="shared" si="56"/>
        <v>9.8437500000000011E-2</v>
      </c>
      <c r="F879" s="7">
        <f t="shared" si="57"/>
        <v>1.9687500000000004E-3</v>
      </c>
      <c r="G879" s="7">
        <f t="shared" si="58"/>
        <v>9.6468750000000006E-2</v>
      </c>
    </row>
    <row r="880" spans="1:7" ht="36" x14ac:dyDescent="0.35">
      <c r="A880" s="5" t="s">
        <v>1169</v>
      </c>
      <c r="B880" s="5" t="s">
        <v>100</v>
      </c>
      <c r="C880" s="6">
        <v>0.16250000000000001</v>
      </c>
      <c r="D880" s="7">
        <f t="shared" si="55"/>
        <v>0.16046874999999999</v>
      </c>
      <c r="E880" s="7">
        <f t="shared" si="56"/>
        <v>0.13546875</v>
      </c>
      <c r="F880" s="7">
        <f t="shared" si="57"/>
        <v>2.709375E-3</v>
      </c>
      <c r="G880" s="7">
        <f t="shared" si="58"/>
        <v>0.13275937500000001</v>
      </c>
    </row>
    <row r="881" spans="1:7" x14ac:dyDescent="0.35">
      <c r="A881" s="5" t="s">
        <v>1161</v>
      </c>
      <c r="B881" s="5" t="s">
        <v>100</v>
      </c>
      <c r="C881" s="6">
        <v>0.4</v>
      </c>
      <c r="D881" s="7">
        <f t="shared" si="55"/>
        <v>0.39500000000000002</v>
      </c>
      <c r="E881" s="7">
        <f t="shared" si="56"/>
        <v>0.37</v>
      </c>
      <c r="F881" s="7">
        <f t="shared" si="57"/>
        <v>7.4000000000000003E-3</v>
      </c>
      <c r="G881" s="7">
        <f t="shared" si="58"/>
        <v>0.36259999999999998</v>
      </c>
    </row>
    <row r="882" spans="1:7" x14ac:dyDescent="0.35">
      <c r="A882" s="5" t="s">
        <v>1162</v>
      </c>
      <c r="B882" s="5" t="s">
        <v>100</v>
      </c>
      <c r="C882" s="6">
        <v>0.47499999999999998</v>
      </c>
      <c r="D882" s="7">
        <f t="shared" si="55"/>
        <v>0.46906249999999999</v>
      </c>
      <c r="E882" s="7">
        <f t="shared" si="56"/>
        <v>0.44406249999999997</v>
      </c>
      <c r="F882" s="7">
        <f t="shared" si="57"/>
        <v>8.8812500000000003E-3</v>
      </c>
      <c r="G882" s="7">
        <f t="shared" si="58"/>
        <v>0.43518124999999996</v>
      </c>
    </row>
    <row r="883" spans="1:7" x14ac:dyDescent="0.35">
      <c r="A883" s="5" t="s">
        <v>1163</v>
      </c>
      <c r="B883" s="5" t="s">
        <v>100</v>
      </c>
      <c r="C883" s="6">
        <v>0.3</v>
      </c>
      <c r="D883" s="7">
        <f t="shared" si="55"/>
        <v>0.29625000000000001</v>
      </c>
      <c r="E883" s="7">
        <f t="shared" si="56"/>
        <v>0.27124999999999999</v>
      </c>
      <c r="F883" s="7">
        <f t="shared" si="57"/>
        <v>5.4250000000000001E-3</v>
      </c>
      <c r="G883" s="7">
        <f t="shared" si="58"/>
        <v>0.26582499999999998</v>
      </c>
    </row>
    <row r="884" spans="1:7" x14ac:dyDescent="0.35">
      <c r="A884" s="5" t="s">
        <v>359</v>
      </c>
      <c r="B884" s="5" t="s">
        <v>360</v>
      </c>
      <c r="C884" s="6">
        <v>0.3</v>
      </c>
      <c r="D884" s="7">
        <f t="shared" si="55"/>
        <v>0.29625000000000001</v>
      </c>
      <c r="E884" s="7">
        <f t="shared" si="56"/>
        <v>0.27124999999999999</v>
      </c>
      <c r="F884" s="7">
        <f t="shared" si="57"/>
        <v>5.4250000000000001E-3</v>
      </c>
      <c r="G884" s="7">
        <f t="shared" si="58"/>
        <v>0.26582499999999998</v>
      </c>
    </row>
    <row r="885" spans="1:7" x14ac:dyDescent="0.35">
      <c r="A885" s="5" t="s">
        <v>361</v>
      </c>
      <c r="B885" s="5" t="s">
        <v>360</v>
      </c>
      <c r="C885" s="6">
        <v>0.25</v>
      </c>
      <c r="D885" s="7">
        <f t="shared" si="55"/>
        <v>0.24687500000000001</v>
      </c>
      <c r="E885" s="7">
        <f t="shared" si="56"/>
        <v>0.22187500000000002</v>
      </c>
      <c r="F885" s="7">
        <f t="shared" si="57"/>
        <v>4.4375000000000005E-3</v>
      </c>
      <c r="G885" s="7">
        <f t="shared" si="58"/>
        <v>0.21743750000000001</v>
      </c>
    </row>
    <row r="886" spans="1:7" x14ac:dyDescent="0.35">
      <c r="A886" s="41" t="s">
        <v>1268</v>
      </c>
      <c r="B886" s="5" t="s">
        <v>338</v>
      </c>
      <c r="C886" s="6">
        <v>0.55000000000000004</v>
      </c>
      <c r="D886" s="7">
        <f t="shared" si="55"/>
        <v>0.54312500000000008</v>
      </c>
      <c r="E886" s="7">
        <f t="shared" si="56"/>
        <v>0.51812500000000006</v>
      </c>
      <c r="F886" s="7">
        <f t="shared" si="57"/>
        <v>1.0362500000000002E-2</v>
      </c>
      <c r="G886" s="7">
        <f t="shared" si="58"/>
        <v>0.50776250000000001</v>
      </c>
    </row>
    <row r="887" spans="1:7" x14ac:dyDescent="0.35">
      <c r="A887" s="43"/>
      <c r="B887" s="5" t="s">
        <v>339</v>
      </c>
      <c r="C887" s="6">
        <v>0.45</v>
      </c>
      <c r="D887" s="7">
        <f t="shared" si="55"/>
        <v>0.44437500000000002</v>
      </c>
      <c r="E887" s="7">
        <f t="shared" si="56"/>
        <v>0.419375</v>
      </c>
      <c r="F887" s="7">
        <f t="shared" si="57"/>
        <v>8.3875000000000009E-3</v>
      </c>
      <c r="G887" s="7">
        <f t="shared" si="58"/>
        <v>0.41098750000000001</v>
      </c>
    </row>
    <row r="888" spans="1:7" x14ac:dyDescent="0.35">
      <c r="A888" s="5" t="s">
        <v>1312</v>
      </c>
      <c r="B888" s="5" t="s">
        <v>1569</v>
      </c>
      <c r="C888" s="6">
        <v>0.42499999999999999</v>
      </c>
      <c r="D888" s="7">
        <f t="shared" si="55"/>
        <v>0.41968749999999999</v>
      </c>
      <c r="E888" s="7">
        <f t="shared" si="56"/>
        <v>0.39468749999999997</v>
      </c>
      <c r="F888" s="7">
        <f t="shared" si="57"/>
        <v>7.8937499999999997E-3</v>
      </c>
      <c r="G888" s="7">
        <f t="shared" si="58"/>
        <v>0.38679374999999999</v>
      </c>
    </row>
    <row r="889" spans="1:7" x14ac:dyDescent="0.35">
      <c r="A889" s="48" t="s">
        <v>1320</v>
      </c>
      <c r="B889" s="5" t="s">
        <v>1316</v>
      </c>
      <c r="C889" s="6">
        <v>0.42499999999999999</v>
      </c>
      <c r="D889" s="7">
        <f t="shared" si="55"/>
        <v>0.41968749999999999</v>
      </c>
      <c r="E889" s="7">
        <f t="shared" si="56"/>
        <v>0.39468749999999997</v>
      </c>
      <c r="F889" s="7">
        <f t="shared" si="57"/>
        <v>7.8937499999999997E-3</v>
      </c>
      <c r="G889" s="7">
        <f t="shared" si="58"/>
        <v>0.38679374999999999</v>
      </c>
    </row>
    <row r="890" spans="1:7" ht="36" x14ac:dyDescent="0.35">
      <c r="A890" s="48"/>
      <c r="B890" s="5" t="s">
        <v>1317</v>
      </c>
      <c r="C890" s="6">
        <v>0.35499999999999998</v>
      </c>
      <c r="D890" s="7">
        <f t="shared" si="55"/>
        <v>0.3505625</v>
      </c>
      <c r="E890" s="7">
        <f t="shared" si="56"/>
        <v>0.32556249999999998</v>
      </c>
      <c r="F890" s="7">
        <f t="shared" si="57"/>
        <v>6.5112499999999997E-3</v>
      </c>
      <c r="G890" s="7">
        <f t="shared" si="58"/>
        <v>0.31905124999999995</v>
      </c>
    </row>
    <row r="891" spans="1:7" ht="36" x14ac:dyDescent="0.35">
      <c r="A891" s="48"/>
      <c r="B891" s="5" t="s">
        <v>1318</v>
      </c>
      <c r="C891" s="6">
        <v>0.21</v>
      </c>
      <c r="D891" s="7">
        <f t="shared" si="55"/>
        <v>0.207375</v>
      </c>
      <c r="E891" s="7">
        <f t="shared" si="56"/>
        <v>0.18237500000000001</v>
      </c>
      <c r="F891" s="7">
        <f t="shared" si="57"/>
        <v>3.6475000000000001E-3</v>
      </c>
      <c r="G891" s="7">
        <f t="shared" si="58"/>
        <v>0.17872750000000001</v>
      </c>
    </row>
    <row r="892" spans="1:7" ht="48" x14ac:dyDescent="0.35">
      <c r="A892" s="48"/>
      <c r="B892" s="5" t="s">
        <v>1319</v>
      </c>
      <c r="C892" s="6">
        <v>0</v>
      </c>
      <c r="D892" s="7" t="s">
        <v>20</v>
      </c>
      <c r="E892" s="7" t="s">
        <v>20</v>
      </c>
      <c r="F892" s="7" t="s">
        <v>20</v>
      </c>
      <c r="G892" s="7" t="s">
        <v>20</v>
      </c>
    </row>
    <row r="893" spans="1:7" x14ac:dyDescent="0.35">
      <c r="A893" s="48" t="s">
        <v>1321</v>
      </c>
      <c r="B893" s="5" t="s">
        <v>1316</v>
      </c>
      <c r="C893" s="6">
        <v>0.36499999999999999</v>
      </c>
      <c r="D893" s="7">
        <f t="shared" si="55"/>
        <v>0.36043749999999997</v>
      </c>
      <c r="E893" s="7">
        <f t="shared" si="56"/>
        <v>0.33543749999999994</v>
      </c>
      <c r="F893" s="7">
        <f t="shared" si="57"/>
        <v>6.7087499999999994E-3</v>
      </c>
      <c r="G893" s="7">
        <f t="shared" si="58"/>
        <v>0.32872874999999996</v>
      </c>
    </row>
    <row r="894" spans="1:7" ht="36" x14ac:dyDescent="0.35">
      <c r="A894" s="48"/>
      <c r="B894" s="5" t="s">
        <v>1317</v>
      </c>
      <c r="C894" s="6">
        <v>0.185</v>
      </c>
      <c r="D894" s="7">
        <f t="shared" si="55"/>
        <v>0.1826875</v>
      </c>
      <c r="E894" s="7">
        <f t="shared" si="56"/>
        <v>0.15768750000000001</v>
      </c>
      <c r="F894" s="7">
        <f t="shared" si="57"/>
        <v>3.1537500000000003E-3</v>
      </c>
      <c r="G894" s="7">
        <f t="shared" si="58"/>
        <v>0.15453375</v>
      </c>
    </row>
    <row r="895" spans="1:7" ht="36" x14ac:dyDescent="0.35">
      <c r="A895" s="48"/>
      <c r="B895" s="5" t="s">
        <v>1318</v>
      </c>
      <c r="C895" s="6">
        <v>0</v>
      </c>
      <c r="D895" s="7" t="s">
        <v>20</v>
      </c>
      <c r="E895" s="7" t="s">
        <v>20</v>
      </c>
      <c r="F895" s="7" t="s">
        <v>20</v>
      </c>
      <c r="G895" s="7" t="s">
        <v>20</v>
      </c>
    </row>
    <row r="896" spans="1:7" ht="48" x14ac:dyDescent="0.35">
      <c r="A896" s="48"/>
      <c r="B896" s="5" t="s">
        <v>1319</v>
      </c>
      <c r="C896" s="6">
        <v>0</v>
      </c>
      <c r="D896" s="7" t="s">
        <v>20</v>
      </c>
      <c r="E896" s="7" t="s">
        <v>20</v>
      </c>
      <c r="F896" s="7" t="s">
        <v>20</v>
      </c>
      <c r="G896" s="7" t="s">
        <v>20</v>
      </c>
    </row>
    <row r="897" spans="1:7" ht="36" x14ac:dyDescent="0.35">
      <c r="A897" s="5" t="s">
        <v>1324</v>
      </c>
      <c r="B897" s="5" t="s">
        <v>1323</v>
      </c>
      <c r="C897" s="6">
        <v>0.4</v>
      </c>
      <c r="D897" s="7">
        <f t="shared" si="55"/>
        <v>0.39500000000000002</v>
      </c>
      <c r="E897" s="7">
        <f t="shared" si="56"/>
        <v>0.37</v>
      </c>
      <c r="F897" s="7">
        <f t="shared" si="57"/>
        <v>7.4000000000000003E-3</v>
      </c>
      <c r="G897" s="7">
        <f t="shared" si="58"/>
        <v>0.36259999999999998</v>
      </c>
    </row>
    <row r="898" spans="1:7" ht="36" x14ac:dyDescent="0.35">
      <c r="A898" s="5" t="s">
        <v>1325</v>
      </c>
      <c r="B898" s="5" t="s">
        <v>1323</v>
      </c>
      <c r="C898" s="6">
        <v>0.35</v>
      </c>
      <c r="D898" s="7">
        <f t="shared" si="55"/>
        <v>0.34562499999999996</v>
      </c>
      <c r="E898" s="7">
        <f t="shared" si="56"/>
        <v>0.32062499999999994</v>
      </c>
      <c r="F898" s="7">
        <f t="shared" si="57"/>
        <v>6.4124999999999989E-3</v>
      </c>
      <c r="G898" s="7">
        <f t="shared" si="58"/>
        <v>0.31421249999999995</v>
      </c>
    </row>
    <row r="899" spans="1:7" ht="36" x14ac:dyDescent="0.35">
      <c r="A899" s="5" t="s">
        <v>1326</v>
      </c>
      <c r="B899" s="5" t="s">
        <v>1323</v>
      </c>
      <c r="C899" s="6">
        <v>0.32500000000000001</v>
      </c>
      <c r="D899" s="7">
        <f t="shared" si="55"/>
        <v>0.32093749999999999</v>
      </c>
      <c r="E899" s="7">
        <f t="shared" si="56"/>
        <v>0.29593749999999996</v>
      </c>
      <c r="F899" s="7">
        <f t="shared" si="57"/>
        <v>5.9187499999999995E-3</v>
      </c>
      <c r="G899" s="7">
        <f t="shared" si="58"/>
        <v>0.29001874999999999</v>
      </c>
    </row>
    <row r="900" spans="1:7" ht="36" x14ac:dyDescent="0.35">
      <c r="A900" s="5" t="s">
        <v>1327</v>
      </c>
      <c r="B900" s="5" t="s">
        <v>1323</v>
      </c>
      <c r="C900" s="6">
        <v>0.3</v>
      </c>
      <c r="D900" s="7">
        <f t="shared" si="55"/>
        <v>0.29625000000000001</v>
      </c>
      <c r="E900" s="7">
        <f t="shared" si="56"/>
        <v>0.27124999999999999</v>
      </c>
      <c r="F900" s="7">
        <f t="shared" si="57"/>
        <v>5.4250000000000001E-3</v>
      </c>
      <c r="G900" s="7">
        <f t="shared" si="58"/>
        <v>0.26582499999999998</v>
      </c>
    </row>
    <row r="901" spans="1:7" ht="72" x14ac:dyDescent="0.35">
      <c r="A901" s="5" t="s">
        <v>1329</v>
      </c>
      <c r="B901" s="5" t="s">
        <v>1328</v>
      </c>
      <c r="C901" s="6">
        <v>0.4</v>
      </c>
      <c r="D901" s="7">
        <f t="shared" si="55"/>
        <v>0.39500000000000002</v>
      </c>
      <c r="E901" s="7">
        <f t="shared" si="56"/>
        <v>0.37</v>
      </c>
      <c r="F901" s="7">
        <f t="shared" si="57"/>
        <v>7.4000000000000003E-3</v>
      </c>
      <c r="G901" s="7">
        <f t="shared" si="58"/>
        <v>0.36259999999999998</v>
      </c>
    </row>
    <row r="902" spans="1:7" ht="72" x14ac:dyDescent="0.35">
      <c r="A902" s="5" t="s">
        <v>1330</v>
      </c>
      <c r="B902" s="5" t="s">
        <v>1328</v>
      </c>
      <c r="C902" s="6">
        <v>0.375</v>
      </c>
      <c r="D902" s="7">
        <f t="shared" si="55"/>
        <v>0.37031249999999999</v>
      </c>
      <c r="E902" s="7">
        <f t="shared" si="56"/>
        <v>0.34531249999999997</v>
      </c>
      <c r="F902" s="7">
        <f t="shared" si="57"/>
        <v>6.9062499999999992E-3</v>
      </c>
      <c r="G902" s="7">
        <f t="shared" si="58"/>
        <v>0.33840624999999996</v>
      </c>
    </row>
    <row r="903" spans="1:7" ht="72" x14ac:dyDescent="0.35">
      <c r="A903" s="5" t="s">
        <v>1331</v>
      </c>
      <c r="B903" s="5" t="s">
        <v>1328</v>
      </c>
      <c r="C903" s="6">
        <v>0.35</v>
      </c>
      <c r="D903" s="7">
        <f t="shared" ref="D903:D917" si="59">(C903-(C903*1.25%))</f>
        <v>0.34562499999999996</v>
      </c>
      <c r="E903" s="7">
        <f t="shared" ref="E903:E917" si="60">D903-(2.5%)</f>
        <v>0.32062499999999994</v>
      </c>
      <c r="F903" s="7">
        <f t="shared" ref="F903:F917" si="61">E903*(2%)</f>
        <v>6.4124999999999989E-3</v>
      </c>
      <c r="G903" s="7">
        <f t="shared" ref="G903:G917" si="62">E903-F903</f>
        <v>0.31421249999999995</v>
      </c>
    </row>
    <row r="904" spans="1:7" ht="72" x14ac:dyDescent="0.35">
      <c r="A904" s="5" t="s">
        <v>1332</v>
      </c>
      <c r="B904" s="5" t="s">
        <v>1328</v>
      </c>
      <c r="C904" s="6">
        <v>0.32500000000000001</v>
      </c>
      <c r="D904" s="7">
        <f t="shared" si="59"/>
        <v>0.32093749999999999</v>
      </c>
      <c r="E904" s="7">
        <f t="shared" si="60"/>
        <v>0.29593749999999996</v>
      </c>
      <c r="F904" s="7">
        <f t="shared" si="61"/>
        <v>5.9187499999999995E-3</v>
      </c>
      <c r="G904" s="7">
        <f t="shared" si="62"/>
        <v>0.29001874999999999</v>
      </c>
    </row>
    <row r="905" spans="1:7" ht="72" x14ac:dyDescent="0.35">
      <c r="A905" s="5" t="s">
        <v>1333</v>
      </c>
      <c r="B905" s="5" t="s">
        <v>1328</v>
      </c>
      <c r="C905" s="6">
        <v>0.32500000000000001</v>
      </c>
      <c r="D905" s="7">
        <f t="shared" si="59"/>
        <v>0.32093749999999999</v>
      </c>
      <c r="E905" s="7">
        <f t="shared" si="60"/>
        <v>0.29593749999999996</v>
      </c>
      <c r="F905" s="7">
        <f t="shared" si="61"/>
        <v>5.9187499999999995E-3</v>
      </c>
      <c r="G905" s="7">
        <f t="shared" si="62"/>
        <v>0.29001874999999999</v>
      </c>
    </row>
    <row r="906" spans="1:7" ht="72" x14ac:dyDescent="0.35">
      <c r="A906" s="5" t="s">
        <v>1334</v>
      </c>
      <c r="B906" s="5" t="s">
        <v>1328</v>
      </c>
      <c r="C906" s="6">
        <v>0.3</v>
      </c>
      <c r="D906" s="7">
        <f t="shared" si="59"/>
        <v>0.29625000000000001</v>
      </c>
      <c r="E906" s="7">
        <f t="shared" si="60"/>
        <v>0.27124999999999999</v>
      </c>
      <c r="F906" s="7">
        <f t="shared" si="61"/>
        <v>5.4250000000000001E-3</v>
      </c>
      <c r="G906" s="7">
        <f t="shared" si="62"/>
        <v>0.26582499999999998</v>
      </c>
    </row>
    <row r="907" spans="1:7" ht="72" x14ac:dyDescent="0.35">
      <c r="A907" s="5" t="s">
        <v>1335</v>
      </c>
      <c r="B907" s="5" t="s">
        <v>1328</v>
      </c>
      <c r="C907" s="6">
        <v>0.3</v>
      </c>
      <c r="D907" s="7">
        <f t="shared" si="59"/>
        <v>0.29625000000000001</v>
      </c>
      <c r="E907" s="7">
        <f t="shared" si="60"/>
        <v>0.27124999999999999</v>
      </c>
      <c r="F907" s="7">
        <f t="shared" si="61"/>
        <v>5.4250000000000001E-3</v>
      </c>
      <c r="G907" s="7">
        <f t="shared" si="62"/>
        <v>0.26582499999999998</v>
      </c>
    </row>
    <row r="908" spans="1:7" ht="72" x14ac:dyDescent="0.35">
      <c r="A908" s="5" t="s">
        <v>1336</v>
      </c>
      <c r="B908" s="5" t="s">
        <v>1328</v>
      </c>
      <c r="C908" s="6">
        <v>0.25</v>
      </c>
      <c r="D908" s="7">
        <f t="shared" si="59"/>
        <v>0.24687500000000001</v>
      </c>
      <c r="E908" s="7">
        <f t="shared" si="60"/>
        <v>0.22187500000000002</v>
      </c>
      <c r="F908" s="7">
        <f t="shared" si="61"/>
        <v>4.4375000000000005E-3</v>
      </c>
      <c r="G908" s="7">
        <f t="shared" si="62"/>
        <v>0.21743750000000001</v>
      </c>
    </row>
    <row r="909" spans="1:7" x14ac:dyDescent="0.35">
      <c r="A909" s="48" t="s">
        <v>1395</v>
      </c>
      <c r="B909" s="5" t="s">
        <v>33</v>
      </c>
      <c r="C909" s="6">
        <v>7.0000000000000007E-2</v>
      </c>
      <c r="D909" s="7">
        <f t="shared" si="59"/>
        <v>6.9125000000000006E-2</v>
      </c>
      <c r="E909" s="7">
        <f t="shared" si="60"/>
        <v>4.4125000000000004E-2</v>
      </c>
      <c r="F909" s="7">
        <f t="shared" si="61"/>
        <v>8.8250000000000015E-4</v>
      </c>
      <c r="G909" s="7">
        <f t="shared" si="62"/>
        <v>4.3242500000000003E-2</v>
      </c>
    </row>
    <row r="910" spans="1:7" x14ac:dyDescent="0.35">
      <c r="A910" s="48"/>
      <c r="B910" s="5" t="s">
        <v>34</v>
      </c>
      <c r="C910" s="6">
        <v>0.38</v>
      </c>
      <c r="D910" s="7">
        <f t="shared" si="59"/>
        <v>0.37525000000000003</v>
      </c>
      <c r="E910" s="7">
        <f t="shared" si="60"/>
        <v>0.35025000000000001</v>
      </c>
      <c r="F910" s="7">
        <f t="shared" si="61"/>
        <v>7.0049999999999999E-3</v>
      </c>
      <c r="G910" s="7">
        <f t="shared" si="62"/>
        <v>0.34324500000000002</v>
      </c>
    </row>
    <row r="911" spans="1:7" x14ac:dyDescent="0.35">
      <c r="A911" s="48"/>
      <c r="B911" s="5" t="s">
        <v>35</v>
      </c>
      <c r="C911" s="6">
        <v>0.38</v>
      </c>
      <c r="D911" s="7">
        <f t="shared" si="59"/>
        <v>0.37525000000000003</v>
      </c>
      <c r="E911" s="7">
        <f t="shared" si="60"/>
        <v>0.35025000000000001</v>
      </c>
      <c r="F911" s="7">
        <f t="shared" si="61"/>
        <v>7.0049999999999999E-3</v>
      </c>
      <c r="G911" s="7">
        <f t="shared" si="62"/>
        <v>0.34324500000000002</v>
      </c>
    </row>
    <row r="912" spans="1:7" x14ac:dyDescent="0.35">
      <c r="A912" s="48" t="s">
        <v>1396</v>
      </c>
      <c r="B912" s="5" t="s">
        <v>33</v>
      </c>
      <c r="C912" s="6">
        <v>0.5</v>
      </c>
      <c r="D912" s="7">
        <f t="shared" si="59"/>
        <v>0.49375000000000002</v>
      </c>
      <c r="E912" s="7">
        <f t="shared" si="60"/>
        <v>0.46875</v>
      </c>
      <c r="F912" s="7">
        <f t="shared" si="61"/>
        <v>9.3749999999999997E-3</v>
      </c>
      <c r="G912" s="7">
        <f t="shared" si="62"/>
        <v>0.45937499999999998</v>
      </c>
    </row>
    <row r="913" spans="1:7" x14ac:dyDescent="0.35">
      <c r="A913" s="48"/>
      <c r="B913" s="5" t="s">
        <v>34</v>
      </c>
      <c r="C913" s="6">
        <v>0.38</v>
      </c>
      <c r="D913" s="7">
        <f t="shared" si="59"/>
        <v>0.37525000000000003</v>
      </c>
      <c r="E913" s="7">
        <f t="shared" si="60"/>
        <v>0.35025000000000001</v>
      </c>
      <c r="F913" s="7">
        <f t="shared" si="61"/>
        <v>7.0049999999999999E-3</v>
      </c>
      <c r="G913" s="7">
        <f t="shared" si="62"/>
        <v>0.34324500000000002</v>
      </c>
    </row>
    <row r="914" spans="1:7" x14ac:dyDescent="0.35">
      <c r="A914" s="48"/>
      <c r="B914" s="5" t="s">
        <v>35</v>
      </c>
      <c r="C914" s="6">
        <v>0.38</v>
      </c>
      <c r="D914" s="7">
        <f t="shared" si="59"/>
        <v>0.37525000000000003</v>
      </c>
      <c r="E914" s="7">
        <f t="shared" si="60"/>
        <v>0.35025000000000001</v>
      </c>
      <c r="F914" s="7">
        <f t="shared" si="61"/>
        <v>7.0049999999999999E-3</v>
      </c>
      <c r="G914" s="7">
        <f t="shared" si="62"/>
        <v>0.34324500000000002</v>
      </c>
    </row>
    <row r="915" spans="1:7" x14ac:dyDescent="0.35">
      <c r="A915" s="5" t="s">
        <v>1397</v>
      </c>
      <c r="B915" s="5" t="s">
        <v>35</v>
      </c>
      <c r="C915" s="6">
        <v>0.38</v>
      </c>
      <c r="D915" s="7">
        <f t="shared" si="59"/>
        <v>0.37525000000000003</v>
      </c>
      <c r="E915" s="7">
        <f t="shared" si="60"/>
        <v>0.35025000000000001</v>
      </c>
      <c r="F915" s="7">
        <f t="shared" si="61"/>
        <v>7.0049999999999999E-3</v>
      </c>
      <c r="G915" s="7">
        <f t="shared" si="62"/>
        <v>0.34324500000000002</v>
      </c>
    </row>
    <row r="916" spans="1:7" x14ac:dyDescent="0.35">
      <c r="A916" s="48" t="s">
        <v>1398</v>
      </c>
      <c r="B916" s="5" t="s">
        <v>33</v>
      </c>
      <c r="C916" s="6">
        <v>0</v>
      </c>
      <c r="D916" s="7" t="s">
        <v>20</v>
      </c>
      <c r="E916" s="7" t="s">
        <v>20</v>
      </c>
      <c r="F916" s="7" t="s">
        <v>20</v>
      </c>
      <c r="G916" s="7" t="s">
        <v>20</v>
      </c>
    </row>
    <row r="917" spans="1:7" x14ac:dyDescent="0.35">
      <c r="A917" s="48"/>
      <c r="B917" s="5" t="s">
        <v>1399</v>
      </c>
      <c r="C917" s="6">
        <v>0.28000000000000003</v>
      </c>
      <c r="D917" s="7">
        <f t="shared" si="59"/>
        <v>0.27650000000000002</v>
      </c>
      <c r="E917" s="7">
        <f t="shared" si="60"/>
        <v>0.2515</v>
      </c>
      <c r="F917" s="7">
        <f t="shared" si="61"/>
        <v>5.0299999999999997E-3</v>
      </c>
      <c r="G917" s="7">
        <f t="shared" si="62"/>
        <v>0.24646999999999999</v>
      </c>
    </row>
  </sheetData>
  <mergeCells count="163">
    <mergeCell ref="A916:A917"/>
    <mergeCell ref="A872:A873"/>
    <mergeCell ref="A886:A887"/>
    <mergeCell ref="A889:A892"/>
    <mergeCell ref="A893:A896"/>
    <mergeCell ref="A909:A911"/>
    <mergeCell ref="A912:A914"/>
    <mergeCell ref="A843:A845"/>
    <mergeCell ref="A848:A854"/>
    <mergeCell ref="A857:A859"/>
    <mergeCell ref="A860:A862"/>
    <mergeCell ref="A863:A869"/>
    <mergeCell ref="A870:A871"/>
    <mergeCell ref="A822:A824"/>
    <mergeCell ref="A825:A827"/>
    <mergeCell ref="A828:A829"/>
    <mergeCell ref="A834:A836"/>
    <mergeCell ref="A837:A839"/>
    <mergeCell ref="A840:A842"/>
    <mergeCell ref="A796:A797"/>
    <mergeCell ref="A799:A802"/>
    <mergeCell ref="A803:A807"/>
    <mergeCell ref="A808:A812"/>
    <mergeCell ref="A813:A817"/>
    <mergeCell ref="A819:A821"/>
    <mergeCell ref="A764:A766"/>
    <mergeCell ref="A775:A777"/>
    <mergeCell ref="A778:A780"/>
    <mergeCell ref="A781:A783"/>
    <mergeCell ref="A784:A786"/>
    <mergeCell ref="A792:A793"/>
    <mergeCell ref="A724:A726"/>
    <mergeCell ref="A727:A729"/>
    <mergeCell ref="A750:A752"/>
    <mergeCell ref="A753:A755"/>
    <mergeCell ref="A756:A758"/>
    <mergeCell ref="A761:A763"/>
    <mergeCell ref="A702:A703"/>
    <mergeCell ref="A704:A706"/>
    <mergeCell ref="A711:A712"/>
    <mergeCell ref="A714:A715"/>
    <mergeCell ref="A716:A717"/>
    <mergeCell ref="A720:A722"/>
    <mergeCell ref="A677:A678"/>
    <mergeCell ref="A679:A681"/>
    <mergeCell ref="A682:A684"/>
    <mergeCell ref="A685:A687"/>
    <mergeCell ref="A694:A696"/>
    <mergeCell ref="A697:A699"/>
    <mergeCell ref="A665:A666"/>
    <mergeCell ref="A667:A668"/>
    <mergeCell ref="A669:A670"/>
    <mergeCell ref="A671:A672"/>
    <mergeCell ref="A673:A674"/>
    <mergeCell ref="A675:A676"/>
    <mergeCell ref="A649:A651"/>
    <mergeCell ref="A652:A654"/>
    <mergeCell ref="A655:A657"/>
    <mergeCell ref="A658:A660"/>
    <mergeCell ref="A661:A662"/>
    <mergeCell ref="A663:A664"/>
    <mergeCell ref="A621:A622"/>
    <mergeCell ref="A623:A625"/>
    <mergeCell ref="A626:A628"/>
    <mergeCell ref="A629:A631"/>
    <mergeCell ref="A632:A634"/>
    <mergeCell ref="A635:A636"/>
    <mergeCell ref="A583:A586"/>
    <mergeCell ref="A592:A594"/>
    <mergeCell ref="A601:A603"/>
    <mergeCell ref="A604:A606"/>
    <mergeCell ref="A612:A613"/>
    <mergeCell ref="A618:A619"/>
    <mergeCell ref="A553:A555"/>
    <mergeCell ref="A556:A558"/>
    <mergeCell ref="A559:A561"/>
    <mergeCell ref="A565:A567"/>
    <mergeCell ref="A571:A573"/>
    <mergeCell ref="A574:A576"/>
    <mergeCell ref="A532:A534"/>
    <mergeCell ref="A535:A537"/>
    <mergeCell ref="A542:A543"/>
    <mergeCell ref="A544:A546"/>
    <mergeCell ref="A547:A549"/>
    <mergeCell ref="A550:A552"/>
    <mergeCell ref="A513:A514"/>
    <mergeCell ref="A515:A516"/>
    <mergeCell ref="A520:A522"/>
    <mergeCell ref="A523:A525"/>
    <mergeCell ref="A526:A528"/>
    <mergeCell ref="A529:A531"/>
    <mergeCell ref="A416:A429"/>
    <mergeCell ref="A430:A443"/>
    <mergeCell ref="A444:A457"/>
    <mergeCell ref="A458:A471"/>
    <mergeCell ref="A472:A485"/>
    <mergeCell ref="A510:A511"/>
    <mergeCell ref="A343:A345"/>
    <mergeCell ref="A350:A363"/>
    <mergeCell ref="A364:A377"/>
    <mergeCell ref="A380:A382"/>
    <mergeCell ref="A399:A400"/>
    <mergeCell ref="A402:A415"/>
    <mergeCell ref="A277:A278"/>
    <mergeCell ref="A279:A280"/>
    <mergeCell ref="A286:A299"/>
    <mergeCell ref="A300:A313"/>
    <mergeCell ref="A314:A327"/>
    <mergeCell ref="A328:A341"/>
    <mergeCell ref="A235:A236"/>
    <mergeCell ref="A237:A239"/>
    <mergeCell ref="A240:A242"/>
    <mergeCell ref="A244:A245"/>
    <mergeCell ref="A248:A261"/>
    <mergeCell ref="A262:A275"/>
    <mergeCell ref="A195:A208"/>
    <mergeCell ref="A209:A222"/>
    <mergeCell ref="A223:A224"/>
    <mergeCell ref="A226:A228"/>
    <mergeCell ref="A229:A231"/>
    <mergeCell ref="A232:A234"/>
    <mergeCell ref="A177:A179"/>
    <mergeCell ref="A180:A182"/>
    <mergeCell ref="A183:A185"/>
    <mergeCell ref="A186:A188"/>
    <mergeCell ref="A189:A190"/>
    <mergeCell ref="A191:A192"/>
    <mergeCell ref="A160:A162"/>
    <mergeCell ref="A163:A165"/>
    <mergeCell ref="A166:A168"/>
    <mergeCell ref="A169:A170"/>
    <mergeCell ref="A171:A173"/>
    <mergeCell ref="A174:A176"/>
    <mergeCell ref="A141:A144"/>
    <mergeCell ref="A145:A147"/>
    <mergeCell ref="A148:A150"/>
    <mergeCell ref="A151:A153"/>
    <mergeCell ref="A154:A156"/>
    <mergeCell ref="A157:A159"/>
    <mergeCell ref="A110:A113"/>
    <mergeCell ref="A121:A124"/>
    <mergeCell ref="A125:A128"/>
    <mergeCell ref="A129:A132"/>
    <mergeCell ref="A133:A136"/>
    <mergeCell ref="A137:A140"/>
    <mergeCell ref="A98:A101"/>
    <mergeCell ref="A102:A105"/>
    <mergeCell ref="A106:A109"/>
    <mergeCell ref="A49:A51"/>
    <mergeCell ref="A52:A54"/>
    <mergeCell ref="A55:A56"/>
    <mergeCell ref="A58:A71"/>
    <mergeCell ref="A72:A85"/>
    <mergeCell ref="A86:A87"/>
    <mergeCell ref="A2:A3"/>
    <mergeCell ref="A9:A22"/>
    <mergeCell ref="A23:A36"/>
    <mergeCell ref="A37:A41"/>
    <mergeCell ref="A42:A44"/>
    <mergeCell ref="A46:A48"/>
    <mergeCell ref="A88:A89"/>
    <mergeCell ref="A90:A93"/>
    <mergeCell ref="A94:A97"/>
  </mergeCells>
  <printOptions horizontalCentered="1" verticalCentered="1"/>
  <pageMargins left="0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5CC1-3F6A-497D-8E0C-49C206EDF160}">
  <sheetPr codeName="Sheet5"/>
  <dimension ref="A2:I387"/>
  <sheetViews>
    <sheetView showGridLines="0" workbookViewId="0">
      <selection activeCell="D6" sqref="D6"/>
    </sheetView>
  </sheetViews>
  <sheetFormatPr defaultRowHeight="14.5" x14ac:dyDescent="0.35"/>
  <cols>
    <col min="1" max="1" width="35.453125" style="9" customWidth="1"/>
    <col min="2" max="2" width="32.453125" style="9" customWidth="1"/>
    <col min="3" max="3" width="5.7265625" bestFit="1" customWidth="1"/>
    <col min="4" max="4" width="9.81640625" bestFit="1" customWidth="1"/>
    <col min="5" max="5" width="6.36328125" bestFit="1" customWidth="1"/>
    <col min="6" max="6" width="9.26953125" bestFit="1" customWidth="1"/>
  </cols>
  <sheetData>
    <row r="2" spans="1:6" ht="29.15" customHeight="1" x14ac:dyDescent="0.35">
      <c r="A2" s="46" t="s">
        <v>1285</v>
      </c>
      <c r="B2" s="1"/>
      <c r="C2" s="8"/>
      <c r="D2" s="8"/>
      <c r="E2" s="8"/>
      <c r="F2" s="8"/>
    </row>
    <row r="3" spans="1:6" ht="43.5" customHeight="1" x14ac:dyDescent="0.35">
      <c r="A3" s="46"/>
      <c r="B3" s="1"/>
      <c r="C3" s="8"/>
      <c r="D3" s="8"/>
      <c r="E3" s="8"/>
      <c r="F3" s="8"/>
    </row>
    <row r="4" spans="1:6" x14ac:dyDescent="0.35">
      <c r="C4" s="10"/>
      <c r="D4" s="10"/>
      <c r="E4" s="10"/>
      <c r="F4" s="10"/>
    </row>
    <row r="5" spans="1:6" x14ac:dyDescent="0.35">
      <c r="A5" s="2" t="s">
        <v>0</v>
      </c>
      <c r="B5" s="2" t="s">
        <v>1</v>
      </c>
      <c r="C5" s="3" t="s">
        <v>2</v>
      </c>
      <c r="D5" s="4" t="s">
        <v>4</v>
      </c>
      <c r="E5" s="4" t="s">
        <v>5</v>
      </c>
      <c r="F5" s="4" t="s">
        <v>6</v>
      </c>
    </row>
    <row r="6" spans="1:6" x14ac:dyDescent="0.35">
      <c r="A6" s="5" t="s">
        <v>9</v>
      </c>
      <c r="B6" s="5" t="s">
        <v>188</v>
      </c>
      <c r="C6" s="6">
        <v>0.4</v>
      </c>
      <c r="D6" s="7">
        <f>C6-(4.5%)</f>
        <v>0.35500000000000004</v>
      </c>
      <c r="E6" s="7">
        <f>D6*2%</f>
        <v>7.1000000000000013E-3</v>
      </c>
      <c r="F6" s="7">
        <f t="shared" ref="F6" si="0">D6-E6</f>
        <v>0.34790000000000004</v>
      </c>
    </row>
    <row r="7" spans="1:6" x14ac:dyDescent="0.35">
      <c r="A7" s="5" t="s">
        <v>30</v>
      </c>
      <c r="B7" s="5" t="s">
        <v>552</v>
      </c>
      <c r="C7" s="6">
        <v>0.06</v>
      </c>
      <c r="D7" s="7" t="s">
        <v>20</v>
      </c>
      <c r="E7" s="7" t="s">
        <v>20</v>
      </c>
      <c r="F7" s="7" t="s">
        <v>20</v>
      </c>
    </row>
    <row r="8" spans="1:6" x14ac:dyDescent="0.35">
      <c r="A8" s="5" t="s">
        <v>29</v>
      </c>
      <c r="B8" s="5" t="s">
        <v>552</v>
      </c>
      <c r="C8" s="6">
        <v>0.11</v>
      </c>
      <c r="D8" s="7">
        <f t="shared" ref="D8:D70" si="1">C8-(4.5%)</f>
        <v>6.5000000000000002E-2</v>
      </c>
      <c r="E8" s="7">
        <f t="shared" ref="E8:E70" si="2">D8*2%</f>
        <v>1.3000000000000002E-3</v>
      </c>
      <c r="F8" s="7">
        <f t="shared" ref="F8:F70" si="3">D8-E8</f>
        <v>6.3700000000000007E-2</v>
      </c>
    </row>
    <row r="9" spans="1:6" x14ac:dyDescent="0.35">
      <c r="A9" s="48" t="s">
        <v>375</v>
      </c>
      <c r="B9" s="5" t="s">
        <v>553</v>
      </c>
      <c r="C9" s="6">
        <v>0</v>
      </c>
      <c r="D9" s="7" t="s">
        <v>20</v>
      </c>
      <c r="E9" s="7" t="s">
        <v>20</v>
      </c>
      <c r="F9" s="7" t="s">
        <v>20</v>
      </c>
    </row>
    <row r="10" spans="1:6" x14ac:dyDescent="0.35">
      <c r="A10" s="48"/>
      <c r="B10" s="5" t="s">
        <v>554</v>
      </c>
      <c r="C10" s="6">
        <v>0.17</v>
      </c>
      <c r="D10" s="7">
        <f t="shared" si="1"/>
        <v>0.125</v>
      </c>
      <c r="E10" s="7">
        <f t="shared" si="2"/>
        <v>2.5000000000000001E-3</v>
      </c>
      <c r="F10" s="7">
        <f t="shared" si="3"/>
        <v>0.1225</v>
      </c>
    </row>
    <row r="11" spans="1:6" x14ac:dyDescent="0.35">
      <c r="A11" s="48"/>
      <c r="B11" s="5" t="s">
        <v>555</v>
      </c>
      <c r="C11" s="6">
        <v>0.25</v>
      </c>
      <c r="D11" s="7">
        <f t="shared" si="1"/>
        <v>0.20500000000000002</v>
      </c>
      <c r="E11" s="7">
        <f t="shared" si="2"/>
        <v>4.1000000000000003E-3</v>
      </c>
      <c r="F11" s="7">
        <f t="shared" si="3"/>
        <v>0.20090000000000002</v>
      </c>
    </row>
    <row r="12" spans="1:6" x14ac:dyDescent="0.35">
      <c r="A12" s="48"/>
      <c r="B12" s="5" t="s">
        <v>556</v>
      </c>
      <c r="C12" s="6">
        <v>0.08</v>
      </c>
      <c r="D12" s="7">
        <f t="shared" si="1"/>
        <v>3.5000000000000003E-2</v>
      </c>
      <c r="E12" s="7">
        <f t="shared" si="2"/>
        <v>7.000000000000001E-4</v>
      </c>
      <c r="F12" s="7">
        <f t="shared" si="3"/>
        <v>3.4300000000000004E-2</v>
      </c>
    </row>
    <row r="13" spans="1:6" x14ac:dyDescent="0.35">
      <c r="A13" s="48"/>
      <c r="B13" s="5" t="s">
        <v>557</v>
      </c>
      <c r="C13" s="6">
        <v>0.17</v>
      </c>
      <c r="D13" s="7">
        <f t="shared" si="1"/>
        <v>0.125</v>
      </c>
      <c r="E13" s="7">
        <f t="shared" si="2"/>
        <v>2.5000000000000001E-3</v>
      </c>
      <c r="F13" s="7">
        <f t="shared" si="3"/>
        <v>0.1225</v>
      </c>
    </row>
    <row r="14" spans="1:6" x14ac:dyDescent="0.35">
      <c r="A14" s="48"/>
      <c r="B14" s="5" t="s">
        <v>558</v>
      </c>
      <c r="C14" s="6">
        <v>0.18</v>
      </c>
      <c r="D14" s="7">
        <f t="shared" si="1"/>
        <v>0.13500000000000001</v>
      </c>
      <c r="E14" s="7">
        <f t="shared" si="2"/>
        <v>2.7000000000000001E-3</v>
      </c>
      <c r="F14" s="7">
        <f t="shared" si="3"/>
        <v>0.1323</v>
      </c>
    </row>
    <row r="15" spans="1:6" x14ac:dyDescent="0.35">
      <c r="A15" s="48"/>
      <c r="B15" s="5" t="s">
        <v>559</v>
      </c>
      <c r="C15" s="6">
        <v>0.04</v>
      </c>
      <c r="D15" s="7" t="s">
        <v>20</v>
      </c>
      <c r="E15" s="7" t="s">
        <v>20</v>
      </c>
      <c r="F15" s="7" t="s">
        <v>20</v>
      </c>
    </row>
    <row r="16" spans="1:6" x14ac:dyDescent="0.35">
      <c r="A16" s="48"/>
      <c r="B16" s="5" t="s">
        <v>560</v>
      </c>
      <c r="C16" s="6">
        <v>0.1</v>
      </c>
      <c r="D16" s="7">
        <f t="shared" si="1"/>
        <v>5.5000000000000007E-2</v>
      </c>
      <c r="E16" s="7">
        <f t="shared" si="2"/>
        <v>1.1000000000000001E-3</v>
      </c>
      <c r="F16" s="7">
        <f t="shared" si="3"/>
        <v>5.390000000000001E-2</v>
      </c>
    </row>
    <row r="17" spans="1:6" x14ac:dyDescent="0.35">
      <c r="A17" s="48"/>
      <c r="B17" s="5" t="s">
        <v>561</v>
      </c>
      <c r="C17" s="6">
        <v>0.04</v>
      </c>
      <c r="D17" s="7" t="s">
        <v>20</v>
      </c>
      <c r="E17" s="7" t="s">
        <v>20</v>
      </c>
      <c r="F17" s="7" t="s">
        <v>20</v>
      </c>
    </row>
    <row r="18" spans="1:6" x14ac:dyDescent="0.35">
      <c r="A18" s="48"/>
      <c r="B18" s="5" t="s">
        <v>562</v>
      </c>
      <c r="C18" s="6">
        <v>7.0000000000000007E-2</v>
      </c>
      <c r="D18" s="7">
        <f t="shared" si="1"/>
        <v>2.5000000000000008E-2</v>
      </c>
      <c r="E18" s="7">
        <f t="shared" si="2"/>
        <v>5.0000000000000023E-4</v>
      </c>
      <c r="F18" s="7">
        <f t="shared" si="3"/>
        <v>2.4500000000000008E-2</v>
      </c>
    </row>
    <row r="19" spans="1:6" x14ac:dyDescent="0.35">
      <c r="A19" s="48" t="s">
        <v>28</v>
      </c>
      <c r="B19" s="5" t="s">
        <v>553</v>
      </c>
      <c r="C19" s="6">
        <v>0</v>
      </c>
      <c r="D19" s="7" t="s">
        <v>20</v>
      </c>
      <c r="E19" s="7" t="s">
        <v>20</v>
      </c>
      <c r="F19" s="7" t="s">
        <v>20</v>
      </c>
    </row>
    <row r="20" spans="1:6" x14ac:dyDescent="0.35">
      <c r="A20" s="48"/>
      <c r="B20" s="5" t="s">
        <v>554</v>
      </c>
      <c r="C20" s="7">
        <v>0.16999999999999998</v>
      </c>
      <c r="D20" s="7">
        <f t="shared" si="1"/>
        <v>0.12499999999999999</v>
      </c>
      <c r="E20" s="7">
        <f t="shared" si="2"/>
        <v>2.4999999999999996E-3</v>
      </c>
      <c r="F20" s="7">
        <f t="shared" si="3"/>
        <v>0.12249999999999998</v>
      </c>
    </row>
    <row r="21" spans="1:6" x14ac:dyDescent="0.35">
      <c r="A21" s="48"/>
      <c r="B21" s="5" t="s">
        <v>555</v>
      </c>
      <c r="C21" s="7">
        <v>0.3</v>
      </c>
      <c r="D21" s="7">
        <f t="shared" si="1"/>
        <v>0.255</v>
      </c>
      <c r="E21" s="7">
        <f t="shared" si="2"/>
        <v>5.1000000000000004E-3</v>
      </c>
      <c r="F21" s="7">
        <f t="shared" si="3"/>
        <v>0.24990000000000001</v>
      </c>
    </row>
    <row r="22" spans="1:6" x14ac:dyDescent="0.35">
      <c r="A22" s="48"/>
      <c r="B22" s="5" t="s">
        <v>556</v>
      </c>
      <c r="C22" s="7">
        <v>0.05</v>
      </c>
      <c r="D22" s="7" t="s">
        <v>20</v>
      </c>
      <c r="E22" s="7" t="s">
        <v>20</v>
      </c>
      <c r="F22" s="7" t="s">
        <v>20</v>
      </c>
    </row>
    <row r="23" spans="1:6" x14ac:dyDescent="0.35">
      <c r="A23" s="48"/>
      <c r="B23" s="5" t="s">
        <v>557</v>
      </c>
      <c r="C23" s="7">
        <v>0.16999999999999998</v>
      </c>
      <c r="D23" s="7">
        <f t="shared" si="1"/>
        <v>0.12499999999999999</v>
      </c>
      <c r="E23" s="7">
        <f t="shared" si="2"/>
        <v>2.4999999999999996E-3</v>
      </c>
      <c r="F23" s="7">
        <f t="shared" si="3"/>
        <v>0.12249999999999998</v>
      </c>
    </row>
    <row r="24" spans="1:6" x14ac:dyDescent="0.35">
      <c r="A24" s="48"/>
      <c r="B24" s="5" t="s">
        <v>558</v>
      </c>
      <c r="C24" s="7">
        <v>0.19</v>
      </c>
      <c r="D24" s="7">
        <f t="shared" si="1"/>
        <v>0.14500000000000002</v>
      </c>
      <c r="E24" s="7">
        <f t="shared" si="2"/>
        <v>2.9000000000000002E-3</v>
      </c>
      <c r="F24" s="7">
        <f t="shared" si="3"/>
        <v>0.1421</v>
      </c>
    </row>
    <row r="25" spans="1:6" x14ac:dyDescent="0.35">
      <c r="A25" s="48"/>
      <c r="B25" s="5" t="s">
        <v>559</v>
      </c>
      <c r="C25" s="6">
        <v>0</v>
      </c>
      <c r="D25" s="7" t="s">
        <v>20</v>
      </c>
      <c r="E25" s="7" t="s">
        <v>20</v>
      </c>
      <c r="F25" s="7" t="s">
        <v>20</v>
      </c>
    </row>
    <row r="26" spans="1:6" x14ac:dyDescent="0.35">
      <c r="A26" s="48"/>
      <c r="B26" s="5" t="s">
        <v>560</v>
      </c>
      <c r="C26" s="7">
        <v>7.0000000000000007E-2</v>
      </c>
      <c r="D26" s="7">
        <f t="shared" si="1"/>
        <v>2.5000000000000008E-2</v>
      </c>
      <c r="E26" s="7">
        <f t="shared" si="2"/>
        <v>5.0000000000000023E-4</v>
      </c>
      <c r="F26" s="7">
        <f t="shared" si="3"/>
        <v>2.4500000000000008E-2</v>
      </c>
    </row>
    <row r="27" spans="1:6" x14ac:dyDescent="0.35">
      <c r="A27" s="48"/>
      <c r="B27" s="5" t="s">
        <v>561</v>
      </c>
      <c r="C27" s="6">
        <v>0</v>
      </c>
      <c r="D27" s="7" t="s">
        <v>20</v>
      </c>
      <c r="E27" s="7" t="s">
        <v>20</v>
      </c>
      <c r="F27" s="7" t="s">
        <v>20</v>
      </c>
    </row>
    <row r="28" spans="1:6" x14ac:dyDescent="0.35">
      <c r="A28" s="48"/>
      <c r="B28" s="5" t="s">
        <v>562</v>
      </c>
      <c r="C28" s="7">
        <v>0.03</v>
      </c>
      <c r="D28" s="7" t="s">
        <v>20</v>
      </c>
      <c r="E28" s="7" t="s">
        <v>20</v>
      </c>
      <c r="F28" s="7" t="s">
        <v>20</v>
      </c>
    </row>
    <row r="29" spans="1:6" ht="36" x14ac:dyDescent="0.35">
      <c r="A29" s="41" t="s">
        <v>209</v>
      </c>
      <c r="B29" s="5" t="s">
        <v>563</v>
      </c>
      <c r="C29" s="7">
        <v>0.28999999999999998</v>
      </c>
      <c r="D29" s="7">
        <f t="shared" si="1"/>
        <v>0.245</v>
      </c>
      <c r="E29" s="7">
        <f t="shared" si="2"/>
        <v>4.8999999999999998E-3</v>
      </c>
      <c r="F29" s="7">
        <f t="shared" si="3"/>
        <v>0.24010000000000001</v>
      </c>
    </row>
    <row r="30" spans="1:6" ht="48" x14ac:dyDescent="0.35">
      <c r="A30" s="42"/>
      <c r="B30" s="5" t="s">
        <v>564</v>
      </c>
      <c r="C30" s="7">
        <v>0</v>
      </c>
      <c r="D30" s="7" t="s">
        <v>20</v>
      </c>
      <c r="E30" s="7" t="s">
        <v>20</v>
      </c>
      <c r="F30" s="7" t="s">
        <v>20</v>
      </c>
    </row>
    <row r="31" spans="1:6" x14ac:dyDescent="0.35">
      <c r="A31" s="42"/>
      <c r="B31" s="5" t="s">
        <v>565</v>
      </c>
      <c r="C31" s="7">
        <v>0</v>
      </c>
      <c r="D31" s="7" t="s">
        <v>20</v>
      </c>
      <c r="E31" s="7" t="s">
        <v>20</v>
      </c>
      <c r="F31" s="7" t="s">
        <v>20</v>
      </c>
    </row>
    <row r="32" spans="1:6" ht="36" x14ac:dyDescent="0.35">
      <c r="A32" s="43"/>
      <c r="B32" s="5" t="s">
        <v>566</v>
      </c>
      <c r="C32" s="7">
        <v>0</v>
      </c>
      <c r="D32" s="7" t="s">
        <v>20</v>
      </c>
      <c r="E32" s="7" t="s">
        <v>20</v>
      </c>
      <c r="F32" s="7" t="s">
        <v>20</v>
      </c>
    </row>
    <row r="33" spans="1:6" ht="36" x14ac:dyDescent="0.35">
      <c r="A33" s="41" t="s">
        <v>210</v>
      </c>
      <c r="B33" s="5" t="s">
        <v>563</v>
      </c>
      <c r="C33" s="7">
        <v>0.18</v>
      </c>
      <c r="D33" s="7">
        <f t="shared" si="1"/>
        <v>0.13500000000000001</v>
      </c>
      <c r="E33" s="7">
        <f t="shared" si="2"/>
        <v>2.7000000000000001E-3</v>
      </c>
      <c r="F33" s="7">
        <f t="shared" si="3"/>
        <v>0.1323</v>
      </c>
    </row>
    <row r="34" spans="1:6" ht="48" x14ac:dyDescent="0.35">
      <c r="A34" s="42"/>
      <c r="B34" s="5" t="s">
        <v>564</v>
      </c>
      <c r="C34" s="7">
        <v>0</v>
      </c>
      <c r="D34" s="7" t="s">
        <v>20</v>
      </c>
      <c r="E34" s="7" t="s">
        <v>20</v>
      </c>
      <c r="F34" s="7" t="s">
        <v>20</v>
      </c>
    </row>
    <row r="35" spans="1:6" x14ac:dyDescent="0.35">
      <c r="A35" s="42"/>
      <c r="B35" s="5" t="s">
        <v>565</v>
      </c>
      <c r="C35" s="7">
        <v>0.18</v>
      </c>
      <c r="D35" s="7">
        <f t="shared" si="1"/>
        <v>0.13500000000000001</v>
      </c>
      <c r="E35" s="7">
        <f t="shared" si="2"/>
        <v>2.7000000000000001E-3</v>
      </c>
      <c r="F35" s="7">
        <f t="shared" si="3"/>
        <v>0.1323</v>
      </c>
    </row>
    <row r="36" spans="1:6" ht="36" x14ac:dyDescent="0.35">
      <c r="A36" s="43"/>
      <c r="B36" s="5" t="s">
        <v>566</v>
      </c>
      <c r="C36" s="7">
        <v>0</v>
      </c>
      <c r="D36" s="7" t="s">
        <v>20</v>
      </c>
      <c r="E36" s="7" t="s">
        <v>20</v>
      </c>
      <c r="F36" s="7" t="s">
        <v>20</v>
      </c>
    </row>
    <row r="37" spans="1:6" x14ac:dyDescent="0.35">
      <c r="A37" s="5" t="s">
        <v>38</v>
      </c>
      <c r="B37" s="5" t="s">
        <v>100</v>
      </c>
      <c r="C37" s="7">
        <v>0.35</v>
      </c>
      <c r="D37" s="7">
        <f t="shared" si="1"/>
        <v>0.30499999999999999</v>
      </c>
      <c r="E37" s="7">
        <f t="shared" si="2"/>
        <v>6.1000000000000004E-3</v>
      </c>
      <c r="F37" s="7">
        <f t="shared" si="3"/>
        <v>0.2989</v>
      </c>
    </row>
    <row r="38" spans="1:6" x14ac:dyDescent="0.35">
      <c r="A38" s="2" t="s">
        <v>41</v>
      </c>
      <c r="B38" s="2" t="s">
        <v>1</v>
      </c>
      <c r="C38" s="3" t="s">
        <v>2</v>
      </c>
      <c r="D38" s="4" t="s">
        <v>4</v>
      </c>
      <c r="E38" s="4" t="s">
        <v>5</v>
      </c>
      <c r="F38" s="4" t="s">
        <v>6</v>
      </c>
    </row>
    <row r="39" spans="1:6" x14ac:dyDescent="0.35">
      <c r="A39" s="40" t="s">
        <v>567</v>
      </c>
      <c r="B39" s="11" t="s">
        <v>553</v>
      </c>
      <c r="C39" s="7">
        <v>0.35</v>
      </c>
      <c r="D39" s="7">
        <f t="shared" si="1"/>
        <v>0.30499999999999999</v>
      </c>
      <c r="E39" s="7">
        <f t="shared" si="2"/>
        <v>6.1000000000000004E-3</v>
      </c>
      <c r="F39" s="7">
        <f t="shared" si="3"/>
        <v>0.2989</v>
      </c>
    </row>
    <row r="40" spans="1:6" x14ac:dyDescent="0.35">
      <c r="A40" s="40"/>
      <c r="B40" s="11" t="s">
        <v>562</v>
      </c>
      <c r="C40" s="7">
        <v>0.35</v>
      </c>
      <c r="D40" s="7">
        <f t="shared" si="1"/>
        <v>0.30499999999999999</v>
      </c>
      <c r="E40" s="7">
        <f t="shared" si="2"/>
        <v>6.1000000000000004E-3</v>
      </c>
      <c r="F40" s="7">
        <f t="shared" si="3"/>
        <v>0.2989</v>
      </c>
    </row>
    <row r="41" spans="1:6" x14ac:dyDescent="0.35">
      <c r="A41" s="40"/>
      <c r="B41" s="11" t="s">
        <v>558</v>
      </c>
      <c r="C41" s="7">
        <v>0.35</v>
      </c>
      <c r="D41" s="7">
        <f t="shared" si="1"/>
        <v>0.30499999999999999</v>
      </c>
      <c r="E41" s="7">
        <f t="shared" si="2"/>
        <v>6.1000000000000004E-3</v>
      </c>
      <c r="F41" s="7">
        <f t="shared" si="3"/>
        <v>0.2989</v>
      </c>
    </row>
    <row r="42" spans="1:6" x14ac:dyDescent="0.35">
      <c r="A42" s="40"/>
      <c r="B42" s="11" t="s">
        <v>559</v>
      </c>
      <c r="C42" s="7">
        <v>0.35</v>
      </c>
      <c r="D42" s="7">
        <f t="shared" si="1"/>
        <v>0.30499999999999999</v>
      </c>
      <c r="E42" s="7">
        <f t="shared" si="2"/>
        <v>6.1000000000000004E-3</v>
      </c>
      <c r="F42" s="7">
        <f t="shared" si="3"/>
        <v>0.2989</v>
      </c>
    </row>
    <row r="43" spans="1:6" x14ac:dyDescent="0.35">
      <c r="A43" s="40"/>
      <c r="B43" s="11" t="s">
        <v>554</v>
      </c>
      <c r="C43" s="7">
        <v>0.35</v>
      </c>
      <c r="D43" s="7">
        <f t="shared" si="1"/>
        <v>0.30499999999999999</v>
      </c>
      <c r="E43" s="7">
        <f t="shared" si="2"/>
        <v>6.1000000000000004E-3</v>
      </c>
      <c r="F43" s="7">
        <f t="shared" si="3"/>
        <v>0.2989</v>
      </c>
    </row>
    <row r="44" spans="1:6" x14ac:dyDescent="0.35">
      <c r="A44" s="40"/>
      <c r="B44" s="11" t="s">
        <v>555</v>
      </c>
      <c r="C44" s="7">
        <v>0.35</v>
      </c>
      <c r="D44" s="7">
        <f t="shared" si="1"/>
        <v>0.30499999999999999</v>
      </c>
      <c r="E44" s="7">
        <f t="shared" si="2"/>
        <v>6.1000000000000004E-3</v>
      </c>
      <c r="F44" s="7">
        <f t="shared" si="3"/>
        <v>0.2989</v>
      </c>
    </row>
    <row r="45" spans="1:6" x14ac:dyDescent="0.35">
      <c r="A45" s="40"/>
      <c r="B45" s="11" t="s">
        <v>561</v>
      </c>
      <c r="C45" s="7">
        <v>0.35</v>
      </c>
      <c r="D45" s="7">
        <f t="shared" si="1"/>
        <v>0.30499999999999999</v>
      </c>
      <c r="E45" s="7">
        <f t="shared" si="2"/>
        <v>6.1000000000000004E-3</v>
      </c>
      <c r="F45" s="7">
        <f t="shared" si="3"/>
        <v>0.2989</v>
      </c>
    </row>
    <row r="46" spans="1:6" x14ac:dyDescent="0.35">
      <c r="A46" s="40"/>
      <c r="B46" s="11" t="s">
        <v>556</v>
      </c>
      <c r="C46" s="7">
        <v>0.35</v>
      </c>
      <c r="D46" s="7">
        <f t="shared" si="1"/>
        <v>0.30499999999999999</v>
      </c>
      <c r="E46" s="7">
        <f t="shared" si="2"/>
        <v>6.1000000000000004E-3</v>
      </c>
      <c r="F46" s="7">
        <f t="shared" si="3"/>
        <v>0.2989</v>
      </c>
    </row>
    <row r="47" spans="1:6" x14ac:dyDescent="0.35">
      <c r="A47" s="40"/>
      <c r="B47" s="11" t="s">
        <v>557</v>
      </c>
      <c r="C47" s="7">
        <v>0.35</v>
      </c>
      <c r="D47" s="7">
        <f t="shared" si="1"/>
        <v>0.30499999999999999</v>
      </c>
      <c r="E47" s="7">
        <f t="shared" si="2"/>
        <v>6.1000000000000004E-3</v>
      </c>
      <c r="F47" s="7">
        <f t="shared" si="3"/>
        <v>0.2989</v>
      </c>
    </row>
    <row r="48" spans="1:6" x14ac:dyDescent="0.35">
      <c r="A48" s="40"/>
      <c r="B48" s="11" t="s">
        <v>560</v>
      </c>
      <c r="C48" s="7">
        <v>0.35</v>
      </c>
      <c r="D48" s="7">
        <f t="shared" si="1"/>
        <v>0.30499999999999999</v>
      </c>
      <c r="E48" s="7">
        <f t="shared" si="2"/>
        <v>6.1000000000000004E-3</v>
      </c>
      <c r="F48" s="7">
        <f t="shared" si="3"/>
        <v>0.2989</v>
      </c>
    </row>
    <row r="49" spans="1:6" x14ac:dyDescent="0.35">
      <c r="A49" s="40" t="s">
        <v>568</v>
      </c>
      <c r="B49" s="11" t="s">
        <v>553</v>
      </c>
      <c r="C49" s="7">
        <v>0.35</v>
      </c>
      <c r="D49" s="7">
        <f t="shared" si="1"/>
        <v>0.30499999999999999</v>
      </c>
      <c r="E49" s="7">
        <f t="shared" si="2"/>
        <v>6.1000000000000004E-3</v>
      </c>
      <c r="F49" s="7">
        <f t="shared" si="3"/>
        <v>0.2989</v>
      </c>
    </row>
    <row r="50" spans="1:6" x14ac:dyDescent="0.35">
      <c r="A50" s="40"/>
      <c r="B50" s="11" t="s">
        <v>554</v>
      </c>
      <c r="C50" s="7">
        <v>0.35</v>
      </c>
      <c r="D50" s="7">
        <f t="shared" si="1"/>
        <v>0.30499999999999999</v>
      </c>
      <c r="E50" s="7">
        <f t="shared" si="2"/>
        <v>6.1000000000000004E-3</v>
      </c>
      <c r="F50" s="7">
        <f t="shared" si="3"/>
        <v>0.2989</v>
      </c>
    </row>
    <row r="51" spans="1:6" x14ac:dyDescent="0.35">
      <c r="A51" s="40"/>
      <c r="B51" s="11" t="s">
        <v>555</v>
      </c>
      <c r="C51" s="7">
        <v>0.35</v>
      </c>
      <c r="D51" s="7">
        <f t="shared" si="1"/>
        <v>0.30499999999999999</v>
      </c>
      <c r="E51" s="7">
        <f t="shared" si="2"/>
        <v>6.1000000000000004E-3</v>
      </c>
      <c r="F51" s="7">
        <f t="shared" si="3"/>
        <v>0.2989</v>
      </c>
    </row>
    <row r="52" spans="1:6" x14ac:dyDescent="0.35">
      <c r="A52" s="40"/>
      <c r="B52" s="11" t="s">
        <v>556</v>
      </c>
      <c r="C52" s="7">
        <v>0.35</v>
      </c>
      <c r="D52" s="7">
        <f t="shared" si="1"/>
        <v>0.30499999999999999</v>
      </c>
      <c r="E52" s="7">
        <f t="shared" si="2"/>
        <v>6.1000000000000004E-3</v>
      </c>
      <c r="F52" s="7">
        <f t="shared" si="3"/>
        <v>0.2989</v>
      </c>
    </row>
    <row r="53" spans="1:6" x14ac:dyDescent="0.35">
      <c r="A53" s="40"/>
      <c r="B53" s="11" t="s">
        <v>557</v>
      </c>
      <c r="C53" s="7">
        <v>0.35</v>
      </c>
      <c r="D53" s="7">
        <f t="shared" si="1"/>
        <v>0.30499999999999999</v>
      </c>
      <c r="E53" s="7">
        <f t="shared" si="2"/>
        <v>6.1000000000000004E-3</v>
      </c>
      <c r="F53" s="7">
        <f t="shared" si="3"/>
        <v>0.2989</v>
      </c>
    </row>
    <row r="54" spans="1:6" x14ac:dyDescent="0.35">
      <c r="A54" s="40"/>
      <c r="B54" s="11" t="s">
        <v>558</v>
      </c>
      <c r="C54" s="7">
        <v>0.35</v>
      </c>
      <c r="D54" s="7">
        <f t="shared" si="1"/>
        <v>0.30499999999999999</v>
      </c>
      <c r="E54" s="7">
        <f t="shared" si="2"/>
        <v>6.1000000000000004E-3</v>
      </c>
      <c r="F54" s="7">
        <f t="shared" si="3"/>
        <v>0.2989</v>
      </c>
    </row>
    <row r="55" spans="1:6" x14ac:dyDescent="0.35">
      <c r="A55" s="40"/>
      <c r="B55" s="11" t="s">
        <v>559</v>
      </c>
      <c r="C55" s="7">
        <v>0.35</v>
      </c>
      <c r="D55" s="7">
        <f t="shared" si="1"/>
        <v>0.30499999999999999</v>
      </c>
      <c r="E55" s="7">
        <f t="shared" si="2"/>
        <v>6.1000000000000004E-3</v>
      </c>
      <c r="F55" s="7">
        <f t="shared" si="3"/>
        <v>0.2989</v>
      </c>
    </row>
    <row r="56" spans="1:6" x14ac:dyDescent="0.35">
      <c r="A56" s="40"/>
      <c r="B56" s="11" t="s">
        <v>560</v>
      </c>
      <c r="C56" s="7">
        <v>0.35</v>
      </c>
      <c r="D56" s="7">
        <f t="shared" si="1"/>
        <v>0.30499999999999999</v>
      </c>
      <c r="E56" s="7">
        <f t="shared" si="2"/>
        <v>6.1000000000000004E-3</v>
      </c>
      <c r="F56" s="7">
        <f t="shared" si="3"/>
        <v>0.2989</v>
      </c>
    </row>
    <row r="57" spans="1:6" x14ac:dyDescent="0.35">
      <c r="A57" s="40"/>
      <c r="B57" s="11" t="s">
        <v>561</v>
      </c>
      <c r="C57" s="7">
        <v>0.35</v>
      </c>
      <c r="D57" s="7">
        <f t="shared" si="1"/>
        <v>0.30499999999999999</v>
      </c>
      <c r="E57" s="7">
        <f t="shared" si="2"/>
        <v>6.1000000000000004E-3</v>
      </c>
      <c r="F57" s="7">
        <f t="shared" si="3"/>
        <v>0.2989</v>
      </c>
    </row>
    <row r="58" spans="1:6" x14ac:dyDescent="0.35">
      <c r="A58" s="40"/>
      <c r="B58" s="11" t="s">
        <v>562</v>
      </c>
      <c r="C58" s="7">
        <v>0.35</v>
      </c>
      <c r="D58" s="7">
        <f t="shared" si="1"/>
        <v>0.30499999999999999</v>
      </c>
      <c r="E58" s="7">
        <f t="shared" si="2"/>
        <v>6.1000000000000004E-3</v>
      </c>
      <c r="F58" s="7">
        <f t="shared" si="3"/>
        <v>0.2989</v>
      </c>
    </row>
    <row r="59" spans="1:6" ht="24" x14ac:dyDescent="0.35">
      <c r="A59" s="24" t="s">
        <v>389</v>
      </c>
      <c r="B59" s="5" t="s">
        <v>100</v>
      </c>
      <c r="C59" s="7">
        <v>0.42</v>
      </c>
      <c r="D59" s="7">
        <f t="shared" si="1"/>
        <v>0.375</v>
      </c>
      <c r="E59" s="7">
        <f t="shared" si="2"/>
        <v>7.4999999999999997E-3</v>
      </c>
      <c r="F59" s="7">
        <f t="shared" si="3"/>
        <v>0.36749999999999999</v>
      </c>
    </row>
    <row r="60" spans="1:6" ht="24" x14ac:dyDescent="0.35">
      <c r="A60" s="24" t="s">
        <v>65</v>
      </c>
      <c r="B60" s="5" t="s">
        <v>100</v>
      </c>
      <c r="C60" s="7">
        <v>0.44</v>
      </c>
      <c r="D60" s="7">
        <f t="shared" si="1"/>
        <v>0.39500000000000002</v>
      </c>
      <c r="E60" s="7">
        <f t="shared" si="2"/>
        <v>7.9000000000000008E-3</v>
      </c>
      <c r="F60" s="7">
        <f t="shared" si="3"/>
        <v>0.3871</v>
      </c>
    </row>
    <row r="61" spans="1:6" ht="24" x14ac:dyDescent="0.35">
      <c r="A61" s="24" t="s">
        <v>66</v>
      </c>
      <c r="B61" s="5" t="s">
        <v>100</v>
      </c>
      <c r="C61" s="7">
        <v>0.45</v>
      </c>
      <c r="D61" s="7">
        <f t="shared" si="1"/>
        <v>0.40500000000000003</v>
      </c>
      <c r="E61" s="7">
        <f t="shared" si="2"/>
        <v>8.1000000000000013E-3</v>
      </c>
      <c r="F61" s="7">
        <f t="shared" si="3"/>
        <v>0.39690000000000003</v>
      </c>
    </row>
    <row r="62" spans="1:6" x14ac:dyDescent="0.35">
      <c r="A62" s="2" t="s">
        <v>67</v>
      </c>
      <c r="B62" s="2" t="s">
        <v>1</v>
      </c>
      <c r="C62" s="3" t="s">
        <v>2</v>
      </c>
      <c r="D62" s="4" t="s">
        <v>4</v>
      </c>
      <c r="E62" s="4" t="s">
        <v>5</v>
      </c>
      <c r="F62" s="4" t="s">
        <v>6</v>
      </c>
    </row>
    <row r="63" spans="1:6" x14ac:dyDescent="0.35">
      <c r="A63" s="5" t="s">
        <v>569</v>
      </c>
      <c r="B63" s="5" t="s">
        <v>570</v>
      </c>
      <c r="C63" s="6">
        <v>0.56000000000000005</v>
      </c>
      <c r="D63" s="7">
        <f t="shared" si="1"/>
        <v>0.51500000000000001</v>
      </c>
      <c r="E63" s="7">
        <f t="shared" si="2"/>
        <v>1.03E-2</v>
      </c>
      <c r="F63" s="7">
        <f t="shared" si="3"/>
        <v>0.50470000000000004</v>
      </c>
    </row>
    <row r="64" spans="1:6" x14ac:dyDescent="0.35">
      <c r="A64" s="5" t="s">
        <v>571</v>
      </c>
      <c r="B64" s="5" t="s">
        <v>572</v>
      </c>
      <c r="C64" s="6">
        <v>0.56000000000000005</v>
      </c>
      <c r="D64" s="7">
        <f t="shared" si="1"/>
        <v>0.51500000000000001</v>
      </c>
      <c r="E64" s="7">
        <f t="shared" si="2"/>
        <v>1.03E-2</v>
      </c>
      <c r="F64" s="7">
        <f t="shared" si="3"/>
        <v>0.50470000000000004</v>
      </c>
    </row>
    <row r="65" spans="1:6" x14ac:dyDescent="0.35">
      <c r="A65" s="5" t="s">
        <v>573</v>
      </c>
      <c r="B65" s="5" t="s">
        <v>570</v>
      </c>
      <c r="C65" s="6">
        <v>0.49</v>
      </c>
      <c r="D65" s="7">
        <f t="shared" si="1"/>
        <v>0.44500000000000001</v>
      </c>
      <c r="E65" s="7">
        <f t="shared" si="2"/>
        <v>8.8999999999999999E-3</v>
      </c>
      <c r="F65" s="7">
        <f t="shared" si="3"/>
        <v>0.43609999999999999</v>
      </c>
    </row>
    <row r="66" spans="1:6" x14ac:dyDescent="0.35">
      <c r="A66" s="5" t="s">
        <v>574</v>
      </c>
      <c r="B66" s="5" t="s">
        <v>572</v>
      </c>
      <c r="C66" s="6">
        <v>0.49</v>
      </c>
      <c r="D66" s="7">
        <f t="shared" si="1"/>
        <v>0.44500000000000001</v>
      </c>
      <c r="E66" s="7">
        <f t="shared" si="2"/>
        <v>8.8999999999999999E-3</v>
      </c>
      <c r="F66" s="7">
        <f t="shared" si="3"/>
        <v>0.43609999999999999</v>
      </c>
    </row>
    <row r="67" spans="1:6" ht="24" x14ac:dyDescent="0.35">
      <c r="A67" s="24" t="s">
        <v>77</v>
      </c>
      <c r="B67" s="5" t="s">
        <v>100</v>
      </c>
      <c r="C67" s="7">
        <v>0.42</v>
      </c>
      <c r="D67" s="7">
        <f t="shared" si="1"/>
        <v>0.375</v>
      </c>
      <c r="E67" s="7">
        <f t="shared" si="2"/>
        <v>7.4999999999999997E-3</v>
      </c>
      <c r="F67" s="7">
        <f t="shared" si="3"/>
        <v>0.36749999999999999</v>
      </c>
    </row>
    <row r="68" spans="1:6" ht="24" x14ac:dyDescent="0.35">
      <c r="A68" s="24" t="s">
        <v>78</v>
      </c>
      <c r="B68" s="5" t="s">
        <v>100</v>
      </c>
      <c r="C68" s="7">
        <v>0.44</v>
      </c>
      <c r="D68" s="7">
        <f t="shared" si="1"/>
        <v>0.39500000000000002</v>
      </c>
      <c r="E68" s="7">
        <f t="shared" si="2"/>
        <v>7.9000000000000008E-3</v>
      </c>
      <c r="F68" s="7">
        <f t="shared" si="3"/>
        <v>0.3871</v>
      </c>
    </row>
    <row r="69" spans="1:6" x14ac:dyDescent="0.35">
      <c r="A69" s="24" t="s">
        <v>79</v>
      </c>
      <c r="B69" s="5" t="s">
        <v>100</v>
      </c>
      <c r="C69" s="7">
        <v>0.45</v>
      </c>
      <c r="D69" s="7">
        <f t="shared" si="1"/>
        <v>0.40500000000000003</v>
      </c>
      <c r="E69" s="7">
        <f t="shared" si="2"/>
        <v>8.1000000000000013E-3</v>
      </c>
      <c r="F69" s="7">
        <f t="shared" si="3"/>
        <v>0.39690000000000003</v>
      </c>
    </row>
    <row r="70" spans="1:6" ht="24" x14ac:dyDescent="0.35">
      <c r="A70" s="24" t="s">
        <v>575</v>
      </c>
      <c r="B70" s="5" t="s">
        <v>100</v>
      </c>
      <c r="C70" s="7">
        <v>0.36</v>
      </c>
      <c r="D70" s="7">
        <f t="shared" si="1"/>
        <v>0.315</v>
      </c>
      <c r="E70" s="7">
        <f t="shared" si="2"/>
        <v>6.3E-3</v>
      </c>
      <c r="F70" s="7">
        <f t="shared" si="3"/>
        <v>0.30869999999999997</v>
      </c>
    </row>
    <row r="71" spans="1:6" ht="24" x14ac:dyDescent="0.35">
      <c r="A71" s="24" t="s">
        <v>576</v>
      </c>
      <c r="B71" s="5" t="s">
        <v>100</v>
      </c>
      <c r="C71" s="7">
        <v>0.38</v>
      </c>
      <c r="D71" s="7">
        <f t="shared" ref="D71:D133" si="4">C71-(4.5%)</f>
        <v>0.33500000000000002</v>
      </c>
      <c r="E71" s="7">
        <f t="shared" ref="E71:E133" si="5">D71*2%</f>
        <v>6.7000000000000002E-3</v>
      </c>
      <c r="F71" s="7">
        <f t="shared" ref="F71:F133" si="6">D71-E71</f>
        <v>0.32830000000000004</v>
      </c>
    </row>
    <row r="72" spans="1:6" ht="24" x14ac:dyDescent="0.35">
      <c r="A72" s="24" t="s">
        <v>577</v>
      </c>
      <c r="B72" s="5" t="s">
        <v>100</v>
      </c>
      <c r="C72" s="7">
        <v>0.39</v>
      </c>
      <c r="D72" s="7">
        <f t="shared" si="4"/>
        <v>0.34500000000000003</v>
      </c>
      <c r="E72" s="7">
        <f t="shared" si="5"/>
        <v>6.9000000000000008E-3</v>
      </c>
      <c r="F72" s="7">
        <f t="shared" si="6"/>
        <v>0.33810000000000001</v>
      </c>
    </row>
    <row r="73" spans="1:6" x14ac:dyDescent="0.35">
      <c r="A73" s="40" t="s">
        <v>578</v>
      </c>
      <c r="B73" s="5" t="s">
        <v>553</v>
      </c>
      <c r="C73" s="6">
        <v>0.05</v>
      </c>
      <c r="D73" s="7" t="s">
        <v>20</v>
      </c>
      <c r="E73" s="7" t="s">
        <v>20</v>
      </c>
      <c r="F73" s="7" t="s">
        <v>20</v>
      </c>
    </row>
    <row r="74" spans="1:6" x14ac:dyDescent="0.35">
      <c r="A74" s="40"/>
      <c r="B74" s="5" t="s">
        <v>562</v>
      </c>
      <c r="C74" s="6">
        <v>0.15</v>
      </c>
      <c r="D74" s="7">
        <f t="shared" si="4"/>
        <v>0.105</v>
      </c>
      <c r="E74" s="7">
        <f t="shared" si="5"/>
        <v>2.0999999999999999E-3</v>
      </c>
      <c r="F74" s="7">
        <f t="shared" si="6"/>
        <v>0.10289999999999999</v>
      </c>
    </row>
    <row r="75" spans="1:6" x14ac:dyDescent="0.35">
      <c r="A75" s="40"/>
      <c r="B75" s="5" t="s">
        <v>558</v>
      </c>
      <c r="C75" s="6">
        <v>0.25</v>
      </c>
      <c r="D75" s="7">
        <f t="shared" si="4"/>
        <v>0.20500000000000002</v>
      </c>
      <c r="E75" s="7">
        <f t="shared" si="5"/>
        <v>4.1000000000000003E-3</v>
      </c>
      <c r="F75" s="7">
        <f t="shared" si="6"/>
        <v>0.20090000000000002</v>
      </c>
    </row>
    <row r="76" spans="1:6" x14ac:dyDescent="0.35">
      <c r="A76" s="40"/>
      <c r="B76" s="5" t="s">
        <v>559</v>
      </c>
      <c r="C76" s="6">
        <v>0.11</v>
      </c>
      <c r="D76" s="7">
        <f t="shared" si="4"/>
        <v>6.5000000000000002E-2</v>
      </c>
      <c r="E76" s="7">
        <f t="shared" si="5"/>
        <v>1.3000000000000002E-3</v>
      </c>
      <c r="F76" s="7">
        <f t="shared" si="6"/>
        <v>6.3700000000000007E-2</v>
      </c>
    </row>
    <row r="77" spans="1:6" x14ac:dyDescent="0.35">
      <c r="A77" s="40"/>
      <c r="B77" s="5" t="s">
        <v>554</v>
      </c>
      <c r="C77" s="6">
        <v>0.24</v>
      </c>
      <c r="D77" s="7">
        <f t="shared" si="4"/>
        <v>0.19500000000000001</v>
      </c>
      <c r="E77" s="7">
        <f t="shared" si="5"/>
        <v>3.9000000000000003E-3</v>
      </c>
      <c r="F77" s="7">
        <f t="shared" si="6"/>
        <v>0.19110000000000002</v>
      </c>
    </row>
    <row r="78" spans="1:6" x14ac:dyDescent="0.35">
      <c r="A78" s="40"/>
      <c r="B78" s="5" t="s">
        <v>555</v>
      </c>
      <c r="C78" s="6">
        <v>0.32</v>
      </c>
      <c r="D78" s="7">
        <f t="shared" si="4"/>
        <v>0.27500000000000002</v>
      </c>
      <c r="E78" s="7">
        <f t="shared" si="5"/>
        <v>5.5000000000000005E-3</v>
      </c>
      <c r="F78" s="7">
        <f t="shared" si="6"/>
        <v>0.26950000000000002</v>
      </c>
    </row>
    <row r="79" spans="1:6" x14ac:dyDescent="0.35">
      <c r="A79" s="40"/>
      <c r="B79" s="5" t="s">
        <v>561</v>
      </c>
      <c r="C79" s="6">
        <v>0.11</v>
      </c>
      <c r="D79" s="7">
        <f t="shared" si="4"/>
        <v>6.5000000000000002E-2</v>
      </c>
      <c r="E79" s="7">
        <f t="shared" si="5"/>
        <v>1.3000000000000002E-3</v>
      </c>
      <c r="F79" s="7">
        <f t="shared" si="6"/>
        <v>6.3700000000000007E-2</v>
      </c>
    </row>
    <row r="80" spans="1:6" x14ac:dyDescent="0.35">
      <c r="A80" s="40"/>
      <c r="B80" s="5" t="s">
        <v>556</v>
      </c>
      <c r="C80" s="6">
        <v>0.15640000000000001</v>
      </c>
      <c r="D80" s="7">
        <f t="shared" si="4"/>
        <v>0.11140000000000001</v>
      </c>
      <c r="E80" s="7">
        <f t="shared" si="5"/>
        <v>2.2280000000000004E-3</v>
      </c>
      <c r="F80" s="7">
        <f t="shared" si="6"/>
        <v>0.10917200000000002</v>
      </c>
    </row>
    <row r="81" spans="1:6" x14ac:dyDescent="0.35">
      <c r="A81" s="40"/>
      <c r="B81" s="5" t="s">
        <v>557</v>
      </c>
      <c r="C81" s="6">
        <v>0.23</v>
      </c>
      <c r="D81" s="7">
        <f t="shared" si="4"/>
        <v>0.185</v>
      </c>
      <c r="E81" s="7">
        <f t="shared" si="5"/>
        <v>3.7000000000000002E-3</v>
      </c>
      <c r="F81" s="7">
        <f t="shared" si="6"/>
        <v>0.18129999999999999</v>
      </c>
    </row>
    <row r="82" spans="1:6" x14ac:dyDescent="0.35">
      <c r="A82" s="40"/>
      <c r="B82" s="5" t="s">
        <v>560</v>
      </c>
      <c r="C82" s="6">
        <v>0.17</v>
      </c>
      <c r="D82" s="7">
        <f t="shared" si="4"/>
        <v>0.125</v>
      </c>
      <c r="E82" s="7">
        <f t="shared" si="5"/>
        <v>2.5000000000000001E-3</v>
      </c>
      <c r="F82" s="7">
        <f t="shared" si="6"/>
        <v>0.1225</v>
      </c>
    </row>
    <row r="83" spans="1:6" x14ac:dyDescent="0.35">
      <c r="A83" s="40" t="s">
        <v>579</v>
      </c>
      <c r="B83" s="11" t="s">
        <v>553</v>
      </c>
      <c r="C83" s="7">
        <v>0.11</v>
      </c>
      <c r="D83" s="7">
        <f t="shared" si="4"/>
        <v>6.5000000000000002E-2</v>
      </c>
      <c r="E83" s="7">
        <f t="shared" si="5"/>
        <v>1.3000000000000002E-3</v>
      </c>
      <c r="F83" s="7">
        <f t="shared" si="6"/>
        <v>6.3700000000000007E-2</v>
      </c>
    </row>
    <row r="84" spans="1:6" x14ac:dyDescent="0.35">
      <c r="A84" s="40"/>
      <c r="B84" s="11" t="s">
        <v>554</v>
      </c>
      <c r="C84" s="7">
        <v>0.31</v>
      </c>
      <c r="D84" s="7">
        <f t="shared" si="4"/>
        <v>0.26500000000000001</v>
      </c>
      <c r="E84" s="7">
        <f t="shared" si="5"/>
        <v>5.3E-3</v>
      </c>
      <c r="F84" s="7">
        <f t="shared" si="6"/>
        <v>0.25969999999999999</v>
      </c>
    </row>
    <row r="85" spans="1:6" x14ac:dyDescent="0.35">
      <c r="A85" s="40"/>
      <c r="B85" s="11" t="s">
        <v>555</v>
      </c>
      <c r="C85" s="7">
        <v>0.32</v>
      </c>
      <c r="D85" s="7">
        <f t="shared" si="4"/>
        <v>0.27500000000000002</v>
      </c>
      <c r="E85" s="7">
        <f t="shared" si="5"/>
        <v>5.5000000000000005E-3</v>
      </c>
      <c r="F85" s="7">
        <f t="shared" si="6"/>
        <v>0.26950000000000002</v>
      </c>
    </row>
    <row r="86" spans="1:6" x14ac:dyDescent="0.35">
      <c r="A86" s="40"/>
      <c r="B86" s="11" t="s">
        <v>556</v>
      </c>
      <c r="C86" s="7">
        <v>0.23000000000000004</v>
      </c>
      <c r="D86" s="7">
        <f t="shared" si="4"/>
        <v>0.18500000000000005</v>
      </c>
      <c r="E86" s="7">
        <f t="shared" si="5"/>
        <v>3.700000000000001E-3</v>
      </c>
      <c r="F86" s="7">
        <f t="shared" si="6"/>
        <v>0.18130000000000004</v>
      </c>
    </row>
    <row r="87" spans="1:6" x14ac:dyDescent="0.35">
      <c r="A87" s="40"/>
      <c r="B87" s="11" t="s">
        <v>557</v>
      </c>
      <c r="C87" s="7">
        <v>0.3</v>
      </c>
      <c r="D87" s="7">
        <f t="shared" si="4"/>
        <v>0.255</v>
      </c>
      <c r="E87" s="7">
        <f t="shared" si="5"/>
        <v>5.1000000000000004E-3</v>
      </c>
      <c r="F87" s="7">
        <f t="shared" si="6"/>
        <v>0.24990000000000001</v>
      </c>
    </row>
    <row r="88" spans="1:6" x14ac:dyDescent="0.35">
      <c r="A88" s="40"/>
      <c r="B88" s="11" t="s">
        <v>558</v>
      </c>
      <c r="C88" s="7">
        <v>0.32</v>
      </c>
      <c r="D88" s="7">
        <f t="shared" si="4"/>
        <v>0.27500000000000002</v>
      </c>
      <c r="E88" s="7">
        <f t="shared" si="5"/>
        <v>5.5000000000000005E-3</v>
      </c>
      <c r="F88" s="7">
        <f t="shared" si="6"/>
        <v>0.26950000000000002</v>
      </c>
    </row>
    <row r="89" spans="1:6" x14ac:dyDescent="0.35">
      <c r="A89" s="40"/>
      <c r="B89" s="11" t="s">
        <v>559</v>
      </c>
      <c r="C89" s="7">
        <v>0.16999999999999998</v>
      </c>
      <c r="D89" s="7">
        <f t="shared" si="4"/>
        <v>0.12499999999999999</v>
      </c>
      <c r="E89" s="7">
        <f t="shared" si="5"/>
        <v>2.4999999999999996E-3</v>
      </c>
      <c r="F89" s="7">
        <f t="shared" si="6"/>
        <v>0.12249999999999998</v>
      </c>
    </row>
    <row r="90" spans="1:6" x14ac:dyDescent="0.35">
      <c r="A90" s="40"/>
      <c r="B90" s="11" t="s">
        <v>560</v>
      </c>
      <c r="C90" s="7">
        <v>0.24</v>
      </c>
      <c r="D90" s="7">
        <f t="shared" si="4"/>
        <v>0.19500000000000001</v>
      </c>
      <c r="E90" s="7">
        <f t="shared" si="5"/>
        <v>3.9000000000000003E-3</v>
      </c>
      <c r="F90" s="7">
        <f t="shared" si="6"/>
        <v>0.19110000000000002</v>
      </c>
    </row>
    <row r="91" spans="1:6" x14ac:dyDescent="0.35">
      <c r="A91" s="40"/>
      <c r="B91" s="11" t="s">
        <v>561</v>
      </c>
      <c r="C91" s="7">
        <v>0.16999999999999998</v>
      </c>
      <c r="D91" s="7">
        <f t="shared" si="4"/>
        <v>0.12499999999999999</v>
      </c>
      <c r="E91" s="7">
        <f t="shared" si="5"/>
        <v>2.4999999999999996E-3</v>
      </c>
      <c r="F91" s="7">
        <f t="shared" si="6"/>
        <v>0.12249999999999998</v>
      </c>
    </row>
    <row r="92" spans="1:6" x14ac:dyDescent="0.35">
      <c r="A92" s="40"/>
      <c r="B92" s="11" t="s">
        <v>562</v>
      </c>
      <c r="C92" s="7">
        <v>0.21000000000000002</v>
      </c>
      <c r="D92" s="7">
        <f t="shared" si="4"/>
        <v>0.16500000000000004</v>
      </c>
      <c r="E92" s="7">
        <f t="shared" si="5"/>
        <v>3.3000000000000008E-3</v>
      </c>
      <c r="F92" s="7">
        <f t="shared" si="6"/>
        <v>0.16170000000000004</v>
      </c>
    </row>
    <row r="93" spans="1:6" x14ac:dyDescent="0.35">
      <c r="A93" s="48" t="s">
        <v>1235</v>
      </c>
      <c r="B93" s="5" t="s">
        <v>580</v>
      </c>
      <c r="C93" s="6">
        <v>0.19500000000000001</v>
      </c>
      <c r="D93" s="7">
        <f t="shared" si="4"/>
        <v>0.15000000000000002</v>
      </c>
      <c r="E93" s="7">
        <f t="shared" si="5"/>
        <v>3.0000000000000005E-3</v>
      </c>
      <c r="F93" s="7">
        <f t="shared" si="6"/>
        <v>0.14700000000000002</v>
      </c>
    </row>
    <row r="94" spans="1:6" ht="33.5" customHeight="1" x14ac:dyDescent="0.35">
      <c r="A94" s="48"/>
      <c r="B94" s="5" t="s">
        <v>581</v>
      </c>
      <c r="C94" s="6">
        <v>0.66</v>
      </c>
      <c r="D94" s="7">
        <f t="shared" si="4"/>
        <v>0.61499999999999999</v>
      </c>
      <c r="E94" s="7">
        <f t="shared" si="5"/>
        <v>1.23E-2</v>
      </c>
      <c r="F94" s="7">
        <f t="shared" si="6"/>
        <v>0.60270000000000001</v>
      </c>
    </row>
    <row r="95" spans="1:6" ht="24" x14ac:dyDescent="0.35">
      <c r="A95" s="35" t="s">
        <v>1170</v>
      </c>
      <c r="B95" s="5" t="s">
        <v>100</v>
      </c>
      <c r="C95" s="7">
        <v>0.35</v>
      </c>
      <c r="D95" s="7">
        <f t="shared" si="4"/>
        <v>0.30499999999999999</v>
      </c>
      <c r="E95" s="7">
        <f t="shared" si="5"/>
        <v>6.1000000000000004E-3</v>
      </c>
      <c r="F95" s="7">
        <f t="shared" si="6"/>
        <v>0.2989</v>
      </c>
    </row>
    <row r="96" spans="1:6" x14ac:dyDescent="0.35">
      <c r="A96" s="35" t="s">
        <v>1171</v>
      </c>
      <c r="B96" s="5" t="s">
        <v>100</v>
      </c>
      <c r="C96" s="7">
        <v>0.32500000000000001</v>
      </c>
      <c r="D96" s="7">
        <f t="shared" si="4"/>
        <v>0.28000000000000003</v>
      </c>
      <c r="E96" s="7">
        <f t="shared" si="5"/>
        <v>5.6000000000000008E-3</v>
      </c>
      <c r="F96" s="7">
        <f t="shared" si="6"/>
        <v>0.27440000000000003</v>
      </c>
    </row>
    <row r="97" spans="1:6" ht="24" x14ac:dyDescent="0.35">
      <c r="A97" s="35" t="s">
        <v>82</v>
      </c>
      <c r="B97" s="5" t="s">
        <v>100</v>
      </c>
      <c r="C97" s="7">
        <v>0.25</v>
      </c>
      <c r="D97" s="7">
        <f t="shared" si="4"/>
        <v>0.20500000000000002</v>
      </c>
      <c r="E97" s="7">
        <f t="shared" si="5"/>
        <v>4.1000000000000003E-3</v>
      </c>
      <c r="F97" s="7">
        <f t="shared" si="6"/>
        <v>0.20090000000000002</v>
      </c>
    </row>
    <row r="98" spans="1:6" ht="24" x14ac:dyDescent="0.35">
      <c r="A98" s="35" t="s">
        <v>83</v>
      </c>
      <c r="B98" s="5" t="s">
        <v>100</v>
      </c>
      <c r="C98" s="7">
        <v>0.2</v>
      </c>
      <c r="D98" s="7">
        <f t="shared" si="4"/>
        <v>0.15500000000000003</v>
      </c>
      <c r="E98" s="7">
        <f t="shared" si="5"/>
        <v>3.1000000000000008E-3</v>
      </c>
      <c r="F98" s="7">
        <f t="shared" si="6"/>
        <v>0.15190000000000003</v>
      </c>
    </row>
    <row r="99" spans="1:6" ht="24" x14ac:dyDescent="0.35">
      <c r="A99" s="35" t="s">
        <v>84</v>
      </c>
      <c r="B99" s="5" t="s">
        <v>100</v>
      </c>
      <c r="C99" s="7">
        <v>0.25</v>
      </c>
      <c r="D99" s="7">
        <f t="shared" si="4"/>
        <v>0.20500000000000002</v>
      </c>
      <c r="E99" s="7">
        <f t="shared" si="5"/>
        <v>4.1000000000000003E-3</v>
      </c>
      <c r="F99" s="7">
        <f t="shared" si="6"/>
        <v>0.20090000000000002</v>
      </c>
    </row>
    <row r="100" spans="1:6" ht="24" x14ac:dyDescent="0.35">
      <c r="A100" s="35" t="s">
        <v>85</v>
      </c>
      <c r="B100" s="5" t="s">
        <v>100</v>
      </c>
      <c r="C100" s="7">
        <v>0.2</v>
      </c>
      <c r="D100" s="7">
        <f t="shared" si="4"/>
        <v>0.15500000000000003</v>
      </c>
      <c r="E100" s="7">
        <f t="shared" si="5"/>
        <v>3.1000000000000008E-3</v>
      </c>
      <c r="F100" s="7">
        <f t="shared" si="6"/>
        <v>0.15190000000000003</v>
      </c>
    </row>
    <row r="101" spans="1:6" ht="36" x14ac:dyDescent="0.35">
      <c r="A101" s="41" t="s">
        <v>582</v>
      </c>
      <c r="B101" s="5" t="s">
        <v>563</v>
      </c>
      <c r="C101" s="7">
        <v>0.28999999999999998</v>
      </c>
      <c r="D101" s="7">
        <f t="shared" si="4"/>
        <v>0.245</v>
      </c>
      <c r="E101" s="7">
        <f t="shared" si="5"/>
        <v>4.8999999999999998E-3</v>
      </c>
      <c r="F101" s="7">
        <f t="shared" si="6"/>
        <v>0.24010000000000001</v>
      </c>
    </row>
    <row r="102" spans="1:6" ht="48" x14ac:dyDescent="0.35">
      <c r="A102" s="42"/>
      <c r="B102" s="5" t="s">
        <v>564</v>
      </c>
      <c r="C102" s="7">
        <v>0.28999999999999998</v>
      </c>
      <c r="D102" s="7">
        <f t="shared" si="4"/>
        <v>0.245</v>
      </c>
      <c r="E102" s="7">
        <f t="shared" si="5"/>
        <v>4.8999999999999998E-3</v>
      </c>
      <c r="F102" s="7">
        <f t="shared" si="6"/>
        <v>0.24010000000000001</v>
      </c>
    </row>
    <row r="103" spans="1:6" x14ac:dyDescent="0.35">
      <c r="A103" s="42"/>
      <c r="B103" s="5" t="s">
        <v>565</v>
      </c>
      <c r="C103" s="7">
        <v>0.28999999999999998</v>
      </c>
      <c r="D103" s="7">
        <f t="shared" si="4"/>
        <v>0.245</v>
      </c>
      <c r="E103" s="7">
        <f t="shared" si="5"/>
        <v>4.8999999999999998E-3</v>
      </c>
      <c r="F103" s="7">
        <f t="shared" si="6"/>
        <v>0.24010000000000001</v>
      </c>
    </row>
    <row r="104" spans="1:6" ht="36" x14ac:dyDescent="0.35">
      <c r="A104" s="43"/>
      <c r="B104" s="5" t="s">
        <v>566</v>
      </c>
      <c r="C104" s="7">
        <v>0.28999999999999998</v>
      </c>
      <c r="D104" s="7">
        <f t="shared" si="4"/>
        <v>0.245</v>
      </c>
      <c r="E104" s="7">
        <f t="shared" si="5"/>
        <v>4.8999999999999998E-3</v>
      </c>
      <c r="F104" s="7">
        <f t="shared" si="6"/>
        <v>0.24010000000000001</v>
      </c>
    </row>
    <row r="105" spans="1:6" x14ac:dyDescent="0.35">
      <c r="A105" s="44" t="s">
        <v>91</v>
      </c>
      <c r="B105" s="5" t="s">
        <v>92</v>
      </c>
      <c r="C105" s="6">
        <v>0.5</v>
      </c>
      <c r="D105" s="7">
        <f t="shared" si="4"/>
        <v>0.45500000000000002</v>
      </c>
      <c r="E105" s="7">
        <f t="shared" si="5"/>
        <v>9.1000000000000004E-3</v>
      </c>
      <c r="F105" s="7">
        <f t="shared" si="6"/>
        <v>0.44590000000000002</v>
      </c>
    </row>
    <row r="106" spans="1:6" x14ac:dyDescent="0.35">
      <c r="A106" s="45"/>
      <c r="B106" s="5" t="s">
        <v>93</v>
      </c>
      <c r="C106" s="6">
        <v>0.5</v>
      </c>
      <c r="D106" s="7">
        <f t="shared" si="4"/>
        <v>0.45500000000000002</v>
      </c>
      <c r="E106" s="7">
        <f t="shared" si="5"/>
        <v>9.1000000000000004E-3</v>
      </c>
      <c r="F106" s="7">
        <f t="shared" si="6"/>
        <v>0.44590000000000002</v>
      </c>
    </row>
    <row r="107" spans="1:6" ht="24" x14ac:dyDescent="0.35">
      <c r="A107" s="5" t="s">
        <v>583</v>
      </c>
      <c r="B107" s="5" t="s">
        <v>584</v>
      </c>
      <c r="C107" s="6">
        <v>0.56000000000000005</v>
      </c>
      <c r="D107" s="7">
        <f t="shared" si="4"/>
        <v>0.51500000000000001</v>
      </c>
      <c r="E107" s="7">
        <f t="shared" si="5"/>
        <v>1.03E-2</v>
      </c>
      <c r="F107" s="7">
        <f t="shared" si="6"/>
        <v>0.50470000000000004</v>
      </c>
    </row>
    <row r="108" spans="1:6" ht="14.5" customHeight="1" x14ac:dyDescent="0.35">
      <c r="A108" s="52" t="s">
        <v>1200</v>
      </c>
      <c r="B108" s="5" t="s">
        <v>1201</v>
      </c>
      <c r="C108" s="6">
        <v>0.35499999999999998</v>
      </c>
      <c r="D108" s="7">
        <f t="shared" si="4"/>
        <v>0.31</v>
      </c>
      <c r="E108" s="7">
        <f t="shared" si="5"/>
        <v>6.1999999999999998E-3</v>
      </c>
      <c r="F108" s="7">
        <f t="shared" si="6"/>
        <v>0.30380000000000001</v>
      </c>
    </row>
    <row r="109" spans="1:6" x14ac:dyDescent="0.35">
      <c r="A109" s="53"/>
      <c r="B109" s="5" t="s">
        <v>1202</v>
      </c>
      <c r="C109" s="6">
        <v>0.44500000000000001</v>
      </c>
      <c r="D109" s="7">
        <f t="shared" si="4"/>
        <v>0.4</v>
      </c>
      <c r="E109" s="7">
        <f t="shared" si="5"/>
        <v>8.0000000000000002E-3</v>
      </c>
      <c r="F109" s="7">
        <f t="shared" si="6"/>
        <v>0.39200000000000002</v>
      </c>
    </row>
    <row r="110" spans="1:6" x14ac:dyDescent="0.35">
      <c r="A110" s="54"/>
      <c r="B110" s="5" t="s">
        <v>1203</v>
      </c>
      <c r="C110" s="6">
        <v>0.47499999999999998</v>
      </c>
      <c r="D110" s="7">
        <f t="shared" si="4"/>
        <v>0.43</v>
      </c>
      <c r="E110" s="7">
        <f t="shared" si="5"/>
        <v>8.6E-3</v>
      </c>
      <c r="F110" s="7">
        <f t="shared" si="6"/>
        <v>0.4214</v>
      </c>
    </row>
    <row r="111" spans="1:6" x14ac:dyDescent="0.35">
      <c r="A111" s="36" t="s">
        <v>1204</v>
      </c>
      <c r="B111" s="5" t="s">
        <v>100</v>
      </c>
      <c r="C111" s="6">
        <v>0.47499999999999998</v>
      </c>
      <c r="D111" s="7">
        <f t="shared" si="4"/>
        <v>0.43</v>
      </c>
      <c r="E111" s="7">
        <f t="shared" si="5"/>
        <v>8.6E-3</v>
      </c>
      <c r="F111" s="7">
        <f t="shared" si="6"/>
        <v>0.4214</v>
      </c>
    </row>
    <row r="112" spans="1:6" x14ac:dyDescent="0.35">
      <c r="A112" s="2" t="s">
        <v>104</v>
      </c>
      <c r="B112" s="2" t="s">
        <v>1</v>
      </c>
      <c r="C112" s="3" t="s">
        <v>2</v>
      </c>
      <c r="D112" s="4" t="s">
        <v>4</v>
      </c>
      <c r="E112" s="4" t="s">
        <v>5</v>
      </c>
      <c r="F112" s="4" t="s">
        <v>6</v>
      </c>
    </row>
    <row r="113" spans="1:6" x14ac:dyDescent="0.35">
      <c r="A113" s="5" t="s">
        <v>585</v>
      </c>
      <c r="B113" s="5" t="s">
        <v>100</v>
      </c>
      <c r="C113" s="7">
        <v>0.35</v>
      </c>
      <c r="D113" s="7">
        <f t="shared" si="4"/>
        <v>0.30499999999999999</v>
      </c>
      <c r="E113" s="7">
        <f t="shared" si="5"/>
        <v>6.1000000000000004E-3</v>
      </c>
      <c r="F113" s="7">
        <f t="shared" si="6"/>
        <v>0.2989</v>
      </c>
    </row>
    <row r="114" spans="1:6" x14ac:dyDescent="0.35">
      <c r="A114" s="5" t="s">
        <v>586</v>
      </c>
      <c r="B114" s="5" t="s">
        <v>100</v>
      </c>
      <c r="C114" s="7">
        <v>0.47</v>
      </c>
      <c r="D114" s="7">
        <f t="shared" si="4"/>
        <v>0.42499999999999999</v>
      </c>
      <c r="E114" s="7">
        <f t="shared" si="5"/>
        <v>8.5000000000000006E-3</v>
      </c>
      <c r="F114" s="7">
        <f t="shared" si="6"/>
        <v>0.41649999999999998</v>
      </c>
    </row>
    <row r="115" spans="1:6" ht="36" x14ac:dyDescent="0.35">
      <c r="A115" s="41" t="s">
        <v>406</v>
      </c>
      <c r="B115" s="5" t="s">
        <v>563</v>
      </c>
      <c r="C115" s="7">
        <v>0.37</v>
      </c>
      <c r="D115" s="7">
        <f t="shared" si="4"/>
        <v>0.32500000000000001</v>
      </c>
      <c r="E115" s="7">
        <f t="shared" si="5"/>
        <v>6.5000000000000006E-3</v>
      </c>
      <c r="F115" s="7">
        <f t="shared" si="6"/>
        <v>0.31850000000000001</v>
      </c>
    </row>
    <row r="116" spans="1:6" ht="48" x14ac:dyDescent="0.35">
      <c r="A116" s="42"/>
      <c r="B116" s="5" t="s">
        <v>564</v>
      </c>
      <c r="C116" s="7">
        <v>0.3</v>
      </c>
      <c r="D116" s="7">
        <f t="shared" si="4"/>
        <v>0.255</v>
      </c>
      <c r="E116" s="7">
        <f t="shared" si="5"/>
        <v>5.1000000000000004E-3</v>
      </c>
      <c r="F116" s="7">
        <f t="shared" si="6"/>
        <v>0.24990000000000001</v>
      </c>
    </row>
    <row r="117" spans="1:6" x14ac:dyDescent="0.35">
      <c r="A117" s="42"/>
      <c r="B117" s="5" t="s">
        <v>565</v>
      </c>
      <c r="C117" s="7">
        <v>0</v>
      </c>
      <c r="D117" s="7" t="s">
        <v>20</v>
      </c>
      <c r="E117" s="7" t="s">
        <v>20</v>
      </c>
      <c r="F117" s="7" t="s">
        <v>20</v>
      </c>
    </row>
    <row r="118" spans="1:6" ht="36" x14ac:dyDescent="0.35">
      <c r="A118" s="43"/>
      <c r="B118" s="5" t="s">
        <v>566</v>
      </c>
      <c r="C118" s="7">
        <v>0.3</v>
      </c>
      <c r="D118" s="7">
        <f t="shared" si="4"/>
        <v>0.255</v>
      </c>
      <c r="E118" s="7">
        <f t="shared" si="5"/>
        <v>5.1000000000000004E-3</v>
      </c>
      <c r="F118" s="7">
        <f t="shared" si="6"/>
        <v>0.24990000000000001</v>
      </c>
    </row>
    <row r="119" spans="1:6" ht="36" x14ac:dyDescent="0.35">
      <c r="A119" s="41" t="s">
        <v>110</v>
      </c>
      <c r="B119" s="5" t="s">
        <v>563</v>
      </c>
      <c r="C119" s="7">
        <v>0.35</v>
      </c>
      <c r="D119" s="7">
        <f t="shared" si="4"/>
        <v>0.30499999999999999</v>
      </c>
      <c r="E119" s="7">
        <f t="shared" si="5"/>
        <v>6.1000000000000004E-3</v>
      </c>
      <c r="F119" s="7">
        <f t="shared" si="6"/>
        <v>0.2989</v>
      </c>
    </row>
    <row r="120" spans="1:6" ht="48" x14ac:dyDescent="0.35">
      <c r="A120" s="42"/>
      <c r="B120" s="5" t="s">
        <v>564</v>
      </c>
      <c r="C120" s="7">
        <v>0.24</v>
      </c>
      <c r="D120" s="7">
        <f t="shared" si="4"/>
        <v>0.19500000000000001</v>
      </c>
      <c r="E120" s="7">
        <f t="shared" si="5"/>
        <v>3.9000000000000003E-3</v>
      </c>
      <c r="F120" s="7">
        <f t="shared" si="6"/>
        <v>0.19110000000000002</v>
      </c>
    </row>
    <row r="121" spans="1:6" x14ac:dyDescent="0.35">
      <c r="A121" s="42"/>
      <c r="B121" s="5" t="s">
        <v>565</v>
      </c>
      <c r="C121" s="7">
        <v>0.35</v>
      </c>
      <c r="D121" s="7">
        <f t="shared" si="4"/>
        <v>0.30499999999999999</v>
      </c>
      <c r="E121" s="7">
        <f t="shared" si="5"/>
        <v>6.1000000000000004E-3</v>
      </c>
      <c r="F121" s="7">
        <f t="shared" si="6"/>
        <v>0.2989</v>
      </c>
    </row>
    <row r="122" spans="1:6" ht="36" x14ac:dyDescent="0.35">
      <c r="A122" s="43"/>
      <c r="B122" s="5" t="s">
        <v>566</v>
      </c>
      <c r="C122" s="7">
        <v>0.25</v>
      </c>
      <c r="D122" s="7">
        <f t="shared" si="4"/>
        <v>0.20500000000000002</v>
      </c>
      <c r="E122" s="7">
        <f t="shared" si="5"/>
        <v>4.1000000000000003E-3</v>
      </c>
      <c r="F122" s="7">
        <f t="shared" si="6"/>
        <v>0.20090000000000002</v>
      </c>
    </row>
    <row r="123" spans="1:6" ht="36" x14ac:dyDescent="0.35">
      <c r="A123" s="41" t="s">
        <v>112</v>
      </c>
      <c r="B123" s="5" t="s">
        <v>563</v>
      </c>
      <c r="C123" s="7">
        <v>0.16</v>
      </c>
      <c r="D123" s="7">
        <f t="shared" si="4"/>
        <v>0.115</v>
      </c>
      <c r="E123" s="7">
        <f t="shared" si="5"/>
        <v>2.3E-3</v>
      </c>
      <c r="F123" s="7">
        <f t="shared" si="6"/>
        <v>0.11270000000000001</v>
      </c>
    </row>
    <row r="124" spans="1:6" ht="48" x14ac:dyDescent="0.35">
      <c r="A124" s="42"/>
      <c r="B124" s="5" t="s">
        <v>564</v>
      </c>
      <c r="C124" s="7">
        <v>0.30499999999999999</v>
      </c>
      <c r="D124" s="7">
        <f t="shared" si="4"/>
        <v>0.26</v>
      </c>
      <c r="E124" s="7">
        <f t="shared" si="5"/>
        <v>5.2000000000000006E-3</v>
      </c>
      <c r="F124" s="7">
        <f t="shared" si="6"/>
        <v>0.25480000000000003</v>
      </c>
    </row>
    <row r="125" spans="1:6" x14ac:dyDescent="0.35">
      <c r="A125" s="42"/>
      <c r="B125" s="5" t="s">
        <v>565</v>
      </c>
      <c r="C125" s="7">
        <v>0</v>
      </c>
      <c r="D125" s="7" t="s">
        <v>20</v>
      </c>
      <c r="E125" s="7" t="s">
        <v>20</v>
      </c>
      <c r="F125" s="7" t="s">
        <v>20</v>
      </c>
    </row>
    <row r="126" spans="1:6" ht="36" x14ac:dyDescent="0.35">
      <c r="A126" s="43"/>
      <c r="B126" s="5" t="s">
        <v>566</v>
      </c>
      <c r="C126" s="7">
        <v>0.245</v>
      </c>
      <c r="D126" s="7">
        <f t="shared" si="4"/>
        <v>0.2</v>
      </c>
      <c r="E126" s="7">
        <f t="shared" si="5"/>
        <v>4.0000000000000001E-3</v>
      </c>
      <c r="F126" s="7">
        <f t="shared" si="6"/>
        <v>0.19600000000000001</v>
      </c>
    </row>
    <row r="127" spans="1:6" ht="36" x14ac:dyDescent="0.35">
      <c r="A127" s="41" t="s">
        <v>111</v>
      </c>
      <c r="B127" s="5" t="s">
        <v>563</v>
      </c>
      <c r="C127" s="7">
        <v>0.15</v>
      </c>
      <c r="D127" s="7">
        <f t="shared" si="4"/>
        <v>0.105</v>
      </c>
      <c r="E127" s="7">
        <f t="shared" si="5"/>
        <v>2.0999999999999999E-3</v>
      </c>
      <c r="F127" s="7">
        <f t="shared" si="6"/>
        <v>0.10289999999999999</v>
      </c>
    </row>
    <row r="128" spans="1:6" ht="48" x14ac:dyDescent="0.35">
      <c r="A128" s="42"/>
      <c r="B128" s="5" t="s">
        <v>564</v>
      </c>
      <c r="C128" s="7">
        <v>0.15</v>
      </c>
      <c r="D128" s="7">
        <f t="shared" si="4"/>
        <v>0.105</v>
      </c>
      <c r="E128" s="7">
        <f t="shared" si="5"/>
        <v>2.0999999999999999E-3</v>
      </c>
      <c r="F128" s="7">
        <f t="shared" si="6"/>
        <v>0.10289999999999999</v>
      </c>
    </row>
    <row r="129" spans="1:6" x14ac:dyDescent="0.35">
      <c r="A129" s="42"/>
      <c r="B129" s="5" t="s">
        <v>565</v>
      </c>
      <c r="C129" s="7">
        <v>0.17</v>
      </c>
      <c r="D129" s="7">
        <f t="shared" si="4"/>
        <v>0.125</v>
      </c>
      <c r="E129" s="7">
        <f t="shared" si="5"/>
        <v>2.5000000000000001E-3</v>
      </c>
      <c r="F129" s="7">
        <f t="shared" si="6"/>
        <v>0.1225</v>
      </c>
    </row>
    <row r="130" spans="1:6" ht="36" x14ac:dyDescent="0.35">
      <c r="A130" s="43"/>
      <c r="B130" s="5" t="s">
        <v>566</v>
      </c>
      <c r="C130" s="7">
        <v>0.15</v>
      </c>
      <c r="D130" s="7">
        <f t="shared" si="4"/>
        <v>0.105</v>
      </c>
      <c r="E130" s="7">
        <f t="shared" si="5"/>
        <v>2.0999999999999999E-3</v>
      </c>
      <c r="F130" s="7">
        <f t="shared" si="6"/>
        <v>0.10289999999999999</v>
      </c>
    </row>
    <row r="131" spans="1:6" x14ac:dyDescent="0.35">
      <c r="A131" s="44" t="s">
        <v>1232</v>
      </c>
      <c r="B131" s="5" t="s">
        <v>92</v>
      </c>
      <c r="C131" s="6">
        <v>0.27</v>
      </c>
      <c r="D131" s="7">
        <f t="shared" si="4"/>
        <v>0.22500000000000003</v>
      </c>
      <c r="E131" s="7">
        <f t="shared" si="5"/>
        <v>4.5000000000000005E-3</v>
      </c>
      <c r="F131" s="7">
        <f t="shared" si="6"/>
        <v>0.22050000000000003</v>
      </c>
    </row>
    <row r="132" spans="1:6" x14ac:dyDescent="0.35">
      <c r="A132" s="45"/>
      <c r="B132" s="5" t="s">
        <v>93</v>
      </c>
      <c r="C132" s="6">
        <v>0.27</v>
      </c>
      <c r="D132" s="7">
        <f t="shared" si="4"/>
        <v>0.22500000000000003</v>
      </c>
      <c r="E132" s="7">
        <f t="shared" si="5"/>
        <v>4.5000000000000005E-3</v>
      </c>
      <c r="F132" s="7">
        <f t="shared" si="6"/>
        <v>0.22050000000000003</v>
      </c>
    </row>
    <row r="133" spans="1:6" x14ac:dyDescent="0.35">
      <c r="A133" s="5" t="s">
        <v>116</v>
      </c>
      <c r="B133" s="5" t="s">
        <v>100</v>
      </c>
      <c r="C133" s="6">
        <v>0.35</v>
      </c>
      <c r="D133" s="7">
        <f t="shared" si="4"/>
        <v>0.30499999999999999</v>
      </c>
      <c r="E133" s="7">
        <f t="shared" si="5"/>
        <v>6.1000000000000004E-3</v>
      </c>
      <c r="F133" s="7">
        <f t="shared" si="6"/>
        <v>0.2989</v>
      </c>
    </row>
    <row r="134" spans="1:6" x14ac:dyDescent="0.35">
      <c r="A134" s="2" t="s">
        <v>117</v>
      </c>
      <c r="B134" s="2" t="s">
        <v>1</v>
      </c>
      <c r="C134" s="3" t="s">
        <v>2</v>
      </c>
      <c r="D134" s="4" t="s">
        <v>4</v>
      </c>
      <c r="E134" s="4" t="s">
        <v>5</v>
      </c>
      <c r="F134" s="4" t="s">
        <v>6</v>
      </c>
    </row>
    <row r="135" spans="1:6" x14ac:dyDescent="0.35">
      <c r="A135" s="5" t="s">
        <v>587</v>
      </c>
      <c r="B135" s="5" t="s">
        <v>570</v>
      </c>
      <c r="C135" s="7">
        <v>0.28000000000000003</v>
      </c>
      <c r="D135" s="7">
        <f t="shared" ref="D135:D198" si="7">C135-(4.5%)</f>
        <v>0.23500000000000004</v>
      </c>
      <c r="E135" s="7">
        <f t="shared" ref="E135:E198" si="8">D135*2%</f>
        <v>4.7000000000000011E-3</v>
      </c>
      <c r="F135" s="7">
        <f t="shared" ref="F135:F198" si="9">D135-E135</f>
        <v>0.23030000000000003</v>
      </c>
    </row>
    <row r="136" spans="1:6" ht="24" x14ac:dyDescent="0.35">
      <c r="A136" s="5" t="s">
        <v>588</v>
      </c>
      <c r="B136" s="5" t="s">
        <v>570</v>
      </c>
      <c r="C136" s="7">
        <v>0.25</v>
      </c>
      <c r="D136" s="7">
        <f t="shared" si="7"/>
        <v>0.20500000000000002</v>
      </c>
      <c r="E136" s="7">
        <f t="shared" si="8"/>
        <v>4.1000000000000003E-3</v>
      </c>
      <c r="F136" s="7">
        <f t="shared" si="9"/>
        <v>0.20090000000000002</v>
      </c>
    </row>
    <row r="137" spans="1:6" x14ac:dyDescent="0.35">
      <c r="A137" s="5" t="s">
        <v>131</v>
      </c>
      <c r="B137" s="5" t="s">
        <v>572</v>
      </c>
      <c r="C137" s="7">
        <v>0.3</v>
      </c>
      <c r="D137" s="7">
        <f t="shared" si="7"/>
        <v>0.255</v>
      </c>
      <c r="E137" s="7">
        <f t="shared" si="8"/>
        <v>5.1000000000000004E-3</v>
      </c>
      <c r="F137" s="7">
        <f t="shared" si="9"/>
        <v>0.24990000000000001</v>
      </c>
    </row>
    <row r="138" spans="1:6" x14ac:dyDescent="0.35">
      <c r="A138" s="40" t="s">
        <v>589</v>
      </c>
      <c r="B138" s="5" t="s">
        <v>590</v>
      </c>
      <c r="C138" s="7">
        <v>0.19500000000000001</v>
      </c>
      <c r="D138" s="7">
        <f t="shared" si="7"/>
        <v>0.15000000000000002</v>
      </c>
      <c r="E138" s="7">
        <f t="shared" si="8"/>
        <v>3.0000000000000005E-3</v>
      </c>
      <c r="F138" s="7">
        <f t="shared" si="9"/>
        <v>0.14700000000000002</v>
      </c>
    </row>
    <row r="139" spans="1:6" x14ac:dyDescent="0.35">
      <c r="A139" s="40"/>
      <c r="B139" s="5" t="s">
        <v>591</v>
      </c>
      <c r="C139" s="7">
        <v>0.19500000000000001</v>
      </c>
      <c r="D139" s="7">
        <f t="shared" si="7"/>
        <v>0.15000000000000002</v>
      </c>
      <c r="E139" s="7">
        <f t="shared" si="8"/>
        <v>3.0000000000000005E-3</v>
      </c>
      <c r="F139" s="7">
        <f t="shared" si="9"/>
        <v>0.14700000000000002</v>
      </c>
    </row>
    <row r="140" spans="1:6" x14ac:dyDescent="0.35">
      <c r="A140" s="40"/>
      <c r="B140" s="5" t="s">
        <v>558</v>
      </c>
      <c r="C140" s="7">
        <v>0.12</v>
      </c>
      <c r="D140" s="7">
        <f t="shared" si="7"/>
        <v>7.4999999999999997E-2</v>
      </c>
      <c r="E140" s="7">
        <f t="shared" si="8"/>
        <v>1.5E-3</v>
      </c>
      <c r="F140" s="7">
        <f t="shared" si="9"/>
        <v>7.3499999999999996E-2</v>
      </c>
    </row>
    <row r="141" spans="1:6" x14ac:dyDescent="0.35">
      <c r="A141" s="40"/>
      <c r="B141" s="5" t="s">
        <v>592</v>
      </c>
      <c r="C141" s="7">
        <v>0.19500000000000001</v>
      </c>
      <c r="D141" s="7">
        <f t="shared" si="7"/>
        <v>0.15000000000000002</v>
      </c>
      <c r="E141" s="7">
        <f t="shared" si="8"/>
        <v>3.0000000000000005E-3</v>
      </c>
      <c r="F141" s="7">
        <f t="shared" si="9"/>
        <v>0.14700000000000002</v>
      </c>
    </row>
    <row r="142" spans="1:6" x14ac:dyDescent="0.35">
      <c r="A142" s="40"/>
      <c r="B142" s="5" t="s">
        <v>554</v>
      </c>
      <c r="C142" s="7">
        <v>0.1</v>
      </c>
      <c r="D142" s="7">
        <f t="shared" si="7"/>
        <v>5.5000000000000007E-2</v>
      </c>
      <c r="E142" s="7">
        <f t="shared" si="8"/>
        <v>1.1000000000000001E-3</v>
      </c>
      <c r="F142" s="7">
        <f t="shared" si="9"/>
        <v>5.390000000000001E-2</v>
      </c>
    </row>
    <row r="143" spans="1:6" x14ac:dyDescent="0.35">
      <c r="A143" s="40"/>
      <c r="B143" s="5" t="s">
        <v>555</v>
      </c>
      <c r="C143" s="7">
        <v>0.21</v>
      </c>
      <c r="D143" s="7">
        <f t="shared" si="7"/>
        <v>0.16499999999999998</v>
      </c>
      <c r="E143" s="7">
        <f t="shared" si="8"/>
        <v>3.2999999999999995E-3</v>
      </c>
      <c r="F143" s="7">
        <f t="shared" si="9"/>
        <v>0.16169999999999998</v>
      </c>
    </row>
    <row r="144" spans="1:6" x14ac:dyDescent="0.35">
      <c r="A144" s="40"/>
      <c r="B144" s="5" t="s">
        <v>593</v>
      </c>
      <c r="C144" s="7">
        <v>0.19500000000000001</v>
      </c>
      <c r="D144" s="7">
        <f t="shared" si="7"/>
        <v>0.15000000000000002</v>
      </c>
      <c r="E144" s="7">
        <f t="shared" si="8"/>
        <v>3.0000000000000005E-3</v>
      </c>
      <c r="F144" s="7">
        <f t="shared" si="9"/>
        <v>0.14700000000000002</v>
      </c>
    </row>
    <row r="145" spans="1:6" x14ac:dyDescent="0.35">
      <c r="A145" s="40"/>
      <c r="B145" s="5" t="s">
        <v>594</v>
      </c>
      <c r="C145" s="7">
        <v>0.19500000000000001</v>
      </c>
      <c r="D145" s="7">
        <f t="shared" si="7"/>
        <v>0.15000000000000002</v>
      </c>
      <c r="E145" s="7">
        <f t="shared" si="8"/>
        <v>3.0000000000000005E-3</v>
      </c>
      <c r="F145" s="7">
        <f t="shared" si="9"/>
        <v>0.14700000000000002</v>
      </c>
    </row>
    <row r="146" spans="1:6" x14ac:dyDescent="0.35">
      <c r="A146" s="40"/>
      <c r="B146" s="5" t="s">
        <v>557</v>
      </c>
      <c r="C146" s="7">
        <v>0.1</v>
      </c>
      <c r="D146" s="7">
        <f t="shared" si="7"/>
        <v>5.5000000000000007E-2</v>
      </c>
      <c r="E146" s="7">
        <f t="shared" si="8"/>
        <v>1.1000000000000001E-3</v>
      </c>
      <c r="F146" s="7">
        <f t="shared" si="9"/>
        <v>5.390000000000001E-2</v>
      </c>
    </row>
    <row r="147" spans="1:6" x14ac:dyDescent="0.35">
      <c r="A147" s="40"/>
      <c r="B147" s="5" t="s">
        <v>560</v>
      </c>
      <c r="C147" s="7">
        <v>0.02</v>
      </c>
      <c r="D147" s="7" t="s">
        <v>20</v>
      </c>
      <c r="E147" s="7" t="s">
        <v>20</v>
      </c>
      <c r="F147" s="7" t="s">
        <v>20</v>
      </c>
    </row>
    <row r="148" spans="1:6" x14ac:dyDescent="0.35">
      <c r="A148" s="40" t="s">
        <v>595</v>
      </c>
      <c r="B148" s="11" t="s">
        <v>553</v>
      </c>
      <c r="C148" s="7">
        <v>0</v>
      </c>
      <c r="D148" s="7" t="s">
        <v>20</v>
      </c>
      <c r="E148" s="7" t="s">
        <v>20</v>
      </c>
      <c r="F148" s="7" t="s">
        <v>20</v>
      </c>
    </row>
    <row r="149" spans="1:6" x14ac:dyDescent="0.35">
      <c r="A149" s="40"/>
      <c r="B149" s="11" t="s">
        <v>554</v>
      </c>
      <c r="C149" s="7">
        <v>0.18</v>
      </c>
      <c r="D149" s="7">
        <f t="shared" si="7"/>
        <v>0.13500000000000001</v>
      </c>
      <c r="E149" s="7">
        <f t="shared" si="8"/>
        <v>2.7000000000000001E-3</v>
      </c>
      <c r="F149" s="7">
        <f t="shared" si="9"/>
        <v>0.1323</v>
      </c>
    </row>
    <row r="150" spans="1:6" x14ac:dyDescent="0.35">
      <c r="A150" s="40"/>
      <c r="B150" s="11" t="s">
        <v>555</v>
      </c>
      <c r="C150" s="7">
        <v>0.28999999999999998</v>
      </c>
      <c r="D150" s="7">
        <f t="shared" si="7"/>
        <v>0.245</v>
      </c>
      <c r="E150" s="7">
        <f t="shared" si="8"/>
        <v>4.8999999999999998E-3</v>
      </c>
      <c r="F150" s="7">
        <f t="shared" si="9"/>
        <v>0.24010000000000001</v>
      </c>
    </row>
    <row r="151" spans="1:6" x14ac:dyDescent="0.35">
      <c r="A151" s="40"/>
      <c r="B151" s="11" t="s">
        <v>556</v>
      </c>
      <c r="C151" s="7">
        <v>7.0000000000000007E-2</v>
      </c>
      <c r="D151" s="7">
        <f t="shared" si="7"/>
        <v>2.5000000000000008E-2</v>
      </c>
      <c r="E151" s="7">
        <f t="shared" si="8"/>
        <v>5.0000000000000023E-4</v>
      </c>
      <c r="F151" s="7">
        <f t="shared" si="9"/>
        <v>2.4500000000000008E-2</v>
      </c>
    </row>
    <row r="152" spans="1:6" x14ac:dyDescent="0.35">
      <c r="A152" s="40"/>
      <c r="B152" s="11" t="s">
        <v>557</v>
      </c>
      <c r="C152" s="7">
        <v>0.18</v>
      </c>
      <c r="D152" s="7">
        <f t="shared" si="7"/>
        <v>0.13500000000000001</v>
      </c>
      <c r="E152" s="7">
        <f t="shared" si="8"/>
        <v>2.7000000000000001E-3</v>
      </c>
      <c r="F152" s="7">
        <f t="shared" si="9"/>
        <v>0.1323</v>
      </c>
    </row>
    <row r="153" spans="1:6" x14ac:dyDescent="0.35">
      <c r="A153" s="40"/>
      <c r="B153" s="11" t="s">
        <v>558</v>
      </c>
      <c r="C153" s="7">
        <v>0.18</v>
      </c>
      <c r="D153" s="7">
        <f t="shared" si="7"/>
        <v>0.13500000000000001</v>
      </c>
      <c r="E153" s="7">
        <f t="shared" si="8"/>
        <v>2.7000000000000001E-3</v>
      </c>
      <c r="F153" s="7">
        <f t="shared" si="9"/>
        <v>0.1323</v>
      </c>
    </row>
    <row r="154" spans="1:6" x14ac:dyDescent="0.35">
      <c r="A154" s="40"/>
      <c r="B154" s="11" t="s">
        <v>559</v>
      </c>
      <c r="C154" s="7">
        <v>0</v>
      </c>
      <c r="D154" s="7" t="s">
        <v>20</v>
      </c>
      <c r="E154" s="7" t="s">
        <v>20</v>
      </c>
      <c r="F154" s="7" t="s">
        <v>20</v>
      </c>
    </row>
    <row r="155" spans="1:6" x14ac:dyDescent="0.35">
      <c r="A155" s="40"/>
      <c r="B155" s="11" t="s">
        <v>560</v>
      </c>
      <c r="C155" s="7">
        <v>0.09</v>
      </c>
      <c r="D155" s="7">
        <f t="shared" si="7"/>
        <v>4.4999999999999998E-2</v>
      </c>
      <c r="E155" s="7">
        <f t="shared" si="8"/>
        <v>8.9999999999999998E-4</v>
      </c>
      <c r="F155" s="7">
        <f t="shared" si="9"/>
        <v>4.41E-2</v>
      </c>
    </row>
    <row r="156" spans="1:6" x14ac:dyDescent="0.35">
      <c r="A156" s="40"/>
      <c r="B156" s="11" t="s">
        <v>561</v>
      </c>
      <c r="C156" s="7">
        <v>0</v>
      </c>
      <c r="D156" s="7" t="s">
        <v>20</v>
      </c>
      <c r="E156" s="7" t="s">
        <v>20</v>
      </c>
      <c r="F156" s="7" t="s">
        <v>20</v>
      </c>
    </row>
    <row r="157" spans="1:6" x14ac:dyDescent="0.35">
      <c r="A157" s="40"/>
      <c r="B157" s="11" t="s">
        <v>562</v>
      </c>
      <c r="C157" s="7">
        <v>0.05</v>
      </c>
      <c r="D157" s="7" t="s">
        <v>20</v>
      </c>
      <c r="E157" s="7" t="s">
        <v>20</v>
      </c>
      <c r="F157" s="7" t="s">
        <v>20</v>
      </c>
    </row>
    <row r="158" spans="1:6" x14ac:dyDescent="0.35">
      <c r="A158" s="44" t="s">
        <v>128</v>
      </c>
      <c r="B158" s="5" t="s">
        <v>92</v>
      </c>
      <c r="C158" s="6">
        <v>0.27</v>
      </c>
      <c r="D158" s="7">
        <f t="shared" si="7"/>
        <v>0.22500000000000003</v>
      </c>
      <c r="E158" s="7">
        <f t="shared" si="8"/>
        <v>4.5000000000000005E-3</v>
      </c>
      <c r="F158" s="7">
        <f t="shared" si="9"/>
        <v>0.22050000000000003</v>
      </c>
    </row>
    <row r="159" spans="1:6" x14ac:dyDescent="0.35">
      <c r="A159" s="45"/>
      <c r="B159" s="5" t="s">
        <v>93</v>
      </c>
      <c r="C159" s="6">
        <v>0.27</v>
      </c>
      <c r="D159" s="7">
        <f t="shared" si="7"/>
        <v>0.22500000000000003</v>
      </c>
      <c r="E159" s="7">
        <f t="shared" si="8"/>
        <v>4.5000000000000005E-3</v>
      </c>
      <c r="F159" s="7">
        <f t="shared" si="9"/>
        <v>0.22050000000000003</v>
      </c>
    </row>
    <row r="160" spans="1:6" x14ac:dyDescent="0.35">
      <c r="A160" s="24" t="s">
        <v>129</v>
      </c>
      <c r="B160" s="5" t="s">
        <v>100</v>
      </c>
      <c r="C160" s="6">
        <v>0.28000000000000003</v>
      </c>
      <c r="D160" s="7">
        <f t="shared" si="7"/>
        <v>0.23500000000000004</v>
      </c>
      <c r="E160" s="7">
        <f t="shared" si="8"/>
        <v>4.7000000000000011E-3</v>
      </c>
      <c r="F160" s="7">
        <f t="shared" si="9"/>
        <v>0.23030000000000003</v>
      </c>
    </row>
    <row r="161" spans="1:6" x14ac:dyDescent="0.35">
      <c r="A161" s="2" t="s">
        <v>133</v>
      </c>
      <c r="B161" s="2" t="s">
        <v>1</v>
      </c>
      <c r="C161" s="3" t="s">
        <v>2</v>
      </c>
      <c r="D161" s="4" t="s">
        <v>4</v>
      </c>
      <c r="E161" s="4" t="s">
        <v>5</v>
      </c>
      <c r="F161" s="4" t="s">
        <v>6</v>
      </c>
    </row>
    <row r="162" spans="1:6" x14ac:dyDescent="0.35">
      <c r="A162" s="40" t="s">
        <v>596</v>
      </c>
      <c r="B162" s="5" t="s">
        <v>590</v>
      </c>
      <c r="C162" s="7">
        <v>0.19500000000000001</v>
      </c>
      <c r="D162" s="7">
        <f t="shared" si="7"/>
        <v>0.15000000000000002</v>
      </c>
      <c r="E162" s="7">
        <f t="shared" si="8"/>
        <v>3.0000000000000005E-3</v>
      </c>
      <c r="F162" s="7">
        <f t="shared" si="9"/>
        <v>0.14700000000000002</v>
      </c>
    </row>
    <row r="163" spans="1:6" x14ac:dyDescent="0.35">
      <c r="A163" s="40"/>
      <c r="B163" s="5" t="s">
        <v>591</v>
      </c>
      <c r="C163" s="7">
        <v>0.19500000000000001</v>
      </c>
      <c r="D163" s="7">
        <f t="shared" si="7"/>
        <v>0.15000000000000002</v>
      </c>
      <c r="E163" s="7">
        <f t="shared" si="8"/>
        <v>3.0000000000000005E-3</v>
      </c>
      <c r="F163" s="7">
        <f t="shared" si="9"/>
        <v>0.14700000000000002</v>
      </c>
    </row>
    <row r="164" spans="1:6" x14ac:dyDescent="0.35">
      <c r="A164" s="40"/>
      <c r="B164" s="5" t="s">
        <v>597</v>
      </c>
      <c r="C164" s="7">
        <v>0.19500000000000001</v>
      </c>
      <c r="D164" s="7">
        <f t="shared" si="7"/>
        <v>0.15000000000000002</v>
      </c>
      <c r="E164" s="7">
        <f t="shared" si="8"/>
        <v>3.0000000000000005E-3</v>
      </c>
      <c r="F164" s="7">
        <f t="shared" si="9"/>
        <v>0.14700000000000002</v>
      </c>
    </row>
    <row r="165" spans="1:6" x14ac:dyDescent="0.35">
      <c r="A165" s="40"/>
      <c r="B165" s="5" t="s">
        <v>592</v>
      </c>
      <c r="C165" s="7">
        <v>0.19500000000000001</v>
      </c>
      <c r="D165" s="7">
        <f t="shared" si="7"/>
        <v>0.15000000000000002</v>
      </c>
      <c r="E165" s="7">
        <f t="shared" si="8"/>
        <v>3.0000000000000005E-3</v>
      </c>
      <c r="F165" s="7">
        <f t="shared" si="9"/>
        <v>0.14700000000000002</v>
      </c>
    </row>
    <row r="166" spans="1:6" x14ac:dyDescent="0.35">
      <c r="A166" s="40"/>
      <c r="B166" s="5" t="s">
        <v>554</v>
      </c>
      <c r="C166" s="7">
        <v>0.11</v>
      </c>
      <c r="D166" s="7">
        <f t="shared" si="7"/>
        <v>6.5000000000000002E-2</v>
      </c>
      <c r="E166" s="7">
        <f t="shared" si="8"/>
        <v>1.3000000000000002E-3</v>
      </c>
      <c r="F166" s="7">
        <f t="shared" si="9"/>
        <v>6.3700000000000007E-2</v>
      </c>
    </row>
    <row r="167" spans="1:6" x14ac:dyDescent="0.35">
      <c r="A167" s="40"/>
      <c r="B167" s="5" t="s">
        <v>555</v>
      </c>
      <c r="C167" s="7">
        <v>0.11</v>
      </c>
      <c r="D167" s="7">
        <f t="shared" si="7"/>
        <v>6.5000000000000002E-2</v>
      </c>
      <c r="E167" s="7">
        <f t="shared" si="8"/>
        <v>1.3000000000000002E-3</v>
      </c>
      <c r="F167" s="7">
        <f t="shared" si="9"/>
        <v>6.3700000000000007E-2</v>
      </c>
    </row>
    <row r="168" spans="1:6" x14ac:dyDescent="0.35">
      <c r="A168" s="40"/>
      <c r="B168" s="5" t="s">
        <v>593</v>
      </c>
      <c r="C168" s="7">
        <v>0.19500000000000001</v>
      </c>
      <c r="D168" s="7">
        <f t="shared" si="7"/>
        <v>0.15000000000000002</v>
      </c>
      <c r="E168" s="7">
        <f t="shared" si="8"/>
        <v>3.0000000000000005E-3</v>
      </c>
      <c r="F168" s="7">
        <f t="shared" si="9"/>
        <v>0.14700000000000002</v>
      </c>
    </row>
    <row r="169" spans="1:6" x14ac:dyDescent="0.35">
      <c r="A169" s="40"/>
      <c r="B169" s="5" t="s">
        <v>556</v>
      </c>
      <c r="C169" s="7">
        <v>0.11</v>
      </c>
      <c r="D169" s="7">
        <f t="shared" si="7"/>
        <v>6.5000000000000002E-2</v>
      </c>
      <c r="E169" s="7">
        <f t="shared" si="8"/>
        <v>1.3000000000000002E-3</v>
      </c>
      <c r="F169" s="7">
        <f t="shared" si="9"/>
        <v>6.3700000000000007E-2</v>
      </c>
    </row>
    <row r="170" spans="1:6" x14ac:dyDescent="0.35">
      <c r="A170" s="40"/>
      <c r="B170" s="5" t="s">
        <v>598</v>
      </c>
      <c r="C170" s="7">
        <v>0.19500000000000001</v>
      </c>
      <c r="D170" s="7">
        <f t="shared" si="7"/>
        <v>0.15000000000000002</v>
      </c>
      <c r="E170" s="7">
        <f t="shared" si="8"/>
        <v>3.0000000000000005E-3</v>
      </c>
      <c r="F170" s="7">
        <f t="shared" si="9"/>
        <v>0.14700000000000002</v>
      </c>
    </row>
    <row r="171" spans="1:6" x14ac:dyDescent="0.35">
      <c r="A171" s="40"/>
      <c r="B171" s="5" t="s">
        <v>599</v>
      </c>
      <c r="C171" s="7">
        <v>0.19500000000000001</v>
      </c>
      <c r="D171" s="7">
        <f t="shared" si="7"/>
        <v>0.15000000000000002</v>
      </c>
      <c r="E171" s="7">
        <f t="shared" si="8"/>
        <v>3.0000000000000005E-3</v>
      </c>
      <c r="F171" s="7">
        <f t="shared" si="9"/>
        <v>0.14700000000000002</v>
      </c>
    </row>
    <row r="172" spans="1:6" x14ac:dyDescent="0.35">
      <c r="A172" s="40" t="s">
        <v>600</v>
      </c>
      <c r="B172" s="11" t="s">
        <v>553</v>
      </c>
      <c r="C172" s="7">
        <v>0</v>
      </c>
      <c r="D172" s="7" t="s">
        <v>20</v>
      </c>
      <c r="E172" s="7" t="s">
        <v>20</v>
      </c>
      <c r="F172" s="7" t="s">
        <v>20</v>
      </c>
    </row>
    <row r="173" spans="1:6" x14ac:dyDescent="0.35">
      <c r="A173" s="40"/>
      <c r="B173" s="11" t="s">
        <v>554</v>
      </c>
      <c r="C173" s="7">
        <v>0.3</v>
      </c>
      <c r="D173" s="7">
        <f t="shared" si="7"/>
        <v>0.255</v>
      </c>
      <c r="E173" s="7">
        <f t="shared" si="8"/>
        <v>5.1000000000000004E-3</v>
      </c>
      <c r="F173" s="7">
        <f t="shared" si="9"/>
        <v>0.24990000000000001</v>
      </c>
    </row>
    <row r="174" spans="1:6" x14ac:dyDescent="0.35">
      <c r="A174" s="40"/>
      <c r="B174" s="11" t="s">
        <v>555</v>
      </c>
      <c r="C174" s="7">
        <v>0.3</v>
      </c>
      <c r="D174" s="7">
        <f t="shared" si="7"/>
        <v>0.255</v>
      </c>
      <c r="E174" s="7">
        <f t="shared" si="8"/>
        <v>5.1000000000000004E-3</v>
      </c>
      <c r="F174" s="7">
        <f t="shared" si="9"/>
        <v>0.24990000000000001</v>
      </c>
    </row>
    <row r="175" spans="1:6" x14ac:dyDescent="0.35">
      <c r="A175" s="40"/>
      <c r="B175" s="11" t="s">
        <v>556</v>
      </c>
      <c r="C175" s="7">
        <v>0.26</v>
      </c>
      <c r="D175" s="7">
        <f t="shared" si="7"/>
        <v>0.21500000000000002</v>
      </c>
      <c r="E175" s="7">
        <f t="shared" si="8"/>
        <v>4.3000000000000009E-3</v>
      </c>
      <c r="F175" s="7">
        <f t="shared" si="9"/>
        <v>0.21070000000000003</v>
      </c>
    </row>
    <row r="176" spans="1:6" x14ac:dyDescent="0.35">
      <c r="A176" s="40"/>
      <c r="B176" s="11" t="s">
        <v>557</v>
      </c>
      <c r="C176" s="7">
        <v>0.18</v>
      </c>
      <c r="D176" s="7">
        <f t="shared" si="7"/>
        <v>0.13500000000000001</v>
      </c>
      <c r="E176" s="7">
        <f t="shared" si="8"/>
        <v>2.7000000000000001E-3</v>
      </c>
      <c r="F176" s="7">
        <f t="shared" si="9"/>
        <v>0.1323</v>
      </c>
    </row>
    <row r="177" spans="1:6" x14ac:dyDescent="0.35">
      <c r="A177" s="40"/>
      <c r="B177" s="11" t="s">
        <v>558</v>
      </c>
      <c r="C177" s="7">
        <v>0.09</v>
      </c>
      <c r="D177" s="7">
        <f t="shared" si="7"/>
        <v>4.4999999999999998E-2</v>
      </c>
      <c r="E177" s="7">
        <f t="shared" si="8"/>
        <v>8.9999999999999998E-4</v>
      </c>
      <c r="F177" s="7">
        <f t="shared" si="9"/>
        <v>4.41E-2</v>
      </c>
    </row>
    <row r="178" spans="1:6" x14ac:dyDescent="0.35">
      <c r="A178" s="40"/>
      <c r="B178" s="11" t="s">
        <v>559</v>
      </c>
      <c r="C178" s="7">
        <v>0</v>
      </c>
      <c r="D178" s="7" t="s">
        <v>20</v>
      </c>
      <c r="E178" s="7" t="s">
        <v>20</v>
      </c>
      <c r="F178" s="7" t="s">
        <v>20</v>
      </c>
    </row>
    <row r="179" spans="1:6" x14ac:dyDescent="0.35">
      <c r="A179" s="40"/>
      <c r="B179" s="11" t="s">
        <v>560</v>
      </c>
      <c r="C179" s="7">
        <v>0.14000000000000001</v>
      </c>
      <c r="D179" s="7">
        <f t="shared" si="7"/>
        <v>9.5000000000000015E-2</v>
      </c>
      <c r="E179" s="7">
        <f t="shared" si="8"/>
        <v>1.9000000000000004E-3</v>
      </c>
      <c r="F179" s="7">
        <f t="shared" si="9"/>
        <v>9.3100000000000016E-2</v>
      </c>
    </row>
    <row r="180" spans="1:6" x14ac:dyDescent="0.35">
      <c r="A180" s="40"/>
      <c r="B180" s="11" t="s">
        <v>561</v>
      </c>
      <c r="C180" s="7">
        <v>0.13</v>
      </c>
      <c r="D180" s="7">
        <f t="shared" si="7"/>
        <v>8.5000000000000006E-2</v>
      </c>
      <c r="E180" s="7">
        <f t="shared" si="8"/>
        <v>1.7000000000000001E-3</v>
      </c>
      <c r="F180" s="7">
        <f t="shared" si="9"/>
        <v>8.3300000000000013E-2</v>
      </c>
    </row>
    <row r="181" spans="1:6" x14ac:dyDescent="0.35">
      <c r="A181" s="40"/>
      <c r="B181" s="11" t="s">
        <v>562</v>
      </c>
      <c r="C181" s="7">
        <v>0</v>
      </c>
      <c r="D181" s="7" t="s">
        <v>20</v>
      </c>
      <c r="E181" s="7" t="s">
        <v>20</v>
      </c>
      <c r="F181" s="7" t="s">
        <v>20</v>
      </c>
    </row>
    <row r="182" spans="1:6" ht="36" x14ac:dyDescent="0.35">
      <c r="A182" s="41" t="s">
        <v>137</v>
      </c>
      <c r="B182" s="5" t="s">
        <v>563</v>
      </c>
      <c r="C182" s="6">
        <v>0.34</v>
      </c>
      <c r="D182" s="7">
        <f t="shared" si="7"/>
        <v>0.29500000000000004</v>
      </c>
      <c r="E182" s="7">
        <f t="shared" si="8"/>
        <v>5.9000000000000007E-3</v>
      </c>
      <c r="F182" s="7">
        <f t="shared" si="9"/>
        <v>0.28910000000000002</v>
      </c>
    </row>
    <row r="183" spans="1:6" ht="48" x14ac:dyDescent="0.35">
      <c r="A183" s="42"/>
      <c r="B183" s="5" t="s">
        <v>564</v>
      </c>
      <c r="C183" s="6">
        <v>0.34</v>
      </c>
      <c r="D183" s="7">
        <f t="shared" si="7"/>
        <v>0.29500000000000004</v>
      </c>
      <c r="E183" s="7">
        <f t="shared" si="8"/>
        <v>5.9000000000000007E-3</v>
      </c>
      <c r="F183" s="7">
        <f t="shared" si="9"/>
        <v>0.28910000000000002</v>
      </c>
    </row>
    <row r="184" spans="1:6" x14ac:dyDescent="0.35">
      <c r="A184" s="42"/>
      <c r="B184" s="5" t="s">
        <v>565</v>
      </c>
      <c r="C184" s="6">
        <v>0.34</v>
      </c>
      <c r="D184" s="7">
        <f t="shared" si="7"/>
        <v>0.29500000000000004</v>
      </c>
      <c r="E184" s="7">
        <f t="shared" si="8"/>
        <v>5.9000000000000007E-3</v>
      </c>
      <c r="F184" s="7">
        <f t="shared" si="9"/>
        <v>0.28910000000000002</v>
      </c>
    </row>
    <row r="185" spans="1:6" ht="36" x14ac:dyDescent="0.35">
      <c r="A185" s="43"/>
      <c r="B185" s="5" t="s">
        <v>566</v>
      </c>
      <c r="C185" s="6">
        <v>0.34</v>
      </c>
      <c r="D185" s="7">
        <f t="shared" si="7"/>
        <v>0.29500000000000004</v>
      </c>
      <c r="E185" s="7">
        <f t="shared" si="8"/>
        <v>5.9000000000000007E-3</v>
      </c>
      <c r="F185" s="7">
        <f t="shared" si="9"/>
        <v>0.28910000000000002</v>
      </c>
    </row>
    <row r="186" spans="1:6" ht="36" x14ac:dyDescent="0.35">
      <c r="A186" s="41" t="s">
        <v>139</v>
      </c>
      <c r="B186" s="5" t="s">
        <v>563</v>
      </c>
      <c r="C186" s="6">
        <v>0.34</v>
      </c>
      <c r="D186" s="7">
        <f t="shared" si="7"/>
        <v>0.29500000000000004</v>
      </c>
      <c r="E186" s="7">
        <f t="shared" si="8"/>
        <v>5.9000000000000007E-3</v>
      </c>
      <c r="F186" s="7">
        <f t="shared" si="9"/>
        <v>0.28910000000000002</v>
      </c>
    </row>
    <row r="187" spans="1:6" ht="48" x14ac:dyDescent="0.35">
      <c r="A187" s="42"/>
      <c r="B187" s="5" t="s">
        <v>564</v>
      </c>
      <c r="C187" s="6">
        <v>0.34</v>
      </c>
      <c r="D187" s="7">
        <f t="shared" si="7"/>
        <v>0.29500000000000004</v>
      </c>
      <c r="E187" s="7">
        <f t="shared" si="8"/>
        <v>5.9000000000000007E-3</v>
      </c>
      <c r="F187" s="7">
        <f t="shared" si="9"/>
        <v>0.28910000000000002</v>
      </c>
    </row>
    <row r="188" spans="1:6" x14ac:dyDescent="0.35">
      <c r="A188" s="42"/>
      <c r="B188" s="5" t="s">
        <v>565</v>
      </c>
      <c r="C188" s="6">
        <v>0.34</v>
      </c>
      <c r="D188" s="7">
        <f t="shared" si="7"/>
        <v>0.29500000000000004</v>
      </c>
      <c r="E188" s="7">
        <f t="shared" si="8"/>
        <v>5.9000000000000007E-3</v>
      </c>
      <c r="F188" s="7">
        <f t="shared" si="9"/>
        <v>0.28910000000000002</v>
      </c>
    </row>
    <row r="189" spans="1:6" ht="36" x14ac:dyDescent="0.35">
      <c r="A189" s="43"/>
      <c r="B189" s="5" t="s">
        <v>566</v>
      </c>
      <c r="C189" s="6">
        <v>0.34</v>
      </c>
      <c r="D189" s="7">
        <f t="shared" si="7"/>
        <v>0.29500000000000004</v>
      </c>
      <c r="E189" s="7">
        <f t="shared" si="8"/>
        <v>5.9000000000000007E-3</v>
      </c>
      <c r="F189" s="7">
        <f t="shared" si="9"/>
        <v>0.28910000000000002</v>
      </c>
    </row>
    <row r="190" spans="1:6" x14ac:dyDescent="0.35">
      <c r="A190" s="41" t="s">
        <v>1237</v>
      </c>
      <c r="B190" s="5" t="s">
        <v>580</v>
      </c>
      <c r="C190" s="6">
        <v>0.19500000000000001</v>
      </c>
      <c r="D190" s="7">
        <f t="shared" si="7"/>
        <v>0.15000000000000002</v>
      </c>
      <c r="E190" s="7">
        <f t="shared" si="8"/>
        <v>3.0000000000000005E-3</v>
      </c>
      <c r="F190" s="7">
        <f t="shared" si="9"/>
        <v>0.14700000000000002</v>
      </c>
    </row>
    <row r="191" spans="1:6" x14ac:dyDescent="0.35">
      <c r="A191" s="43"/>
      <c r="B191" s="5" t="s">
        <v>581</v>
      </c>
      <c r="C191" s="6">
        <v>0.36</v>
      </c>
      <c r="D191" s="7">
        <f t="shared" si="7"/>
        <v>0.315</v>
      </c>
      <c r="E191" s="7">
        <f t="shared" si="8"/>
        <v>6.3E-3</v>
      </c>
      <c r="F191" s="7">
        <f t="shared" si="9"/>
        <v>0.30869999999999997</v>
      </c>
    </row>
    <row r="192" spans="1:6" x14ac:dyDescent="0.35">
      <c r="A192" s="5" t="s">
        <v>134</v>
      </c>
      <c r="B192" s="5" t="s">
        <v>570</v>
      </c>
      <c r="C192" s="6">
        <v>0.25</v>
      </c>
      <c r="D192" s="7">
        <f t="shared" si="7"/>
        <v>0.20500000000000002</v>
      </c>
      <c r="E192" s="7">
        <f t="shared" si="8"/>
        <v>4.1000000000000003E-3</v>
      </c>
      <c r="F192" s="7">
        <f t="shared" si="9"/>
        <v>0.20090000000000002</v>
      </c>
    </row>
    <row r="193" spans="1:6" x14ac:dyDescent="0.35">
      <c r="A193" s="5" t="s">
        <v>135</v>
      </c>
      <c r="B193" s="5" t="s">
        <v>572</v>
      </c>
      <c r="C193" s="6">
        <v>0.25</v>
      </c>
      <c r="D193" s="7">
        <f t="shared" si="7"/>
        <v>0.20500000000000002</v>
      </c>
      <c r="E193" s="7">
        <f t="shared" si="8"/>
        <v>4.1000000000000003E-3</v>
      </c>
      <c r="F193" s="7">
        <f t="shared" si="9"/>
        <v>0.20090000000000002</v>
      </c>
    </row>
    <row r="194" spans="1:6" x14ac:dyDescent="0.35">
      <c r="A194" s="5" t="s">
        <v>601</v>
      </c>
      <c r="B194" s="5" t="s">
        <v>100</v>
      </c>
      <c r="C194" s="6">
        <v>0.26</v>
      </c>
      <c r="D194" s="7">
        <f t="shared" si="7"/>
        <v>0.21500000000000002</v>
      </c>
      <c r="E194" s="7">
        <f t="shared" si="8"/>
        <v>4.3000000000000009E-3</v>
      </c>
      <c r="F194" s="7">
        <f t="shared" si="9"/>
        <v>0.21070000000000003</v>
      </c>
    </row>
    <row r="195" spans="1:6" x14ac:dyDescent="0.35">
      <c r="A195" s="2" t="s">
        <v>141</v>
      </c>
      <c r="B195" s="2" t="s">
        <v>1</v>
      </c>
      <c r="C195" s="3" t="s">
        <v>2</v>
      </c>
      <c r="D195" s="4" t="s">
        <v>4</v>
      </c>
      <c r="E195" s="4" t="s">
        <v>5</v>
      </c>
      <c r="F195" s="4" t="s">
        <v>6</v>
      </c>
    </row>
    <row r="196" spans="1:6" x14ac:dyDescent="0.35">
      <c r="A196" s="5" t="s">
        <v>602</v>
      </c>
      <c r="B196" s="5" t="s">
        <v>603</v>
      </c>
      <c r="C196" s="6">
        <v>0.2</v>
      </c>
      <c r="D196" s="7">
        <f t="shared" si="7"/>
        <v>0.15500000000000003</v>
      </c>
      <c r="E196" s="7">
        <f t="shared" si="8"/>
        <v>3.1000000000000008E-3</v>
      </c>
      <c r="F196" s="7">
        <f t="shared" si="9"/>
        <v>0.15190000000000003</v>
      </c>
    </row>
    <row r="197" spans="1:6" x14ac:dyDescent="0.35">
      <c r="A197" s="5" t="s">
        <v>604</v>
      </c>
      <c r="B197" s="5" t="s">
        <v>605</v>
      </c>
      <c r="C197" s="6">
        <v>0.2</v>
      </c>
      <c r="D197" s="7">
        <f t="shared" si="7"/>
        <v>0.15500000000000003</v>
      </c>
      <c r="E197" s="7">
        <f t="shared" si="8"/>
        <v>3.1000000000000008E-3</v>
      </c>
      <c r="F197" s="7">
        <f t="shared" si="9"/>
        <v>0.15190000000000003</v>
      </c>
    </row>
    <row r="198" spans="1:6" x14ac:dyDescent="0.35">
      <c r="A198" s="40" t="s">
        <v>606</v>
      </c>
      <c r="B198" s="5" t="s">
        <v>590</v>
      </c>
      <c r="C198" s="6">
        <v>0.19500000000000001</v>
      </c>
      <c r="D198" s="7">
        <f t="shared" si="7"/>
        <v>0.15000000000000002</v>
      </c>
      <c r="E198" s="7">
        <f t="shared" si="8"/>
        <v>3.0000000000000005E-3</v>
      </c>
      <c r="F198" s="7">
        <f t="shared" si="9"/>
        <v>0.14700000000000002</v>
      </c>
    </row>
    <row r="199" spans="1:6" x14ac:dyDescent="0.35">
      <c r="A199" s="40"/>
      <c r="B199" s="5" t="s">
        <v>591</v>
      </c>
      <c r="C199" s="6">
        <v>0.19500000000000001</v>
      </c>
      <c r="D199" s="7">
        <f t="shared" ref="D199:D261" si="10">C199-(4.5%)</f>
        <v>0.15000000000000002</v>
      </c>
      <c r="E199" s="7">
        <f t="shared" ref="E199:E261" si="11">D199*2%</f>
        <v>3.0000000000000005E-3</v>
      </c>
      <c r="F199" s="7">
        <f t="shared" ref="F199:F261" si="12">D199-E199</f>
        <v>0.14700000000000002</v>
      </c>
    </row>
    <row r="200" spans="1:6" x14ac:dyDescent="0.35">
      <c r="A200" s="40"/>
      <c r="B200" s="5" t="s">
        <v>597</v>
      </c>
      <c r="C200" s="6">
        <v>0.19500000000000001</v>
      </c>
      <c r="D200" s="7">
        <f t="shared" si="10"/>
        <v>0.15000000000000002</v>
      </c>
      <c r="E200" s="7">
        <f t="shared" si="11"/>
        <v>3.0000000000000005E-3</v>
      </c>
      <c r="F200" s="7">
        <f t="shared" si="12"/>
        <v>0.14700000000000002</v>
      </c>
    </row>
    <row r="201" spans="1:6" x14ac:dyDescent="0.35">
      <c r="A201" s="40"/>
      <c r="B201" s="5" t="s">
        <v>592</v>
      </c>
      <c r="C201" s="6">
        <v>0.19500000000000001</v>
      </c>
      <c r="D201" s="7">
        <f t="shared" si="10"/>
        <v>0.15000000000000002</v>
      </c>
      <c r="E201" s="7">
        <f t="shared" si="11"/>
        <v>3.0000000000000005E-3</v>
      </c>
      <c r="F201" s="7">
        <f t="shared" si="12"/>
        <v>0.14700000000000002</v>
      </c>
    </row>
    <row r="202" spans="1:6" x14ac:dyDescent="0.35">
      <c r="A202" s="40"/>
      <c r="B202" s="5" t="s">
        <v>607</v>
      </c>
      <c r="C202" s="6">
        <v>0.19500000000000001</v>
      </c>
      <c r="D202" s="7">
        <f t="shared" si="10"/>
        <v>0.15000000000000002</v>
      </c>
      <c r="E202" s="7">
        <f t="shared" si="11"/>
        <v>3.0000000000000005E-3</v>
      </c>
      <c r="F202" s="7">
        <f t="shared" si="12"/>
        <v>0.14700000000000002</v>
      </c>
    </row>
    <row r="203" spans="1:6" x14ac:dyDescent="0.35">
      <c r="A203" s="40"/>
      <c r="B203" s="5" t="s">
        <v>608</v>
      </c>
      <c r="C203" s="6">
        <v>0.19500000000000001</v>
      </c>
      <c r="D203" s="7">
        <f t="shared" si="10"/>
        <v>0.15000000000000002</v>
      </c>
      <c r="E203" s="7">
        <f t="shared" si="11"/>
        <v>3.0000000000000005E-3</v>
      </c>
      <c r="F203" s="7">
        <f t="shared" si="12"/>
        <v>0.14700000000000002</v>
      </c>
    </row>
    <row r="204" spans="1:6" x14ac:dyDescent="0.35">
      <c r="A204" s="40"/>
      <c r="B204" s="5" t="s">
        <v>593</v>
      </c>
      <c r="C204" s="6">
        <v>0.19500000000000001</v>
      </c>
      <c r="D204" s="7">
        <f t="shared" si="10"/>
        <v>0.15000000000000002</v>
      </c>
      <c r="E204" s="7">
        <f t="shared" si="11"/>
        <v>3.0000000000000005E-3</v>
      </c>
      <c r="F204" s="7">
        <f t="shared" si="12"/>
        <v>0.14700000000000002</v>
      </c>
    </row>
    <row r="205" spans="1:6" x14ac:dyDescent="0.35">
      <c r="A205" s="40"/>
      <c r="B205" s="5" t="s">
        <v>594</v>
      </c>
      <c r="C205" s="6">
        <v>0.19500000000000001</v>
      </c>
      <c r="D205" s="7">
        <f t="shared" si="10"/>
        <v>0.15000000000000002</v>
      </c>
      <c r="E205" s="7">
        <f t="shared" si="11"/>
        <v>3.0000000000000005E-3</v>
      </c>
      <c r="F205" s="7">
        <f t="shared" si="12"/>
        <v>0.14700000000000002</v>
      </c>
    </row>
    <row r="206" spans="1:6" x14ac:dyDescent="0.35">
      <c r="A206" s="40"/>
      <c r="B206" s="5" t="s">
        <v>598</v>
      </c>
      <c r="C206" s="6">
        <v>0.19500000000000001</v>
      </c>
      <c r="D206" s="7">
        <f t="shared" si="10"/>
        <v>0.15000000000000002</v>
      </c>
      <c r="E206" s="7">
        <f t="shared" si="11"/>
        <v>3.0000000000000005E-3</v>
      </c>
      <c r="F206" s="7">
        <f t="shared" si="12"/>
        <v>0.14700000000000002</v>
      </c>
    </row>
    <row r="207" spans="1:6" x14ac:dyDescent="0.35">
      <c r="A207" s="40"/>
      <c r="B207" s="5" t="s">
        <v>599</v>
      </c>
      <c r="C207" s="6">
        <v>0.19500000000000001</v>
      </c>
      <c r="D207" s="7">
        <f t="shared" si="10"/>
        <v>0.15000000000000002</v>
      </c>
      <c r="E207" s="7">
        <f t="shared" si="11"/>
        <v>3.0000000000000005E-3</v>
      </c>
      <c r="F207" s="7">
        <f t="shared" si="12"/>
        <v>0.14700000000000002</v>
      </c>
    </row>
    <row r="208" spans="1:6" x14ac:dyDescent="0.35">
      <c r="A208" s="40" t="s">
        <v>609</v>
      </c>
      <c r="B208" s="11" t="s">
        <v>553</v>
      </c>
      <c r="C208" s="7">
        <v>0.17</v>
      </c>
      <c r="D208" s="7">
        <f t="shared" si="10"/>
        <v>0.125</v>
      </c>
      <c r="E208" s="7">
        <f t="shared" si="11"/>
        <v>2.5000000000000001E-3</v>
      </c>
      <c r="F208" s="7">
        <f t="shared" si="12"/>
        <v>0.1225</v>
      </c>
    </row>
    <row r="209" spans="1:6" x14ac:dyDescent="0.35">
      <c r="A209" s="40"/>
      <c r="B209" s="11" t="s">
        <v>554</v>
      </c>
      <c r="C209" s="7">
        <v>0.27</v>
      </c>
      <c r="D209" s="7">
        <f t="shared" si="10"/>
        <v>0.22500000000000003</v>
      </c>
      <c r="E209" s="7">
        <f t="shared" si="11"/>
        <v>4.5000000000000005E-3</v>
      </c>
      <c r="F209" s="7">
        <f t="shared" si="12"/>
        <v>0.22050000000000003</v>
      </c>
    </row>
    <row r="210" spans="1:6" x14ac:dyDescent="0.35">
      <c r="A210" s="40"/>
      <c r="B210" s="11" t="s">
        <v>555</v>
      </c>
      <c r="C210" s="7">
        <v>0.14000000000000001</v>
      </c>
      <c r="D210" s="7">
        <f t="shared" si="10"/>
        <v>9.5000000000000015E-2</v>
      </c>
      <c r="E210" s="7">
        <f t="shared" si="11"/>
        <v>1.9000000000000004E-3</v>
      </c>
      <c r="F210" s="7">
        <f t="shared" si="12"/>
        <v>9.3100000000000016E-2</v>
      </c>
    </row>
    <row r="211" spans="1:6" x14ac:dyDescent="0.35">
      <c r="A211" s="40"/>
      <c r="B211" s="11" t="s">
        <v>556</v>
      </c>
      <c r="C211" s="7">
        <v>0.2</v>
      </c>
      <c r="D211" s="7">
        <f t="shared" si="10"/>
        <v>0.15500000000000003</v>
      </c>
      <c r="E211" s="7">
        <f t="shared" si="11"/>
        <v>3.1000000000000008E-3</v>
      </c>
      <c r="F211" s="7">
        <f t="shared" si="12"/>
        <v>0.15190000000000003</v>
      </c>
    </row>
    <row r="212" spans="1:6" x14ac:dyDescent="0.35">
      <c r="A212" s="40"/>
      <c r="B212" s="11" t="s">
        <v>557</v>
      </c>
      <c r="C212" s="7">
        <v>0.33</v>
      </c>
      <c r="D212" s="7">
        <f t="shared" si="10"/>
        <v>0.28500000000000003</v>
      </c>
      <c r="E212" s="7">
        <f t="shared" si="11"/>
        <v>5.7000000000000011E-3</v>
      </c>
      <c r="F212" s="7">
        <f t="shared" si="12"/>
        <v>0.27930000000000005</v>
      </c>
    </row>
    <row r="213" spans="1:6" x14ac:dyDescent="0.35">
      <c r="A213" s="40"/>
      <c r="B213" s="11" t="s">
        <v>558</v>
      </c>
      <c r="C213" s="7">
        <v>0.01</v>
      </c>
      <c r="D213" s="7" t="s">
        <v>20</v>
      </c>
      <c r="E213" s="7" t="s">
        <v>20</v>
      </c>
      <c r="F213" s="7" t="s">
        <v>20</v>
      </c>
    </row>
    <row r="214" spans="1:6" x14ac:dyDescent="0.35">
      <c r="A214" s="40"/>
      <c r="B214" s="11" t="s">
        <v>559</v>
      </c>
      <c r="C214" s="7">
        <v>0.09</v>
      </c>
      <c r="D214" s="7">
        <f t="shared" si="10"/>
        <v>4.4999999999999998E-2</v>
      </c>
      <c r="E214" s="7">
        <f t="shared" si="11"/>
        <v>8.9999999999999998E-4</v>
      </c>
      <c r="F214" s="7">
        <f t="shared" si="12"/>
        <v>4.41E-2</v>
      </c>
    </row>
    <row r="215" spans="1:6" x14ac:dyDescent="0.35">
      <c r="A215" s="40"/>
      <c r="B215" s="11" t="s">
        <v>560</v>
      </c>
      <c r="C215" s="7">
        <v>0.09</v>
      </c>
      <c r="D215" s="7">
        <f t="shared" si="10"/>
        <v>4.4999999999999998E-2</v>
      </c>
      <c r="E215" s="7">
        <f t="shared" si="11"/>
        <v>8.9999999999999998E-4</v>
      </c>
      <c r="F215" s="7">
        <f t="shared" si="12"/>
        <v>4.41E-2</v>
      </c>
    </row>
    <row r="216" spans="1:6" x14ac:dyDescent="0.35">
      <c r="A216" s="40"/>
      <c r="B216" s="11" t="s">
        <v>561</v>
      </c>
      <c r="C216" s="7">
        <v>0.01</v>
      </c>
      <c r="D216" s="7" t="s">
        <v>20</v>
      </c>
      <c r="E216" s="7" t="s">
        <v>20</v>
      </c>
      <c r="F216" s="7" t="s">
        <v>20</v>
      </c>
    </row>
    <row r="217" spans="1:6" x14ac:dyDescent="0.35">
      <c r="A217" s="40"/>
      <c r="B217" s="11" t="s">
        <v>562</v>
      </c>
      <c r="C217" s="7">
        <v>0.09</v>
      </c>
      <c r="D217" s="7">
        <f t="shared" si="10"/>
        <v>4.4999999999999998E-2</v>
      </c>
      <c r="E217" s="7">
        <f t="shared" si="11"/>
        <v>8.9999999999999998E-4</v>
      </c>
      <c r="F217" s="7">
        <f t="shared" si="12"/>
        <v>4.41E-2</v>
      </c>
    </row>
    <row r="218" spans="1:6" ht="36" x14ac:dyDescent="0.35">
      <c r="A218" s="41" t="s">
        <v>610</v>
      </c>
      <c r="B218" s="5" t="s">
        <v>563</v>
      </c>
      <c r="C218" s="6">
        <v>0.16</v>
      </c>
      <c r="D218" s="7">
        <f t="shared" si="10"/>
        <v>0.115</v>
      </c>
      <c r="E218" s="7">
        <f t="shared" si="11"/>
        <v>2.3E-3</v>
      </c>
      <c r="F218" s="7">
        <f t="shared" si="12"/>
        <v>0.11270000000000001</v>
      </c>
    </row>
    <row r="219" spans="1:6" ht="48" x14ac:dyDescent="0.35">
      <c r="A219" s="42"/>
      <c r="B219" s="5" t="s">
        <v>564</v>
      </c>
      <c r="C219" s="6">
        <v>0</v>
      </c>
      <c r="D219" s="7" t="s">
        <v>20</v>
      </c>
      <c r="E219" s="7" t="s">
        <v>20</v>
      </c>
      <c r="F219" s="7" t="s">
        <v>20</v>
      </c>
    </row>
    <row r="220" spans="1:6" x14ac:dyDescent="0.35">
      <c r="A220" s="42"/>
      <c r="B220" s="5" t="s">
        <v>565</v>
      </c>
      <c r="C220" s="6">
        <v>0</v>
      </c>
      <c r="D220" s="7" t="s">
        <v>20</v>
      </c>
      <c r="E220" s="7" t="s">
        <v>20</v>
      </c>
      <c r="F220" s="7" t="s">
        <v>20</v>
      </c>
    </row>
    <row r="221" spans="1:6" ht="36" x14ac:dyDescent="0.35">
      <c r="A221" s="43"/>
      <c r="B221" s="5" t="s">
        <v>566</v>
      </c>
      <c r="C221" s="6">
        <v>0</v>
      </c>
      <c r="D221" s="7" t="s">
        <v>20</v>
      </c>
      <c r="E221" s="7" t="s">
        <v>20</v>
      </c>
      <c r="F221" s="7" t="s">
        <v>20</v>
      </c>
    </row>
    <row r="222" spans="1:6" ht="36" x14ac:dyDescent="0.35">
      <c r="A222" s="41" t="s">
        <v>611</v>
      </c>
      <c r="B222" s="5" t="s">
        <v>563</v>
      </c>
      <c r="C222" s="6">
        <v>0.19</v>
      </c>
      <c r="D222" s="7">
        <f t="shared" si="10"/>
        <v>0.14500000000000002</v>
      </c>
      <c r="E222" s="7">
        <f t="shared" si="11"/>
        <v>2.9000000000000002E-3</v>
      </c>
      <c r="F222" s="7">
        <f t="shared" si="12"/>
        <v>0.1421</v>
      </c>
    </row>
    <row r="223" spans="1:6" ht="48" x14ac:dyDescent="0.35">
      <c r="A223" s="42"/>
      <c r="B223" s="5" t="s">
        <v>564</v>
      </c>
      <c r="C223" s="6">
        <v>0.09</v>
      </c>
      <c r="D223" s="7">
        <f t="shared" si="10"/>
        <v>4.4999999999999998E-2</v>
      </c>
      <c r="E223" s="7">
        <f t="shared" si="11"/>
        <v>8.9999999999999998E-4</v>
      </c>
      <c r="F223" s="7">
        <f t="shared" si="12"/>
        <v>4.41E-2</v>
      </c>
    </row>
    <row r="224" spans="1:6" x14ac:dyDescent="0.35">
      <c r="A224" s="42"/>
      <c r="B224" s="5" t="s">
        <v>565</v>
      </c>
      <c r="C224" s="6">
        <v>0.17</v>
      </c>
      <c r="D224" s="7">
        <f t="shared" si="10"/>
        <v>0.125</v>
      </c>
      <c r="E224" s="7">
        <f t="shared" si="11"/>
        <v>2.5000000000000001E-3</v>
      </c>
      <c r="F224" s="7">
        <f t="shared" si="12"/>
        <v>0.1225</v>
      </c>
    </row>
    <row r="225" spans="1:6" ht="36" x14ac:dyDescent="0.35">
      <c r="A225" s="43"/>
      <c r="B225" s="5" t="s">
        <v>566</v>
      </c>
      <c r="C225" s="6">
        <v>7.0000000000000007E-2</v>
      </c>
      <c r="D225" s="7">
        <f t="shared" si="10"/>
        <v>2.5000000000000008E-2</v>
      </c>
      <c r="E225" s="7">
        <f t="shared" si="11"/>
        <v>5.0000000000000023E-4</v>
      </c>
      <c r="F225" s="7">
        <f t="shared" si="12"/>
        <v>2.4500000000000008E-2</v>
      </c>
    </row>
    <row r="226" spans="1:6" ht="24" x14ac:dyDescent="0.35">
      <c r="A226" s="5" t="s">
        <v>1269</v>
      </c>
      <c r="B226" s="5" t="s">
        <v>612</v>
      </c>
      <c r="C226" s="6">
        <v>0.38</v>
      </c>
      <c r="D226" s="7">
        <f t="shared" si="10"/>
        <v>0.33500000000000002</v>
      </c>
      <c r="E226" s="7">
        <f t="shared" si="11"/>
        <v>6.7000000000000002E-3</v>
      </c>
      <c r="F226" s="7">
        <f t="shared" si="12"/>
        <v>0.32830000000000004</v>
      </c>
    </row>
    <row r="227" spans="1:6" x14ac:dyDescent="0.35">
      <c r="A227" s="41" t="s">
        <v>1236</v>
      </c>
      <c r="B227" s="5" t="s">
        <v>580</v>
      </c>
      <c r="C227" s="6">
        <v>0.19500000000000001</v>
      </c>
      <c r="D227" s="7">
        <f t="shared" si="10"/>
        <v>0.15000000000000002</v>
      </c>
      <c r="E227" s="7">
        <f t="shared" si="11"/>
        <v>3.0000000000000005E-3</v>
      </c>
      <c r="F227" s="7">
        <f t="shared" si="12"/>
        <v>0.14700000000000002</v>
      </c>
    </row>
    <row r="228" spans="1:6" x14ac:dyDescent="0.35">
      <c r="A228" s="43"/>
      <c r="B228" s="5" t="s">
        <v>581</v>
      </c>
      <c r="C228" s="6">
        <v>0.3</v>
      </c>
      <c r="D228" s="7">
        <f t="shared" si="10"/>
        <v>0.255</v>
      </c>
      <c r="E228" s="7">
        <f t="shared" si="11"/>
        <v>5.1000000000000004E-3</v>
      </c>
      <c r="F228" s="7">
        <f t="shared" si="12"/>
        <v>0.24990000000000001</v>
      </c>
    </row>
    <row r="229" spans="1:6" x14ac:dyDescent="0.35">
      <c r="A229" s="2" t="s">
        <v>159</v>
      </c>
      <c r="B229" s="2" t="s">
        <v>1</v>
      </c>
      <c r="C229" s="3" t="s">
        <v>2</v>
      </c>
      <c r="D229" s="4" t="s">
        <v>4</v>
      </c>
      <c r="E229" s="4" t="s">
        <v>5</v>
      </c>
      <c r="F229" s="4" t="s">
        <v>6</v>
      </c>
    </row>
    <row r="230" spans="1:6" x14ac:dyDescent="0.35">
      <c r="A230" s="5" t="s">
        <v>613</v>
      </c>
      <c r="B230" s="5" t="s">
        <v>603</v>
      </c>
      <c r="C230" s="7">
        <v>0.2</v>
      </c>
      <c r="D230" s="7">
        <f t="shared" si="10"/>
        <v>0.15500000000000003</v>
      </c>
      <c r="E230" s="7">
        <f t="shared" si="11"/>
        <v>3.1000000000000008E-3</v>
      </c>
      <c r="F230" s="7">
        <f t="shared" si="12"/>
        <v>0.15190000000000003</v>
      </c>
    </row>
    <row r="231" spans="1:6" x14ac:dyDescent="0.35">
      <c r="A231" s="5" t="s">
        <v>614</v>
      </c>
      <c r="B231" s="5" t="s">
        <v>605</v>
      </c>
      <c r="C231" s="7">
        <v>0.2</v>
      </c>
      <c r="D231" s="7">
        <f t="shared" si="10"/>
        <v>0.15500000000000003</v>
      </c>
      <c r="E231" s="7">
        <f t="shared" si="11"/>
        <v>3.1000000000000008E-3</v>
      </c>
      <c r="F231" s="7">
        <f t="shared" si="12"/>
        <v>0.15190000000000003</v>
      </c>
    </row>
    <row r="232" spans="1:6" x14ac:dyDescent="0.35">
      <c r="A232" s="40" t="s">
        <v>615</v>
      </c>
      <c r="B232" s="5" t="s">
        <v>590</v>
      </c>
      <c r="C232" s="7">
        <v>0.19500000000000001</v>
      </c>
      <c r="D232" s="7">
        <f t="shared" si="10"/>
        <v>0.15000000000000002</v>
      </c>
      <c r="E232" s="7">
        <f t="shared" si="11"/>
        <v>3.0000000000000005E-3</v>
      </c>
      <c r="F232" s="7">
        <f t="shared" si="12"/>
        <v>0.14700000000000002</v>
      </c>
    </row>
    <row r="233" spans="1:6" x14ac:dyDescent="0.35">
      <c r="A233" s="40"/>
      <c r="B233" s="5" t="s">
        <v>591</v>
      </c>
      <c r="C233" s="7">
        <v>0.19500000000000001</v>
      </c>
      <c r="D233" s="7">
        <f t="shared" si="10"/>
        <v>0.15000000000000002</v>
      </c>
      <c r="E233" s="7">
        <f t="shared" si="11"/>
        <v>3.0000000000000005E-3</v>
      </c>
      <c r="F233" s="7">
        <f t="shared" si="12"/>
        <v>0.14700000000000002</v>
      </c>
    </row>
    <row r="234" spans="1:6" x14ac:dyDescent="0.35">
      <c r="A234" s="40"/>
      <c r="B234" s="5" t="s">
        <v>597</v>
      </c>
      <c r="C234" s="7">
        <v>0.19500000000000001</v>
      </c>
      <c r="D234" s="7">
        <f t="shared" si="10"/>
        <v>0.15000000000000002</v>
      </c>
      <c r="E234" s="7">
        <f t="shared" si="11"/>
        <v>3.0000000000000005E-3</v>
      </c>
      <c r="F234" s="7">
        <f t="shared" si="12"/>
        <v>0.14700000000000002</v>
      </c>
    </row>
    <row r="235" spans="1:6" x14ac:dyDescent="0.35">
      <c r="A235" s="40"/>
      <c r="B235" s="5" t="s">
        <v>592</v>
      </c>
      <c r="C235" s="7">
        <v>0.19500000000000001</v>
      </c>
      <c r="D235" s="7">
        <f t="shared" si="10"/>
        <v>0.15000000000000002</v>
      </c>
      <c r="E235" s="7">
        <f t="shared" si="11"/>
        <v>3.0000000000000005E-3</v>
      </c>
      <c r="F235" s="7">
        <f t="shared" si="12"/>
        <v>0.14700000000000002</v>
      </c>
    </row>
    <row r="236" spans="1:6" x14ac:dyDescent="0.35">
      <c r="A236" s="40"/>
      <c r="B236" s="5" t="s">
        <v>607</v>
      </c>
      <c r="C236" s="7">
        <v>0.19500000000000001</v>
      </c>
      <c r="D236" s="7">
        <f t="shared" si="10"/>
        <v>0.15000000000000002</v>
      </c>
      <c r="E236" s="7">
        <f t="shared" si="11"/>
        <v>3.0000000000000005E-3</v>
      </c>
      <c r="F236" s="7">
        <f t="shared" si="12"/>
        <v>0.14700000000000002</v>
      </c>
    </row>
    <row r="237" spans="1:6" x14ac:dyDescent="0.35">
      <c r="A237" s="40"/>
      <c r="B237" s="5" t="s">
        <v>608</v>
      </c>
      <c r="C237" s="7">
        <v>0.19500000000000001</v>
      </c>
      <c r="D237" s="7">
        <f t="shared" si="10"/>
        <v>0.15000000000000002</v>
      </c>
      <c r="E237" s="7">
        <f t="shared" si="11"/>
        <v>3.0000000000000005E-3</v>
      </c>
      <c r="F237" s="7">
        <f t="shared" si="12"/>
        <v>0.14700000000000002</v>
      </c>
    </row>
    <row r="238" spans="1:6" x14ac:dyDescent="0.35">
      <c r="A238" s="40"/>
      <c r="B238" s="5" t="s">
        <v>593</v>
      </c>
      <c r="C238" s="7">
        <v>0.19500000000000001</v>
      </c>
      <c r="D238" s="7">
        <f t="shared" si="10"/>
        <v>0.15000000000000002</v>
      </c>
      <c r="E238" s="7">
        <f t="shared" si="11"/>
        <v>3.0000000000000005E-3</v>
      </c>
      <c r="F238" s="7">
        <f t="shared" si="12"/>
        <v>0.14700000000000002</v>
      </c>
    </row>
    <row r="239" spans="1:6" x14ac:dyDescent="0.35">
      <c r="A239" s="40"/>
      <c r="B239" s="5" t="s">
        <v>594</v>
      </c>
      <c r="C239" s="7">
        <v>0.19500000000000001</v>
      </c>
      <c r="D239" s="7">
        <f t="shared" si="10"/>
        <v>0.15000000000000002</v>
      </c>
      <c r="E239" s="7">
        <f t="shared" si="11"/>
        <v>3.0000000000000005E-3</v>
      </c>
      <c r="F239" s="7">
        <f t="shared" si="12"/>
        <v>0.14700000000000002</v>
      </c>
    </row>
    <row r="240" spans="1:6" x14ac:dyDescent="0.35">
      <c r="A240" s="40"/>
      <c r="B240" s="5" t="s">
        <v>598</v>
      </c>
      <c r="C240" s="7">
        <v>0.19500000000000001</v>
      </c>
      <c r="D240" s="7">
        <f t="shared" si="10"/>
        <v>0.15000000000000002</v>
      </c>
      <c r="E240" s="7">
        <f t="shared" si="11"/>
        <v>3.0000000000000005E-3</v>
      </c>
      <c r="F240" s="7">
        <f t="shared" si="12"/>
        <v>0.14700000000000002</v>
      </c>
    </row>
    <row r="241" spans="1:6" x14ac:dyDescent="0.35">
      <c r="A241" s="40"/>
      <c r="B241" s="5" t="s">
        <v>599</v>
      </c>
      <c r="C241" s="7">
        <v>0.19500000000000001</v>
      </c>
      <c r="D241" s="7">
        <f t="shared" si="10"/>
        <v>0.15000000000000002</v>
      </c>
      <c r="E241" s="7">
        <f t="shared" si="11"/>
        <v>3.0000000000000005E-3</v>
      </c>
      <c r="F241" s="7">
        <f t="shared" si="12"/>
        <v>0.14700000000000002</v>
      </c>
    </row>
    <row r="242" spans="1:6" x14ac:dyDescent="0.35">
      <c r="A242" s="40" t="s">
        <v>616</v>
      </c>
      <c r="B242" s="11" t="s">
        <v>553</v>
      </c>
      <c r="C242" s="7">
        <v>0.19</v>
      </c>
      <c r="D242" s="7">
        <f t="shared" si="10"/>
        <v>0.14500000000000002</v>
      </c>
      <c r="E242" s="7">
        <f t="shared" si="11"/>
        <v>2.9000000000000002E-3</v>
      </c>
      <c r="F242" s="7">
        <f t="shared" si="12"/>
        <v>0.1421</v>
      </c>
    </row>
    <row r="243" spans="1:6" x14ac:dyDescent="0.35">
      <c r="A243" s="40"/>
      <c r="B243" s="11" t="s">
        <v>554</v>
      </c>
      <c r="C243" s="7">
        <v>0.23</v>
      </c>
      <c r="D243" s="7">
        <f t="shared" si="10"/>
        <v>0.185</v>
      </c>
      <c r="E243" s="7">
        <f t="shared" si="11"/>
        <v>3.7000000000000002E-3</v>
      </c>
      <c r="F243" s="7">
        <f t="shared" si="12"/>
        <v>0.18129999999999999</v>
      </c>
    </row>
    <row r="244" spans="1:6" x14ac:dyDescent="0.35">
      <c r="A244" s="40"/>
      <c r="B244" s="11" t="s">
        <v>555</v>
      </c>
      <c r="C244" s="7">
        <v>0.23</v>
      </c>
      <c r="D244" s="7">
        <f t="shared" si="10"/>
        <v>0.185</v>
      </c>
      <c r="E244" s="7">
        <f t="shared" si="11"/>
        <v>3.7000000000000002E-3</v>
      </c>
      <c r="F244" s="7">
        <f t="shared" si="12"/>
        <v>0.18129999999999999</v>
      </c>
    </row>
    <row r="245" spans="1:6" x14ac:dyDescent="0.35">
      <c r="A245" s="40"/>
      <c r="B245" s="11" t="s">
        <v>556</v>
      </c>
      <c r="C245" s="7">
        <v>0.21</v>
      </c>
      <c r="D245" s="7">
        <f t="shared" si="10"/>
        <v>0.16499999999999998</v>
      </c>
      <c r="E245" s="7">
        <f t="shared" si="11"/>
        <v>3.2999999999999995E-3</v>
      </c>
      <c r="F245" s="7">
        <f t="shared" si="12"/>
        <v>0.16169999999999998</v>
      </c>
    </row>
    <row r="246" spans="1:6" x14ac:dyDescent="0.35">
      <c r="A246" s="40"/>
      <c r="B246" s="11" t="s">
        <v>557</v>
      </c>
      <c r="C246" s="7">
        <v>0.12</v>
      </c>
      <c r="D246" s="7">
        <f t="shared" si="10"/>
        <v>7.4999999999999997E-2</v>
      </c>
      <c r="E246" s="7">
        <f t="shared" si="11"/>
        <v>1.5E-3</v>
      </c>
      <c r="F246" s="7">
        <f t="shared" si="12"/>
        <v>7.3499999999999996E-2</v>
      </c>
    </row>
    <row r="247" spans="1:6" x14ac:dyDescent="0.35">
      <c r="A247" s="40"/>
      <c r="B247" s="11" t="s">
        <v>558</v>
      </c>
      <c r="C247" s="7">
        <v>0.35</v>
      </c>
      <c r="D247" s="7">
        <f t="shared" si="10"/>
        <v>0.30499999999999999</v>
      </c>
      <c r="E247" s="7">
        <f t="shared" si="11"/>
        <v>6.1000000000000004E-3</v>
      </c>
      <c r="F247" s="7">
        <f t="shared" si="12"/>
        <v>0.2989</v>
      </c>
    </row>
    <row r="248" spans="1:6" x14ac:dyDescent="0.35">
      <c r="A248" s="40"/>
      <c r="B248" s="11" t="s">
        <v>559</v>
      </c>
      <c r="C248" s="7">
        <v>0.19</v>
      </c>
      <c r="D248" s="7">
        <f t="shared" si="10"/>
        <v>0.14500000000000002</v>
      </c>
      <c r="E248" s="7">
        <f t="shared" si="11"/>
        <v>2.9000000000000002E-3</v>
      </c>
      <c r="F248" s="7">
        <f t="shared" si="12"/>
        <v>0.1421</v>
      </c>
    </row>
    <row r="249" spans="1:6" x14ac:dyDescent="0.35">
      <c r="A249" s="40"/>
      <c r="B249" s="11" t="s">
        <v>560</v>
      </c>
      <c r="C249" s="7">
        <v>0.23</v>
      </c>
      <c r="D249" s="7">
        <f t="shared" si="10"/>
        <v>0.185</v>
      </c>
      <c r="E249" s="7">
        <f t="shared" si="11"/>
        <v>3.7000000000000002E-3</v>
      </c>
      <c r="F249" s="7">
        <f t="shared" si="12"/>
        <v>0.18129999999999999</v>
      </c>
    </row>
    <row r="250" spans="1:6" x14ac:dyDescent="0.35">
      <c r="A250" s="40"/>
      <c r="B250" s="11" t="s">
        <v>561</v>
      </c>
      <c r="C250" s="7">
        <v>0.16</v>
      </c>
      <c r="D250" s="7">
        <f t="shared" si="10"/>
        <v>0.115</v>
      </c>
      <c r="E250" s="7">
        <f t="shared" si="11"/>
        <v>2.3E-3</v>
      </c>
      <c r="F250" s="7">
        <f t="shared" si="12"/>
        <v>0.11270000000000001</v>
      </c>
    </row>
    <row r="251" spans="1:6" x14ac:dyDescent="0.35">
      <c r="A251" s="40"/>
      <c r="B251" s="11" t="s">
        <v>562</v>
      </c>
      <c r="C251" s="7">
        <v>7.0000000000000007E-2</v>
      </c>
      <c r="D251" s="7">
        <f t="shared" si="10"/>
        <v>2.5000000000000008E-2</v>
      </c>
      <c r="E251" s="7">
        <f t="shared" si="11"/>
        <v>5.0000000000000023E-4</v>
      </c>
      <c r="F251" s="7">
        <f t="shared" si="12"/>
        <v>2.4500000000000008E-2</v>
      </c>
    </row>
    <row r="252" spans="1:6" x14ac:dyDescent="0.35">
      <c r="A252" s="5" t="s">
        <v>456</v>
      </c>
      <c r="B252" s="5" t="s">
        <v>100</v>
      </c>
      <c r="C252" s="6">
        <v>0.17</v>
      </c>
      <c r="D252" s="7">
        <f t="shared" si="10"/>
        <v>0.125</v>
      </c>
      <c r="E252" s="7">
        <f t="shared" si="11"/>
        <v>2.5000000000000001E-3</v>
      </c>
      <c r="F252" s="7">
        <f t="shared" si="12"/>
        <v>0.1225</v>
      </c>
    </row>
    <row r="253" spans="1:6" x14ac:dyDescent="0.35">
      <c r="A253" s="2" t="s">
        <v>175</v>
      </c>
      <c r="B253" s="2" t="s">
        <v>1</v>
      </c>
      <c r="C253" s="3" t="s">
        <v>2</v>
      </c>
      <c r="D253" s="4" t="s">
        <v>4</v>
      </c>
      <c r="E253" s="4" t="s">
        <v>5</v>
      </c>
      <c r="F253" s="4" t="s">
        <v>6</v>
      </c>
    </row>
    <row r="254" spans="1:6" x14ac:dyDescent="0.35">
      <c r="A254" s="5" t="s">
        <v>461</v>
      </c>
      <c r="B254" s="5" t="s">
        <v>100</v>
      </c>
      <c r="C254" s="6">
        <v>0.26</v>
      </c>
      <c r="D254" s="7">
        <f t="shared" si="10"/>
        <v>0.21500000000000002</v>
      </c>
      <c r="E254" s="7">
        <f t="shared" si="11"/>
        <v>4.3000000000000009E-3</v>
      </c>
      <c r="F254" s="7">
        <f t="shared" si="12"/>
        <v>0.21070000000000003</v>
      </c>
    </row>
    <row r="255" spans="1:6" x14ac:dyDescent="0.35">
      <c r="A255" s="2" t="s">
        <v>185</v>
      </c>
      <c r="B255" s="2" t="s">
        <v>1</v>
      </c>
      <c r="C255" s="3" t="s">
        <v>2</v>
      </c>
      <c r="D255" s="4" t="s">
        <v>4</v>
      </c>
      <c r="E255" s="4" t="s">
        <v>5</v>
      </c>
      <c r="F255" s="4" t="s">
        <v>6</v>
      </c>
    </row>
    <row r="256" spans="1:6" x14ac:dyDescent="0.35">
      <c r="A256" s="5" t="s">
        <v>617</v>
      </c>
      <c r="B256" s="5" t="s">
        <v>618</v>
      </c>
      <c r="C256" s="7">
        <v>0.15</v>
      </c>
      <c r="D256" s="7">
        <f t="shared" si="10"/>
        <v>0.105</v>
      </c>
      <c r="E256" s="7">
        <f t="shared" si="11"/>
        <v>2.0999999999999999E-3</v>
      </c>
      <c r="F256" s="7">
        <f t="shared" si="12"/>
        <v>0.10289999999999999</v>
      </c>
    </row>
    <row r="257" spans="1:6" x14ac:dyDescent="0.35">
      <c r="A257" s="44" t="s">
        <v>200</v>
      </c>
      <c r="B257" s="5" t="s">
        <v>92</v>
      </c>
      <c r="C257" s="6">
        <v>0.35</v>
      </c>
      <c r="D257" s="7">
        <f t="shared" si="10"/>
        <v>0.30499999999999999</v>
      </c>
      <c r="E257" s="7">
        <f t="shared" si="11"/>
        <v>6.1000000000000004E-3</v>
      </c>
      <c r="F257" s="7">
        <f t="shared" si="12"/>
        <v>0.2989</v>
      </c>
    </row>
    <row r="258" spans="1:6" x14ac:dyDescent="0.35">
      <c r="A258" s="45"/>
      <c r="B258" s="5" t="s">
        <v>93</v>
      </c>
      <c r="C258" s="6">
        <v>0.35</v>
      </c>
      <c r="D258" s="7">
        <f t="shared" si="10"/>
        <v>0.30499999999999999</v>
      </c>
      <c r="E258" s="7">
        <f t="shared" si="11"/>
        <v>6.1000000000000004E-3</v>
      </c>
      <c r="F258" s="7">
        <f t="shared" si="12"/>
        <v>0.2989</v>
      </c>
    </row>
    <row r="259" spans="1:6" x14ac:dyDescent="0.35">
      <c r="A259" s="5" t="s">
        <v>204</v>
      </c>
      <c r="B259" s="5" t="s">
        <v>100</v>
      </c>
      <c r="C259" s="7">
        <v>0.3</v>
      </c>
      <c r="D259" s="7">
        <f t="shared" si="10"/>
        <v>0.255</v>
      </c>
      <c r="E259" s="7">
        <f t="shared" si="11"/>
        <v>5.1000000000000004E-3</v>
      </c>
      <c r="F259" s="7">
        <f t="shared" si="12"/>
        <v>0.24990000000000001</v>
      </c>
    </row>
    <row r="260" spans="1:6" x14ac:dyDescent="0.35">
      <c r="A260" s="5" t="s">
        <v>619</v>
      </c>
      <c r="B260" s="5" t="s">
        <v>100</v>
      </c>
      <c r="C260" s="7">
        <v>0.2</v>
      </c>
      <c r="D260" s="7">
        <f t="shared" si="10"/>
        <v>0.15500000000000003</v>
      </c>
      <c r="E260" s="7">
        <f t="shared" si="11"/>
        <v>3.1000000000000008E-3</v>
      </c>
      <c r="F260" s="7">
        <f t="shared" si="12"/>
        <v>0.15190000000000003</v>
      </c>
    </row>
    <row r="261" spans="1:6" x14ac:dyDescent="0.35">
      <c r="A261" s="5" t="s">
        <v>475</v>
      </c>
      <c r="B261" s="5" t="s">
        <v>100</v>
      </c>
      <c r="C261" s="7">
        <v>0.18</v>
      </c>
      <c r="D261" s="7">
        <f t="shared" si="10"/>
        <v>0.13500000000000001</v>
      </c>
      <c r="E261" s="7">
        <f t="shared" si="11"/>
        <v>2.7000000000000001E-3</v>
      </c>
      <c r="F261" s="7">
        <f t="shared" si="12"/>
        <v>0.1323</v>
      </c>
    </row>
    <row r="262" spans="1:6" x14ac:dyDescent="0.35">
      <c r="A262" s="2" t="s">
        <v>206</v>
      </c>
      <c r="B262" s="2" t="s">
        <v>1</v>
      </c>
      <c r="C262" s="3" t="s">
        <v>2</v>
      </c>
      <c r="D262" s="4" t="s">
        <v>4</v>
      </c>
      <c r="E262" s="4" t="s">
        <v>5</v>
      </c>
      <c r="F262" s="4" t="s">
        <v>6</v>
      </c>
    </row>
    <row r="263" spans="1:6" x14ac:dyDescent="0.35">
      <c r="A263" s="5" t="s">
        <v>207</v>
      </c>
      <c r="B263" s="5" t="s">
        <v>100</v>
      </c>
      <c r="C263" s="7">
        <v>0.6</v>
      </c>
      <c r="D263" s="7">
        <f t="shared" ref="D263:D331" si="13">C263-(4.5%)</f>
        <v>0.55499999999999994</v>
      </c>
      <c r="E263" s="7">
        <f t="shared" ref="E263:E331" si="14">D263*2%</f>
        <v>1.1099999999999999E-2</v>
      </c>
      <c r="F263" s="7">
        <f t="shared" ref="F263:F331" si="15">D263-E263</f>
        <v>0.54389999999999994</v>
      </c>
    </row>
    <row r="264" spans="1:6" x14ac:dyDescent="0.35">
      <c r="A264" s="5" t="s">
        <v>208</v>
      </c>
      <c r="B264" s="5" t="s">
        <v>100</v>
      </c>
      <c r="C264" s="7">
        <v>0.6</v>
      </c>
      <c r="D264" s="7">
        <f t="shared" si="13"/>
        <v>0.55499999999999994</v>
      </c>
      <c r="E264" s="7">
        <f t="shared" si="14"/>
        <v>1.1099999999999999E-2</v>
      </c>
      <c r="F264" s="7">
        <f t="shared" si="15"/>
        <v>0.54389999999999994</v>
      </c>
    </row>
    <row r="265" spans="1:6" ht="36" x14ac:dyDescent="0.35">
      <c r="A265" s="41" t="s">
        <v>209</v>
      </c>
      <c r="B265" s="5" t="s">
        <v>563</v>
      </c>
      <c r="C265" s="7">
        <v>0.6</v>
      </c>
      <c r="D265" s="7">
        <f t="shared" si="13"/>
        <v>0.55499999999999994</v>
      </c>
      <c r="E265" s="7">
        <f t="shared" si="14"/>
        <v>1.1099999999999999E-2</v>
      </c>
      <c r="F265" s="7">
        <f t="shared" si="15"/>
        <v>0.54389999999999994</v>
      </c>
    </row>
    <row r="266" spans="1:6" ht="48" x14ac:dyDescent="0.35">
      <c r="A266" s="42"/>
      <c r="B266" s="5" t="s">
        <v>564</v>
      </c>
      <c r="C266" s="7">
        <v>0</v>
      </c>
      <c r="D266" s="7" t="s">
        <v>20</v>
      </c>
      <c r="E266" s="7" t="s">
        <v>20</v>
      </c>
      <c r="F266" s="7" t="s">
        <v>20</v>
      </c>
    </row>
    <row r="267" spans="1:6" x14ac:dyDescent="0.35">
      <c r="A267" s="42"/>
      <c r="B267" s="5" t="s">
        <v>565</v>
      </c>
      <c r="C267" s="7">
        <v>0</v>
      </c>
      <c r="D267" s="7" t="s">
        <v>20</v>
      </c>
      <c r="E267" s="7" t="s">
        <v>20</v>
      </c>
      <c r="F267" s="7" t="s">
        <v>20</v>
      </c>
    </row>
    <row r="268" spans="1:6" ht="36" x14ac:dyDescent="0.35">
      <c r="A268" s="43"/>
      <c r="B268" s="5" t="s">
        <v>566</v>
      </c>
      <c r="C268" s="7">
        <v>0</v>
      </c>
      <c r="D268" s="7" t="s">
        <v>20</v>
      </c>
      <c r="E268" s="7" t="s">
        <v>20</v>
      </c>
      <c r="F268" s="7" t="s">
        <v>20</v>
      </c>
    </row>
    <row r="269" spans="1:6" ht="36" x14ac:dyDescent="0.35">
      <c r="A269" s="41" t="s">
        <v>210</v>
      </c>
      <c r="B269" s="5" t="s">
        <v>563</v>
      </c>
      <c r="C269" s="7">
        <v>0.28000000000000003</v>
      </c>
      <c r="D269" s="7">
        <f t="shared" si="13"/>
        <v>0.23500000000000004</v>
      </c>
      <c r="E269" s="7">
        <f t="shared" si="14"/>
        <v>4.7000000000000011E-3</v>
      </c>
      <c r="F269" s="7">
        <f t="shared" si="15"/>
        <v>0.23030000000000003</v>
      </c>
    </row>
    <row r="270" spans="1:6" ht="48" x14ac:dyDescent="0.35">
      <c r="A270" s="42"/>
      <c r="B270" s="5" t="s">
        <v>564</v>
      </c>
      <c r="C270" s="7">
        <v>0.28000000000000003</v>
      </c>
      <c r="D270" s="7">
        <f t="shared" si="13"/>
        <v>0.23500000000000004</v>
      </c>
      <c r="E270" s="7">
        <f t="shared" si="14"/>
        <v>4.7000000000000011E-3</v>
      </c>
      <c r="F270" s="7">
        <f t="shared" si="15"/>
        <v>0.23030000000000003</v>
      </c>
    </row>
    <row r="271" spans="1:6" x14ac:dyDescent="0.35">
      <c r="A271" s="42"/>
      <c r="B271" s="5" t="s">
        <v>565</v>
      </c>
      <c r="C271" s="7">
        <v>0.28000000000000003</v>
      </c>
      <c r="D271" s="7">
        <f t="shared" si="13"/>
        <v>0.23500000000000004</v>
      </c>
      <c r="E271" s="7">
        <f t="shared" si="14"/>
        <v>4.7000000000000011E-3</v>
      </c>
      <c r="F271" s="7">
        <f t="shared" si="15"/>
        <v>0.23030000000000003</v>
      </c>
    </row>
    <row r="272" spans="1:6" ht="36" x14ac:dyDescent="0.35">
      <c r="A272" s="43"/>
      <c r="B272" s="5" t="s">
        <v>566</v>
      </c>
      <c r="C272" s="7">
        <v>0.28000000000000003</v>
      </c>
      <c r="D272" s="7">
        <f t="shared" si="13"/>
        <v>0.23500000000000004</v>
      </c>
      <c r="E272" s="7">
        <f t="shared" si="14"/>
        <v>4.7000000000000011E-3</v>
      </c>
      <c r="F272" s="7">
        <f t="shared" si="15"/>
        <v>0.23030000000000003</v>
      </c>
    </row>
    <row r="273" spans="1:9" ht="24" x14ac:dyDescent="0.35">
      <c r="A273" s="5" t="s">
        <v>212</v>
      </c>
      <c r="B273" s="5" t="s">
        <v>100</v>
      </c>
      <c r="C273" s="6">
        <v>0.65</v>
      </c>
      <c r="D273" s="7">
        <f t="shared" si="13"/>
        <v>0.60499999999999998</v>
      </c>
      <c r="E273" s="7">
        <f t="shared" si="14"/>
        <v>1.21E-2</v>
      </c>
      <c r="F273" s="7">
        <f t="shared" si="15"/>
        <v>0.59289999999999998</v>
      </c>
      <c r="H273" s="10"/>
      <c r="I273" s="10"/>
    </row>
    <row r="274" spans="1:9" ht="24" x14ac:dyDescent="0.35">
      <c r="A274" s="29" t="s">
        <v>1173</v>
      </c>
      <c r="B274" s="5" t="s">
        <v>100</v>
      </c>
      <c r="C274" s="6">
        <v>0.67500000000000004</v>
      </c>
      <c r="D274" s="7">
        <f t="shared" si="13"/>
        <v>0.63</v>
      </c>
      <c r="E274" s="7">
        <f t="shared" si="14"/>
        <v>1.26E-2</v>
      </c>
      <c r="F274" s="7">
        <f t="shared" si="15"/>
        <v>0.61739999999999995</v>
      </c>
    </row>
    <row r="275" spans="1:9" ht="24" x14ac:dyDescent="0.35">
      <c r="A275" s="29" t="s">
        <v>1174</v>
      </c>
      <c r="B275" s="5" t="s">
        <v>100</v>
      </c>
      <c r="C275" s="6">
        <v>0.67500000000000004</v>
      </c>
      <c r="D275" s="7">
        <f t="shared" si="13"/>
        <v>0.63</v>
      </c>
      <c r="E275" s="7">
        <f t="shared" si="14"/>
        <v>1.26E-2</v>
      </c>
      <c r="F275" s="7">
        <f t="shared" si="15"/>
        <v>0.61739999999999995</v>
      </c>
    </row>
    <row r="276" spans="1:9" ht="36" x14ac:dyDescent="0.35">
      <c r="A276" s="29" t="s">
        <v>1175</v>
      </c>
      <c r="B276" s="5" t="s">
        <v>100</v>
      </c>
      <c r="C276" s="6">
        <v>0.72499999999999998</v>
      </c>
      <c r="D276" s="7">
        <f t="shared" si="13"/>
        <v>0.67999999999999994</v>
      </c>
      <c r="E276" s="7">
        <f t="shared" si="14"/>
        <v>1.3599999999999999E-2</v>
      </c>
      <c r="F276" s="7">
        <f t="shared" si="15"/>
        <v>0.66639999999999999</v>
      </c>
    </row>
    <row r="277" spans="1:9" ht="36" x14ac:dyDescent="0.35">
      <c r="A277" s="5" t="s">
        <v>1238</v>
      </c>
      <c r="B277" s="5" t="s">
        <v>100</v>
      </c>
      <c r="C277" s="6">
        <v>0.77</v>
      </c>
      <c r="D277" s="7">
        <f t="shared" si="13"/>
        <v>0.72499999999999998</v>
      </c>
      <c r="E277" s="7">
        <f t="shared" si="14"/>
        <v>1.4499999999999999E-2</v>
      </c>
      <c r="F277" s="7">
        <f t="shared" si="15"/>
        <v>0.71050000000000002</v>
      </c>
    </row>
    <row r="278" spans="1:9" x14ac:dyDescent="0.35">
      <c r="A278" s="41" t="s">
        <v>213</v>
      </c>
      <c r="B278" s="5" t="s">
        <v>620</v>
      </c>
      <c r="C278" s="6">
        <v>0</v>
      </c>
      <c r="D278" s="7" t="s">
        <v>20</v>
      </c>
      <c r="E278" s="7" t="s">
        <v>20</v>
      </c>
      <c r="F278" s="7" t="s">
        <v>20</v>
      </c>
    </row>
    <row r="279" spans="1:9" x14ac:dyDescent="0.35">
      <c r="A279" s="42"/>
      <c r="B279" s="5" t="s">
        <v>621</v>
      </c>
      <c r="C279" s="6">
        <v>0.625</v>
      </c>
      <c r="D279" s="7">
        <f t="shared" si="13"/>
        <v>0.57999999999999996</v>
      </c>
      <c r="E279" s="7">
        <f t="shared" si="14"/>
        <v>1.1599999999999999E-2</v>
      </c>
      <c r="F279" s="7">
        <f t="shared" si="15"/>
        <v>0.56840000000000002</v>
      </c>
    </row>
    <row r="280" spans="1:9" x14ac:dyDescent="0.35">
      <c r="A280" s="42"/>
      <c r="B280" s="5" t="s">
        <v>622</v>
      </c>
      <c r="C280" s="6">
        <v>0.7</v>
      </c>
      <c r="D280" s="7">
        <f t="shared" si="13"/>
        <v>0.65499999999999992</v>
      </c>
      <c r="E280" s="7">
        <f t="shared" si="14"/>
        <v>1.3099999999999999E-2</v>
      </c>
      <c r="F280" s="7">
        <f t="shared" si="15"/>
        <v>0.64189999999999992</v>
      </c>
    </row>
    <row r="281" spans="1:9" x14ac:dyDescent="0.35">
      <c r="A281" s="43"/>
      <c r="B281" s="5" t="s">
        <v>623</v>
      </c>
      <c r="C281" s="6">
        <v>0.7</v>
      </c>
      <c r="D281" s="7">
        <f t="shared" si="13"/>
        <v>0.65499999999999992</v>
      </c>
      <c r="E281" s="7">
        <f t="shared" si="14"/>
        <v>1.3099999999999999E-2</v>
      </c>
      <c r="F281" s="7">
        <f t="shared" si="15"/>
        <v>0.64189999999999992</v>
      </c>
    </row>
    <row r="282" spans="1:9" ht="24" x14ac:dyDescent="0.35">
      <c r="A282" s="5" t="s">
        <v>1506</v>
      </c>
      <c r="B282" s="5" t="s">
        <v>100</v>
      </c>
      <c r="C282" s="6">
        <v>0.65</v>
      </c>
      <c r="D282" s="7">
        <f t="shared" si="13"/>
        <v>0.60499999999999998</v>
      </c>
      <c r="E282" s="7">
        <f t="shared" si="14"/>
        <v>1.21E-2</v>
      </c>
      <c r="F282" s="7">
        <f t="shared" si="15"/>
        <v>0.59289999999999998</v>
      </c>
    </row>
    <row r="283" spans="1:9" ht="24" x14ac:dyDescent="0.35">
      <c r="A283" s="5" t="s">
        <v>1507</v>
      </c>
      <c r="B283" s="5" t="s">
        <v>100</v>
      </c>
      <c r="C283" s="6">
        <v>0.67</v>
      </c>
      <c r="D283" s="7">
        <f t="shared" si="13"/>
        <v>0.625</v>
      </c>
      <c r="E283" s="7">
        <f t="shared" si="14"/>
        <v>1.2500000000000001E-2</v>
      </c>
      <c r="F283" s="7">
        <f t="shared" si="15"/>
        <v>0.61250000000000004</v>
      </c>
    </row>
    <row r="284" spans="1:9" ht="24" x14ac:dyDescent="0.35">
      <c r="A284" s="5" t="s">
        <v>1508</v>
      </c>
      <c r="B284" s="5" t="s">
        <v>100</v>
      </c>
      <c r="C284" s="6">
        <v>0.55000000000000004</v>
      </c>
      <c r="D284" s="7">
        <f t="shared" si="13"/>
        <v>0.505</v>
      </c>
      <c r="E284" s="7">
        <f t="shared" si="14"/>
        <v>1.01E-2</v>
      </c>
      <c r="F284" s="7">
        <f t="shared" si="15"/>
        <v>0.49490000000000001</v>
      </c>
    </row>
    <row r="285" spans="1:9" ht="24" x14ac:dyDescent="0.35">
      <c r="A285" s="5" t="s">
        <v>1509</v>
      </c>
      <c r="B285" s="5" t="s">
        <v>100</v>
      </c>
      <c r="C285" s="6">
        <v>0.56999999999999995</v>
      </c>
      <c r="D285" s="7">
        <f t="shared" si="13"/>
        <v>0.52499999999999991</v>
      </c>
      <c r="E285" s="7">
        <f t="shared" si="14"/>
        <v>1.0499999999999999E-2</v>
      </c>
      <c r="F285" s="7">
        <f t="shared" si="15"/>
        <v>0.51449999999999996</v>
      </c>
    </row>
    <row r="286" spans="1:9" ht="24" x14ac:dyDescent="0.35">
      <c r="A286" s="23" t="s">
        <v>1270</v>
      </c>
      <c r="B286" s="5" t="s">
        <v>624</v>
      </c>
      <c r="C286" s="6">
        <v>0.75</v>
      </c>
      <c r="D286" s="7">
        <f t="shared" si="13"/>
        <v>0.70499999999999996</v>
      </c>
      <c r="E286" s="7">
        <f t="shared" si="14"/>
        <v>1.41E-2</v>
      </c>
      <c r="F286" s="7">
        <f t="shared" si="15"/>
        <v>0.69089999999999996</v>
      </c>
    </row>
    <row r="287" spans="1:9" x14ac:dyDescent="0.35">
      <c r="A287" s="2" t="s">
        <v>218</v>
      </c>
      <c r="B287" s="2" t="s">
        <v>1</v>
      </c>
      <c r="C287" s="3" t="s">
        <v>2</v>
      </c>
      <c r="D287" s="4" t="s">
        <v>4</v>
      </c>
      <c r="E287" s="4" t="s">
        <v>5</v>
      </c>
      <c r="F287" s="4" t="s">
        <v>6</v>
      </c>
    </row>
    <row r="288" spans="1:9" x14ac:dyDescent="0.35">
      <c r="A288" s="5" t="s">
        <v>209</v>
      </c>
      <c r="B288" s="5" t="s">
        <v>222</v>
      </c>
      <c r="C288" s="6">
        <v>0.47</v>
      </c>
      <c r="D288" s="7">
        <f t="shared" si="13"/>
        <v>0.42499999999999999</v>
      </c>
      <c r="E288" s="7">
        <f t="shared" si="14"/>
        <v>8.5000000000000006E-3</v>
      </c>
      <c r="F288" s="7">
        <f t="shared" si="15"/>
        <v>0.41649999999999998</v>
      </c>
    </row>
    <row r="289" spans="1:6" x14ac:dyDescent="0.35">
      <c r="A289" s="5" t="s">
        <v>210</v>
      </c>
      <c r="B289" s="5" t="s">
        <v>223</v>
      </c>
      <c r="C289" s="6">
        <v>0.45</v>
      </c>
      <c r="D289" s="7">
        <f t="shared" si="13"/>
        <v>0.40500000000000003</v>
      </c>
      <c r="E289" s="7">
        <f t="shared" si="14"/>
        <v>8.1000000000000013E-3</v>
      </c>
      <c r="F289" s="7">
        <f t="shared" si="15"/>
        <v>0.39690000000000003</v>
      </c>
    </row>
    <row r="290" spans="1:6" x14ac:dyDescent="0.35">
      <c r="A290" s="2" t="s">
        <v>225</v>
      </c>
      <c r="B290" s="2" t="s">
        <v>1</v>
      </c>
      <c r="C290" s="3" t="s">
        <v>2</v>
      </c>
      <c r="D290" s="4" t="s">
        <v>4</v>
      </c>
      <c r="E290" s="4" t="s">
        <v>5</v>
      </c>
      <c r="F290" s="4" t="s">
        <v>6</v>
      </c>
    </row>
    <row r="291" spans="1:6" x14ac:dyDescent="0.35">
      <c r="A291" s="5" t="s">
        <v>625</v>
      </c>
      <c r="B291" s="5" t="s">
        <v>626</v>
      </c>
      <c r="C291" s="7">
        <v>0.315</v>
      </c>
      <c r="D291" s="7">
        <f t="shared" si="13"/>
        <v>0.27</v>
      </c>
      <c r="E291" s="7">
        <f t="shared" si="14"/>
        <v>5.4000000000000003E-3</v>
      </c>
      <c r="F291" s="7">
        <f t="shared" si="15"/>
        <v>0.2646</v>
      </c>
    </row>
    <row r="292" spans="1:6" x14ac:dyDescent="0.35">
      <c r="A292" s="5" t="s">
        <v>627</v>
      </c>
      <c r="B292" s="5" t="s">
        <v>626</v>
      </c>
      <c r="C292" s="7">
        <v>0.315</v>
      </c>
      <c r="D292" s="7">
        <f t="shared" si="13"/>
        <v>0.27</v>
      </c>
      <c r="E292" s="7">
        <f t="shared" si="14"/>
        <v>5.4000000000000003E-3</v>
      </c>
      <c r="F292" s="7">
        <f t="shared" si="15"/>
        <v>0.2646</v>
      </c>
    </row>
    <row r="293" spans="1:6" ht="24" x14ac:dyDescent="0.35">
      <c r="A293" s="5" t="s">
        <v>628</v>
      </c>
      <c r="B293" s="5" t="s">
        <v>626</v>
      </c>
      <c r="C293" s="7">
        <v>0.28999999999999998</v>
      </c>
      <c r="D293" s="7">
        <f t="shared" si="13"/>
        <v>0.245</v>
      </c>
      <c r="E293" s="7">
        <f t="shared" si="14"/>
        <v>4.8999999999999998E-3</v>
      </c>
      <c r="F293" s="7">
        <f t="shared" si="15"/>
        <v>0.24010000000000001</v>
      </c>
    </row>
    <row r="294" spans="1:6" ht="24" x14ac:dyDescent="0.35">
      <c r="A294" s="5" t="s">
        <v>629</v>
      </c>
      <c r="B294" s="5" t="s">
        <v>626</v>
      </c>
      <c r="C294" s="7">
        <v>0.28999999999999998</v>
      </c>
      <c r="D294" s="7">
        <f t="shared" si="13"/>
        <v>0.245</v>
      </c>
      <c r="E294" s="7">
        <f t="shared" si="14"/>
        <v>4.8999999999999998E-3</v>
      </c>
      <c r="F294" s="7">
        <f t="shared" si="15"/>
        <v>0.24010000000000001</v>
      </c>
    </row>
    <row r="295" spans="1:6" x14ac:dyDescent="0.35">
      <c r="A295" s="5" t="s">
        <v>9</v>
      </c>
      <c r="B295" s="5" t="s">
        <v>188</v>
      </c>
      <c r="C295" s="7">
        <v>0.4</v>
      </c>
      <c r="D295" s="7">
        <f t="shared" si="13"/>
        <v>0.35500000000000004</v>
      </c>
      <c r="E295" s="7">
        <f t="shared" si="14"/>
        <v>7.1000000000000013E-3</v>
      </c>
      <c r="F295" s="7">
        <f t="shared" si="15"/>
        <v>0.34790000000000004</v>
      </c>
    </row>
    <row r="296" spans="1:6" x14ac:dyDescent="0.35">
      <c r="A296" s="5" t="s">
        <v>630</v>
      </c>
      <c r="B296" s="5" t="s">
        <v>631</v>
      </c>
      <c r="C296" s="7">
        <v>0</v>
      </c>
      <c r="D296" s="7" t="s">
        <v>20</v>
      </c>
      <c r="E296" s="7" t="s">
        <v>20</v>
      </c>
      <c r="F296" s="7" t="s">
        <v>20</v>
      </c>
    </row>
    <row r="297" spans="1:6" x14ac:dyDescent="0.35">
      <c r="A297" s="5" t="s">
        <v>374</v>
      </c>
      <c r="B297" s="5" t="s">
        <v>631</v>
      </c>
      <c r="C297" s="7">
        <v>0</v>
      </c>
      <c r="D297" s="7" t="s">
        <v>20</v>
      </c>
      <c r="E297" s="7" t="s">
        <v>20</v>
      </c>
      <c r="F297" s="7" t="s">
        <v>20</v>
      </c>
    </row>
    <row r="298" spans="1:6" x14ac:dyDescent="0.35">
      <c r="A298" s="5" t="s">
        <v>12</v>
      </c>
      <c r="B298" s="5" t="s">
        <v>100</v>
      </c>
      <c r="C298" s="7">
        <v>0.42499999999999999</v>
      </c>
      <c r="D298" s="7">
        <f t="shared" si="13"/>
        <v>0.38</v>
      </c>
      <c r="E298" s="7">
        <f t="shared" si="14"/>
        <v>7.6E-3</v>
      </c>
      <c r="F298" s="7">
        <f t="shared" si="15"/>
        <v>0.37240000000000001</v>
      </c>
    </row>
    <row r="299" spans="1:6" x14ac:dyDescent="0.35">
      <c r="A299" s="5" t="s">
        <v>28</v>
      </c>
      <c r="B299" s="5" t="s">
        <v>100</v>
      </c>
      <c r="C299" s="7">
        <v>0.59</v>
      </c>
      <c r="D299" s="7">
        <f t="shared" si="13"/>
        <v>0.54499999999999993</v>
      </c>
      <c r="E299" s="7">
        <f t="shared" si="14"/>
        <v>1.0899999999999998E-2</v>
      </c>
      <c r="F299" s="7">
        <f t="shared" si="15"/>
        <v>0.53409999999999991</v>
      </c>
    </row>
    <row r="300" spans="1:6" ht="36" x14ac:dyDescent="0.35">
      <c r="A300" s="41" t="s">
        <v>1243</v>
      </c>
      <c r="B300" s="5" t="s">
        <v>1240</v>
      </c>
      <c r="C300" s="6">
        <v>0.4</v>
      </c>
      <c r="D300" s="7">
        <f t="shared" si="13"/>
        <v>0.35500000000000004</v>
      </c>
      <c r="E300" s="7">
        <f t="shared" si="14"/>
        <v>7.1000000000000013E-3</v>
      </c>
      <c r="F300" s="7">
        <f t="shared" si="15"/>
        <v>0.34790000000000004</v>
      </c>
    </row>
    <row r="301" spans="1:6" ht="24" x14ac:dyDescent="0.35">
      <c r="A301" s="42"/>
      <c r="B301" s="5" t="s">
        <v>1239</v>
      </c>
      <c r="C301" s="6">
        <v>0.35</v>
      </c>
      <c r="D301" s="7">
        <f t="shared" si="13"/>
        <v>0.30499999999999999</v>
      </c>
      <c r="E301" s="7">
        <f t="shared" si="14"/>
        <v>6.1000000000000004E-3</v>
      </c>
      <c r="F301" s="7">
        <f t="shared" si="15"/>
        <v>0.2989</v>
      </c>
    </row>
    <row r="302" spans="1:6" ht="36" x14ac:dyDescent="0.35">
      <c r="A302" s="42"/>
      <c r="B302" s="5" t="s">
        <v>1241</v>
      </c>
      <c r="C302" s="6">
        <v>0.3</v>
      </c>
      <c r="D302" s="7">
        <f t="shared" si="13"/>
        <v>0.255</v>
      </c>
      <c r="E302" s="7">
        <f t="shared" si="14"/>
        <v>5.1000000000000004E-3</v>
      </c>
      <c r="F302" s="7">
        <f t="shared" si="15"/>
        <v>0.24990000000000001</v>
      </c>
    </row>
    <row r="303" spans="1:6" ht="36" x14ac:dyDescent="0.35">
      <c r="A303" s="43"/>
      <c r="B303" s="5" t="s">
        <v>1242</v>
      </c>
      <c r="C303" s="6">
        <v>0.2</v>
      </c>
      <c r="D303" s="7">
        <f t="shared" si="13"/>
        <v>0.15500000000000003</v>
      </c>
      <c r="E303" s="7">
        <f t="shared" si="14"/>
        <v>3.1000000000000008E-3</v>
      </c>
      <c r="F303" s="7">
        <f t="shared" si="15"/>
        <v>0.15190000000000003</v>
      </c>
    </row>
    <row r="304" spans="1:6" x14ac:dyDescent="0.35">
      <c r="A304" s="44" t="s">
        <v>184</v>
      </c>
      <c r="B304" s="5" t="s">
        <v>92</v>
      </c>
      <c r="C304" s="6">
        <v>0.38</v>
      </c>
      <c r="D304" s="7">
        <f t="shared" si="13"/>
        <v>0.33500000000000002</v>
      </c>
      <c r="E304" s="7">
        <f t="shared" si="14"/>
        <v>6.7000000000000002E-3</v>
      </c>
      <c r="F304" s="7">
        <f t="shared" si="15"/>
        <v>0.32830000000000004</v>
      </c>
    </row>
    <row r="305" spans="1:6" x14ac:dyDescent="0.35">
      <c r="A305" s="45"/>
      <c r="B305" s="5" t="s">
        <v>93</v>
      </c>
      <c r="C305" s="6">
        <v>0.43</v>
      </c>
      <c r="D305" s="7">
        <f t="shared" si="13"/>
        <v>0.38500000000000001</v>
      </c>
      <c r="E305" s="7">
        <f t="shared" si="14"/>
        <v>7.7000000000000002E-3</v>
      </c>
      <c r="F305" s="7">
        <f t="shared" si="15"/>
        <v>0.37730000000000002</v>
      </c>
    </row>
    <row r="306" spans="1:6" x14ac:dyDescent="0.35">
      <c r="A306" s="2" t="s">
        <v>241</v>
      </c>
      <c r="B306" s="2" t="s">
        <v>1</v>
      </c>
      <c r="C306" s="3" t="s">
        <v>2</v>
      </c>
      <c r="D306" s="4" t="s">
        <v>4</v>
      </c>
      <c r="E306" s="4" t="s">
        <v>5</v>
      </c>
      <c r="F306" s="4" t="s">
        <v>6</v>
      </c>
    </row>
    <row r="307" spans="1:6" x14ac:dyDescent="0.35">
      <c r="A307" s="5" t="s">
        <v>632</v>
      </c>
      <c r="B307" s="5" t="s">
        <v>633</v>
      </c>
      <c r="C307" s="7">
        <v>0.23</v>
      </c>
      <c r="D307" s="7">
        <f t="shared" si="13"/>
        <v>0.185</v>
      </c>
      <c r="E307" s="7">
        <f t="shared" si="14"/>
        <v>3.7000000000000002E-3</v>
      </c>
      <c r="F307" s="7">
        <f t="shared" si="15"/>
        <v>0.18129999999999999</v>
      </c>
    </row>
    <row r="308" spans="1:6" x14ac:dyDescent="0.35">
      <c r="A308" s="5" t="s">
        <v>634</v>
      </c>
      <c r="B308" s="5" t="s">
        <v>635</v>
      </c>
      <c r="C308" s="7">
        <v>0.3</v>
      </c>
      <c r="D308" s="7">
        <f t="shared" si="13"/>
        <v>0.255</v>
      </c>
      <c r="E308" s="7">
        <f t="shared" si="14"/>
        <v>5.1000000000000004E-3</v>
      </c>
      <c r="F308" s="7">
        <f t="shared" si="15"/>
        <v>0.24990000000000001</v>
      </c>
    </row>
    <row r="309" spans="1:6" x14ac:dyDescent="0.35">
      <c r="A309" s="5" t="s">
        <v>636</v>
      </c>
      <c r="B309" s="5" t="s">
        <v>570</v>
      </c>
      <c r="C309" s="7">
        <v>0.15</v>
      </c>
      <c r="D309" s="7">
        <f t="shared" si="13"/>
        <v>0.105</v>
      </c>
      <c r="E309" s="7">
        <f t="shared" si="14"/>
        <v>2.0999999999999999E-3</v>
      </c>
      <c r="F309" s="7">
        <f t="shared" si="15"/>
        <v>0.10289999999999999</v>
      </c>
    </row>
    <row r="310" spans="1:6" x14ac:dyDescent="0.35">
      <c r="A310" s="5" t="s">
        <v>637</v>
      </c>
      <c r="B310" s="5" t="s">
        <v>572</v>
      </c>
      <c r="C310" s="7">
        <v>0.15</v>
      </c>
      <c r="D310" s="7">
        <f t="shared" si="13"/>
        <v>0.105</v>
      </c>
      <c r="E310" s="7">
        <f t="shared" si="14"/>
        <v>2.0999999999999999E-3</v>
      </c>
      <c r="F310" s="7">
        <f t="shared" si="15"/>
        <v>0.10289999999999999</v>
      </c>
    </row>
    <row r="311" spans="1:6" x14ac:dyDescent="0.35">
      <c r="A311" s="41" t="s">
        <v>1494</v>
      </c>
      <c r="B311" s="5" t="s">
        <v>638</v>
      </c>
      <c r="C311" s="6">
        <v>0.24</v>
      </c>
      <c r="D311" s="7">
        <f t="shared" si="13"/>
        <v>0.19500000000000001</v>
      </c>
      <c r="E311" s="7">
        <f t="shared" si="14"/>
        <v>3.9000000000000003E-3</v>
      </c>
      <c r="F311" s="7">
        <f t="shared" si="15"/>
        <v>0.19110000000000002</v>
      </c>
    </row>
    <row r="312" spans="1:6" x14ac:dyDescent="0.35">
      <c r="A312" s="42"/>
      <c r="B312" s="5" t="s">
        <v>639</v>
      </c>
      <c r="C312" s="6">
        <v>0.3</v>
      </c>
      <c r="D312" s="7">
        <f t="shared" si="13"/>
        <v>0.255</v>
      </c>
      <c r="E312" s="7">
        <f t="shared" si="14"/>
        <v>5.1000000000000004E-3</v>
      </c>
      <c r="F312" s="7">
        <f t="shared" si="15"/>
        <v>0.24990000000000001</v>
      </c>
    </row>
    <row r="313" spans="1:6" x14ac:dyDescent="0.35">
      <c r="A313" s="43"/>
      <c r="B313" s="5" t="s">
        <v>640</v>
      </c>
      <c r="C313" s="6">
        <v>0.35</v>
      </c>
      <c r="D313" s="7">
        <f t="shared" si="13"/>
        <v>0.30499999999999999</v>
      </c>
      <c r="E313" s="7">
        <f t="shared" si="14"/>
        <v>6.1000000000000004E-3</v>
      </c>
      <c r="F313" s="7">
        <f t="shared" si="15"/>
        <v>0.2989</v>
      </c>
    </row>
    <row r="314" spans="1:6" x14ac:dyDescent="0.35">
      <c r="A314" s="41" t="s">
        <v>1504</v>
      </c>
      <c r="B314" s="5" t="s">
        <v>1510</v>
      </c>
      <c r="C314" s="6">
        <v>0.14000000000000001</v>
      </c>
      <c r="D314" s="7">
        <f t="shared" ref="D314:D316" si="16">C314-(4.5%)</f>
        <v>9.5000000000000015E-2</v>
      </c>
      <c r="E314" s="7">
        <f t="shared" ref="E314:E316" si="17">D314*2%</f>
        <v>1.9000000000000004E-3</v>
      </c>
      <c r="F314" s="7">
        <f t="shared" ref="F314:F316" si="18">D314-E314</f>
        <v>9.3100000000000016E-2</v>
      </c>
    </row>
    <row r="315" spans="1:6" x14ac:dyDescent="0.35">
      <c r="A315" s="42"/>
      <c r="B315" s="5" t="s">
        <v>1511</v>
      </c>
      <c r="C315" s="6">
        <v>0.2</v>
      </c>
      <c r="D315" s="7">
        <f t="shared" si="16"/>
        <v>0.15500000000000003</v>
      </c>
      <c r="E315" s="7">
        <f t="shared" si="17"/>
        <v>3.1000000000000008E-3</v>
      </c>
      <c r="F315" s="7">
        <f t="shared" si="18"/>
        <v>0.15190000000000003</v>
      </c>
    </row>
    <row r="316" spans="1:6" x14ac:dyDescent="0.35">
      <c r="A316" s="43"/>
      <c r="B316" s="5" t="s">
        <v>1512</v>
      </c>
      <c r="C316" s="6">
        <v>0.25</v>
      </c>
      <c r="D316" s="7">
        <f t="shared" si="16"/>
        <v>0.20500000000000002</v>
      </c>
      <c r="E316" s="7">
        <f t="shared" si="17"/>
        <v>4.1000000000000003E-3</v>
      </c>
      <c r="F316" s="7">
        <f t="shared" si="18"/>
        <v>0.20090000000000002</v>
      </c>
    </row>
    <row r="317" spans="1:6" x14ac:dyDescent="0.35">
      <c r="A317" s="5" t="s">
        <v>249</v>
      </c>
      <c r="B317" s="5" t="s">
        <v>100</v>
      </c>
      <c r="C317" s="6">
        <v>0.2</v>
      </c>
      <c r="D317" s="7">
        <f t="shared" si="13"/>
        <v>0.15500000000000003</v>
      </c>
      <c r="E317" s="7">
        <f t="shared" si="14"/>
        <v>3.1000000000000008E-3</v>
      </c>
      <c r="F317" s="7">
        <f t="shared" si="15"/>
        <v>0.15190000000000003</v>
      </c>
    </row>
    <row r="318" spans="1:6" x14ac:dyDescent="0.35">
      <c r="A318" s="5" t="s">
        <v>250</v>
      </c>
      <c r="B318" s="5" t="s">
        <v>100</v>
      </c>
      <c r="C318" s="6">
        <v>0.11</v>
      </c>
      <c r="D318" s="7">
        <f t="shared" si="13"/>
        <v>6.5000000000000002E-2</v>
      </c>
      <c r="E318" s="7">
        <f t="shared" si="14"/>
        <v>1.3000000000000002E-3</v>
      </c>
      <c r="F318" s="7">
        <f t="shared" si="15"/>
        <v>6.3700000000000007E-2</v>
      </c>
    </row>
    <row r="319" spans="1:6" x14ac:dyDescent="0.35">
      <c r="A319" s="5" t="s">
        <v>251</v>
      </c>
      <c r="B319" s="5" t="s">
        <v>100</v>
      </c>
      <c r="C319" s="6">
        <v>0.25</v>
      </c>
      <c r="D319" s="7">
        <f t="shared" si="13"/>
        <v>0.20500000000000002</v>
      </c>
      <c r="E319" s="7">
        <f t="shared" si="14"/>
        <v>4.1000000000000003E-3</v>
      </c>
      <c r="F319" s="7">
        <f t="shared" si="15"/>
        <v>0.20090000000000002</v>
      </c>
    </row>
    <row r="320" spans="1:6" x14ac:dyDescent="0.35">
      <c r="A320" s="2" t="s">
        <v>252</v>
      </c>
      <c r="B320" s="2" t="s">
        <v>1</v>
      </c>
      <c r="C320" s="3" t="s">
        <v>2</v>
      </c>
      <c r="D320" s="4" t="s">
        <v>4</v>
      </c>
      <c r="E320" s="4" t="s">
        <v>5</v>
      </c>
      <c r="F320" s="4" t="s">
        <v>6</v>
      </c>
    </row>
    <row r="321" spans="1:6" ht="24" x14ac:dyDescent="0.35">
      <c r="A321" s="5" t="s">
        <v>641</v>
      </c>
      <c r="B321" s="5" t="s">
        <v>419</v>
      </c>
      <c r="C321" s="7">
        <v>0.15</v>
      </c>
      <c r="D321" s="7">
        <f t="shared" si="13"/>
        <v>0.105</v>
      </c>
      <c r="E321" s="7">
        <f t="shared" si="14"/>
        <v>2.0999999999999999E-3</v>
      </c>
      <c r="F321" s="7">
        <f t="shared" si="15"/>
        <v>0.10289999999999999</v>
      </c>
    </row>
    <row r="322" spans="1:6" ht="24" x14ac:dyDescent="0.35">
      <c r="A322" s="5" t="s">
        <v>642</v>
      </c>
      <c r="B322" s="5" t="s">
        <v>643</v>
      </c>
      <c r="C322" s="7">
        <v>0.25</v>
      </c>
      <c r="D322" s="7">
        <f t="shared" si="13"/>
        <v>0.20500000000000002</v>
      </c>
      <c r="E322" s="7">
        <f t="shared" si="14"/>
        <v>4.1000000000000003E-3</v>
      </c>
      <c r="F322" s="7">
        <f t="shared" si="15"/>
        <v>0.20090000000000002</v>
      </c>
    </row>
    <row r="323" spans="1:6" ht="24" x14ac:dyDescent="0.35">
      <c r="A323" s="5" t="s">
        <v>506</v>
      </c>
      <c r="B323" s="5" t="s">
        <v>419</v>
      </c>
      <c r="C323" s="7">
        <v>0.17499999999999999</v>
      </c>
      <c r="D323" s="7">
        <f t="shared" si="13"/>
        <v>0.13</v>
      </c>
      <c r="E323" s="7">
        <f t="shared" si="14"/>
        <v>2.6000000000000003E-3</v>
      </c>
      <c r="F323" s="7">
        <f t="shared" si="15"/>
        <v>0.12740000000000001</v>
      </c>
    </row>
    <row r="324" spans="1:6" x14ac:dyDescent="0.35">
      <c r="A324" s="5" t="s">
        <v>644</v>
      </c>
      <c r="B324" s="5" t="s">
        <v>100</v>
      </c>
      <c r="C324" s="7">
        <v>0.1</v>
      </c>
      <c r="D324" s="7">
        <f t="shared" si="13"/>
        <v>5.5000000000000007E-2</v>
      </c>
      <c r="E324" s="7">
        <f t="shared" si="14"/>
        <v>1.1000000000000001E-3</v>
      </c>
      <c r="F324" s="7">
        <f t="shared" si="15"/>
        <v>5.390000000000001E-2</v>
      </c>
    </row>
    <row r="325" spans="1:6" x14ac:dyDescent="0.35">
      <c r="A325" s="5" t="s">
        <v>257</v>
      </c>
      <c r="B325" s="5" t="s">
        <v>100</v>
      </c>
      <c r="C325" s="7">
        <v>0.125</v>
      </c>
      <c r="D325" s="7">
        <f t="shared" si="13"/>
        <v>0.08</v>
      </c>
      <c r="E325" s="7">
        <f t="shared" si="14"/>
        <v>1.6000000000000001E-3</v>
      </c>
      <c r="F325" s="7">
        <f t="shared" si="15"/>
        <v>7.8399999999999997E-2</v>
      </c>
    </row>
    <row r="326" spans="1:6" x14ac:dyDescent="0.35">
      <c r="A326" s="11" t="s">
        <v>259</v>
      </c>
      <c r="B326" s="5" t="s">
        <v>100</v>
      </c>
      <c r="C326" s="7">
        <v>0.19500000000000001</v>
      </c>
      <c r="D326" s="7">
        <f t="shared" si="13"/>
        <v>0.15000000000000002</v>
      </c>
      <c r="E326" s="7">
        <f t="shared" si="14"/>
        <v>3.0000000000000005E-3</v>
      </c>
      <c r="F326" s="7">
        <f t="shared" si="15"/>
        <v>0.14700000000000002</v>
      </c>
    </row>
    <row r="327" spans="1:6" ht="24" x14ac:dyDescent="0.35">
      <c r="A327" s="11" t="s">
        <v>515</v>
      </c>
      <c r="B327" s="5" t="s">
        <v>645</v>
      </c>
      <c r="C327" s="7">
        <v>0.28000000000000003</v>
      </c>
      <c r="D327" s="7">
        <f t="shared" si="13"/>
        <v>0.23500000000000004</v>
      </c>
      <c r="E327" s="7">
        <f t="shared" si="14"/>
        <v>4.7000000000000011E-3</v>
      </c>
      <c r="F327" s="7">
        <f t="shared" si="15"/>
        <v>0.23030000000000003</v>
      </c>
    </row>
    <row r="328" spans="1:6" x14ac:dyDescent="0.35">
      <c r="A328" s="44" t="s">
        <v>646</v>
      </c>
      <c r="B328" s="5" t="s">
        <v>647</v>
      </c>
      <c r="C328" s="7">
        <v>0.12</v>
      </c>
      <c r="D328" s="7">
        <f t="shared" si="13"/>
        <v>7.4999999999999997E-2</v>
      </c>
      <c r="E328" s="7">
        <f t="shared" si="14"/>
        <v>1.5E-3</v>
      </c>
      <c r="F328" s="7">
        <f t="shared" si="15"/>
        <v>7.3499999999999996E-2</v>
      </c>
    </row>
    <row r="329" spans="1:6" x14ac:dyDescent="0.35">
      <c r="A329" s="47"/>
      <c r="B329" s="5" t="s">
        <v>648</v>
      </c>
      <c r="C329" s="7">
        <v>0.11</v>
      </c>
      <c r="D329" s="7">
        <f t="shared" si="13"/>
        <v>6.5000000000000002E-2</v>
      </c>
      <c r="E329" s="7">
        <f t="shared" si="14"/>
        <v>1.3000000000000002E-3</v>
      </c>
      <c r="F329" s="7">
        <f t="shared" si="15"/>
        <v>6.3700000000000007E-2</v>
      </c>
    </row>
    <row r="330" spans="1:6" x14ac:dyDescent="0.35">
      <c r="A330" s="47"/>
      <c r="B330" s="5" t="s">
        <v>556</v>
      </c>
      <c r="C330" s="7">
        <v>0.09</v>
      </c>
      <c r="D330" s="7">
        <f t="shared" si="13"/>
        <v>4.4999999999999998E-2</v>
      </c>
      <c r="E330" s="7">
        <f t="shared" si="14"/>
        <v>8.9999999999999998E-4</v>
      </c>
      <c r="F330" s="7">
        <f t="shared" si="15"/>
        <v>4.41E-2</v>
      </c>
    </row>
    <row r="331" spans="1:6" x14ac:dyDescent="0.35">
      <c r="A331" s="47"/>
      <c r="B331" s="5" t="s">
        <v>557</v>
      </c>
      <c r="C331" s="7">
        <v>0.09</v>
      </c>
      <c r="D331" s="7">
        <f t="shared" si="13"/>
        <v>4.4999999999999998E-2</v>
      </c>
      <c r="E331" s="7">
        <f t="shared" si="14"/>
        <v>8.9999999999999998E-4</v>
      </c>
      <c r="F331" s="7">
        <f t="shared" si="15"/>
        <v>4.41E-2</v>
      </c>
    </row>
    <row r="332" spans="1:6" x14ac:dyDescent="0.35">
      <c r="A332" s="47"/>
      <c r="B332" s="5" t="s">
        <v>560</v>
      </c>
      <c r="C332" s="7">
        <v>0.09</v>
      </c>
      <c r="D332" s="7">
        <f t="shared" ref="D332:D387" si="19">C332-(4.5%)</f>
        <v>4.4999999999999998E-2</v>
      </c>
      <c r="E332" s="7">
        <f t="shared" ref="E332:E387" si="20">D332*2%</f>
        <v>8.9999999999999998E-4</v>
      </c>
      <c r="F332" s="7">
        <f t="shared" ref="F332:F387" si="21">D332-E332</f>
        <v>4.41E-2</v>
      </c>
    </row>
    <row r="333" spans="1:6" x14ac:dyDescent="0.35">
      <c r="A333" s="45"/>
      <c r="B333" s="5" t="s">
        <v>561</v>
      </c>
      <c r="C333" s="7">
        <v>0.09</v>
      </c>
      <c r="D333" s="7">
        <f t="shared" si="19"/>
        <v>4.4999999999999998E-2</v>
      </c>
      <c r="E333" s="7">
        <f t="shared" si="20"/>
        <v>8.9999999999999998E-4</v>
      </c>
      <c r="F333" s="7">
        <f t="shared" si="21"/>
        <v>4.41E-2</v>
      </c>
    </row>
    <row r="334" spans="1:6" x14ac:dyDescent="0.35">
      <c r="A334" s="44" t="s">
        <v>649</v>
      </c>
      <c r="B334" s="5" t="s">
        <v>647</v>
      </c>
      <c r="C334" s="7">
        <v>0.1</v>
      </c>
      <c r="D334" s="7">
        <f t="shared" si="19"/>
        <v>5.5000000000000007E-2</v>
      </c>
      <c r="E334" s="7">
        <f t="shared" si="20"/>
        <v>1.1000000000000001E-3</v>
      </c>
      <c r="F334" s="7">
        <f t="shared" si="21"/>
        <v>5.390000000000001E-2</v>
      </c>
    </row>
    <row r="335" spans="1:6" x14ac:dyDescent="0.35">
      <c r="A335" s="47"/>
      <c r="B335" s="5" t="s">
        <v>648</v>
      </c>
      <c r="C335" s="7">
        <v>7.0000000000000007E-2</v>
      </c>
      <c r="D335" s="7">
        <f t="shared" si="19"/>
        <v>2.5000000000000008E-2</v>
      </c>
      <c r="E335" s="7">
        <f t="shared" si="20"/>
        <v>5.0000000000000023E-4</v>
      </c>
      <c r="F335" s="7">
        <f t="shared" si="21"/>
        <v>2.4500000000000008E-2</v>
      </c>
    </row>
    <row r="336" spans="1:6" x14ac:dyDescent="0.35">
      <c r="A336" s="47"/>
      <c r="B336" s="5" t="s">
        <v>556</v>
      </c>
      <c r="C336" s="7">
        <v>7.0000000000000007E-2</v>
      </c>
      <c r="D336" s="7">
        <f t="shared" si="19"/>
        <v>2.5000000000000008E-2</v>
      </c>
      <c r="E336" s="7">
        <f t="shared" si="20"/>
        <v>5.0000000000000023E-4</v>
      </c>
      <c r="F336" s="7">
        <f t="shared" si="21"/>
        <v>2.4500000000000008E-2</v>
      </c>
    </row>
    <row r="337" spans="1:6" x14ac:dyDescent="0.35">
      <c r="A337" s="47"/>
      <c r="B337" s="5" t="s">
        <v>557</v>
      </c>
      <c r="C337" s="7">
        <v>7.0000000000000007E-2</v>
      </c>
      <c r="D337" s="7">
        <f t="shared" si="19"/>
        <v>2.5000000000000008E-2</v>
      </c>
      <c r="E337" s="7">
        <f t="shared" si="20"/>
        <v>5.0000000000000023E-4</v>
      </c>
      <c r="F337" s="7">
        <f t="shared" si="21"/>
        <v>2.4500000000000008E-2</v>
      </c>
    </row>
    <row r="338" spans="1:6" x14ac:dyDescent="0.35">
      <c r="A338" s="47"/>
      <c r="B338" s="5" t="s">
        <v>560</v>
      </c>
      <c r="C338" s="7">
        <v>0.09</v>
      </c>
      <c r="D338" s="7">
        <f t="shared" si="19"/>
        <v>4.4999999999999998E-2</v>
      </c>
      <c r="E338" s="7">
        <f t="shared" si="20"/>
        <v>8.9999999999999998E-4</v>
      </c>
      <c r="F338" s="7">
        <f t="shared" si="21"/>
        <v>4.41E-2</v>
      </c>
    </row>
    <row r="339" spans="1:6" x14ac:dyDescent="0.35">
      <c r="A339" s="45"/>
      <c r="B339" s="5" t="s">
        <v>561</v>
      </c>
      <c r="C339" s="7">
        <v>0.09</v>
      </c>
      <c r="D339" s="7">
        <f t="shared" si="19"/>
        <v>4.4999999999999998E-2</v>
      </c>
      <c r="E339" s="7">
        <f t="shared" si="20"/>
        <v>8.9999999999999998E-4</v>
      </c>
      <c r="F339" s="7">
        <f t="shared" si="21"/>
        <v>4.41E-2</v>
      </c>
    </row>
    <row r="340" spans="1:6" ht="36" x14ac:dyDescent="0.35">
      <c r="A340" s="41" t="s">
        <v>650</v>
      </c>
      <c r="B340" s="5" t="s">
        <v>563</v>
      </c>
      <c r="C340" s="7">
        <v>0.1</v>
      </c>
      <c r="D340" s="7">
        <f t="shared" si="19"/>
        <v>5.5000000000000007E-2</v>
      </c>
      <c r="E340" s="7">
        <f t="shared" si="20"/>
        <v>1.1000000000000001E-3</v>
      </c>
      <c r="F340" s="7">
        <f t="shared" si="21"/>
        <v>5.390000000000001E-2</v>
      </c>
    </row>
    <row r="341" spans="1:6" ht="48" x14ac:dyDescent="0.35">
      <c r="A341" s="42"/>
      <c r="B341" s="5" t="s">
        <v>564</v>
      </c>
      <c r="C341" s="7">
        <v>0.125</v>
      </c>
      <c r="D341" s="7">
        <f t="shared" si="19"/>
        <v>0.08</v>
      </c>
      <c r="E341" s="7">
        <f t="shared" si="20"/>
        <v>1.6000000000000001E-3</v>
      </c>
      <c r="F341" s="7">
        <f t="shared" si="21"/>
        <v>7.8399999999999997E-2</v>
      </c>
    </row>
    <row r="342" spans="1:6" x14ac:dyDescent="0.35">
      <c r="A342" s="42"/>
      <c r="B342" s="5" t="s">
        <v>565</v>
      </c>
      <c r="C342" s="7">
        <v>0.155</v>
      </c>
      <c r="D342" s="7">
        <f t="shared" si="19"/>
        <v>0.11</v>
      </c>
      <c r="E342" s="7">
        <f t="shared" si="20"/>
        <v>2.2000000000000001E-3</v>
      </c>
      <c r="F342" s="7">
        <f t="shared" si="21"/>
        <v>0.10780000000000001</v>
      </c>
    </row>
    <row r="343" spans="1:6" ht="36" x14ac:dyDescent="0.35">
      <c r="A343" s="43"/>
      <c r="B343" s="5" t="s">
        <v>566</v>
      </c>
      <c r="C343" s="7">
        <v>0.19500000000000001</v>
      </c>
      <c r="D343" s="7">
        <f t="shared" si="19"/>
        <v>0.15000000000000002</v>
      </c>
      <c r="E343" s="7">
        <f t="shared" si="20"/>
        <v>3.0000000000000005E-3</v>
      </c>
      <c r="F343" s="7">
        <f t="shared" si="21"/>
        <v>0.14700000000000002</v>
      </c>
    </row>
    <row r="344" spans="1:6" ht="36" x14ac:dyDescent="0.35">
      <c r="A344" s="41" t="s">
        <v>651</v>
      </c>
      <c r="B344" s="5" t="s">
        <v>563</v>
      </c>
      <c r="C344" s="7">
        <v>0</v>
      </c>
      <c r="D344" s="7" t="s">
        <v>20</v>
      </c>
      <c r="E344" s="7" t="s">
        <v>20</v>
      </c>
      <c r="F344" s="7" t="s">
        <v>20</v>
      </c>
    </row>
    <row r="345" spans="1:6" ht="48" x14ac:dyDescent="0.35">
      <c r="A345" s="42"/>
      <c r="B345" s="5" t="s">
        <v>564</v>
      </c>
      <c r="C345" s="7">
        <v>0</v>
      </c>
      <c r="D345" s="7" t="s">
        <v>20</v>
      </c>
      <c r="E345" s="7" t="s">
        <v>20</v>
      </c>
      <c r="F345" s="7" t="s">
        <v>20</v>
      </c>
    </row>
    <row r="346" spans="1:6" x14ac:dyDescent="0.35">
      <c r="A346" s="42"/>
      <c r="B346" s="5" t="s">
        <v>565</v>
      </c>
      <c r="C346" s="7">
        <v>0.17499999999999999</v>
      </c>
      <c r="D346" s="7">
        <f t="shared" si="19"/>
        <v>0.13</v>
      </c>
      <c r="E346" s="7">
        <f t="shared" si="20"/>
        <v>2.6000000000000003E-3</v>
      </c>
      <c r="F346" s="7">
        <f t="shared" si="21"/>
        <v>0.12740000000000001</v>
      </c>
    </row>
    <row r="347" spans="1:6" ht="36" x14ac:dyDescent="0.35">
      <c r="A347" s="43"/>
      <c r="B347" s="5" t="s">
        <v>566</v>
      </c>
      <c r="C347" s="7">
        <v>0.1</v>
      </c>
      <c r="D347" s="7">
        <f t="shared" si="19"/>
        <v>5.5000000000000007E-2</v>
      </c>
      <c r="E347" s="7">
        <f t="shared" si="20"/>
        <v>1.1000000000000001E-3</v>
      </c>
      <c r="F347" s="7">
        <f t="shared" si="21"/>
        <v>5.390000000000001E-2</v>
      </c>
    </row>
    <row r="348" spans="1:6" ht="36" x14ac:dyDescent="0.35">
      <c r="A348" s="41" t="s">
        <v>519</v>
      </c>
      <c r="B348" s="5" t="s">
        <v>563</v>
      </c>
      <c r="C348" s="7">
        <v>0.155</v>
      </c>
      <c r="D348" s="7">
        <f t="shared" si="19"/>
        <v>0.11</v>
      </c>
      <c r="E348" s="7">
        <f t="shared" si="20"/>
        <v>2.2000000000000001E-3</v>
      </c>
      <c r="F348" s="7">
        <f t="shared" si="21"/>
        <v>0.10780000000000001</v>
      </c>
    </row>
    <row r="349" spans="1:6" ht="48" x14ac:dyDescent="0.35">
      <c r="A349" s="42"/>
      <c r="B349" s="5" t="s">
        <v>564</v>
      </c>
      <c r="C349" s="7">
        <v>0</v>
      </c>
      <c r="D349" s="7" t="s">
        <v>20</v>
      </c>
      <c r="E349" s="7" t="s">
        <v>20</v>
      </c>
      <c r="F349" s="7" t="s">
        <v>20</v>
      </c>
    </row>
    <row r="350" spans="1:6" x14ac:dyDescent="0.35">
      <c r="A350" s="42"/>
      <c r="B350" s="5" t="s">
        <v>565</v>
      </c>
      <c r="C350" s="7">
        <v>0</v>
      </c>
      <c r="D350" s="7" t="s">
        <v>20</v>
      </c>
      <c r="E350" s="7" t="s">
        <v>20</v>
      </c>
      <c r="F350" s="7" t="s">
        <v>20</v>
      </c>
    </row>
    <row r="351" spans="1:6" ht="36" x14ac:dyDescent="0.35">
      <c r="A351" s="43"/>
      <c r="B351" s="5" t="s">
        <v>566</v>
      </c>
      <c r="C351" s="7">
        <v>0.1</v>
      </c>
      <c r="D351" s="7">
        <f t="shared" si="19"/>
        <v>5.5000000000000007E-2</v>
      </c>
      <c r="E351" s="7">
        <f t="shared" si="20"/>
        <v>1.1000000000000001E-3</v>
      </c>
      <c r="F351" s="7">
        <f t="shared" si="21"/>
        <v>5.390000000000001E-2</v>
      </c>
    </row>
    <row r="352" spans="1:6" x14ac:dyDescent="0.35">
      <c r="A352" s="5" t="s">
        <v>1159</v>
      </c>
      <c r="B352" s="5" t="s">
        <v>100</v>
      </c>
      <c r="C352" s="7">
        <v>0.125</v>
      </c>
      <c r="D352" s="7">
        <f t="shared" si="19"/>
        <v>0.08</v>
      </c>
      <c r="E352" s="7">
        <f t="shared" si="20"/>
        <v>1.6000000000000001E-3</v>
      </c>
      <c r="F352" s="7">
        <f t="shared" si="21"/>
        <v>7.8399999999999997E-2</v>
      </c>
    </row>
    <row r="353" spans="1:6" x14ac:dyDescent="0.35">
      <c r="A353" s="5" t="s">
        <v>1160</v>
      </c>
      <c r="B353" s="5" t="s">
        <v>100</v>
      </c>
      <c r="C353" s="7">
        <v>0.05</v>
      </c>
      <c r="D353" s="7" t="s">
        <v>20</v>
      </c>
      <c r="E353" s="7" t="s">
        <v>20</v>
      </c>
      <c r="F353" s="7" t="s">
        <v>20</v>
      </c>
    </row>
    <row r="354" spans="1:6" x14ac:dyDescent="0.35">
      <c r="A354" s="5" t="s">
        <v>334</v>
      </c>
      <c r="B354" s="5" t="s">
        <v>100</v>
      </c>
      <c r="C354" s="7">
        <v>0.25</v>
      </c>
      <c r="D354" s="7">
        <f t="shared" si="19"/>
        <v>0.20500000000000002</v>
      </c>
      <c r="E354" s="7">
        <f t="shared" si="20"/>
        <v>4.1000000000000003E-3</v>
      </c>
      <c r="F354" s="7">
        <f t="shared" si="21"/>
        <v>0.20090000000000002</v>
      </c>
    </row>
    <row r="355" spans="1:6" x14ac:dyDescent="0.35">
      <c r="A355" s="5" t="s">
        <v>1297</v>
      </c>
      <c r="B355" s="5" t="s">
        <v>100</v>
      </c>
      <c r="C355" s="6">
        <v>0.25</v>
      </c>
      <c r="D355" s="7">
        <f t="shared" ref="D355:D356" si="22">C355-(4.5%)</f>
        <v>0.20500000000000002</v>
      </c>
      <c r="E355" s="7">
        <f t="shared" ref="E355:E356" si="23">D355*2%</f>
        <v>4.1000000000000003E-3</v>
      </c>
      <c r="F355" s="7">
        <f t="shared" ref="F355:F356" si="24">D355-E355</f>
        <v>0.20090000000000002</v>
      </c>
    </row>
    <row r="356" spans="1:6" x14ac:dyDescent="0.35">
      <c r="A356" s="5" t="s">
        <v>1298</v>
      </c>
      <c r="B356" s="5" t="s">
        <v>100</v>
      </c>
      <c r="C356" s="6">
        <v>0.245</v>
      </c>
      <c r="D356" s="7">
        <f t="shared" si="22"/>
        <v>0.2</v>
      </c>
      <c r="E356" s="7">
        <f t="shared" si="23"/>
        <v>4.0000000000000001E-3</v>
      </c>
      <c r="F356" s="7">
        <f t="shared" si="24"/>
        <v>0.19600000000000001</v>
      </c>
    </row>
    <row r="357" spans="1:6" x14ac:dyDescent="0.35">
      <c r="A357" s="14" t="s">
        <v>282</v>
      </c>
      <c r="B357" s="5" t="s">
        <v>100</v>
      </c>
      <c r="C357" s="6">
        <v>0.3</v>
      </c>
      <c r="D357" s="7">
        <f t="shared" si="19"/>
        <v>0.255</v>
      </c>
      <c r="E357" s="7">
        <f t="shared" si="20"/>
        <v>5.1000000000000004E-3</v>
      </c>
      <c r="F357" s="7">
        <f t="shared" si="21"/>
        <v>0.24990000000000001</v>
      </c>
    </row>
    <row r="358" spans="1:6" x14ac:dyDescent="0.35">
      <c r="A358" s="14" t="s">
        <v>283</v>
      </c>
      <c r="B358" s="5" t="s">
        <v>100</v>
      </c>
      <c r="C358" s="6">
        <v>0.27</v>
      </c>
      <c r="D358" s="7">
        <f t="shared" si="19"/>
        <v>0.22500000000000003</v>
      </c>
      <c r="E358" s="7">
        <f t="shared" si="20"/>
        <v>4.5000000000000005E-3</v>
      </c>
      <c r="F358" s="7">
        <f t="shared" si="21"/>
        <v>0.22050000000000003</v>
      </c>
    </row>
    <row r="359" spans="1:6" x14ac:dyDescent="0.35">
      <c r="A359" s="14" t="s">
        <v>284</v>
      </c>
      <c r="B359" s="5" t="s">
        <v>100</v>
      </c>
      <c r="C359" s="6">
        <v>0.22</v>
      </c>
      <c r="D359" s="7">
        <f t="shared" si="19"/>
        <v>0.17499999999999999</v>
      </c>
      <c r="E359" s="7">
        <f t="shared" si="20"/>
        <v>3.4999999999999996E-3</v>
      </c>
      <c r="F359" s="7">
        <f t="shared" si="21"/>
        <v>0.17149999999999999</v>
      </c>
    </row>
    <row r="360" spans="1:6" x14ac:dyDescent="0.35">
      <c r="A360" s="14" t="s">
        <v>285</v>
      </c>
      <c r="B360" s="5" t="s">
        <v>100</v>
      </c>
      <c r="C360" s="6">
        <v>0.19500000000000001</v>
      </c>
      <c r="D360" s="7">
        <f t="shared" si="19"/>
        <v>0.15000000000000002</v>
      </c>
      <c r="E360" s="7">
        <f t="shared" si="20"/>
        <v>3.0000000000000005E-3</v>
      </c>
      <c r="F360" s="7">
        <f t="shared" si="21"/>
        <v>0.14700000000000002</v>
      </c>
    </row>
    <row r="361" spans="1:6" x14ac:dyDescent="0.35">
      <c r="A361" s="5" t="s">
        <v>286</v>
      </c>
      <c r="B361" s="5" t="s">
        <v>100</v>
      </c>
      <c r="C361" s="6">
        <v>0.15</v>
      </c>
      <c r="D361" s="7">
        <f t="shared" si="19"/>
        <v>0.105</v>
      </c>
      <c r="E361" s="7">
        <f t="shared" si="20"/>
        <v>2.0999999999999999E-3</v>
      </c>
      <c r="F361" s="7">
        <f t="shared" si="21"/>
        <v>0.10289999999999999</v>
      </c>
    </row>
    <row r="362" spans="1:6" x14ac:dyDescent="0.35">
      <c r="A362" s="5" t="s">
        <v>300</v>
      </c>
      <c r="B362" s="5" t="s">
        <v>652</v>
      </c>
      <c r="C362" s="7">
        <v>0.22500000000000001</v>
      </c>
      <c r="D362" s="7">
        <f t="shared" si="19"/>
        <v>0.18</v>
      </c>
      <c r="E362" s="7">
        <f t="shared" si="20"/>
        <v>3.5999999999999999E-3</v>
      </c>
      <c r="F362" s="7">
        <f t="shared" si="21"/>
        <v>0.1764</v>
      </c>
    </row>
    <row r="363" spans="1:6" x14ac:dyDescent="0.35">
      <c r="A363" s="5" t="s">
        <v>302</v>
      </c>
      <c r="B363" s="5" t="s">
        <v>652</v>
      </c>
      <c r="C363" s="7">
        <v>0.19500000000000001</v>
      </c>
      <c r="D363" s="7">
        <f t="shared" si="19"/>
        <v>0.15000000000000002</v>
      </c>
      <c r="E363" s="7">
        <f t="shared" si="20"/>
        <v>3.0000000000000005E-3</v>
      </c>
      <c r="F363" s="7">
        <f t="shared" si="21"/>
        <v>0.14700000000000002</v>
      </c>
    </row>
    <row r="364" spans="1:6" x14ac:dyDescent="0.35">
      <c r="A364" s="5" t="s">
        <v>303</v>
      </c>
      <c r="B364" s="5" t="s">
        <v>652</v>
      </c>
      <c r="C364" s="7">
        <v>0.19500000000000001</v>
      </c>
      <c r="D364" s="7">
        <f t="shared" si="19"/>
        <v>0.15000000000000002</v>
      </c>
      <c r="E364" s="7">
        <f t="shared" si="20"/>
        <v>3.0000000000000005E-3</v>
      </c>
      <c r="F364" s="7">
        <f t="shared" si="21"/>
        <v>0.14700000000000002</v>
      </c>
    </row>
    <row r="365" spans="1:6" x14ac:dyDescent="0.35">
      <c r="A365" s="5" t="s">
        <v>309</v>
      </c>
      <c r="B365" s="5"/>
      <c r="C365" s="7">
        <v>0.35</v>
      </c>
      <c r="D365" s="7">
        <f t="shared" si="19"/>
        <v>0.30499999999999999</v>
      </c>
      <c r="E365" s="7">
        <f t="shared" si="20"/>
        <v>6.1000000000000004E-3</v>
      </c>
      <c r="F365" s="7">
        <f t="shared" si="21"/>
        <v>0.2989</v>
      </c>
    </row>
    <row r="366" spans="1:6" x14ac:dyDescent="0.35">
      <c r="A366" s="5" t="s">
        <v>312</v>
      </c>
      <c r="B366" s="5"/>
      <c r="C366" s="7">
        <v>0.3</v>
      </c>
      <c r="D366" s="7">
        <f t="shared" si="19"/>
        <v>0.255</v>
      </c>
      <c r="E366" s="7">
        <f t="shared" si="20"/>
        <v>5.1000000000000004E-3</v>
      </c>
      <c r="F366" s="7">
        <f t="shared" si="21"/>
        <v>0.24990000000000001</v>
      </c>
    </row>
    <row r="367" spans="1:6" x14ac:dyDescent="0.35">
      <c r="A367" s="5" t="s">
        <v>1457</v>
      </c>
      <c r="B367" s="5" t="s">
        <v>100</v>
      </c>
      <c r="C367" s="7">
        <v>0.24</v>
      </c>
      <c r="D367" s="7">
        <f t="shared" si="19"/>
        <v>0.19500000000000001</v>
      </c>
      <c r="E367" s="7">
        <f t="shared" si="20"/>
        <v>3.9000000000000003E-3</v>
      </c>
      <c r="F367" s="7">
        <f t="shared" si="21"/>
        <v>0.19110000000000002</v>
      </c>
    </row>
    <row r="368" spans="1:6" x14ac:dyDescent="0.35">
      <c r="A368" s="5" t="s">
        <v>1505</v>
      </c>
      <c r="B368" s="5" t="s">
        <v>100</v>
      </c>
      <c r="C368" s="7">
        <v>0.21</v>
      </c>
      <c r="D368" s="7">
        <f t="shared" si="19"/>
        <v>0.16499999999999998</v>
      </c>
      <c r="E368" s="7">
        <f t="shared" si="20"/>
        <v>3.2999999999999995E-3</v>
      </c>
      <c r="F368" s="7">
        <f t="shared" si="21"/>
        <v>0.16169999999999998</v>
      </c>
    </row>
    <row r="369" spans="1:6" x14ac:dyDescent="0.35">
      <c r="A369" s="2" t="s">
        <v>318</v>
      </c>
      <c r="B369" s="2" t="s">
        <v>1</v>
      </c>
      <c r="C369" s="3" t="s">
        <v>2</v>
      </c>
      <c r="D369" s="4" t="s">
        <v>4</v>
      </c>
      <c r="E369" s="4" t="s">
        <v>5</v>
      </c>
      <c r="F369" s="4" t="s">
        <v>6</v>
      </c>
    </row>
    <row r="370" spans="1:6" x14ac:dyDescent="0.35">
      <c r="A370" s="5" t="s">
        <v>320</v>
      </c>
      <c r="B370" s="5" t="s">
        <v>100</v>
      </c>
      <c r="C370" s="7">
        <v>0.5</v>
      </c>
      <c r="D370" s="7">
        <f t="shared" si="19"/>
        <v>0.45500000000000002</v>
      </c>
      <c r="E370" s="7">
        <f t="shared" si="20"/>
        <v>9.1000000000000004E-3</v>
      </c>
      <c r="F370" s="7">
        <f t="shared" si="21"/>
        <v>0.44590000000000002</v>
      </c>
    </row>
    <row r="371" spans="1:6" x14ac:dyDescent="0.35">
      <c r="A371" s="48" t="s">
        <v>653</v>
      </c>
      <c r="B371" s="5" t="s">
        <v>323</v>
      </c>
      <c r="C371" s="7">
        <v>0.05</v>
      </c>
      <c r="D371" s="7" t="s">
        <v>20</v>
      </c>
      <c r="E371" s="7" t="s">
        <v>20</v>
      </c>
      <c r="F371" s="7" t="s">
        <v>20</v>
      </c>
    </row>
    <row r="372" spans="1:6" x14ac:dyDescent="0.35">
      <c r="A372" s="48"/>
      <c r="B372" s="5" t="s">
        <v>324</v>
      </c>
      <c r="C372" s="7">
        <v>7.4999999999999997E-2</v>
      </c>
      <c r="D372" s="7">
        <f t="shared" si="19"/>
        <v>0.03</v>
      </c>
      <c r="E372" s="7">
        <f t="shared" si="20"/>
        <v>5.9999999999999995E-4</v>
      </c>
      <c r="F372" s="7">
        <f t="shared" si="21"/>
        <v>2.9399999999999999E-2</v>
      </c>
    </row>
    <row r="373" spans="1:6" ht="24" x14ac:dyDescent="0.35">
      <c r="A373" s="5" t="s">
        <v>654</v>
      </c>
      <c r="B373" s="5" t="s">
        <v>655</v>
      </c>
      <c r="C373" s="7">
        <v>0.05</v>
      </c>
      <c r="D373" s="7" t="s">
        <v>20</v>
      </c>
      <c r="E373" s="7" t="s">
        <v>20</v>
      </c>
      <c r="F373" s="7" t="s">
        <v>20</v>
      </c>
    </row>
    <row r="374" spans="1:6" x14ac:dyDescent="0.35">
      <c r="A374" s="5" t="s">
        <v>656</v>
      </c>
      <c r="B374" s="5" t="s">
        <v>657</v>
      </c>
      <c r="C374" s="7">
        <v>0.33</v>
      </c>
      <c r="D374" s="7">
        <f t="shared" si="19"/>
        <v>0.28500000000000003</v>
      </c>
      <c r="E374" s="7">
        <f t="shared" si="20"/>
        <v>5.7000000000000011E-3</v>
      </c>
      <c r="F374" s="7">
        <f t="shared" si="21"/>
        <v>0.27930000000000005</v>
      </c>
    </row>
    <row r="375" spans="1:6" x14ac:dyDescent="0.35">
      <c r="A375" s="2" t="s">
        <v>340</v>
      </c>
      <c r="B375" s="2" t="s">
        <v>1</v>
      </c>
      <c r="C375" s="3" t="s">
        <v>2</v>
      </c>
      <c r="D375" s="4" t="s">
        <v>4</v>
      </c>
      <c r="E375" s="4" t="s">
        <v>5</v>
      </c>
      <c r="F375" s="4" t="s">
        <v>6</v>
      </c>
    </row>
    <row r="376" spans="1:6" x14ac:dyDescent="0.35">
      <c r="A376" s="5" t="s">
        <v>320</v>
      </c>
      <c r="B376" s="5" t="s">
        <v>100</v>
      </c>
      <c r="C376" s="7">
        <v>0.5</v>
      </c>
      <c r="D376" s="7">
        <f t="shared" si="19"/>
        <v>0.45500000000000002</v>
      </c>
      <c r="E376" s="7">
        <f t="shared" si="20"/>
        <v>9.1000000000000004E-3</v>
      </c>
      <c r="F376" s="7">
        <f t="shared" si="21"/>
        <v>0.44590000000000002</v>
      </c>
    </row>
    <row r="377" spans="1:6" ht="36" x14ac:dyDescent="0.35">
      <c r="A377" s="41" t="s">
        <v>349</v>
      </c>
      <c r="B377" s="5" t="s">
        <v>563</v>
      </c>
      <c r="C377" s="7">
        <v>0.16</v>
      </c>
      <c r="D377" s="7">
        <f t="shared" si="19"/>
        <v>0.115</v>
      </c>
      <c r="E377" s="7">
        <f t="shared" si="20"/>
        <v>2.3E-3</v>
      </c>
      <c r="F377" s="7">
        <f t="shared" si="21"/>
        <v>0.11270000000000001</v>
      </c>
    </row>
    <row r="378" spans="1:6" ht="48" x14ac:dyDescent="0.35">
      <c r="A378" s="42"/>
      <c r="B378" s="5" t="s">
        <v>564</v>
      </c>
      <c r="C378" s="7">
        <v>0.16</v>
      </c>
      <c r="D378" s="7">
        <f t="shared" si="19"/>
        <v>0.115</v>
      </c>
      <c r="E378" s="7">
        <f t="shared" si="20"/>
        <v>2.3E-3</v>
      </c>
      <c r="F378" s="7">
        <f t="shared" si="21"/>
        <v>0.11270000000000001</v>
      </c>
    </row>
    <row r="379" spans="1:6" x14ac:dyDescent="0.35">
      <c r="A379" s="42"/>
      <c r="B379" s="5" t="s">
        <v>565</v>
      </c>
      <c r="C379" s="7">
        <v>0.17499999999999999</v>
      </c>
      <c r="D379" s="7">
        <f t="shared" si="19"/>
        <v>0.13</v>
      </c>
      <c r="E379" s="7">
        <f t="shared" si="20"/>
        <v>2.6000000000000003E-3</v>
      </c>
      <c r="F379" s="7">
        <f t="shared" si="21"/>
        <v>0.12740000000000001</v>
      </c>
    </row>
    <row r="380" spans="1:6" ht="36" x14ac:dyDescent="0.35">
      <c r="A380" s="43"/>
      <c r="B380" s="5" t="s">
        <v>566</v>
      </c>
      <c r="C380" s="7">
        <v>0.17</v>
      </c>
      <c r="D380" s="7">
        <f t="shared" si="19"/>
        <v>0.125</v>
      </c>
      <c r="E380" s="7">
        <f t="shared" si="20"/>
        <v>2.5000000000000001E-3</v>
      </c>
      <c r="F380" s="7">
        <f t="shared" si="21"/>
        <v>0.1225</v>
      </c>
    </row>
    <row r="381" spans="1:6" ht="36" x14ac:dyDescent="0.35">
      <c r="A381" s="41" t="s">
        <v>350</v>
      </c>
      <c r="B381" s="5" t="s">
        <v>563</v>
      </c>
      <c r="C381" s="7">
        <v>0.16</v>
      </c>
      <c r="D381" s="7">
        <f t="shared" si="19"/>
        <v>0.115</v>
      </c>
      <c r="E381" s="7">
        <f t="shared" si="20"/>
        <v>2.3E-3</v>
      </c>
      <c r="F381" s="7">
        <f t="shared" si="21"/>
        <v>0.11270000000000001</v>
      </c>
    </row>
    <row r="382" spans="1:6" ht="48" x14ac:dyDescent="0.35">
      <c r="A382" s="42"/>
      <c r="B382" s="5" t="s">
        <v>564</v>
      </c>
      <c r="C382" s="7">
        <v>0.16</v>
      </c>
      <c r="D382" s="7">
        <f t="shared" si="19"/>
        <v>0.115</v>
      </c>
      <c r="E382" s="7">
        <f t="shared" si="20"/>
        <v>2.3E-3</v>
      </c>
      <c r="F382" s="7">
        <f t="shared" si="21"/>
        <v>0.11270000000000001</v>
      </c>
    </row>
    <row r="383" spans="1:6" x14ac:dyDescent="0.35">
      <c r="A383" s="42"/>
      <c r="B383" s="5" t="s">
        <v>565</v>
      </c>
      <c r="C383" s="7">
        <v>0</v>
      </c>
      <c r="D383" s="7" t="s">
        <v>20</v>
      </c>
      <c r="E383" s="7" t="s">
        <v>20</v>
      </c>
      <c r="F383" s="7" t="s">
        <v>20</v>
      </c>
    </row>
    <row r="384" spans="1:6" ht="36" x14ac:dyDescent="0.35">
      <c r="A384" s="43"/>
      <c r="B384" s="5" t="s">
        <v>566</v>
      </c>
      <c r="C384" s="7">
        <v>0</v>
      </c>
      <c r="D384" s="7" t="s">
        <v>20</v>
      </c>
      <c r="E384" s="7" t="s">
        <v>20</v>
      </c>
      <c r="F384" s="7" t="s">
        <v>20</v>
      </c>
    </row>
    <row r="385" spans="1:6" x14ac:dyDescent="0.35">
      <c r="A385" s="48" t="s">
        <v>658</v>
      </c>
      <c r="B385" s="5" t="s">
        <v>323</v>
      </c>
      <c r="C385" s="7">
        <v>0.1</v>
      </c>
      <c r="D385" s="7">
        <f t="shared" si="19"/>
        <v>5.5000000000000007E-2</v>
      </c>
      <c r="E385" s="7">
        <f t="shared" si="20"/>
        <v>1.1000000000000001E-3</v>
      </c>
      <c r="F385" s="7">
        <f t="shared" si="21"/>
        <v>5.390000000000001E-2</v>
      </c>
    </row>
    <row r="386" spans="1:6" x14ac:dyDescent="0.35">
      <c r="A386" s="48"/>
      <c r="B386" s="5" t="s">
        <v>324</v>
      </c>
      <c r="C386" s="7">
        <v>7.4999999999999997E-2</v>
      </c>
      <c r="D386" s="7">
        <f t="shared" si="19"/>
        <v>0.03</v>
      </c>
      <c r="E386" s="7">
        <f t="shared" si="20"/>
        <v>5.9999999999999995E-4</v>
      </c>
      <c r="F386" s="7">
        <f t="shared" si="21"/>
        <v>2.9399999999999999E-2</v>
      </c>
    </row>
    <row r="387" spans="1:6" x14ac:dyDescent="0.35">
      <c r="A387" s="5" t="s">
        <v>334</v>
      </c>
      <c r="B387" s="5" t="s">
        <v>100</v>
      </c>
      <c r="C387" s="6">
        <v>0.47499999999999998</v>
      </c>
      <c r="D387" s="7">
        <f t="shared" si="19"/>
        <v>0.43</v>
      </c>
      <c r="E387" s="7">
        <f t="shared" si="20"/>
        <v>8.6E-3</v>
      </c>
      <c r="F387" s="7">
        <f t="shared" si="21"/>
        <v>0.4214</v>
      </c>
    </row>
  </sheetData>
  <mergeCells count="50">
    <mergeCell ref="A269:A272"/>
    <mergeCell ref="A227:A228"/>
    <mergeCell ref="A162:A171"/>
    <mergeCell ref="A242:A251"/>
    <mergeCell ref="A198:A207"/>
    <mergeCell ref="A232:A241"/>
    <mergeCell ref="A172:A181"/>
    <mergeCell ref="A208:A217"/>
    <mergeCell ref="A190:A191"/>
    <mergeCell ref="A182:A185"/>
    <mergeCell ref="A218:A221"/>
    <mergeCell ref="A265:A268"/>
    <mergeCell ref="A186:A189"/>
    <mergeCell ref="A222:A225"/>
    <mergeCell ref="A278:A281"/>
    <mergeCell ref="A385:A386"/>
    <mergeCell ref="A377:A380"/>
    <mergeCell ref="A381:A384"/>
    <mergeCell ref="A371:A372"/>
    <mergeCell ref="A340:A343"/>
    <mergeCell ref="A328:A333"/>
    <mergeCell ref="A334:A339"/>
    <mergeCell ref="A344:A347"/>
    <mergeCell ref="A311:A313"/>
    <mergeCell ref="A304:A305"/>
    <mergeCell ref="A348:A351"/>
    <mergeCell ref="A300:A303"/>
    <mergeCell ref="A314:A316"/>
    <mergeCell ref="A73:A82"/>
    <mergeCell ref="A2:A3"/>
    <mergeCell ref="A9:A18"/>
    <mergeCell ref="A19:A28"/>
    <mergeCell ref="A29:A32"/>
    <mergeCell ref="A33:A36"/>
    <mergeCell ref="A49:A58"/>
    <mergeCell ref="A39:A48"/>
    <mergeCell ref="A158:A159"/>
    <mergeCell ref="A257:A258"/>
    <mergeCell ref="A83:A92"/>
    <mergeCell ref="A148:A157"/>
    <mergeCell ref="A115:A118"/>
    <mergeCell ref="A123:A126"/>
    <mergeCell ref="A101:A104"/>
    <mergeCell ref="A119:A122"/>
    <mergeCell ref="A127:A130"/>
    <mergeCell ref="A93:A94"/>
    <mergeCell ref="A138:A147"/>
    <mergeCell ref="A105:A106"/>
    <mergeCell ref="A131:A132"/>
    <mergeCell ref="A108:A110"/>
  </mergeCells>
  <printOptions horizontalCentered="1" verticalCentere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917B-7490-4DD5-8C53-25CA3EA2CC1C}">
  <dimension ref="A2:J387"/>
  <sheetViews>
    <sheetView showGridLines="0" topLeftCell="A387" workbookViewId="0">
      <selection activeCell="A2" sqref="A2:G387"/>
    </sheetView>
  </sheetViews>
  <sheetFormatPr defaultRowHeight="14.5" x14ac:dyDescent="0.35"/>
  <cols>
    <col min="1" max="1" width="35.453125" style="9" customWidth="1"/>
    <col min="2" max="2" width="32.453125" style="9" customWidth="1"/>
    <col min="3" max="3" width="5.7265625" hidden="1" customWidth="1"/>
    <col min="4" max="4" width="9" hidden="1" customWidth="1"/>
    <col min="5" max="5" width="10.453125" hidden="1" customWidth="1"/>
    <col min="6" max="6" width="9.81640625" hidden="1" customWidth="1"/>
    <col min="7" max="7" width="5.7265625" bestFit="1" customWidth="1"/>
  </cols>
  <sheetData>
    <row r="2" spans="1:7" ht="29.15" customHeight="1" x14ac:dyDescent="0.35">
      <c r="A2" s="46" t="s">
        <v>1286</v>
      </c>
      <c r="B2" s="1"/>
      <c r="C2" s="8"/>
      <c r="D2" s="8"/>
      <c r="E2" s="8"/>
      <c r="F2" s="8"/>
      <c r="G2" s="8"/>
    </row>
    <row r="3" spans="1:7" ht="43.5" customHeight="1" x14ac:dyDescent="0.35">
      <c r="A3" s="46"/>
      <c r="B3" s="1"/>
      <c r="C3" s="8"/>
      <c r="D3" s="8"/>
      <c r="E3" s="8"/>
      <c r="F3" s="8"/>
      <c r="G3" s="8"/>
    </row>
    <row r="4" spans="1:7" x14ac:dyDescent="0.35">
      <c r="C4" s="10"/>
      <c r="D4" s="10"/>
      <c r="E4" s="10"/>
      <c r="F4" s="10"/>
      <c r="G4" s="10"/>
    </row>
    <row r="5" spans="1:7" x14ac:dyDescent="0.35">
      <c r="A5" s="2" t="s">
        <v>0</v>
      </c>
      <c r="B5" s="2" t="s">
        <v>1</v>
      </c>
      <c r="C5" s="3" t="s">
        <v>2</v>
      </c>
      <c r="D5" s="4" t="s">
        <v>1275</v>
      </c>
      <c r="E5" s="4" t="s">
        <v>1276</v>
      </c>
      <c r="F5" s="4" t="s">
        <v>363</v>
      </c>
      <c r="G5" s="4" t="s">
        <v>364</v>
      </c>
    </row>
    <row r="6" spans="1:7" x14ac:dyDescent="0.35">
      <c r="A6" s="5" t="s">
        <v>9</v>
      </c>
      <c r="B6" s="5" t="s">
        <v>188</v>
      </c>
      <c r="C6" s="6">
        <v>0.4</v>
      </c>
      <c r="D6" s="7">
        <f t="shared" ref="D6" si="0">(C6-(C6*1.25%))</f>
        <v>0.39500000000000002</v>
      </c>
      <c r="E6" s="7">
        <f>D6-(2.5%)</f>
        <v>0.37</v>
      </c>
      <c r="F6" s="7">
        <f>E6*(2%)</f>
        <v>7.4000000000000003E-3</v>
      </c>
      <c r="G6" s="7">
        <f t="shared" ref="G6" si="1">E6-F6</f>
        <v>0.36259999999999998</v>
      </c>
    </row>
    <row r="7" spans="1:7" x14ac:dyDescent="0.35">
      <c r="A7" s="5" t="s">
        <v>30</v>
      </c>
      <c r="B7" s="5" t="s">
        <v>552</v>
      </c>
      <c r="C7" s="6">
        <v>0.06</v>
      </c>
      <c r="D7" s="7">
        <f t="shared" ref="D7:D70" si="2">(C7-(C7*1.25%))</f>
        <v>5.9249999999999997E-2</v>
      </c>
      <c r="E7" s="7">
        <f t="shared" ref="E7:E70" si="3">D7-(2.5%)</f>
        <v>3.4249999999999996E-2</v>
      </c>
      <c r="F7" s="7">
        <f t="shared" ref="F7:F70" si="4">E7*(2%)</f>
        <v>6.8499999999999995E-4</v>
      </c>
      <c r="G7" s="7">
        <f t="shared" ref="G7:G70" si="5">E7-F7</f>
        <v>3.3564999999999998E-2</v>
      </c>
    </row>
    <row r="8" spans="1:7" x14ac:dyDescent="0.35">
      <c r="A8" s="5" t="s">
        <v>29</v>
      </c>
      <c r="B8" s="5" t="s">
        <v>552</v>
      </c>
      <c r="C8" s="6">
        <v>0.11</v>
      </c>
      <c r="D8" s="7">
        <f t="shared" si="2"/>
        <v>0.108625</v>
      </c>
      <c r="E8" s="7">
        <f t="shared" si="3"/>
        <v>8.3625000000000005E-2</v>
      </c>
      <c r="F8" s="7">
        <f t="shared" si="4"/>
        <v>1.6725000000000002E-3</v>
      </c>
      <c r="G8" s="7">
        <f t="shared" si="5"/>
        <v>8.1952500000000011E-2</v>
      </c>
    </row>
    <row r="9" spans="1:7" x14ac:dyDescent="0.35">
      <c r="A9" s="48" t="s">
        <v>375</v>
      </c>
      <c r="B9" s="5" t="s">
        <v>553</v>
      </c>
      <c r="C9" s="6">
        <v>0</v>
      </c>
      <c r="D9" s="7" t="s">
        <v>20</v>
      </c>
      <c r="E9" s="7" t="s">
        <v>20</v>
      </c>
      <c r="F9" s="7" t="s">
        <v>20</v>
      </c>
      <c r="G9" s="7" t="s">
        <v>20</v>
      </c>
    </row>
    <row r="10" spans="1:7" x14ac:dyDescent="0.35">
      <c r="A10" s="48"/>
      <c r="B10" s="5" t="s">
        <v>554</v>
      </c>
      <c r="C10" s="6">
        <v>0.17</v>
      </c>
      <c r="D10" s="7">
        <f t="shared" si="2"/>
        <v>0.16787500000000002</v>
      </c>
      <c r="E10" s="7">
        <f t="shared" si="3"/>
        <v>0.14287500000000003</v>
      </c>
      <c r="F10" s="7">
        <f t="shared" si="4"/>
        <v>2.8575000000000007E-3</v>
      </c>
      <c r="G10" s="7">
        <f t="shared" si="5"/>
        <v>0.14001750000000002</v>
      </c>
    </row>
    <row r="11" spans="1:7" x14ac:dyDescent="0.35">
      <c r="A11" s="48"/>
      <c r="B11" s="5" t="s">
        <v>555</v>
      </c>
      <c r="C11" s="6">
        <v>0.25</v>
      </c>
      <c r="D11" s="7">
        <f t="shared" si="2"/>
        <v>0.24687500000000001</v>
      </c>
      <c r="E11" s="7">
        <f t="shared" si="3"/>
        <v>0.22187500000000002</v>
      </c>
      <c r="F11" s="7">
        <f t="shared" si="4"/>
        <v>4.4375000000000005E-3</v>
      </c>
      <c r="G11" s="7">
        <f t="shared" si="5"/>
        <v>0.21743750000000001</v>
      </c>
    </row>
    <row r="12" spans="1:7" x14ac:dyDescent="0.35">
      <c r="A12" s="48"/>
      <c r="B12" s="5" t="s">
        <v>556</v>
      </c>
      <c r="C12" s="6">
        <v>0.08</v>
      </c>
      <c r="D12" s="7">
        <f t="shared" si="2"/>
        <v>7.9000000000000001E-2</v>
      </c>
      <c r="E12" s="7">
        <f t="shared" si="3"/>
        <v>5.3999999999999999E-2</v>
      </c>
      <c r="F12" s="7">
        <f t="shared" si="4"/>
        <v>1.08E-3</v>
      </c>
      <c r="G12" s="7">
        <f t="shared" si="5"/>
        <v>5.2920000000000002E-2</v>
      </c>
    </row>
    <row r="13" spans="1:7" x14ac:dyDescent="0.35">
      <c r="A13" s="48"/>
      <c r="B13" s="5" t="s">
        <v>557</v>
      </c>
      <c r="C13" s="6">
        <v>0.17</v>
      </c>
      <c r="D13" s="7">
        <f t="shared" si="2"/>
        <v>0.16787500000000002</v>
      </c>
      <c r="E13" s="7">
        <f t="shared" si="3"/>
        <v>0.14287500000000003</v>
      </c>
      <c r="F13" s="7">
        <f t="shared" si="4"/>
        <v>2.8575000000000007E-3</v>
      </c>
      <c r="G13" s="7">
        <f t="shared" si="5"/>
        <v>0.14001750000000002</v>
      </c>
    </row>
    <row r="14" spans="1:7" x14ac:dyDescent="0.35">
      <c r="A14" s="48"/>
      <c r="B14" s="5" t="s">
        <v>558</v>
      </c>
      <c r="C14" s="6">
        <v>0.18</v>
      </c>
      <c r="D14" s="7">
        <f t="shared" si="2"/>
        <v>0.17774999999999999</v>
      </c>
      <c r="E14" s="7">
        <f t="shared" si="3"/>
        <v>0.15275</v>
      </c>
      <c r="F14" s="7">
        <f t="shared" si="4"/>
        <v>3.055E-3</v>
      </c>
      <c r="G14" s="7">
        <f t="shared" si="5"/>
        <v>0.14969499999999999</v>
      </c>
    </row>
    <row r="15" spans="1:7" x14ac:dyDescent="0.35">
      <c r="A15" s="48"/>
      <c r="B15" s="5" t="s">
        <v>559</v>
      </c>
      <c r="C15" s="6">
        <v>0.04</v>
      </c>
      <c r="D15" s="7" t="s">
        <v>20</v>
      </c>
      <c r="E15" s="7" t="s">
        <v>20</v>
      </c>
      <c r="F15" s="7" t="s">
        <v>20</v>
      </c>
      <c r="G15" s="7" t="s">
        <v>20</v>
      </c>
    </row>
    <row r="16" spans="1:7" x14ac:dyDescent="0.35">
      <c r="A16" s="48"/>
      <c r="B16" s="5" t="s">
        <v>560</v>
      </c>
      <c r="C16" s="6">
        <v>0.1</v>
      </c>
      <c r="D16" s="7">
        <f t="shared" si="2"/>
        <v>9.8750000000000004E-2</v>
      </c>
      <c r="E16" s="7">
        <f t="shared" si="3"/>
        <v>7.375000000000001E-2</v>
      </c>
      <c r="F16" s="7">
        <f t="shared" si="4"/>
        <v>1.4750000000000002E-3</v>
      </c>
      <c r="G16" s="7">
        <f t="shared" si="5"/>
        <v>7.2275000000000006E-2</v>
      </c>
    </row>
    <row r="17" spans="1:7" x14ac:dyDescent="0.35">
      <c r="A17" s="48"/>
      <c r="B17" s="5" t="s">
        <v>561</v>
      </c>
      <c r="C17" s="6">
        <v>0.04</v>
      </c>
      <c r="D17" s="7" t="s">
        <v>20</v>
      </c>
      <c r="E17" s="7" t="s">
        <v>20</v>
      </c>
      <c r="F17" s="7" t="s">
        <v>20</v>
      </c>
      <c r="G17" s="7" t="s">
        <v>20</v>
      </c>
    </row>
    <row r="18" spans="1:7" x14ac:dyDescent="0.35">
      <c r="A18" s="48"/>
      <c r="B18" s="5" t="s">
        <v>562</v>
      </c>
      <c r="C18" s="6">
        <v>7.0000000000000007E-2</v>
      </c>
      <c r="D18" s="7">
        <f t="shared" si="2"/>
        <v>6.9125000000000006E-2</v>
      </c>
      <c r="E18" s="7">
        <f t="shared" si="3"/>
        <v>4.4125000000000004E-2</v>
      </c>
      <c r="F18" s="7">
        <f t="shared" si="4"/>
        <v>8.8250000000000015E-4</v>
      </c>
      <c r="G18" s="7">
        <f t="shared" si="5"/>
        <v>4.3242500000000003E-2</v>
      </c>
    </row>
    <row r="19" spans="1:7" x14ac:dyDescent="0.35">
      <c r="A19" s="48" t="s">
        <v>28</v>
      </c>
      <c r="B19" s="5" t="s">
        <v>553</v>
      </c>
      <c r="C19" s="6">
        <v>0</v>
      </c>
      <c r="D19" s="7" t="s">
        <v>20</v>
      </c>
      <c r="E19" s="7" t="s">
        <v>20</v>
      </c>
      <c r="F19" s="7" t="s">
        <v>20</v>
      </c>
      <c r="G19" s="7" t="s">
        <v>20</v>
      </c>
    </row>
    <row r="20" spans="1:7" x14ac:dyDescent="0.35">
      <c r="A20" s="48"/>
      <c r="B20" s="5" t="s">
        <v>554</v>
      </c>
      <c r="C20" s="7">
        <v>0.16999999999999998</v>
      </c>
      <c r="D20" s="7">
        <f t="shared" si="2"/>
        <v>0.167875</v>
      </c>
      <c r="E20" s="7">
        <f t="shared" si="3"/>
        <v>0.142875</v>
      </c>
      <c r="F20" s="7">
        <f t="shared" si="4"/>
        <v>2.8575000000000002E-3</v>
      </c>
      <c r="G20" s="7">
        <f t="shared" si="5"/>
        <v>0.14001749999999999</v>
      </c>
    </row>
    <row r="21" spans="1:7" x14ac:dyDescent="0.35">
      <c r="A21" s="48"/>
      <c r="B21" s="5" t="s">
        <v>555</v>
      </c>
      <c r="C21" s="7">
        <v>0.3</v>
      </c>
      <c r="D21" s="7">
        <f t="shared" si="2"/>
        <v>0.29625000000000001</v>
      </c>
      <c r="E21" s="7">
        <f t="shared" si="3"/>
        <v>0.27124999999999999</v>
      </c>
      <c r="F21" s="7">
        <f t="shared" si="4"/>
        <v>5.4250000000000001E-3</v>
      </c>
      <c r="G21" s="7">
        <f t="shared" si="5"/>
        <v>0.26582499999999998</v>
      </c>
    </row>
    <row r="22" spans="1:7" x14ac:dyDescent="0.35">
      <c r="A22" s="48"/>
      <c r="B22" s="5" t="s">
        <v>556</v>
      </c>
      <c r="C22" s="7">
        <v>0.05</v>
      </c>
      <c r="D22" s="7">
        <f t="shared" si="2"/>
        <v>4.9375000000000002E-2</v>
      </c>
      <c r="E22" s="7">
        <f t="shared" si="3"/>
        <v>2.4375000000000001E-2</v>
      </c>
      <c r="F22" s="7">
        <f t="shared" si="4"/>
        <v>4.8750000000000003E-4</v>
      </c>
      <c r="G22" s="7">
        <f t="shared" si="5"/>
        <v>2.3887500000000002E-2</v>
      </c>
    </row>
    <row r="23" spans="1:7" x14ac:dyDescent="0.35">
      <c r="A23" s="48"/>
      <c r="B23" s="5" t="s">
        <v>557</v>
      </c>
      <c r="C23" s="7">
        <v>0.16999999999999998</v>
      </c>
      <c r="D23" s="7">
        <f t="shared" si="2"/>
        <v>0.167875</v>
      </c>
      <c r="E23" s="7">
        <f t="shared" si="3"/>
        <v>0.142875</v>
      </c>
      <c r="F23" s="7">
        <f t="shared" si="4"/>
        <v>2.8575000000000002E-3</v>
      </c>
      <c r="G23" s="7">
        <f t="shared" si="5"/>
        <v>0.14001749999999999</v>
      </c>
    </row>
    <row r="24" spans="1:7" x14ac:dyDescent="0.35">
      <c r="A24" s="48"/>
      <c r="B24" s="5" t="s">
        <v>558</v>
      </c>
      <c r="C24" s="7">
        <v>0.19</v>
      </c>
      <c r="D24" s="7">
        <f t="shared" si="2"/>
        <v>0.18762500000000001</v>
      </c>
      <c r="E24" s="7">
        <f t="shared" si="3"/>
        <v>0.16262500000000002</v>
      </c>
      <c r="F24" s="7">
        <f t="shared" si="4"/>
        <v>3.2525000000000006E-3</v>
      </c>
      <c r="G24" s="7">
        <f t="shared" si="5"/>
        <v>0.15937250000000003</v>
      </c>
    </row>
    <row r="25" spans="1:7" x14ac:dyDescent="0.35">
      <c r="A25" s="48"/>
      <c r="B25" s="5" t="s">
        <v>559</v>
      </c>
      <c r="C25" s="6">
        <v>0</v>
      </c>
      <c r="D25" s="7" t="s">
        <v>20</v>
      </c>
      <c r="E25" s="7" t="s">
        <v>20</v>
      </c>
      <c r="F25" s="7" t="s">
        <v>20</v>
      </c>
      <c r="G25" s="7" t="s">
        <v>20</v>
      </c>
    </row>
    <row r="26" spans="1:7" x14ac:dyDescent="0.35">
      <c r="A26" s="48"/>
      <c r="B26" s="5" t="s">
        <v>560</v>
      </c>
      <c r="C26" s="7">
        <v>7.0000000000000007E-2</v>
      </c>
      <c r="D26" s="7">
        <f t="shared" si="2"/>
        <v>6.9125000000000006E-2</v>
      </c>
      <c r="E26" s="7">
        <f t="shared" si="3"/>
        <v>4.4125000000000004E-2</v>
      </c>
      <c r="F26" s="7">
        <f t="shared" si="4"/>
        <v>8.8250000000000015E-4</v>
      </c>
      <c r="G26" s="7">
        <f t="shared" si="5"/>
        <v>4.3242500000000003E-2</v>
      </c>
    </row>
    <row r="27" spans="1:7" x14ac:dyDescent="0.35">
      <c r="A27" s="48"/>
      <c r="B27" s="5" t="s">
        <v>561</v>
      </c>
      <c r="C27" s="6">
        <v>0</v>
      </c>
      <c r="D27" s="7" t="s">
        <v>20</v>
      </c>
      <c r="E27" s="7" t="s">
        <v>20</v>
      </c>
      <c r="F27" s="7" t="s">
        <v>20</v>
      </c>
      <c r="G27" s="7" t="s">
        <v>20</v>
      </c>
    </row>
    <row r="28" spans="1:7" x14ac:dyDescent="0.35">
      <c r="A28" s="48"/>
      <c r="B28" s="5" t="s">
        <v>562</v>
      </c>
      <c r="C28" s="7">
        <v>0.03</v>
      </c>
      <c r="D28" s="7" t="s">
        <v>20</v>
      </c>
      <c r="E28" s="7" t="s">
        <v>20</v>
      </c>
      <c r="F28" s="7" t="s">
        <v>20</v>
      </c>
      <c r="G28" s="7" t="s">
        <v>20</v>
      </c>
    </row>
    <row r="29" spans="1:7" ht="36" x14ac:dyDescent="0.35">
      <c r="A29" s="41" t="s">
        <v>209</v>
      </c>
      <c r="B29" s="5" t="s">
        <v>563</v>
      </c>
      <c r="C29" s="7">
        <v>0.28999999999999998</v>
      </c>
      <c r="D29" s="7">
        <f t="shared" si="2"/>
        <v>0.28637499999999999</v>
      </c>
      <c r="E29" s="7">
        <f t="shared" si="3"/>
        <v>0.26137499999999997</v>
      </c>
      <c r="F29" s="7">
        <f t="shared" si="4"/>
        <v>5.2274999999999995E-3</v>
      </c>
      <c r="G29" s="7">
        <f t="shared" si="5"/>
        <v>0.25614749999999997</v>
      </c>
    </row>
    <row r="30" spans="1:7" ht="48" x14ac:dyDescent="0.35">
      <c r="A30" s="42"/>
      <c r="B30" s="5" t="s">
        <v>564</v>
      </c>
      <c r="C30" s="7">
        <v>0</v>
      </c>
      <c r="D30" s="7" t="s">
        <v>20</v>
      </c>
      <c r="E30" s="7" t="s">
        <v>20</v>
      </c>
      <c r="F30" s="7" t="s">
        <v>20</v>
      </c>
      <c r="G30" s="7" t="s">
        <v>20</v>
      </c>
    </row>
    <row r="31" spans="1:7" x14ac:dyDescent="0.35">
      <c r="A31" s="42"/>
      <c r="B31" s="5" t="s">
        <v>565</v>
      </c>
      <c r="C31" s="7">
        <v>0</v>
      </c>
      <c r="D31" s="7" t="s">
        <v>20</v>
      </c>
      <c r="E31" s="7" t="s">
        <v>20</v>
      </c>
      <c r="F31" s="7" t="s">
        <v>20</v>
      </c>
      <c r="G31" s="7" t="s">
        <v>20</v>
      </c>
    </row>
    <row r="32" spans="1:7" ht="36" x14ac:dyDescent="0.35">
      <c r="A32" s="43"/>
      <c r="B32" s="5" t="s">
        <v>566</v>
      </c>
      <c r="C32" s="7">
        <v>0</v>
      </c>
      <c r="D32" s="7" t="s">
        <v>20</v>
      </c>
      <c r="E32" s="7" t="s">
        <v>20</v>
      </c>
      <c r="F32" s="7" t="s">
        <v>20</v>
      </c>
      <c r="G32" s="7" t="s">
        <v>20</v>
      </c>
    </row>
    <row r="33" spans="1:7" ht="36" x14ac:dyDescent="0.35">
      <c r="A33" s="41" t="s">
        <v>210</v>
      </c>
      <c r="B33" s="5" t="s">
        <v>563</v>
      </c>
      <c r="C33" s="7">
        <v>0.18</v>
      </c>
      <c r="D33" s="7">
        <f t="shared" si="2"/>
        <v>0.17774999999999999</v>
      </c>
      <c r="E33" s="7">
        <f t="shared" si="3"/>
        <v>0.15275</v>
      </c>
      <c r="F33" s="7">
        <f t="shared" si="4"/>
        <v>3.055E-3</v>
      </c>
      <c r="G33" s="7">
        <f t="shared" si="5"/>
        <v>0.14969499999999999</v>
      </c>
    </row>
    <row r="34" spans="1:7" ht="48" x14ac:dyDescent="0.35">
      <c r="A34" s="42"/>
      <c r="B34" s="5" t="s">
        <v>564</v>
      </c>
      <c r="C34" s="7">
        <v>0</v>
      </c>
      <c r="D34" s="7" t="s">
        <v>20</v>
      </c>
      <c r="E34" s="7" t="s">
        <v>20</v>
      </c>
      <c r="F34" s="7" t="s">
        <v>20</v>
      </c>
      <c r="G34" s="7" t="s">
        <v>20</v>
      </c>
    </row>
    <row r="35" spans="1:7" x14ac:dyDescent="0.35">
      <c r="A35" s="42"/>
      <c r="B35" s="5" t="s">
        <v>565</v>
      </c>
      <c r="C35" s="7">
        <v>0.18</v>
      </c>
      <c r="D35" s="7">
        <f t="shared" si="2"/>
        <v>0.17774999999999999</v>
      </c>
      <c r="E35" s="7">
        <f t="shared" si="3"/>
        <v>0.15275</v>
      </c>
      <c r="F35" s="7">
        <f t="shared" si="4"/>
        <v>3.055E-3</v>
      </c>
      <c r="G35" s="7">
        <f t="shared" si="5"/>
        <v>0.14969499999999999</v>
      </c>
    </row>
    <row r="36" spans="1:7" ht="36" x14ac:dyDescent="0.35">
      <c r="A36" s="43"/>
      <c r="B36" s="5" t="s">
        <v>566</v>
      </c>
      <c r="C36" s="7">
        <v>0</v>
      </c>
      <c r="D36" s="7" t="s">
        <v>20</v>
      </c>
      <c r="E36" s="7" t="s">
        <v>20</v>
      </c>
      <c r="F36" s="7" t="s">
        <v>20</v>
      </c>
      <c r="G36" s="7" t="s">
        <v>20</v>
      </c>
    </row>
    <row r="37" spans="1:7" x14ac:dyDescent="0.35">
      <c r="A37" s="5" t="s">
        <v>38</v>
      </c>
      <c r="B37" s="5" t="s">
        <v>100</v>
      </c>
      <c r="C37" s="7">
        <v>0.35</v>
      </c>
      <c r="D37" s="7">
        <f t="shared" si="2"/>
        <v>0.34562499999999996</v>
      </c>
      <c r="E37" s="7">
        <f t="shared" si="3"/>
        <v>0.32062499999999994</v>
      </c>
      <c r="F37" s="7">
        <f t="shared" si="4"/>
        <v>6.4124999999999989E-3</v>
      </c>
      <c r="G37" s="7">
        <f t="shared" si="5"/>
        <v>0.31421249999999995</v>
      </c>
    </row>
    <row r="38" spans="1:7" x14ac:dyDescent="0.35">
      <c r="A38" s="2" t="s">
        <v>41</v>
      </c>
      <c r="B38" s="2" t="s">
        <v>1</v>
      </c>
      <c r="C38" s="3" t="s">
        <v>2</v>
      </c>
      <c r="D38" s="4" t="s">
        <v>1275</v>
      </c>
      <c r="E38" s="4" t="s">
        <v>1276</v>
      </c>
      <c r="F38" s="4" t="s">
        <v>363</v>
      </c>
      <c r="G38" s="4" t="s">
        <v>364</v>
      </c>
    </row>
    <row r="39" spans="1:7" x14ac:dyDescent="0.35">
      <c r="A39" s="40" t="s">
        <v>567</v>
      </c>
      <c r="B39" s="11" t="s">
        <v>553</v>
      </c>
      <c r="C39" s="7">
        <v>0.35</v>
      </c>
      <c r="D39" s="7">
        <f t="shared" si="2"/>
        <v>0.34562499999999996</v>
      </c>
      <c r="E39" s="7">
        <f t="shared" si="3"/>
        <v>0.32062499999999994</v>
      </c>
      <c r="F39" s="7">
        <f t="shared" si="4"/>
        <v>6.4124999999999989E-3</v>
      </c>
      <c r="G39" s="7">
        <f t="shared" si="5"/>
        <v>0.31421249999999995</v>
      </c>
    </row>
    <row r="40" spans="1:7" x14ac:dyDescent="0.35">
      <c r="A40" s="40"/>
      <c r="B40" s="11" t="s">
        <v>562</v>
      </c>
      <c r="C40" s="7">
        <v>0.35</v>
      </c>
      <c r="D40" s="7">
        <f t="shared" si="2"/>
        <v>0.34562499999999996</v>
      </c>
      <c r="E40" s="7">
        <f t="shared" si="3"/>
        <v>0.32062499999999994</v>
      </c>
      <c r="F40" s="7">
        <f t="shared" si="4"/>
        <v>6.4124999999999989E-3</v>
      </c>
      <c r="G40" s="7">
        <f t="shared" si="5"/>
        <v>0.31421249999999995</v>
      </c>
    </row>
    <row r="41" spans="1:7" x14ac:dyDescent="0.35">
      <c r="A41" s="40"/>
      <c r="B41" s="11" t="s">
        <v>558</v>
      </c>
      <c r="C41" s="7">
        <v>0.35</v>
      </c>
      <c r="D41" s="7">
        <f t="shared" si="2"/>
        <v>0.34562499999999996</v>
      </c>
      <c r="E41" s="7">
        <f t="shared" si="3"/>
        <v>0.32062499999999994</v>
      </c>
      <c r="F41" s="7">
        <f t="shared" si="4"/>
        <v>6.4124999999999989E-3</v>
      </c>
      <c r="G41" s="7">
        <f t="shared" si="5"/>
        <v>0.31421249999999995</v>
      </c>
    </row>
    <row r="42" spans="1:7" x14ac:dyDescent="0.35">
      <c r="A42" s="40"/>
      <c r="B42" s="11" t="s">
        <v>559</v>
      </c>
      <c r="C42" s="7">
        <v>0.35</v>
      </c>
      <c r="D42" s="7">
        <f t="shared" si="2"/>
        <v>0.34562499999999996</v>
      </c>
      <c r="E42" s="7">
        <f t="shared" si="3"/>
        <v>0.32062499999999994</v>
      </c>
      <c r="F42" s="7">
        <f t="shared" si="4"/>
        <v>6.4124999999999989E-3</v>
      </c>
      <c r="G42" s="7">
        <f t="shared" si="5"/>
        <v>0.31421249999999995</v>
      </c>
    </row>
    <row r="43" spans="1:7" x14ac:dyDescent="0.35">
      <c r="A43" s="40"/>
      <c r="B43" s="11" t="s">
        <v>554</v>
      </c>
      <c r="C43" s="7">
        <v>0.35</v>
      </c>
      <c r="D43" s="7">
        <f t="shared" si="2"/>
        <v>0.34562499999999996</v>
      </c>
      <c r="E43" s="7">
        <f t="shared" si="3"/>
        <v>0.32062499999999994</v>
      </c>
      <c r="F43" s="7">
        <f t="shared" si="4"/>
        <v>6.4124999999999989E-3</v>
      </c>
      <c r="G43" s="7">
        <f t="shared" si="5"/>
        <v>0.31421249999999995</v>
      </c>
    </row>
    <row r="44" spans="1:7" x14ac:dyDescent="0.35">
      <c r="A44" s="40"/>
      <c r="B44" s="11" t="s">
        <v>555</v>
      </c>
      <c r="C44" s="7">
        <v>0.35</v>
      </c>
      <c r="D44" s="7">
        <f t="shared" si="2"/>
        <v>0.34562499999999996</v>
      </c>
      <c r="E44" s="7">
        <f t="shared" si="3"/>
        <v>0.32062499999999994</v>
      </c>
      <c r="F44" s="7">
        <f t="shared" si="4"/>
        <v>6.4124999999999989E-3</v>
      </c>
      <c r="G44" s="7">
        <f t="shared" si="5"/>
        <v>0.31421249999999995</v>
      </c>
    </row>
    <row r="45" spans="1:7" x14ac:dyDescent="0.35">
      <c r="A45" s="40"/>
      <c r="B45" s="11" t="s">
        <v>561</v>
      </c>
      <c r="C45" s="7">
        <v>0.35</v>
      </c>
      <c r="D45" s="7">
        <f t="shared" si="2"/>
        <v>0.34562499999999996</v>
      </c>
      <c r="E45" s="7">
        <f t="shared" si="3"/>
        <v>0.32062499999999994</v>
      </c>
      <c r="F45" s="7">
        <f t="shared" si="4"/>
        <v>6.4124999999999989E-3</v>
      </c>
      <c r="G45" s="7">
        <f t="shared" si="5"/>
        <v>0.31421249999999995</v>
      </c>
    </row>
    <row r="46" spans="1:7" x14ac:dyDescent="0.35">
      <c r="A46" s="40"/>
      <c r="B46" s="11" t="s">
        <v>556</v>
      </c>
      <c r="C46" s="7">
        <v>0.35</v>
      </c>
      <c r="D46" s="7">
        <f t="shared" si="2"/>
        <v>0.34562499999999996</v>
      </c>
      <c r="E46" s="7">
        <f t="shared" si="3"/>
        <v>0.32062499999999994</v>
      </c>
      <c r="F46" s="7">
        <f t="shared" si="4"/>
        <v>6.4124999999999989E-3</v>
      </c>
      <c r="G46" s="7">
        <f t="shared" si="5"/>
        <v>0.31421249999999995</v>
      </c>
    </row>
    <row r="47" spans="1:7" x14ac:dyDescent="0.35">
      <c r="A47" s="40"/>
      <c r="B47" s="11" t="s">
        <v>557</v>
      </c>
      <c r="C47" s="7">
        <v>0.35</v>
      </c>
      <c r="D47" s="7">
        <f t="shared" si="2"/>
        <v>0.34562499999999996</v>
      </c>
      <c r="E47" s="7">
        <f t="shared" si="3"/>
        <v>0.32062499999999994</v>
      </c>
      <c r="F47" s="7">
        <f t="shared" si="4"/>
        <v>6.4124999999999989E-3</v>
      </c>
      <c r="G47" s="7">
        <f t="shared" si="5"/>
        <v>0.31421249999999995</v>
      </c>
    </row>
    <row r="48" spans="1:7" x14ac:dyDescent="0.35">
      <c r="A48" s="40"/>
      <c r="B48" s="11" t="s">
        <v>560</v>
      </c>
      <c r="C48" s="7">
        <v>0.35</v>
      </c>
      <c r="D48" s="7">
        <f t="shared" si="2"/>
        <v>0.34562499999999996</v>
      </c>
      <c r="E48" s="7">
        <f t="shared" si="3"/>
        <v>0.32062499999999994</v>
      </c>
      <c r="F48" s="7">
        <f t="shared" si="4"/>
        <v>6.4124999999999989E-3</v>
      </c>
      <c r="G48" s="7">
        <f t="shared" si="5"/>
        <v>0.31421249999999995</v>
      </c>
    </row>
    <row r="49" spans="1:7" x14ac:dyDescent="0.35">
      <c r="A49" s="40" t="s">
        <v>568</v>
      </c>
      <c r="B49" s="11" t="s">
        <v>553</v>
      </c>
      <c r="C49" s="7">
        <v>0.35</v>
      </c>
      <c r="D49" s="7">
        <f t="shared" si="2"/>
        <v>0.34562499999999996</v>
      </c>
      <c r="E49" s="7">
        <f t="shared" si="3"/>
        <v>0.32062499999999994</v>
      </c>
      <c r="F49" s="7">
        <f t="shared" si="4"/>
        <v>6.4124999999999989E-3</v>
      </c>
      <c r="G49" s="7">
        <f t="shared" si="5"/>
        <v>0.31421249999999995</v>
      </c>
    </row>
    <row r="50" spans="1:7" x14ac:dyDescent="0.35">
      <c r="A50" s="40"/>
      <c r="B50" s="11" t="s">
        <v>554</v>
      </c>
      <c r="C50" s="7">
        <v>0.35</v>
      </c>
      <c r="D50" s="7">
        <f t="shared" si="2"/>
        <v>0.34562499999999996</v>
      </c>
      <c r="E50" s="7">
        <f t="shared" si="3"/>
        <v>0.32062499999999994</v>
      </c>
      <c r="F50" s="7">
        <f t="shared" si="4"/>
        <v>6.4124999999999989E-3</v>
      </c>
      <c r="G50" s="7">
        <f t="shared" si="5"/>
        <v>0.31421249999999995</v>
      </c>
    </row>
    <row r="51" spans="1:7" x14ac:dyDescent="0.35">
      <c r="A51" s="40"/>
      <c r="B51" s="11" t="s">
        <v>555</v>
      </c>
      <c r="C51" s="7">
        <v>0.35</v>
      </c>
      <c r="D51" s="7">
        <f t="shared" si="2"/>
        <v>0.34562499999999996</v>
      </c>
      <c r="E51" s="7">
        <f t="shared" si="3"/>
        <v>0.32062499999999994</v>
      </c>
      <c r="F51" s="7">
        <f t="shared" si="4"/>
        <v>6.4124999999999989E-3</v>
      </c>
      <c r="G51" s="7">
        <f t="shared" si="5"/>
        <v>0.31421249999999995</v>
      </c>
    </row>
    <row r="52" spans="1:7" x14ac:dyDescent="0.35">
      <c r="A52" s="40"/>
      <c r="B52" s="11" t="s">
        <v>556</v>
      </c>
      <c r="C52" s="7">
        <v>0.35</v>
      </c>
      <c r="D52" s="7">
        <f t="shared" si="2"/>
        <v>0.34562499999999996</v>
      </c>
      <c r="E52" s="7">
        <f t="shared" si="3"/>
        <v>0.32062499999999994</v>
      </c>
      <c r="F52" s="7">
        <f t="shared" si="4"/>
        <v>6.4124999999999989E-3</v>
      </c>
      <c r="G52" s="7">
        <f t="shared" si="5"/>
        <v>0.31421249999999995</v>
      </c>
    </row>
    <row r="53" spans="1:7" x14ac:dyDescent="0.35">
      <c r="A53" s="40"/>
      <c r="B53" s="11" t="s">
        <v>557</v>
      </c>
      <c r="C53" s="7">
        <v>0.35</v>
      </c>
      <c r="D53" s="7">
        <f t="shared" si="2"/>
        <v>0.34562499999999996</v>
      </c>
      <c r="E53" s="7">
        <f t="shared" si="3"/>
        <v>0.32062499999999994</v>
      </c>
      <c r="F53" s="7">
        <f t="shared" si="4"/>
        <v>6.4124999999999989E-3</v>
      </c>
      <c r="G53" s="7">
        <f t="shared" si="5"/>
        <v>0.31421249999999995</v>
      </c>
    </row>
    <row r="54" spans="1:7" x14ac:dyDescent="0.35">
      <c r="A54" s="40"/>
      <c r="B54" s="11" t="s">
        <v>558</v>
      </c>
      <c r="C54" s="7">
        <v>0.35</v>
      </c>
      <c r="D54" s="7">
        <f t="shared" si="2"/>
        <v>0.34562499999999996</v>
      </c>
      <c r="E54" s="7">
        <f t="shared" si="3"/>
        <v>0.32062499999999994</v>
      </c>
      <c r="F54" s="7">
        <f t="shared" si="4"/>
        <v>6.4124999999999989E-3</v>
      </c>
      <c r="G54" s="7">
        <f t="shared" si="5"/>
        <v>0.31421249999999995</v>
      </c>
    </row>
    <row r="55" spans="1:7" x14ac:dyDescent="0.35">
      <c r="A55" s="40"/>
      <c r="B55" s="11" t="s">
        <v>559</v>
      </c>
      <c r="C55" s="7">
        <v>0.35</v>
      </c>
      <c r="D55" s="7">
        <f t="shared" si="2"/>
        <v>0.34562499999999996</v>
      </c>
      <c r="E55" s="7">
        <f t="shared" si="3"/>
        <v>0.32062499999999994</v>
      </c>
      <c r="F55" s="7">
        <f t="shared" si="4"/>
        <v>6.4124999999999989E-3</v>
      </c>
      <c r="G55" s="7">
        <f t="shared" si="5"/>
        <v>0.31421249999999995</v>
      </c>
    </row>
    <row r="56" spans="1:7" x14ac:dyDescent="0.35">
      <c r="A56" s="40"/>
      <c r="B56" s="11" t="s">
        <v>560</v>
      </c>
      <c r="C56" s="7">
        <v>0.35</v>
      </c>
      <c r="D56" s="7">
        <f t="shared" si="2"/>
        <v>0.34562499999999996</v>
      </c>
      <c r="E56" s="7">
        <f t="shared" si="3"/>
        <v>0.32062499999999994</v>
      </c>
      <c r="F56" s="7">
        <f t="shared" si="4"/>
        <v>6.4124999999999989E-3</v>
      </c>
      <c r="G56" s="7">
        <f t="shared" si="5"/>
        <v>0.31421249999999995</v>
      </c>
    </row>
    <row r="57" spans="1:7" x14ac:dyDescent="0.35">
      <c r="A57" s="40"/>
      <c r="B57" s="11" t="s">
        <v>561</v>
      </c>
      <c r="C57" s="7">
        <v>0.35</v>
      </c>
      <c r="D57" s="7">
        <f t="shared" si="2"/>
        <v>0.34562499999999996</v>
      </c>
      <c r="E57" s="7">
        <f t="shared" si="3"/>
        <v>0.32062499999999994</v>
      </c>
      <c r="F57" s="7">
        <f t="shared" si="4"/>
        <v>6.4124999999999989E-3</v>
      </c>
      <c r="G57" s="7">
        <f t="shared" si="5"/>
        <v>0.31421249999999995</v>
      </c>
    </row>
    <row r="58" spans="1:7" x14ac:dyDescent="0.35">
      <c r="A58" s="40"/>
      <c r="B58" s="11" t="s">
        <v>562</v>
      </c>
      <c r="C58" s="7">
        <v>0.35</v>
      </c>
      <c r="D58" s="7">
        <f t="shared" si="2"/>
        <v>0.34562499999999996</v>
      </c>
      <c r="E58" s="7">
        <f t="shared" si="3"/>
        <v>0.32062499999999994</v>
      </c>
      <c r="F58" s="7">
        <f t="shared" si="4"/>
        <v>6.4124999999999989E-3</v>
      </c>
      <c r="G58" s="7">
        <f t="shared" si="5"/>
        <v>0.31421249999999995</v>
      </c>
    </row>
    <row r="59" spans="1:7" ht="24" x14ac:dyDescent="0.35">
      <c r="A59" s="24" t="s">
        <v>389</v>
      </c>
      <c r="B59" s="5" t="s">
        <v>100</v>
      </c>
      <c r="C59" s="7">
        <v>0.42</v>
      </c>
      <c r="D59" s="7">
        <f t="shared" si="2"/>
        <v>0.41475000000000001</v>
      </c>
      <c r="E59" s="7">
        <f t="shared" si="3"/>
        <v>0.38974999999999999</v>
      </c>
      <c r="F59" s="7">
        <f t="shared" si="4"/>
        <v>7.7949999999999998E-3</v>
      </c>
      <c r="G59" s="7">
        <f t="shared" si="5"/>
        <v>0.38195499999999999</v>
      </c>
    </row>
    <row r="60" spans="1:7" ht="24" x14ac:dyDescent="0.35">
      <c r="A60" s="24" t="s">
        <v>65</v>
      </c>
      <c r="B60" s="5" t="s">
        <v>100</v>
      </c>
      <c r="C60" s="7">
        <v>0.44</v>
      </c>
      <c r="D60" s="7">
        <f t="shared" si="2"/>
        <v>0.4345</v>
      </c>
      <c r="E60" s="7">
        <f t="shared" si="3"/>
        <v>0.40949999999999998</v>
      </c>
      <c r="F60" s="7">
        <f t="shared" si="4"/>
        <v>8.1899999999999994E-3</v>
      </c>
      <c r="G60" s="7">
        <f t="shared" si="5"/>
        <v>0.40131</v>
      </c>
    </row>
    <row r="61" spans="1:7" ht="24" x14ac:dyDescent="0.35">
      <c r="A61" s="24" t="s">
        <v>66</v>
      </c>
      <c r="B61" s="5" t="s">
        <v>100</v>
      </c>
      <c r="C61" s="7">
        <v>0.45</v>
      </c>
      <c r="D61" s="7">
        <f t="shared" si="2"/>
        <v>0.44437500000000002</v>
      </c>
      <c r="E61" s="7">
        <f t="shared" si="3"/>
        <v>0.419375</v>
      </c>
      <c r="F61" s="7">
        <f t="shared" si="4"/>
        <v>8.3875000000000009E-3</v>
      </c>
      <c r="G61" s="7">
        <f t="shared" si="5"/>
        <v>0.41098750000000001</v>
      </c>
    </row>
    <row r="62" spans="1:7" x14ac:dyDescent="0.35">
      <c r="A62" s="2" t="s">
        <v>67</v>
      </c>
      <c r="B62" s="2" t="s">
        <v>1</v>
      </c>
      <c r="C62" s="3" t="s">
        <v>2</v>
      </c>
      <c r="D62" s="4" t="s">
        <v>1275</v>
      </c>
      <c r="E62" s="4" t="s">
        <v>1276</v>
      </c>
      <c r="F62" s="4" t="s">
        <v>363</v>
      </c>
      <c r="G62" s="4" t="s">
        <v>364</v>
      </c>
    </row>
    <row r="63" spans="1:7" x14ac:dyDescent="0.35">
      <c r="A63" s="5" t="s">
        <v>569</v>
      </c>
      <c r="B63" s="5" t="s">
        <v>570</v>
      </c>
      <c r="C63" s="6">
        <v>0.56000000000000005</v>
      </c>
      <c r="D63" s="7">
        <f t="shared" si="2"/>
        <v>0.55300000000000005</v>
      </c>
      <c r="E63" s="7">
        <f t="shared" si="3"/>
        <v>0.52800000000000002</v>
      </c>
      <c r="F63" s="7">
        <f t="shared" si="4"/>
        <v>1.056E-2</v>
      </c>
      <c r="G63" s="7">
        <f t="shared" si="5"/>
        <v>0.51744000000000001</v>
      </c>
    </row>
    <row r="64" spans="1:7" x14ac:dyDescent="0.35">
      <c r="A64" s="5" t="s">
        <v>571</v>
      </c>
      <c r="B64" s="5" t="s">
        <v>572</v>
      </c>
      <c r="C64" s="6">
        <v>0.56000000000000005</v>
      </c>
      <c r="D64" s="7">
        <f t="shared" si="2"/>
        <v>0.55300000000000005</v>
      </c>
      <c r="E64" s="7">
        <f t="shared" si="3"/>
        <v>0.52800000000000002</v>
      </c>
      <c r="F64" s="7">
        <f t="shared" si="4"/>
        <v>1.056E-2</v>
      </c>
      <c r="G64" s="7">
        <f t="shared" si="5"/>
        <v>0.51744000000000001</v>
      </c>
    </row>
    <row r="65" spans="1:7" x14ac:dyDescent="0.35">
      <c r="A65" s="5" t="s">
        <v>573</v>
      </c>
      <c r="B65" s="5" t="s">
        <v>570</v>
      </c>
      <c r="C65" s="6">
        <v>0.49</v>
      </c>
      <c r="D65" s="7">
        <f t="shared" si="2"/>
        <v>0.483875</v>
      </c>
      <c r="E65" s="7">
        <f t="shared" si="3"/>
        <v>0.45887499999999998</v>
      </c>
      <c r="F65" s="7">
        <f t="shared" si="4"/>
        <v>9.1774999999999999E-3</v>
      </c>
      <c r="G65" s="7">
        <f t="shared" si="5"/>
        <v>0.44969749999999997</v>
      </c>
    </row>
    <row r="66" spans="1:7" x14ac:dyDescent="0.35">
      <c r="A66" s="5" t="s">
        <v>574</v>
      </c>
      <c r="B66" s="5" t="s">
        <v>572</v>
      </c>
      <c r="C66" s="6">
        <v>0.49</v>
      </c>
      <c r="D66" s="7">
        <f t="shared" si="2"/>
        <v>0.483875</v>
      </c>
      <c r="E66" s="7">
        <f t="shared" si="3"/>
        <v>0.45887499999999998</v>
      </c>
      <c r="F66" s="7">
        <f t="shared" si="4"/>
        <v>9.1774999999999999E-3</v>
      </c>
      <c r="G66" s="7">
        <f t="shared" si="5"/>
        <v>0.44969749999999997</v>
      </c>
    </row>
    <row r="67" spans="1:7" ht="24" x14ac:dyDescent="0.35">
      <c r="A67" s="24" t="s">
        <v>77</v>
      </c>
      <c r="B67" s="5" t="s">
        <v>100</v>
      </c>
      <c r="C67" s="7">
        <v>0.42</v>
      </c>
      <c r="D67" s="7">
        <f t="shared" si="2"/>
        <v>0.41475000000000001</v>
      </c>
      <c r="E67" s="7">
        <f t="shared" si="3"/>
        <v>0.38974999999999999</v>
      </c>
      <c r="F67" s="7">
        <f t="shared" si="4"/>
        <v>7.7949999999999998E-3</v>
      </c>
      <c r="G67" s="7">
        <f t="shared" si="5"/>
        <v>0.38195499999999999</v>
      </c>
    </row>
    <row r="68" spans="1:7" ht="24" x14ac:dyDescent="0.35">
      <c r="A68" s="24" t="s">
        <v>78</v>
      </c>
      <c r="B68" s="5" t="s">
        <v>100</v>
      </c>
      <c r="C68" s="7">
        <v>0.44</v>
      </c>
      <c r="D68" s="7">
        <f t="shared" si="2"/>
        <v>0.4345</v>
      </c>
      <c r="E68" s="7">
        <f t="shared" si="3"/>
        <v>0.40949999999999998</v>
      </c>
      <c r="F68" s="7">
        <f t="shared" si="4"/>
        <v>8.1899999999999994E-3</v>
      </c>
      <c r="G68" s="7">
        <f t="shared" si="5"/>
        <v>0.40131</v>
      </c>
    </row>
    <row r="69" spans="1:7" x14ac:dyDescent="0.35">
      <c r="A69" s="24" t="s">
        <v>79</v>
      </c>
      <c r="B69" s="5" t="s">
        <v>100</v>
      </c>
      <c r="C69" s="7">
        <v>0.45</v>
      </c>
      <c r="D69" s="7">
        <f t="shared" si="2"/>
        <v>0.44437500000000002</v>
      </c>
      <c r="E69" s="7">
        <f t="shared" si="3"/>
        <v>0.419375</v>
      </c>
      <c r="F69" s="7">
        <f t="shared" si="4"/>
        <v>8.3875000000000009E-3</v>
      </c>
      <c r="G69" s="7">
        <f t="shared" si="5"/>
        <v>0.41098750000000001</v>
      </c>
    </row>
    <row r="70" spans="1:7" ht="24" x14ac:dyDescent="0.35">
      <c r="A70" s="24" t="s">
        <v>575</v>
      </c>
      <c r="B70" s="5" t="s">
        <v>100</v>
      </c>
      <c r="C70" s="7">
        <v>0.36</v>
      </c>
      <c r="D70" s="7">
        <f t="shared" si="2"/>
        <v>0.35549999999999998</v>
      </c>
      <c r="E70" s="7">
        <f t="shared" si="3"/>
        <v>0.33049999999999996</v>
      </c>
      <c r="F70" s="7">
        <f t="shared" si="4"/>
        <v>6.6099999999999996E-3</v>
      </c>
      <c r="G70" s="7">
        <f t="shared" si="5"/>
        <v>0.32388999999999996</v>
      </c>
    </row>
    <row r="71" spans="1:7" ht="24" x14ac:dyDescent="0.35">
      <c r="A71" s="24" t="s">
        <v>576</v>
      </c>
      <c r="B71" s="5" t="s">
        <v>100</v>
      </c>
      <c r="C71" s="7">
        <v>0.38</v>
      </c>
      <c r="D71" s="7">
        <f t="shared" ref="D71:D133" si="6">(C71-(C71*1.25%))</f>
        <v>0.37525000000000003</v>
      </c>
      <c r="E71" s="7">
        <f t="shared" ref="E71:E133" si="7">D71-(2.5%)</f>
        <v>0.35025000000000001</v>
      </c>
      <c r="F71" s="7">
        <f t="shared" ref="F71:F133" si="8">E71*(2%)</f>
        <v>7.0049999999999999E-3</v>
      </c>
      <c r="G71" s="7">
        <f t="shared" ref="G71:G133" si="9">E71-F71</f>
        <v>0.34324500000000002</v>
      </c>
    </row>
    <row r="72" spans="1:7" ht="24" x14ac:dyDescent="0.35">
      <c r="A72" s="24" t="s">
        <v>577</v>
      </c>
      <c r="B72" s="5" t="s">
        <v>100</v>
      </c>
      <c r="C72" s="7">
        <v>0.39</v>
      </c>
      <c r="D72" s="7">
        <f t="shared" si="6"/>
        <v>0.385125</v>
      </c>
      <c r="E72" s="7">
        <f t="shared" si="7"/>
        <v>0.36012499999999997</v>
      </c>
      <c r="F72" s="7">
        <f t="shared" si="8"/>
        <v>7.2024999999999997E-3</v>
      </c>
      <c r="G72" s="7">
        <f t="shared" si="9"/>
        <v>0.35292249999999997</v>
      </c>
    </row>
    <row r="73" spans="1:7" x14ac:dyDescent="0.35">
      <c r="A73" s="40" t="s">
        <v>578</v>
      </c>
      <c r="B73" s="5" t="s">
        <v>553</v>
      </c>
      <c r="C73" s="6">
        <v>0.05</v>
      </c>
      <c r="D73" s="7">
        <f t="shared" si="6"/>
        <v>4.9375000000000002E-2</v>
      </c>
      <c r="E73" s="7">
        <f t="shared" si="7"/>
        <v>2.4375000000000001E-2</v>
      </c>
      <c r="F73" s="7">
        <f t="shared" si="8"/>
        <v>4.8750000000000003E-4</v>
      </c>
      <c r="G73" s="7">
        <f t="shared" si="9"/>
        <v>2.3887500000000002E-2</v>
      </c>
    </row>
    <row r="74" spans="1:7" x14ac:dyDescent="0.35">
      <c r="A74" s="40"/>
      <c r="B74" s="5" t="s">
        <v>562</v>
      </c>
      <c r="C74" s="6">
        <v>0.15</v>
      </c>
      <c r="D74" s="7">
        <f t="shared" si="6"/>
        <v>0.14812500000000001</v>
      </c>
      <c r="E74" s="7">
        <f t="shared" si="7"/>
        <v>0.12312500000000001</v>
      </c>
      <c r="F74" s="7">
        <f t="shared" si="8"/>
        <v>2.4625000000000003E-3</v>
      </c>
      <c r="G74" s="7">
        <f t="shared" si="9"/>
        <v>0.12066250000000001</v>
      </c>
    </row>
    <row r="75" spans="1:7" x14ac:dyDescent="0.35">
      <c r="A75" s="40"/>
      <c r="B75" s="5" t="s">
        <v>558</v>
      </c>
      <c r="C75" s="6">
        <v>0.25</v>
      </c>
      <c r="D75" s="7">
        <f t="shared" si="6"/>
        <v>0.24687500000000001</v>
      </c>
      <c r="E75" s="7">
        <f t="shared" si="7"/>
        <v>0.22187500000000002</v>
      </c>
      <c r="F75" s="7">
        <f t="shared" si="8"/>
        <v>4.4375000000000005E-3</v>
      </c>
      <c r="G75" s="7">
        <f t="shared" si="9"/>
        <v>0.21743750000000001</v>
      </c>
    </row>
    <row r="76" spans="1:7" x14ac:dyDescent="0.35">
      <c r="A76" s="40"/>
      <c r="B76" s="5" t="s">
        <v>559</v>
      </c>
      <c r="C76" s="6">
        <v>0.11</v>
      </c>
      <c r="D76" s="7">
        <f t="shared" si="6"/>
        <v>0.108625</v>
      </c>
      <c r="E76" s="7">
        <f t="shared" si="7"/>
        <v>8.3625000000000005E-2</v>
      </c>
      <c r="F76" s="7">
        <f t="shared" si="8"/>
        <v>1.6725000000000002E-3</v>
      </c>
      <c r="G76" s="7">
        <f t="shared" si="9"/>
        <v>8.1952500000000011E-2</v>
      </c>
    </row>
    <row r="77" spans="1:7" x14ac:dyDescent="0.35">
      <c r="A77" s="40"/>
      <c r="B77" s="5" t="s">
        <v>554</v>
      </c>
      <c r="C77" s="6">
        <v>0.24</v>
      </c>
      <c r="D77" s="7">
        <f t="shared" si="6"/>
        <v>0.23699999999999999</v>
      </c>
      <c r="E77" s="7">
        <f t="shared" si="7"/>
        <v>0.21199999999999999</v>
      </c>
      <c r="F77" s="7">
        <f t="shared" si="8"/>
        <v>4.2399999999999998E-3</v>
      </c>
      <c r="G77" s="7">
        <f t="shared" si="9"/>
        <v>0.20776</v>
      </c>
    </row>
    <row r="78" spans="1:7" x14ac:dyDescent="0.35">
      <c r="A78" s="40"/>
      <c r="B78" s="5" t="s">
        <v>555</v>
      </c>
      <c r="C78" s="6">
        <v>0.32</v>
      </c>
      <c r="D78" s="7">
        <f t="shared" si="6"/>
        <v>0.316</v>
      </c>
      <c r="E78" s="7">
        <f t="shared" si="7"/>
        <v>0.29099999999999998</v>
      </c>
      <c r="F78" s="7">
        <f t="shared" si="8"/>
        <v>5.8199999999999997E-3</v>
      </c>
      <c r="G78" s="7">
        <f t="shared" si="9"/>
        <v>0.28517999999999999</v>
      </c>
    </row>
    <row r="79" spans="1:7" x14ac:dyDescent="0.35">
      <c r="A79" s="40"/>
      <c r="B79" s="5" t="s">
        <v>561</v>
      </c>
      <c r="C79" s="6">
        <v>0.11</v>
      </c>
      <c r="D79" s="7">
        <f t="shared" si="6"/>
        <v>0.108625</v>
      </c>
      <c r="E79" s="7">
        <f t="shared" si="7"/>
        <v>8.3625000000000005E-2</v>
      </c>
      <c r="F79" s="7">
        <f t="shared" si="8"/>
        <v>1.6725000000000002E-3</v>
      </c>
      <c r="G79" s="7">
        <f t="shared" si="9"/>
        <v>8.1952500000000011E-2</v>
      </c>
    </row>
    <row r="80" spans="1:7" x14ac:dyDescent="0.35">
      <c r="A80" s="40"/>
      <c r="B80" s="5" t="s">
        <v>556</v>
      </c>
      <c r="C80" s="6">
        <v>0.15640000000000001</v>
      </c>
      <c r="D80" s="7">
        <f t="shared" si="6"/>
        <v>0.154445</v>
      </c>
      <c r="E80" s="7">
        <f t="shared" si="7"/>
        <v>0.129445</v>
      </c>
      <c r="F80" s="7">
        <f t="shared" si="8"/>
        <v>2.5889000000000003E-3</v>
      </c>
      <c r="G80" s="7">
        <f t="shared" si="9"/>
        <v>0.1268561</v>
      </c>
    </row>
    <row r="81" spans="1:7" x14ac:dyDescent="0.35">
      <c r="A81" s="40"/>
      <c r="B81" s="5" t="s">
        <v>557</v>
      </c>
      <c r="C81" s="6">
        <v>0.23</v>
      </c>
      <c r="D81" s="7">
        <f t="shared" si="6"/>
        <v>0.22712500000000002</v>
      </c>
      <c r="E81" s="7">
        <f t="shared" si="7"/>
        <v>0.20212500000000003</v>
      </c>
      <c r="F81" s="7">
        <f t="shared" si="8"/>
        <v>4.042500000000001E-3</v>
      </c>
      <c r="G81" s="7">
        <f t="shared" si="9"/>
        <v>0.19808250000000002</v>
      </c>
    </row>
    <row r="82" spans="1:7" x14ac:dyDescent="0.35">
      <c r="A82" s="40"/>
      <c r="B82" s="5" t="s">
        <v>560</v>
      </c>
      <c r="C82" s="6">
        <v>0.17</v>
      </c>
      <c r="D82" s="7">
        <f t="shared" si="6"/>
        <v>0.16787500000000002</v>
      </c>
      <c r="E82" s="7">
        <f t="shared" si="7"/>
        <v>0.14287500000000003</v>
      </c>
      <c r="F82" s="7">
        <f t="shared" si="8"/>
        <v>2.8575000000000007E-3</v>
      </c>
      <c r="G82" s="7">
        <f t="shared" si="9"/>
        <v>0.14001750000000002</v>
      </c>
    </row>
    <row r="83" spans="1:7" x14ac:dyDescent="0.35">
      <c r="A83" s="40" t="s">
        <v>579</v>
      </c>
      <c r="B83" s="11" t="s">
        <v>553</v>
      </c>
      <c r="C83" s="7">
        <v>0.11</v>
      </c>
      <c r="D83" s="7">
        <f t="shared" si="6"/>
        <v>0.108625</v>
      </c>
      <c r="E83" s="7">
        <f t="shared" si="7"/>
        <v>8.3625000000000005E-2</v>
      </c>
      <c r="F83" s="7">
        <f t="shared" si="8"/>
        <v>1.6725000000000002E-3</v>
      </c>
      <c r="G83" s="7">
        <f t="shared" si="9"/>
        <v>8.1952500000000011E-2</v>
      </c>
    </row>
    <row r="84" spans="1:7" x14ac:dyDescent="0.35">
      <c r="A84" s="40"/>
      <c r="B84" s="11" t="s">
        <v>554</v>
      </c>
      <c r="C84" s="7">
        <v>0.31</v>
      </c>
      <c r="D84" s="7">
        <f t="shared" si="6"/>
        <v>0.30612499999999998</v>
      </c>
      <c r="E84" s="7">
        <f t="shared" si="7"/>
        <v>0.28112499999999996</v>
      </c>
      <c r="F84" s="7">
        <f t="shared" si="8"/>
        <v>5.622499999999999E-3</v>
      </c>
      <c r="G84" s="7">
        <f t="shared" si="9"/>
        <v>0.27550249999999998</v>
      </c>
    </row>
    <row r="85" spans="1:7" x14ac:dyDescent="0.35">
      <c r="A85" s="40"/>
      <c r="B85" s="11" t="s">
        <v>555</v>
      </c>
      <c r="C85" s="7">
        <v>0.32</v>
      </c>
      <c r="D85" s="7">
        <f t="shared" si="6"/>
        <v>0.316</v>
      </c>
      <c r="E85" s="7">
        <f t="shared" si="7"/>
        <v>0.29099999999999998</v>
      </c>
      <c r="F85" s="7">
        <f t="shared" si="8"/>
        <v>5.8199999999999997E-3</v>
      </c>
      <c r="G85" s="7">
        <f t="shared" si="9"/>
        <v>0.28517999999999999</v>
      </c>
    </row>
    <row r="86" spans="1:7" x14ac:dyDescent="0.35">
      <c r="A86" s="40"/>
      <c r="B86" s="11" t="s">
        <v>556</v>
      </c>
      <c r="C86" s="7">
        <v>0.23000000000000004</v>
      </c>
      <c r="D86" s="7">
        <f t="shared" si="6"/>
        <v>0.22712500000000005</v>
      </c>
      <c r="E86" s="7">
        <f t="shared" si="7"/>
        <v>0.20212500000000005</v>
      </c>
      <c r="F86" s="7">
        <f t="shared" si="8"/>
        <v>4.042500000000001E-3</v>
      </c>
      <c r="G86" s="7">
        <f t="shared" si="9"/>
        <v>0.19808250000000005</v>
      </c>
    </row>
    <row r="87" spans="1:7" x14ac:dyDescent="0.35">
      <c r="A87" s="40"/>
      <c r="B87" s="11" t="s">
        <v>557</v>
      </c>
      <c r="C87" s="7">
        <v>0.3</v>
      </c>
      <c r="D87" s="7">
        <f t="shared" si="6"/>
        <v>0.29625000000000001</v>
      </c>
      <c r="E87" s="7">
        <f t="shared" si="7"/>
        <v>0.27124999999999999</v>
      </c>
      <c r="F87" s="7">
        <f t="shared" si="8"/>
        <v>5.4250000000000001E-3</v>
      </c>
      <c r="G87" s="7">
        <f t="shared" si="9"/>
        <v>0.26582499999999998</v>
      </c>
    </row>
    <row r="88" spans="1:7" x14ac:dyDescent="0.35">
      <c r="A88" s="40"/>
      <c r="B88" s="11" t="s">
        <v>558</v>
      </c>
      <c r="C88" s="7">
        <v>0.32</v>
      </c>
      <c r="D88" s="7">
        <f t="shared" si="6"/>
        <v>0.316</v>
      </c>
      <c r="E88" s="7">
        <f t="shared" si="7"/>
        <v>0.29099999999999998</v>
      </c>
      <c r="F88" s="7">
        <f t="shared" si="8"/>
        <v>5.8199999999999997E-3</v>
      </c>
      <c r="G88" s="7">
        <f t="shared" si="9"/>
        <v>0.28517999999999999</v>
      </c>
    </row>
    <row r="89" spans="1:7" x14ac:dyDescent="0.35">
      <c r="A89" s="40"/>
      <c r="B89" s="11" t="s">
        <v>559</v>
      </c>
      <c r="C89" s="7">
        <v>0.16999999999999998</v>
      </c>
      <c r="D89" s="7">
        <f t="shared" si="6"/>
        <v>0.167875</v>
      </c>
      <c r="E89" s="7">
        <f t="shared" si="7"/>
        <v>0.142875</v>
      </c>
      <c r="F89" s="7">
        <f t="shared" si="8"/>
        <v>2.8575000000000002E-3</v>
      </c>
      <c r="G89" s="7">
        <f t="shared" si="9"/>
        <v>0.14001749999999999</v>
      </c>
    </row>
    <row r="90" spans="1:7" x14ac:dyDescent="0.35">
      <c r="A90" s="40"/>
      <c r="B90" s="11" t="s">
        <v>560</v>
      </c>
      <c r="C90" s="7">
        <v>0.24</v>
      </c>
      <c r="D90" s="7">
        <f t="shared" si="6"/>
        <v>0.23699999999999999</v>
      </c>
      <c r="E90" s="7">
        <f t="shared" si="7"/>
        <v>0.21199999999999999</v>
      </c>
      <c r="F90" s="7">
        <f t="shared" si="8"/>
        <v>4.2399999999999998E-3</v>
      </c>
      <c r="G90" s="7">
        <f t="shared" si="9"/>
        <v>0.20776</v>
      </c>
    </row>
    <row r="91" spans="1:7" x14ac:dyDescent="0.35">
      <c r="A91" s="40"/>
      <c r="B91" s="11" t="s">
        <v>561</v>
      </c>
      <c r="C91" s="7">
        <v>0.16999999999999998</v>
      </c>
      <c r="D91" s="7">
        <f t="shared" si="6"/>
        <v>0.167875</v>
      </c>
      <c r="E91" s="7">
        <f t="shared" si="7"/>
        <v>0.142875</v>
      </c>
      <c r="F91" s="7">
        <f t="shared" si="8"/>
        <v>2.8575000000000002E-3</v>
      </c>
      <c r="G91" s="7">
        <f t="shared" si="9"/>
        <v>0.14001749999999999</v>
      </c>
    </row>
    <row r="92" spans="1:7" x14ac:dyDescent="0.35">
      <c r="A92" s="40"/>
      <c r="B92" s="11" t="s">
        <v>562</v>
      </c>
      <c r="C92" s="7">
        <v>0.21000000000000002</v>
      </c>
      <c r="D92" s="7">
        <f t="shared" si="6"/>
        <v>0.20737500000000003</v>
      </c>
      <c r="E92" s="7">
        <f t="shared" si="7"/>
        <v>0.18237500000000004</v>
      </c>
      <c r="F92" s="7">
        <f t="shared" si="8"/>
        <v>3.647500000000001E-3</v>
      </c>
      <c r="G92" s="7">
        <f t="shared" si="9"/>
        <v>0.17872750000000004</v>
      </c>
    </row>
    <row r="93" spans="1:7" x14ac:dyDescent="0.35">
      <c r="A93" s="48" t="s">
        <v>1235</v>
      </c>
      <c r="B93" s="5" t="s">
        <v>580</v>
      </c>
      <c r="C93" s="6">
        <v>0.19500000000000001</v>
      </c>
      <c r="D93" s="7">
        <f t="shared" si="6"/>
        <v>0.1925625</v>
      </c>
      <c r="E93" s="7">
        <f t="shared" si="7"/>
        <v>0.1675625</v>
      </c>
      <c r="F93" s="7">
        <f t="shared" si="8"/>
        <v>3.3512500000000001E-3</v>
      </c>
      <c r="G93" s="7">
        <f t="shared" si="9"/>
        <v>0.16421125</v>
      </c>
    </row>
    <row r="94" spans="1:7" ht="33.5" customHeight="1" x14ac:dyDescent="0.35">
      <c r="A94" s="48"/>
      <c r="B94" s="5" t="s">
        <v>581</v>
      </c>
      <c r="C94" s="6">
        <v>0.66</v>
      </c>
      <c r="D94" s="7">
        <f t="shared" si="6"/>
        <v>0.65175000000000005</v>
      </c>
      <c r="E94" s="7">
        <f t="shared" si="7"/>
        <v>0.62675000000000003</v>
      </c>
      <c r="F94" s="7">
        <f t="shared" si="8"/>
        <v>1.2535000000000001E-2</v>
      </c>
      <c r="G94" s="7">
        <f t="shared" si="9"/>
        <v>0.61421500000000007</v>
      </c>
    </row>
    <row r="95" spans="1:7" ht="24" x14ac:dyDescent="0.35">
      <c r="A95" s="35" t="s">
        <v>1170</v>
      </c>
      <c r="B95" s="5" t="s">
        <v>100</v>
      </c>
      <c r="C95" s="7">
        <v>0.35</v>
      </c>
      <c r="D95" s="7">
        <f t="shared" si="6"/>
        <v>0.34562499999999996</v>
      </c>
      <c r="E95" s="7">
        <f t="shared" si="7"/>
        <v>0.32062499999999994</v>
      </c>
      <c r="F95" s="7">
        <f t="shared" si="8"/>
        <v>6.4124999999999989E-3</v>
      </c>
      <c r="G95" s="7">
        <f t="shared" si="9"/>
        <v>0.31421249999999995</v>
      </c>
    </row>
    <row r="96" spans="1:7" x14ac:dyDescent="0.35">
      <c r="A96" s="35" t="s">
        <v>1171</v>
      </c>
      <c r="B96" s="5" t="s">
        <v>100</v>
      </c>
      <c r="C96" s="7">
        <v>0.32500000000000001</v>
      </c>
      <c r="D96" s="7">
        <f t="shared" si="6"/>
        <v>0.32093749999999999</v>
      </c>
      <c r="E96" s="7">
        <f t="shared" si="7"/>
        <v>0.29593749999999996</v>
      </c>
      <c r="F96" s="7">
        <f t="shared" si="8"/>
        <v>5.9187499999999995E-3</v>
      </c>
      <c r="G96" s="7">
        <f t="shared" si="9"/>
        <v>0.29001874999999999</v>
      </c>
    </row>
    <row r="97" spans="1:7" ht="24" x14ac:dyDescent="0.35">
      <c r="A97" s="35" t="s">
        <v>82</v>
      </c>
      <c r="B97" s="5" t="s">
        <v>100</v>
      </c>
      <c r="C97" s="7">
        <v>0.25</v>
      </c>
      <c r="D97" s="7">
        <f t="shared" si="6"/>
        <v>0.24687500000000001</v>
      </c>
      <c r="E97" s="7">
        <f t="shared" si="7"/>
        <v>0.22187500000000002</v>
      </c>
      <c r="F97" s="7">
        <f t="shared" si="8"/>
        <v>4.4375000000000005E-3</v>
      </c>
      <c r="G97" s="7">
        <f t="shared" si="9"/>
        <v>0.21743750000000001</v>
      </c>
    </row>
    <row r="98" spans="1:7" ht="24" x14ac:dyDescent="0.35">
      <c r="A98" s="35" t="s">
        <v>83</v>
      </c>
      <c r="B98" s="5" t="s">
        <v>100</v>
      </c>
      <c r="C98" s="7">
        <v>0.2</v>
      </c>
      <c r="D98" s="7">
        <f t="shared" si="6"/>
        <v>0.19750000000000001</v>
      </c>
      <c r="E98" s="7">
        <f t="shared" si="7"/>
        <v>0.17250000000000001</v>
      </c>
      <c r="F98" s="7">
        <f t="shared" si="8"/>
        <v>3.4500000000000004E-3</v>
      </c>
      <c r="G98" s="7">
        <f t="shared" si="9"/>
        <v>0.16905000000000001</v>
      </c>
    </row>
    <row r="99" spans="1:7" ht="24" x14ac:dyDescent="0.35">
      <c r="A99" s="35" t="s">
        <v>84</v>
      </c>
      <c r="B99" s="5" t="s">
        <v>100</v>
      </c>
      <c r="C99" s="7">
        <v>0.25</v>
      </c>
      <c r="D99" s="7">
        <f t="shared" si="6"/>
        <v>0.24687500000000001</v>
      </c>
      <c r="E99" s="7">
        <f t="shared" si="7"/>
        <v>0.22187500000000002</v>
      </c>
      <c r="F99" s="7">
        <f t="shared" si="8"/>
        <v>4.4375000000000005E-3</v>
      </c>
      <c r="G99" s="7">
        <f t="shared" si="9"/>
        <v>0.21743750000000001</v>
      </c>
    </row>
    <row r="100" spans="1:7" ht="24" x14ac:dyDescent="0.35">
      <c r="A100" s="35" t="s">
        <v>85</v>
      </c>
      <c r="B100" s="5" t="s">
        <v>100</v>
      </c>
      <c r="C100" s="7">
        <v>0.2</v>
      </c>
      <c r="D100" s="7">
        <f t="shared" si="6"/>
        <v>0.19750000000000001</v>
      </c>
      <c r="E100" s="7">
        <f t="shared" si="7"/>
        <v>0.17250000000000001</v>
      </c>
      <c r="F100" s="7">
        <f t="shared" si="8"/>
        <v>3.4500000000000004E-3</v>
      </c>
      <c r="G100" s="7">
        <f t="shared" si="9"/>
        <v>0.16905000000000001</v>
      </c>
    </row>
    <row r="101" spans="1:7" ht="36" x14ac:dyDescent="0.35">
      <c r="A101" s="41" t="s">
        <v>582</v>
      </c>
      <c r="B101" s="5" t="s">
        <v>563</v>
      </c>
      <c r="C101" s="7">
        <v>0.28999999999999998</v>
      </c>
      <c r="D101" s="7">
        <f t="shared" si="6"/>
        <v>0.28637499999999999</v>
      </c>
      <c r="E101" s="7">
        <f t="shared" si="7"/>
        <v>0.26137499999999997</v>
      </c>
      <c r="F101" s="7">
        <f t="shared" si="8"/>
        <v>5.2274999999999995E-3</v>
      </c>
      <c r="G101" s="7">
        <f t="shared" si="9"/>
        <v>0.25614749999999997</v>
      </c>
    </row>
    <row r="102" spans="1:7" ht="48" x14ac:dyDescent="0.35">
      <c r="A102" s="42"/>
      <c r="B102" s="5" t="s">
        <v>564</v>
      </c>
      <c r="C102" s="7">
        <v>0.28999999999999998</v>
      </c>
      <c r="D102" s="7">
        <f t="shared" si="6"/>
        <v>0.28637499999999999</v>
      </c>
      <c r="E102" s="7">
        <f t="shared" si="7"/>
        <v>0.26137499999999997</v>
      </c>
      <c r="F102" s="7">
        <f t="shared" si="8"/>
        <v>5.2274999999999995E-3</v>
      </c>
      <c r="G102" s="7">
        <f t="shared" si="9"/>
        <v>0.25614749999999997</v>
      </c>
    </row>
    <row r="103" spans="1:7" x14ac:dyDescent="0.35">
      <c r="A103" s="42"/>
      <c r="B103" s="5" t="s">
        <v>565</v>
      </c>
      <c r="C103" s="7">
        <v>0.28999999999999998</v>
      </c>
      <c r="D103" s="7">
        <f t="shared" si="6"/>
        <v>0.28637499999999999</v>
      </c>
      <c r="E103" s="7">
        <f t="shared" si="7"/>
        <v>0.26137499999999997</v>
      </c>
      <c r="F103" s="7">
        <f t="shared" si="8"/>
        <v>5.2274999999999995E-3</v>
      </c>
      <c r="G103" s="7">
        <f t="shared" si="9"/>
        <v>0.25614749999999997</v>
      </c>
    </row>
    <row r="104" spans="1:7" ht="36" x14ac:dyDescent="0.35">
      <c r="A104" s="43"/>
      <c r="B104" s="5" t="s">
        <v>566</v>
      </c>
      <c r="C104" s="7">
        <v>0.28999999999999998</v>
      </c>
      <c r="D104" s="7">
        <f t="shared" si="6"/>
        <v>0.28637499999999999</v>
      </c>
      <c r="E104" s="7">
        <f t="shared" si="7"/>
        <v>0.26137499999999997</v>
      </c>
      <c r="F104" s="7">
        <f t="shared" si="8"/>
        <v>5.2274999999999995E-3</v>
      </c>
      <c r="G104" s="7">
        <f t="shared" si="9"/>
        <v>0.25614749999999997</v>
      </c>
    </row>
    <row r="105" spans="1:7" x14ac:dyDescent="0.35">
      <c r="A105" s="44" t="s">
        <v>91</v>
      </c>
      <c r="B105" s="5" t="s">
        <v>92</v>
      </c>
      <c r="C105" s="6">
        <v>0.5</v>
      </c>
      <c r="D105" s="7">
        <f t="shared" si="6"/>
        <v>0.49375000000000002</v>
      </c>
      <c r="E105" s="7">
        <f t="shared" si="7"/>
        <v>0.46875</v>
      </c>
      <c r="F105" s="7">
        <f t="shared" si="8"/>
        <v>9.3749999999999997E-3</v>
      </c>
      <c r="G105" s="7">
        <f t="shared" si="9"/>
        <v>0.45937499999999998</v>
      </c>
    </row>
    <row r="106" spans="1:7" x14ac:dyDescent="0.35">
      <c r="A106" s="45"/>
      <c r="B106" s="5" t="s">
        <v>93</v>
      </c>
      <c r="C106" s="6">
        <v>0.5</v>
      </c>
      <c r="D106" s="7">
        <f t="shared" si="6"/>
        <v>0.49375000000000002</v>
      </c>
      <c r="E106" s="7">
        <f t="shared" si="7"/>
        <v>0.46875</v>
      </c>
      <c r="F106" s="7">
        <f t="shared" si="8"/>
        <v>9.3749999999999997E-3</v>
      </c>
      <c r="G106" s="7">
        <f t="shared" si="9"/>
        <v>0.45937499999999998</v>
      </c>
    </row>
    <row r="107" spans="1:7" ht="24" x14ac:dyDescent="0.35">
      <c r="A107" s="5" t="s">
        <v>583</v>
      </c>
      <c r="B107" s="5" t="s">
        <v>584</v>
      </c>
      <c r="C107" s="6">
        <v>0.56000000000000005</v>
      </c>
      <c r="D107" s="7">
        <f t="shared" si="6"/>
        <v>0.55300000000000005</v>
      </c>
      <c r="E107" s="7">
        <f t="shared" si="7"/>
        <v>0.52800000000000002</v>
      </c>
      <c r="F107" s="7">
        <f t="shared" si="8"/>
        <v>1.056E-2</v>
      </c>
      <c r="G107" s="7">
        <f t="shared" si="9"/>
        <v>0.51744000000000001</v>
      </c>
    </row>
    <row r="108" spans="1:7" ht="14.5" customHeight="1" x14ac:dyDescent="0.35">
      <c r="A108" s="52" t="s">
        <v>1200</v>
      </c>
      <c r="B108" s="5" t="s">
        <v>1201</v>
      </c>
      <c r="C108" s="6">
        <v>0.35499999999999998</v>
      </c>
      <c r="D108" s="7">
        <f t="shared" si="6"/>
        <v>0.3505625</v>
      </c>
      <c r="E108" s="7">
        <f t="shared" si="7"/>
        <v>0.32556249999999998</v>
      </c>
      <c r="F108" s="7">
        <f t="shared" si="8"/>
        <v>6.5112499999999997E-3</v>
      </c>
      <c r="G108" s="7">
        <f t="shared" si="9"/>
        <v>0.31905124999999995</v>
      </c>
    </row>
    <row r="109" spans="1:7" x14ac:dyDescent="0.35">
      <c r="A109" s="53"/>
      <c r="B109" s="5" t="s">
        <v>1202</v>
      </c>
      <c r="C109" s="6">
        <v>0.44500000000000001</v>
      </c>
      <c r="D109" s="7">
        <f t="shared" si="6"/>
        <v>0.43943749999999998</v>
      </c>
      <c r="E109" s="7">
        <f t="shared" si="7"/>
        <v>0.41443749999999996</v>
      </c>
      <c r="F109" s="7">
        <f t="shared" si="8"/>
        <v>8.2887499999999992E-3</v>
      </c>
      <c r="G109" s="7">
        <f t="shared" si="9"/>
        <v>0.40614874999999995</v>
      </c>
    </row>
    <row r="110" spans="1:7" x14ac:dyDescent="0.35">
      <c r="A110" s="54"/>
      <c r="B110" s="5" t="s">
        <v>1203</v>
      </c>
      <c r="C110" s="6">
        <v>0.47499999999999998</v>
      </c>
      <c r="D110" s="7">
        <f t="shared" si="6"/>
        <v>0.46906249999999999</v>
      </c>
      <c r="E110" s="7">
        <f t="shared" si="7"/>
        <v>0.44406249999999997</v>
      </c>
      <c r="F110" s="7">
        <f t="shared" si="8"/>
        <v>8.8812500000000003E-3</v>
      </c>
      <c r="G110" s="7">
        <f t="shared" si="9"/>
        <v>0.43518124999999996</v>
      </c>
    </row>
    <row r="111" spans="1:7" x14ac:dyDescent="0.35">
      <c r="A111" s="36" t="s">
        <v>1204</v>
      </c>
      <c r="B111" s="5" t="s">
        <v>100</v>
      </c>
      <c r="C111" s="6">
        <v>0.47499999999999998</v>
      </c>
      <c r="D111" s="7">
        <f t="shared" si="6"/>
        <v>0.46906249999999999</v>
      </c>
      <c r="E111" s="7">
        <f t="shared" si="7"/>
        <v>0.44406249999999997</v>
      </c>
      <c r="F111" s="7">
        <f t="shared" si="8"/>
        <v>8.8812500000000003E-3</v>
      </c>
      <c r="G111" s="7">
        <f t="shared" si="9"/>
        <v>0.43518124999999996</v>
      </c>
    </row>
    <row r="112" spans="1:7" x14ac:dyDescent="0.35">
      <c r="A112" s="2" t="s">
        <v>104</v>
      </c>
      <c r="B112" s="2" t="s">
        <v>1</v>
      </c>
      <c r="C112" s="3" t="s">
        <v>2</v>
      </c>
      <c r="D112" s="4" t="s">
        <v>1275</v>
      </c>
      <c r="E112" s="4" t="s">
        <v>1276</v>
      </c>
      <c r="F112" s="4" t="s">
        <v>363</v>
      </c>
      <c r="G112" s="4" t="s">
        <v>364</v>
      </c>
    </row>
    <row r="113" spans="1:7" x14ac:dyDescent="0.35">
      <c r="A113" s="5" t="s">
        <v>585</v>
      </c>
      <c r="B113" s="5" t="s">
        <v>100</v>
      </c>
      <c r="C113" s="7">
        <v>0.35</v>
      </c>
      <c r="D113" s="7">
        <f t="shared" si="6"/>
        <v>0.34562499999999996</v>
      </c>
      <c r="E113" s="7">
        <f t="shared" si="7"/>
        <v>0.32062499999999994</v>
      </c>
      <c r="F113" s="7">
        <f t="shared" si="8"/>
        <v>6.4124999999999989E-3</v>
      </c>
      <c r="G113" s="7">
        <f t="shared" si="9"/>
        <v>0.31421249999999995</v>
      </c>
    </row>
    <row r="114" spans="1:7" x14ac:dyDescent="0.35">
      <c r="A114" s="5" t="s">
        <v>586</v>
      </c>
      <c r="B114" s="5" t="s">
        <v>100</v>
      </c>
      <c r="C114" s="7">
        <v>0.47</v>
      </c>
      <c r="D114" s="7">
        <f t="shared" si="6"/>
        <v>0.46412499999999995</v>
      </c>
      <c r="E114" s="7">
        <f t="shared" si="7"/>
        <v>0.43912499999999993</v>
      </c>
      <c r="F114" s="7">
        <f t="shared" si="8"/>
        <v>8.7824999999999986E-3</v>
      </c>
      <c r="G114" s="7">
        <f t="shared" si="9"/>
        <v>0.43034249999999996</v>
      </c>
    </row>
    <row r="115" spans="1:7" ht="36" x14ac:dyDescent="0.35">
      <c r="A115" s="41" t="s">
        <v>406</v>
      </c>
      <c r="B115" s="5" t="s">
        <v>563</v>
      </c>
      <c r="C115" s="7">
        <v>0.37</v>
      </c>
      <c r="D115" s="7">
        <f t="shared" si="6"/>
        <v>0.36537500000000001</v>
      </c>
      <c r="E115" s="7">
        <f t="shared" si="7"/>
        <v>0.34037499999999998</v>
      </c>
      <c r="F115" s="7">
        <f t="shared" si="8"/>
        <v>6.8075000000000002E-3</v>
      </c>
      <c r="G115" s="7">
        <f t="shared" si="9"/>
        <v>0.33356749999999996</v>
      </c>
    </row>
    <row r="116" spans="1:7" ht="48" x14ac:dyDescent="0.35">
      <c r="A116" s="42"/>
      <c r="B116" s="5" t="s">
        <v>564</v>
      </c>
      <c r="C116" s="7">
        <v>0.3</v>
      </c>
      <c r="D116" s="7">
        <f t="shared" si="6"/>
        <v>0.29625000000000001</v>
      </c>
      <c r="E116" s="7">
        <f t="shared" si="7"/>
        <v>0.27124999999999999</v>
      </c>
      <c r="F116" s="7">
        <f t="shared" si="8"/>
        <v>5.4250000000000001E-3</v>
      </c>
      <c r="G116" s="7">
        <f t="shared" si="9"/>
        <v>0.26582499999999998</v>
      </c>
    </row>
    <row r="117" spans="1:7" x14ac:dyDescent="0.35">
      <c r="A117" s="42"/>
      <c r="B117" s="5" t="s">
        <v>565</v>
      </c>
      <c r="C117" s="7">
        <v>0</v>
      </c>
      <c r="D117" s="7" t="s">
        <v>20</v>
      </c>
      <c r="E117" s="7" t="s">
        <v>20</v>
      </c>
      <c r="F117" s="7" t="s">
        <v>20</v>
      </c>
      <c r="G117" s="7" t="s">
        <v>20</v>
      </c>
    </row>
    <row r="118" spans="1:7" ht="36" x14ac:dyDescent="0.35">
      <c r="A118" s="43"/>
      <c r="B118" s="5" t="s">
        <v>566</v>
      </c>
      <c r="C118" s="7">
        <v>0.3</v>
      </c>
      <c r="D118" s="7">
        <f t="shared" si="6"/>
        <v>0.29625000000000001</v>
      </c>
      <c r="E118" s="7">
        <f t="shared" si="7"/>
        <v>0.27124999999999999</v>
      </c>
      <c r="F118" s="7">
        <f t="shared" si="8"/>
        <v>5.4250000000000001E-3</v>
      </c>
      <c r="G118" s="7">
        <f t="shared" si="9"/>
        <v>0.26582499999999998</v>
      </c>
    </row>
    <row r="119" spans="1:7" ht="36" x14ac:dyDescent="0.35">
      <c r="A119" s="41" t="s">
        <v>110</v>
      </c>
      <c r="B119" s="5" t="s">
        <v>563</v>
      </c>
      <c r="C119" s="7">
        <v>0.35</v>
      </c>
      <c r="D119" s="7">
        <f t="shared" si="6"/>
        <v>0.34562499999999996</v>
      </c>
      <c r="E119" s="7">
        <f t="shared" si="7"/>
        <v>0.32062499999999994</v>
      </c>
      <c r="F119" s="7">
        <f t="shared" si="8"/>
        <v>6.4124999999999989E-3</v>
      </c>
      <c r="G119" s="7">
        <f t="shared" si="9"/>
        <v>0.31421249999999995</v>
      </c>
    </row>
    <row r="120" spans="1:7" ht="48" x14ac:dyDescent="0.35">
      <c r="A120" s="42"/>
      <c r="B120" s="5" t="s">
        <v>564</v>
      </c>
      <c r="C120" s="7">
        <v>0.24</v>
      </c>
      <c r="D120" s="7">
        <f t="shared" si="6"/>
        <v>0.23699999999999999</v>
      </c>
      <c r="E120" s="7">
        <f t="shared" si="7"/>
        <v>0.21199999999999999</v>
      </c>
      <c r="F120" s="7">
        <f t="shared" si="8"/>
        <v>4.2399999999999998E-3</v>
      </c>
      <c r="G120" s="7">
        <f t="shared" si="9"/>
        <v>0.20776</v>
      </c>
    </row>
    <row r="121" spans="1:7" x14ac:dyDescent="0.35">
      <c r="A121" s="42"/>
      <c r="B121" s="5" t="s">
        <v>565</v>
      </c>
      <c r="C121" s="7">
        <v>0.35</v>
      </c>
      <c r="D121" s="7">
        <f t="shared" si="6"/>
        <v>0.34562499999999996</v>
      </c>
      <c r="E121" s="7">
        <f t="shared" si="7"/>
        <v>0.32062499999999994</v>
      </c>
      <c r="F121" s="7">
        <f t="shared" si="8"/>
        <v>6.4124999999999989E-3</v>
      </c>
      <c r="G121" s="7">
        <f t="shared" si="9"/>
        <v>0.31421249999999995</v>
      </c>
    </row>
    <row r="122" spans="1:7" ht="36" x14ac:dyDescent="0.35">
      <c r="A122" s="43"/>
      <c r="B122" s="5" t="s">
        <v>566</v>
      </c>
      <c r="C122" s="7">
        <v>0.25</v>
      </c>
      <c r="D122" s="7">
        <f t="shared" si="6"/>
        <v>0.24687500000000001</v>
      </c>
      <c r="E122" s="7">
        <f t="shared" si="7"/>
        <v>0.22187500000000002</v>
      </c>
      <c r="F122" s="7">
        <f t="shared" si="8"/>
        <v>4.4375000000000005E-3</v>
      </c>
      <c r="G122" s="7">
        <f t="shared" si="9"/>
        <v>0.21743750000000001</v>
      </c>
    </row>
    <row r="123" spans="1:7" ht="36" x14ac:dyDescent="0.35">
      <c r="A123" s="41" t="s">
        <v>112</v>
      </c>
      <c r="B123" s="5" t="s">
        <v>563</v>
      </c>
      <c r="C123" s="7">
        <v>0.16</v>
      </c>
      <c r="D123" s="7">
        <f t="shared" si="6"/>
        <v>0.158</v>
      </c>
      <c r="E123" s="7">
        <f t="shared" si="7"/>
        <v>0.13300000000000001</v>
      </c>
      <c r="F123" s="7">
        <f t="shared" si="8"/>
        <v>2.66E-3</v>
      </c>
      <c r="G123" s="7">
        <f t="shared" si="9"/>
        <v>0.13034000000000001</v>
      </c>
    </row>
    <row r="124" spans="1:7" ht="48" x14ac:dyDescent="0.35">
      <c r="A124" s="42"/>
      <c r="B124" s="5" t="s">
        <v>564</v>
      </c>
      <c r="C124" s="7">
        <v>0.30499999999999999</v>
      </c>
      <c r="D124" s="7">
        <f t="shared" si="6"/>
        <v>0.3011875</v>
      </c>
      <c r="E124" s="7">
        <f t="shared" si="7"/>
        <v>0.27618749999999997</v>
      </c>
      <c r="F124" s="7">
        <f t="shared" si="8"/>
        <v>5.52375E-3</v>
      </c>
      <c r="G124" s="7">
        <f t="shared" si="9"/>
        <v>0.27066374999999998</v>
      </c>
    </row>
    <row r="125" spans="1:7" x14ac:dyDescent="0.35">
      <c r="A125" s="42"/>
      <c r="B125" s="5" t="s">
        <v>565</v>
      </c>
      <c r="C125" s="7">
        <v>0</v>
      </c>
      <c r="D125" s="7" t="s">
        <v>20</v>
      </c>
      <c r="E125" s="7" t="s">
        <v>20</v>
      </c>
      <c r="F125" s="7" t="s">
        <v>20</v>
      </c>
      <c r="G125" s="7" t="s">
        <v>20</v>
      </c>
    </row>
    <row r="126" spans="1:7" ht="36" x14ac:dyDescent="0.35">
      <c r="A126" s="43"/>
      <c r="B126" s="5" t="s">
        <v>566</v>
      </c>
      <c r="C126" s="7">
        <v>0.245</v>
      </c>
      <c r="D126" s="7">
        <f t="shared" si="6"/>
        <v>0.2419375</v>
      </c>
      <c r="E126" s="7">
        <f t="shared" si="7"/>
        <v>0.21693750000000001</v>
      </c>
      <c r="F126" s="7">
        <f t="shared" si="8"/>
        <v>4.3387500000000006E-3</v>
      </c>
      <c r="G126" s="7">
        <f t="shared" si="9"/>
        <v>0.21259875</v>
      </c>
    </row>
    <row r="127" spans="1:7" ht="36" x14ac:dyDescent="0.35">
      <c r="A127" s="41" t="s">
        <v>111</v>
      </c>
      <c r="B127" s="5" t="s">
        <v>563</v>
      </c>
      <c r="C127" s="7">
        <v>0.15</v>
      </c>
      <c r="D127" s="7">
        <f t="shared" si="6"/>
        <v>0.14812500000000001</v>
      </c>
      <c r="E127" s="7">
        <f t="shared" si="7"/>
        <v>0.12312500000000001</v>
      </c>
      <c r="F127" s="7">
        <f t="shared" si="8"/>
        <v>2.4625000000000003E-3</v>
      </c>
      <c r="G127" s="7">
        <f t="shared" si="9"/>
        <v>0.12066250000000001</v>
      </c>
    </row>
    <row r="128" spans="1:7" ht="48" x14ac:dyDescent="0.35">
      <c r="A128" s="42"/>
      <c r="B128" s="5" t="s">
        <v>564</v>
      </c>
      <c r="C128" s="7">
        <v>0.15</v>
      </c>
      <c r="D128" s="7">
        <f t="shared" si="6"/>
        <v>0.14812500000000001</v>
      </c>
      <c r="E128" s="7">
        <f t="shared" si="7"/>
        <v>0.12312500000000001</v>
      </c>
      <c r="F128" s="7">
        <f t="shared" si="8"/>
        <v>2.4625000000000003E-3</v>
      </c>
      <c r="G128" s="7">
        <f t="shared" si="9"/>
        <v>0.12066250000000001</v>
      </c>
    </row>
    <row r="129" spans="1:7" x14ac:dyDescent="0.35">
      <c r="A129" s="42"/>
      <c r="B129" s="5" t="s">
        <v>565</v>
      </c>
      <c r="C129" s="7">
        <v>0.17</v>
      </c>
      <c r="D129" s="7">
        <f t="shared" si="6"/>
        <v>0.16787500000000002</v>
      </c>
      <c r="E129" s="7">
        <f t="shared" si="7"/>
        <v>0.14287500000000003</v>
      </c>
      <c r="F129" s="7">
        <f t="shared" si="8"/>
        <v>2.8575000000000007E-3</v>
      </c>
      <c r="G129" s="7">
        <f t="shared" si="9"/>
        <v>0.14001750000000002</v>
      </c>
    </row>
    <row r="130" spans="1:7" ht="36" x14ac:dyDescent="0.35">
      <c r="A130" s="43"/>
      <c r="B130" s="5" t="s">
        <v>566</v>
      </c>
      <c r="C130" s="7">
        <v>0.15</v>
      </c>
      <c r="D130" s="7">
        <f t="shared" si="6"/>
        <v>0.14812500000000001</v>
      </c>
      <c r="E130" s="7">
        <f t="shared" si="7"/>
        <v>0.12312500000000001</v>
      </c>
      <c r="F130" s="7">
        <f t="shared" si="8"/>
        <v>2.4625000000000003E-3</v>
      </c>
      <c r="G130" s="7">
        <f t="shared" si="9"/>
        <v>0.12066250000000001</v>
      </c>
    </row>
    <row r="131" spans="1:7" x14ac:dyDescent="0.35">
      <c r="A131" s="44" t="s">
        <v>1232</v>
      </c>
      <c r="B131" s="5" t="s">
        <v>92</v>
      </c>
      <c r="C131" s="6">
        <v>0.27</v>
      </c>
      <c r="D131" s="7">
        <f t="shared" si="6"/>
        <v>0.266625</v>
      </c>
      <c r="E131" s="7">
        <f t="shared" si="7"/>
        <v>0.24162500000000001</v>
      </c>
      <c r="F131" s="7">
        <f t="shared" si="8"/>
        <v>4.8325E-3</v>
      </c>
      <c r="G131" s="7">
        <f t="shared" si="9"/>
        <v>0.23679250000000002</v>
      </c>
    </row>
    <row r="132" spans="1:7" x14ac:dyDescent="0.35">
      <c r="A132" s="45"/>
      <c r="B132" s="5" t="s">
        <v>93</v>
      </c>
      <c r="C132" s="6">
        <v>0.27</v>
      </c>
      <c r="D132" s="7">
        <f t="shared" si="6"/>
        <v>0.266625</v>
      </c>
      <c r="E132" s="7">
        <f t="shared" si="7"/>
        <v>0.24162500000000001</v>
      </c>
      <c r="F132" s="7">
        <f t="shared" si="8"/>
        <v>4.8325E-3</v>
      </c>
      <c r="G132" s="7">
        <f t="shared" si="9"/>
        <v>0.23679250000000002</v>
      </c>
    </row>
    <row r="133" spans="1:7" x14ac:dyDescent="0.35">
      <c r="A133" s="5" t="s">
        <v>116</v>
      </c>
      <c r="B133" s="5" t="s">
        <v>100</v>
      </c>
      <c r="C133" s="6">
        <v>0.35</v>
      </c>
      <c r="D133" s="7">
        <f t="shared" si="6"/>
        <v>0.34562499999999996</v>
      </c>
      <c r="E133" s="7">
        <f t="shared" si="7"/>
        <v>0.32062499999999994</v>
      </c>
      <c r="F133" s="7">
        <f t="shared" si="8"/>
        <v>6.4124999999999989E-3</v>
      </c>
      <c r="G133" s="7">
        <f t="shared" si="9"/>
        <v>0.31421249999999995</v>
      </c>
    </row>
    <row r="134" spans="1:7" x14ac:dyDescent="0.35">
      <c r="A134" s="2" t="s">
        <v>117</v>
      </c>
      <c r="B134" s="2" t="s">
        <v>1</v>
      </c>
      <c r="C134" s="3" t="s">
        <v>2</v>
      </c>
      <c r="D134" s="4" t="s">
        <v>1275</v>
      </c>
      <c r="E134" s="4" t="s">
        <v>1276</v>
      </c>
      <c r="F134" s="4" t="s">
        <v>363</v>
      </c>
      <c r="G134" s="4" t="s">
        <v>364</v>
      </c>
    </row>
    <row r="135" spans="1:7" x14ac:dyDescent="0.35">
      <c r="A135" s="5" t="s">
        <v>587</v>
      </c>
      <c r="B135" s="5" t="s">
        <v>570</v>
      </c>
      <c r="C135" s="7">
        <v>0.28000000000000003</v>
      </c>
      <c r="D135" s="7">
        <f t="shared" ref="D135:D198" si="10">(C135-(C135*1.25%))</f>
        <v>0.27650000000000002</v>
      </c>
      <c r="E135" s="7">
        <f t="shared" ref="E135:E198" si="11">D135-(2.5%)</f>
        <v>0.2515</v>
      </c>
      <c r="F135" s="7">
        <f t="shared" ref="F135:F198" si="12">E135*(2%)</f>
        <v>5.0299999999999997E-3</v>
      </c>
      <c r="G135" s="7">
        <f t="shared" ref="G135:G198" si="13">E135-F135</f>
        <v>0.24646999999999999</v>
      </c>
    </row>
    <row r="136" spans="1:7" ht="24" x14ac:dyDescent="0.35">
      <c r="A136" s="5" t="s">
        <v>588</v>
      </c>
      <c r="B136" s="5" t="s">
        <v>570</v>
      </c>
      <c r="C136" s="7">
        <v>0.25</v>
      </c>
      <c r="D136" s="7">
        <f t="shared" si="10"/>
        <v>0.24687500000000001</v>
      </c>
      <c r="E136" s="7">
        <f t="shared" si="11"/>
        <v>0.22187500000000002</v>
      </c>
      <c r="F136" s="7">
        <f t="shared" si="12"/>
        <v>4.4375000000000005E-3</v>
      </c>
      <c r="G136" s="7">
        <f t="shared" si="13"/>
        <v>0.21743750000000001</v>
      </c>
    </row>
    <row r="137" spans="1:7" x14ac:dyDescent="0.35">
      <c r="A137" s="5" t="s">
        <v>131</v>
      </c>
      <c r="B137" s="5" t="s">
        <v>572</v>
      </c>
      <c r="C137" s="7">
        <v>0.3</v>
      </c>
      <c r="D137" s="7">
        <f t="shared" si="10"/>
        <v>0.29625000000000001</v>
      </c>
      <c r="E137" s="7">
        <f t="shared" si="11"/>
        <v>0.27124999999999999</v>
      </c>
      <c r="F137" s="7">
        <f t="shared" si="12"/>
        <v>5.4250000000000001E-3</v>
      </c>
      <c r="G137" s="7">
        <f t="shared" si="13"/>
        <v>0.26582499999999998</v>
      </c>
    </row>
    <row r="138" spans="1:7" x14ac:dyDescent="0.35">
      <c r="A138" s="40" t="s">
        <v>589</v>
      </c>
      <c r="B138" s="5" t="s">
        <v>590</v>
      </c>
      <c r="C138" s="7">
        <v>0.19500000000000001</v>
      </c>
      <c r="D138" s="7">
        <f t="shared" si="10"/>
        <v>0.1925625</v>
      </c>
      <c r="E138" s="7">
        <f t="shared" si="11"/>
        <v>0.1675625</v>
      </c>
      <c r="F138" s="7">
        <f t="shared" si="12"/>
        <v>3.3512500000000001E-3</v>
      </c>
      <c r="G138" s="7">
        <f t="shared" si="13"/>
        <v>0.16421125</v>
      </c>
    </row>
    <row r="139" spans="1:7" x14ac:dyDescent="0.35">
      <c r="A139" s="40"/>
      <c r="B139" s="5" t="s">
        <v>591</v>
      </c>
      <c r="C139" s="7">
        <v>0.19500000000000001</v>
      </c>
      <c r="D139" s="7">
        <f t="shared" si="10"/>
        <v>0.1925625</v>
      </c>
      <c r="E139" s="7">
        <f t="shared" si="11"/>
        <v>0.1675625</v>
      </c>
      <c r="F139" s="7">
        <f t="shared" si="12"/>
        <v>3.3512500000000001E-3</v>
      </c>
      <c r="G139" s="7">
        <f t="shared" si="13"/>
        <v>0.16421125</v>
      </c>
    </row>
    <row r="140" spans="1:7" x14ac:dyDescent="0.35">
      <c r="A140" s="40"/>
      <c r="B140" s="5" t="s">
        <v>558</v>
      </c>
      <c r="C140" s="7">
        <v>0.12</v>
      </c>
      <c r="D140" s="7">
        <f t="shared" si="10"/>
        <v>0.11849999999999999</v>
      </c>
      <c r="E140" s="7">
        <f t="shared" si="11"/>
        <v>9.35E-2</v>
      </c>
      <c r="F140" s="7">
        <f t="shared" si="12"/>
        <v>1.8700000000000001E-3</v>
      </c>
      <c r="G140" s="7">
        <f t="shared" si="13"/>
        <v>9.1630000000000003E-2</v>
      </c>
    </row>
    <row r="141" spans="1:7" x14ac:dyDescent="0.35">
      <c r="A141" s="40"/>
      <c r="B141" s="5" t="s">
        <v>592</v>
      </c>
      <c r="C141" s="7">
        <v>0.19500000000000001</v>
      </c>
      <c r="D141" s="7">
        <f t="shared" si="10"/>
        <v>0.1925625</v>
      </c>
      <c r="E141" s="7">
        <f t="shared" si="11"/>
        <v>0.1675625</v>
      </c>
      <c r="F141" s="7">
        <f t="shared" si="12"/>
        <v>3.3512500000000001E-3</v>
      </c>
      <c r="G141" s="7">
        <f t="shared" si="13"/>
        <v>0.16421125</v>
      </c>
    </row>
    <row r="142" spans="1:7" x14ac:dyDescent="0.35">
      <c r="A142" s="40"/>
      <c r="B142" s="5" t="s">
        <v>554</v>
      </c>
      <c r="C142" s="7">
        <v>0.1</v>
      </c>
      <c r="D142" s="7">
        <f t="shared" si="10"/>
        <v>9.8750000000000004E-2</v>
      </c>
      <c r="E142" s="7">
        <f t="shared" si="11"/>
        <v>7.375000000000001E-2</v>
      </c>
      <c r="F142" s="7">
        <f t="shared" si="12"/>
        <v>1.4750000000000002E-3</v>
      </c>
      <c r="G142" s="7">
        <f t="shared" si="13"/>
        <v>7.2275000000000006E-2</v>
      </c>
    </row>
    <row r="143" spans="1:7" x14ac:dyDescent="0.35">
      <c r="A143" s="40"/>
      <c r="B143" s="5" t="s">
        <v>555</v>
      </c>
      <c r="C143" s="7">
        <v>0.21</v>
      </c>
      <c r="D143" s="7">
        <f t="shared" si="10"/>
        <v>0.207375</v>
      </c>
      <c r="E143" s="7">
        <f t="shared" si="11"/>
        <v>0.18237500000000001</v>
      </c>
      <c r="F143" s="7">
        <f t="shared" si="12"/>
        <v>3.6475000000000001E-3</v>
      </c>
      <c r="G143" s="7">
        <f t="shared" si="13"/>
        <v>0.17872750000000001</v>
      </c>
    </row>
    <row r="144" spans="1:7" x14ac:dyDescent="0.35">
      <c r="A144" s="40"/>
      <c r="B144" s="5" t="s">
        <v>593</v>
      </c>
      <c r="C144" s="7">
        <v>0.19500000000000001</v>
      </c>
      <c r="D144" s="7">
        <f t="shared" si="10"/>
        <v>0.1925625</v>
      </c>
      <c r="E144" s="7">
        <f t="shared" si="11"/>
        <v>0.1675625</v>
      </c>
      <c r="F144" s="7">
        <f t="shared" si="12"/>
        <v>3.3512500000000001E-3</v>
      </c>
      <c r="G144" s="7">
        <f t="shared" si="13"/>
        <v>0.16421125</v>
      </c>
    </row>
    <row r="145" spans="1:7" x14ac:dyDescent="0.35">
      <c r="A145" s="40"/>
      <c r="B145" s="5" t="s">
        <v>594</v>
      </c>
      <c r="C145" s="7">
        <v>0.19500000000000001</v>
      </c>
      <c r="D145" s="7">
        <f t="shared" si="10"/>
        <v>0.1925625</v>
      </c>
      <c r="E145" s="7">
        <f t="shared" si="11"/>
        <v>0.1675625</v>
      </c>
      <c r="F145" s="7">
        <f t="shared" si="12"/>
        <v>3.3512500000000001E-3</v>
      </c>
      <c r="G145" s="7">
        <f t="shared" si="13"/>
        <v>0.16421125</v>
      </c>
    </row>
    <row r="146" spans="1:7" x14ac:dyDescent="0.35">
      <c r="A146" s="40"/>
      <c r="B146" s="5" t="s">
        <v>557</v>
      </c>
      <c r="C146" s="7">
        <v>0.1</v>
      </c>
      <c r="D146" s="7">
        <f t="shared" si="10"/>
        <v>9.8750000000000004E-2</v>
      </c>
      <c r="E146" s="7">
        <f t="shared" si="11"/>
        <v>7.375000000000001E-2</v>
      </c>
      <c r="F146" s="7">
        <f t="shared" si="12"/>
        <v>1.4750000000000002E-3</v>
      </c>
      <c r="G146" s="7">
        <f t="shared" si="13"/>
        <v>7.2275000000000006E-2</v>
      </c>
    </row>
    <row r="147" spans="1:7" x14ac:dyDescent="0.35">
      <c r="A147" s="40"/>
      <c r="B147" s="5" t="s">
        <v>560</v>
      </c>
      <c r="C147" s="7">
        <v>0.02</v>
      </c>
      <c r="D147" s="7" t="s">
        <v>20</v>
      </c>
      <c r="E147" s="7" t="s">
        <v>20</v>
      </c>
      <c r="F147" s="7" t="s">
        <v>20</v>
      </c>
      <c r="G147" s="7" t="s">
        <v>20</v>
      </c>
    </row>
    <row r="148" spans="1:7" x14ac:dyDescent="0.35">
      <c r="A148" s="40" t="s">
        <v>595</v>
      </c>
      <c r="B148" s="11" t="s">
        <v>553</v>
      </c>
      <c r="C148" s="7">
        <v>0</v>
      </c>
      <c r="D148" s="7" t="s">
        <v>20</v>
      </c>
      <c r="E148" s="7" t="s">
        <v>20</v>
      </c>
      <c r="F148" s="7" t="s">
        <v>20</v>
      </c>
      <c r="G148" s="7" t="s">
        <v>20</v>
      </c>
    </row>
    <row r="149" spans="1:7" x14ac:dyDescent="0.35">
      <c r="A149" s="40"/>
      <c r="B149" s="11" t="s">
        <v>554</v>
      </c>
      <c r="C149" s="7">
        <v>0.18</v>
      </c>
      <c r="D149" s="7">
        <f t="shared" si="10"/>
        <v>0.17774999999999999</v>
      </c>
      <c r="E149" s="7">
        <f t="shared" si="11"/>
        <v>0.15275</v>
      </c>
      <c r="F149" s="7">
        <f t="shared" si="12"/>
        <v>3.055E-3</v>
      </c>
      <c r="G149" s="7">
        <f t="shared" si="13"/>
        <v>0.14969499999999999</v>
      </c>
    </row>
    <row r="150" spans="1:7" x14ac:dyDescent="0.35">
      <c r="A150" s="40"/>
      <c r="B150" s="11" t="s">
        <v>555</v>
      </c>
      <c r="C150" s="7">
        <v>0.28999999999999998</v>
      </c>
      <c r="D150" s="7">
        <f t="shared" si="10"/>
        <v>0.28637499999999999</v>
      </c>
      <c r="E150" s="7">
        <f t="shared" si="11"/>
        <v>0.26137499999999997</v>
      </c>
      <c r="F150" s="7">
        <f t="shared" si="12"/>
        <v>5.2274999999999995E-3</v>
      </c>
      <c r="G150" s="7">
        <f t="shared" si="13"/>
        <v>0.25614749999999997</v>
      </c>
    </row>
    <row r="151" spans="1:7" x14ac:dyDescent="0.35">
      <c r="A151" s="40"/>
      <c r="B151" s="11" t="s">
        <v>556</v>
      </c>
      <c r="C151" s="7">
        <v>7.0000000000000007E-2</v>
      </c>
      <c r="D151" s="7">
        <f t="shared" si="10"/>
        <v>6.9125000000000006E-2</v>
      </c>
      <c r="E151" s="7">
        <f t="shared" si="11"/>
        <v>4.4125000000000004E-2</v>
      </c>
      <c r="F151" s="7">
        <f t="shared" si="12"/>
        <v>8.8250000000000015E-4</v>
      </c>
      <c r="G151" s="7">
        <f t="shared" si="13"/>
        <v>4.3242500000000003E-2</v>
      </c>
    </row>
    <row r="152" spans="1:7" x14ac:dyDescent="0.35">
      <c r="A152" s="40"/>
      <c r="B152" s="11" t="s">
        <v>557</v>
      </c>
      <c r="C152" s="7">
        <v>0.18</v>
      </c>
      <c r="D152" s="7">
        <f t="shared" si="10"/>
        <v>0.17774999999999999</v>
      </c>
      <c r="E152" s="7">
        <f t="shared" si="11"/>
        <v>0.15275</v>
      </c>
      <c r="F152" s="7">
        <f t="shared" si="12"/>
        <v>3.055E-3</v>
      </c>
      <c r="G152" s="7">
        <f t="shared" si="13"/>
        <v>0.14969499999999999</v>
      </c>
    </row>
    <row r="153" spans="1:7" x14ac:dyDescent="0.35">
      <c r="A153" s="40"/>
      <c r="B153" s="11" t="s">
        <v>558</v>
      </c>
      <c r="C153" s="7">
        <v>0.18</v>
      </c>
      <c r="D153" s="7">
        <f t="shared" si="10"/>
        <v>0.17774999999999999</v>
      </c>
      <c r="E153" s="7">
        <f t="shared" si="11"/>
        <v>0.15275</v>
      </c>
      <c r="F153" s="7">
        <f t="shared" si="12"/>
        <v>3.055E-3</v>
      </c>
      <c r="G153" s="7">
        <f t="shared" si="13"/>
        <v>0.14969499999999999</v>
      </c>
    </row>
    <row r="154" spans="1:7" x14ac:dyDescent="0.35">
      <c r="A154" s="40"/>
      <c r="B154" s="11" t="s">
        <v>559</v>
      </c>
      <c r="C154" s="7">
        <v>0</v>
      </c>
      <c r="D154" s="7" t="s">
        <v>20</v>
      </c>
      <c r="E154" s="7" t="s">
        <v>20</v>
      </c>
      <c r="F154" s="7" t="s">
        <v>20</v>
      </c>
      <c r="G154" s="7" t="s">
        <v>20</v>
      </c>
    </row>
    <row r="155" spans="1:7" x14ac:dyDescent="0.35">
      <c r="A155" s="40"/>
      <c r="B155" s="11" t="s">
        <v>560</v>
      </c>
      <c r="C155" s="7">
        <v>0.09</v>
      </c>
      <c r="D155" s="7">
        <f t="shared" si="10"/>
        <v>8.8874999999999996E-2</v>
      </c>
      <c r="E155" s="7">
        <f t="shared" si="11"/>
        <v>6.3874999999999987E-2</v>
      </c>
      <c r="F155" s="7">
        <f t="shared" si="12"/>
        <v>1.2774999999999998E-3</v>
      </c>
      <c r="G155" s="7">
        <f t="shared" si="13"/>
        <v>6.2597499999999986E-2</v>
      </c>
    </row>
    <row r="156" spans="1:7" x14ac:dyDescent="0.35">
      <c r="A156" s="40"/>
      <c r="B156" s="11" t="s">
        <v>561</v>
      </c>
      <c r="C156" s="7">
        <v>0</v>
      </c>
      <c r="D156" s="7" t="s">
        <v>20</v>
      </c>
      <c r="E156" s="7" t="s">
        <v>20</v>
      </c>
      <c r="F156" s="7" t="s">
        <v>20</v>
      </c>
      <c r="G156" s="7" t="s">
        <v>20</v>
      </c>
    </row>
    <row r="157" spans="1:7" x14ac:dyDescent="0.35">
      <c r="A157" s="40"/>
      <c r="B157" s="11" t="s">
        <v>562</v>
      </c>
      <c r="C157" s="7">
        <v>0.05</v>
      </c>
      <c r="D157" s="7">
        <f t="shared" si="10"/>
        <v>4.9375000000000002E-2</v>
      </c>
      <c r="E157" s="7">
        <f t="shared" si="11"/>
        <v>2.4375000000000001E-2</v>
      </c>
      <c r="F157" s="7">
        <f t="shared" si="12"/>
        <v>4.8750000000000003E-4</v>
      </c>
      <c r="G157" s="7">
        <f t="shared" si="13"/>
        <v>2.3887500000000002E-2</v>
      </c>
    </row>
    <row r="158" spans="1:7" x14ac:dyDescent="0.35">
      <c r="A158" s="44" t="s">
        <v>128</v>
      </c>
      <c r="B158" s="5" t="s">
        <v>92</v>
      </c>
      <c r="C158" s="6">
        <v>0.27</v>
      </c>
      <c r="D158" s="7">
        <f t="shared" si="10"/>
        <v>0.266625</v>
      </c>
      <c r="E158" s="7">
        <f t="shared" si="11"/>
        <v>0.24162500000000001</v>
      </c>
      <c r="F158" s="7">
        <f t="shared" si="12"/>
        <v>4.8325E-3</v>
      </c>
      <c r="G158" s="7">
        <f t="shared" si="13"/>
        <v>0.23679250000000002</v>
      </c>
    </row>
    <row r="159" spans="1:7" x14ac:dyDescent="0.35">
      <c r="A159" s="45"/>
      <c r="B159" s="5" t="s">
        <v>93</v>
      </c>
      <c r="C159" s="6">
        <v>0.27</v>
      </c>
      <c r="D159" s="7">
        <f t="shared" si="10"/>
        <v>0.266625</v>
      </c>
      <c r="E159" s="7">
        <f t="shared" si="11"/>
        <v>0.24162500000000001</v>
      </c>
      <c r="F159" s="7">
        <f t="shared" si="12"/>
        <v>4.8325E-3</v>
      </c>
      <c r="G159" s="7">
        <f t="shared" si="13"/>
        <v>0.23679250000000002</v>
      </c>
    </row>
    <row r="160" spans="1:7" x14ac:dyDescent="0.35">
      <c r="A160" s="24" t="s">
        <v>129</v>
      </c>
      <c r="B160" s="5" t="s">
        <v>100</v>
      </c>
      <c r="C160" s="6">
        <v>0.28000000000000003</v>
      </c>
      <c r="D160" s="7">
        <f t="shared" si="10"/>
        <v>0.27650000000000002</v>
      </c>
      <c r="E160" s="7">
        <f t="shared" si="11"/>
        <v>0.2515</v>
      </c>
      <c r="F160" s="7">
        <f t="shared" si="12"/>
        <v>5.0299999999999997E-3</v>
      </c>
      <c r="G160" s="7">
        <f t="shared" si="13"/>
        <v>0.24646999999999999</v>
      </c>
    </row>
    <row r="161" spans="1:7" x14ac:dyDescent="0.35">
      <c r="A161" s="2" t="s">
        <v>133</v>
      </c>
      <c r="B161" s="2" t="s">
        <v>1</v>
      </c>
      <c r="C161" s="3" t="s">
        <v>2</v>
      </c>
      <c r="D161" s="4" t="s">
        <v>1275</v>
      </c>
      <c r="E161" s="4" t="s">
        <v>1276</v>
      </c>
      <c r="F161" s="4" t="s">
        <v>363</v>
      </c>
      <c r="G161" s="4" t="s">
        <v>364</v>
      </c>
    </row>
    <row r="162" spans="1:7" x14ac:dyDescent="0.35">
      <c r="A162" s="40" t="s">
        <v>596</v>
      </c>
      <c r="B162" s="5" t="s">
        <v>590</v>
      </c>
      <c r="C162" s="7">
        <v>0.19500000000000001</v>
      </c>
      <c r="D162" s="7">
        <f t="shared" si="10"/>
        <v>0.1925625</v>
      </c>
      <c r="E162" s="7">
        <f t="shared" si="11"/>
        <v>0.1675625</v>
      </c>
      <c r="F162" s="7">
        <f t="shared" si="12"/>
        <v>3.3512500000000001E-3</v>
      </c>
      <c r="G162" s="7">
        <f t="shared" si="13"/>
        <v>0.16421125</v>
      </c>
    </row>
    <row r="163" spans="1:7" x14ac:dyDescent="0.35">
      <c r="A163" s="40"/>
      <c r="B163" s="5" t="s">
        <v>591</v>
      </c>
      <c r="C163" s="7">
        <v>0.19500000000000001</v>
      </c>
      <c r="D163" s="7">
        <f t="shared" si="10"/>
        <v>0.1925625</v>
      </c>
      <c r="E163" s="7">
        <f t="shared" si="11"/>
        <v>0.1675625</v>
      </c>
      <c r="F163" s="7">
        <f t="shared" si="12"/>
        <v>3.3512500000000001E-3</v>
      </c>
      <c r="G163" s="7">
        <f t="shared" si="13"/>
        <v>0.16421125</v>
      </c>
    </row>
    <row r="164" spans="1:7" x14ac:dyDescent="0.35">
      <c r="A164" s="40"/>
      <c r="B164" s="5" t="s">
        <v>597</v>
      </c>
      <c r="C164" s="7">
        <v>0.19500000000000001</v>
      </c>
      <c r="D164" s="7">
        <f t="shared" si="10"/>
        <v>0.1925625</v>
      </c>
      <c r="E164" s="7">
        <f t="shared" si="11"/>
        <v>0.1675625</v>
      </c>
      <c r="F164" s="7">
        <f t="shared" si="12"/>
        <v>3.3512500000000001E-3</v>
      </c>
      <c r="G164" s="7">
        <f t="shared" si="13"/>
        <v>0.16421125</v>
      </c>
    </row>
    <row r="165" spans="1:7" x14ac:dyDescent="0.35">
      <c r="A165" s="40"/>
      <c r="B165" s="5" t="s">
        <v>592</v>
      </c>
      <c r="C165" s="7">
        <v>0.19500000000000001</v>
      </c>
      <c r="D165" s="7">
        <f t="shared" si="10"/>
        <v>0.1925625</v>
      </c>
      <c r="E165" s="7">
        <f t="shared" si="11"/>
        <v>0.1675625</v>
      </c>
      <c r="F165" s="7">
        <f t="shared" si="12"/>
        <v>3.3512500000000001E-3</v>
      </c>
      <c r="G165" s="7">
        <f t="shared" si="13"/>
        <v>0.16421125</v>
      </c>
    </row>
    <row r="166" spans="1:7" x14ac:dyDescent="0.35">
      <c r="A166" s="40"/>
      <c r="B166" s="5" t="s">
        <v>554</v>
      </c>
      <c r="C166" s="7">
        <v>0.11</v>
      </c>
      <c r="D166" s="7">
        <f t="shared" si="10"/>
        <v>0.108625</v>
      </c>
      <c r="E166" s="7">
        <f t="shared" si="11"/>
        <v>8.3625000000000005E-2</v>
      </c>
      <c r="F166" s="7">
        <f t="shared" si="12"/>
        <v>1.6725000000000002E-3</v>
      </c>
      <c r="G166" s="7">
        <f t="shared" si="13"/>
        <v>8.1952500000000011E-2</v>
      </c>
    </row>
    <row r="167" spans="1:7" x14ac:dyDescent="0.35">
      <c r="A167" s="40"/>
      <c r="B167" s="5" t="s">
        <v>555</v>
      </c>
      <c r="C167" s="7">
        <v>0.11</v>
      </c>
      <c r="D167" s="7">
        <f t="shared" si="10"/>
        <v>0.108625</v>
      </c>
      <c r="E167" s="7">
        <f t="shared" si="11"/>
        <v>8.3625000000000005E-2</v>
      </c>
      <c r="F167" s="7">
        <f t="shared" si="12"/>
        <v>1.6725000000000002E-3</v>
      </c>
      <c r="G167" s="7">
        <f t="shared" si="13"/>
        <v>8.1952500000000011E-2</v>
      </c>
    </row>
    <row r="168" spans="1:7" x14ac:dyDescent="0.35">
      <c r="A168" s="40"/>
      <c r="B168" s="5" t="s">
        <v>593</v>
      </c>
      <c r="C168" s="7">
        <v>0.19500000000000001</v>
      </c>
      <c r="D168" s="7">
        <f t="shared" si="10"/>
        <v>0.1925625</v>
      </c>
      <c r="E168" s="7">
        <f t="shared" si="11"/>
        <v>0.1675625</v>
      </c>
      <c r="F168" s="7">
        <f t="shared" si="12"/>
        <v>3.3512500000000001E-3</v>
      </c>
      <c r="G168" s="7">
        <f t="shared" si="13"/>
        <v>0.16421125</v>
      </c>
    </row>
    <row r="169" spans="1:7" x14ac:dyDescent="0.35">
      <c r="A169" s="40"/>
      <c r="B169" s="5" t="s">
        <v>556</v>
      </c>
      <c r="C169" s="7">
        <v>0.11</v>
      </c>
      <c r="D169" s="7">
        <f t="shared" si="10"/>
        <v>0.108625</v>
      </c>
      <c r="E169" s="7">
        <f t="shared" si="11"/>
        <v>8.3625000000000005E-2</v>
      </c>
      <c r="F169" s="7">
        <f t="shared" si="12"/>
        <v>1.6725000000000002E-3</v>
      </c>
      <c r="G169" s="7">
        <f t="shared" si="13"/>
        <v>8.1952500000000011E-2</v>
      </c>
    </row>
    <row r="170" spans="1:7" x14ac:dyDescent="0.35">
      <c r="A170" s="40"/>
      <c r="B170" s="5" t="s">
        <v>598</v>
      </c>
      <c r="C170" s="7">
        <v>0.19500000000000001</v>
      </c>
      <c r="D170" s="7">
        <f t="shared" si="10"/>
        <v>0.1925625</v>
      </c>
      <c r="E170" s="7">
        <f t="shared" si="11"/>
        <v>0.1675625</v>
      </c>
      <c r="F170" s="7">
        <f t="shared" si="12"/>
        <v>3.3512500000000001E-3</v>
      </c>
      <c r="G170" s="7">
        <f t="shared" si="13"/>
        <v>0.16421125</v>
      </c>
    </row>
    <row r="171" spans="1:7" x14ac:dyDescent="0.35">
      <c r="A171" s="40"/>
      <c r="B171" s="5" t="s">
        <v>599</v>
      </c>
      <c r="C171" s="7">
        <v>0.19500000000000001</v>
      </c>
      <c r="D171" s="7">
        <f t="shared" si="10"/>
        <v>0.1925625</v>
      </c>
      <c r="E171" s="7">
        <f t="shared" si="11"/>
        <v>0.1675625</v>
      </c>
      <c r="F171" s="7">
        <f t="shared" si="12"/>
        <v>3.3512500000000001E-3</v>
      </c>
      <c r="G171" s="7">
        <f t="shared" si="13"/>
        <v>0.16421125</v>
      </c>
    </row>
    <row r="172" spans="1:7" x14ac:dyDescent="0.35">
      <c r="A172" s="40" t="s">
        <v>600</v>
      </c>
      <c r="B172" s="11" t="s">
        <v>553</v>
      </c>
      <c r="C172" s="7">
        <v>0</v>
      </c>
      <c r="D172" s="7" t="s">
        <v>20</v>
      </c>
      <c r="E172" s="7" t="s">
        <v>20</v>
      </c>
      <c r="F172" s="7" t="s">
        <v>20</v>
      </c>
      <c r="G172" s="7" t="s">
        <v>20</v>
      </c>
    </row>
    <row r="173" spans="1:7" x14ac:dyDescent="0.35">
      <c r="A173" s="40"/>
      <c r="B173" s="11" t="s">
        <v>554</v>
      </c>
      <c r="C173" s="7">
        <v>0.3</v>
      </c>
      <c r="D173" s="7">
        <f t="shared" si="10"/>
        <v>0.29625000000000001</v>
      </c>
      <c r="E173" s="7">
        <f t="shared" si="11"/>
        <v>0.27124999999999999</v>
      </c>
      <c r="F173" s="7">
        <f t="shared" si="12"/>
        <v>5.4250000000000001E-3</v>
      </c>
      <c r="G173" s="7">
        <f t="shared" si="13"/>
        <v>0.26582499999999998</v>
      </c>
    </row>
    <row r="174" spans="1:7" x14ac:dyDescent="0.35">
      <c r="A174" s="40"/>
      <c r="B174" s="11" t="s">
        <v>555</v>
      </c>
      <c r="C174" s="7">
        <v>0.3</v>
      </c>
      <c r="D174" s="7">
        <f t="shared" si="10"/>
        <v>0.29625000000000001</v>
      </c>
      <c r="E174" s="7">
        <f t="shared" si="11"/>
        <v>0.27124999999999999</v>
      </c>
      <c r="F174" s="7">
        <f t="shared" si="12"/>
        <v>5.4250000000000001E-3</v>
      </c>
      <c r="G174" s="7">
        <f t="shared" si="13"/>
        <v>0.26582499999999998</v>
      </c>
    </row>
    <row r="175" spans="1:7" x14ac:dyDescent="0.35">
      <c r="A175" s="40"/>
      <c r="B175" s="11" t="s">
        <v>556</v>
      </c>
      <c r="C175" s="7">
        <v>0.26</v>
      </c>
      <c r="D175" s="7">
        <f t="shared" si="10"/>
        <v>0.25675000000000003</v>
      </c>
      <c r="E175" s="7">
        <f t="shared" si="11"/>
        <v>0.23175000000000004</v>
      </c>
      <c r="F175" s="7">
        <f t="shared" si="12"/>
        <v>4.6350000000000011E-3</v>
      </c>
      <c r="G175" s="7">
        <f t="shared" si="13"/>
        <v>0.22711500000000004</v>
      </c>
    </row>
    <row r="176" spans="1:7" x14ac:dyDescent="0.35">
      <c r="A176" s="40"/>
      <c r="B176" s="11" t="s">
        <v>557</v>
      </c>
      <c r="C176" s="7">
        <v>0.18</v>
      </c>
      <c r="D176" s="7">
        <f t="shared" si="10"/>
        <v>0.17774999999999999</v>
      </c>
      <c r="E176" s="7">
        <f t="shared" si="11"/>
        <v>0.15275</v>
      </c>
      <c r="F176" s="7">
        <f t="shared" si="12"/>
        <v>3.055E-3</v>
      </c>
      <c r="G176" s="7">
        <f t="shared" si="13"/>
        <v>0.14969499999999999</v>
      </c>
    </row>
    <row r="177" spans="1:7" x14ac:dyDescent="0.35">
      <c r="A177" s="40"/>
      <c r="B177" s="11" t="s">
        <v>558</v>
      </c>
      <c r="C177" s="7">
        <v>0.09</v>
      </c>
      <c r="D177" s="7">
        <f t="shared" si="10"/>
        <v>8.8874999999999996E-2</v>
      </c>
      <c r="E177" s="7">
        <f t="shared" si="11"/>
        <v>6.3874999999999987E-2</v>
      </c>
      <c r="F177" s="7">
        <f t="shared" si="12"/>
        <v>1.2774999999999998E-3</v>
      </c>
      <c r="G177" s="7">
        <f t="shared" si="13"/>
        <v>6.2597499999999986E-2</v>
      </c>
    </row>
    <row r="178" spans="1:7" x14ac:dyDescent="0.35">
      <c r="A178" s="40"/>
      <c r="B178" s="11" t="s">
        <v>559</v>
      </c>
      <c r="C178" s="7">
        <v>0</v>
      </c>
      <c r="D178" s="7" t="s">
        <v>20</v>
      </c>
      <c r="E178" s="7" t="s">
        <v>20</v>
      </c>
      <c r="F178" s="7" t="s">
        <v>20</v>
      </c>
      <c r="G178" s="7" t="s">
        <v>20</v>
      </c>
    </row>
    <row r="179" spans="1:7" x14ac:dyDescent="0.35">
      <c r="A179" s="40"/>
      <c r="B179" s="11" t="s">
        <v>560</v>
      </c>
      <c r="C179" s="7">
        <v>0.14000000000000001</v>
      </c>
      <c r="D179" s="7">
        <f t="shared" si="10"/>
        <v>0.13825000000000001</v>
      </c>
      <c r="E179" s="7">
        <f t="shared" si="11"/>
        <v>0.11325000000000002</v>
      </c>
      <c r="F179" s="7">
        <f t="shared" si="12"/>
        <v>2.2650000000000005E-3</v>
      </c>
      <c r="G179" s="7">
        <f t="shared" si="13"/>
        <v>0.11098500000000001</v>
      </c>
    </row>
    <row r="180" spans="1:7" x14ac:dyDescent="0.35">
      <c r="A180" s="40"/>
      <c r="B180" s="11" t="s">
        <v>561</v>
      </c>
      <c r="C180" s="7">
        <v>0.13</v>
      </c>
      <c r="D180" s="7">
        <f t="shared" si="10"/>
        <v>0.12837500000000002</v>
      </c>
      <c r="E180" s="7">
        <f t="shared" si="11"/>
        <v>0.10337500000000002</v>
      </c>
      <c r="F180" s="7">
        <f t="shared" si="12"/>
        <v>2.0675000000000003E-3</v>
      </c>
      <c r="G180" s="7">
        <f t="shared" si="13"/>
        <v>0.10130750000000002</v>
      </c>
    </row>
    <row r="181" spans="1:7" x14ac:dyDescent="0.35">
      <c r="A181" s="40"/>
      <c r="B181" s="11" t="s">
        <v>562</v>
      </c>
      <c r="C181" s="7">
        <v>0</v>
      </c>
      <c r="D181" s="7" t="s">
        <v>20</v>
      </c>
      <c r="E181" s="7" t="s">
        <v>20</v>
      </c>
      <c r="F181" s="7" t="s">
        <v>20</v>
      </c>
      <c r="G181" s="7" t="s">
        <v>20</v>
      </c>
    </row>
    <row r="182" spans="1:7" ht="36" x14ac:dyDescent="0.35">
      <c r="A182" s="41" t="s">
        <v>137</v>
      </c>
      <c r="B182" s="5" t="s">
        <v>563</v>
      </c>
      <c r="C182" s="6">
        <v>0.34</v>
      </c>
      <c r="D182" s="7">
        <f t="shared" si="10"/>
        <v>0.33575000000000005</v>
      </c>
      <c r="E182" s="7">
        <f t="shared" si="11"/>
        <v>0.31075000000000003</v>
      </c>
      <c r="F182" s="7">
        <f t="shared" si="12"/>
        <v>6.2150000000000009E-3</v>
      </c>
      <c r="G182" s="7">
        <f t="shared" si="13"/>
        <v>0.304535</v>
      </c>
    </row>
    <row r="183" spans="1:7" ht="48" x14ac:dyDescent="0.35">
      <c r="A183" s="42"/>
      <c r="B183" s="5" t="s">
        <v>564</v>
      </c>
      <c r="C183" s="6">
        <v>0.34</v>
      </c>
      <c r="D183" s="7">
        <f t="shared" si="10"/>
        <v>0.33575000000000005</v>
      </c>
      <c r="E183" s="7">
        <f t="shared" si="11"/>
        <v>0.31075000000000003</v>
      </c>
      <c r="F183" s="7">
        <f t="shared" si="12"/>
        <v>6.2150000000000009E-3</v>
      </c>
      <c r="G183" s="7">
        <f t="shared" si="13"/>
        <v>0.304535</v>
      </c>
    </row>
    <row r="184" spans="1:7" x14ac:dyDescent="0.35">
      <c r="A184" s="42"/>
      <c r="B184" s="5" t="s">
        <v>565</v>
      </c>
      <c r="C184" s="6">
        <v>0.34</v>
      </c>
      <c r="D184" s="7">
        <f t="shared" si="10"/>
        <v>0.33575000000000005</v>
      </c>
      <c r="E184" s="7">
        <f t="shared" si="11"/>
        <v>0.31075000000000003</v>
      </c>
      <c r="F184" s="7">
        <f t="shared" si="12"/>
        <v>6.2150000000000009E-3</v>
      </c>
      <c r="G184" s="7">
        <f t="shared" si="13"/>
        <v>0.304535</v>
      </c>
    </row>
    <row r="185" spans="1:7" ht="36" x14ac:dyDescent="0.35">
      <c r="A185" s="43"/>
      <c r="B185" s="5" t="s">
        <v>566</v>
      </c>
      <c r="C185" s="6">
        <v>0.34</v>
      </c>
      <c r="D185" s="7">
        <f t="shared" si="10"/>
        <v>0.33575000000000005</v>
      </c>
      <c r="E185" s="7">
        <f t="shared" si="11"/>
        <v>0.31075000000000003</v>
      </c>
      <c r="F185" s="7">
        <f t="shared" si="12"/>
        <v>6.2150000000000009E-3</v>
      </c>
      <c r="G185" s="7">
        <f t="shared" si="13"/>
        <v>0.304535</v>
      </c>
    </row>
    <row r="186" spans="1:7" ht="36" x14ac:dyDescent="0.35">
      <c r="A186" s="41" t="s">
        <v>139</v>
      </c>
      <c r="B186" s="5" t="s">
        <v>563</v>
      </c>
      <c r="C186" s="6">
        <v>0.34</v>
      </c>
      <c r="D186" s="7">
        <f t="shared" si="10"/>
        <v>0.33575000000000005</v>
      </c>
      <c r="E186" s="7">
        <f t="shared" si="11"/>
        <v>0.31075000000000003</v>
      </c>
      <c r="F186" s="7">
        <f t="shared" si="12"/>
        <v>6.2150000000000009E-3</v>
      </c>
      <c r="G186" s="7">
        <f t="shared" si="13"/>
        <v>0.304535</v>
      </c>
    </row>
    <row r="187" spans="1:7" ht="48" x14ac:dyDescent="0.35">
      <c r="A187" s="42"/>
      <c r="B187" s="5" t="s">
        <v>564</v>
      </c>
      <c r="C187" s="6">
        <v>0.34</v>
      </c>
      <c r="D187" s="7">
        <f t="shared" si="10"/>
        <v>0.33575000000000005</v>
      </c>
      <c r="E187" s="7">
        <f t="shared" si="11"/>
        <v>0.31075000000000003</v>
      </c>
      <c r="F187" s="7">
        <f t="shared" si="12"/>
        <v>6.2150000000000009E-3</v>
      </c>
      <c r="G187" s="7">
        <f t="shared" si="13"/>
        <v>0.304535</v>
      </c>
    </row>
    <row r="188" spans="1:7" x14ac:dyDescent="0.35">
      <c r="A188" s="42"/>
      <c r="B188" s="5" t="s">
        <v>565</v>
      </c>
      <c r="C188" s="6">
        <v>0.34</v>
      </c>
      <c r="D188" s="7">
        <f t="shared" si="10"/>
        <v>0.33575000000000005</v>
      </c>
      <c r="E188" s="7">
        <f t="shared" si="11"/>
        <v>0.31075000000000003</v>
      </c>
      <c r="F188" s="7">
        <f t="shared" si="12"/>
        <v>6.2150000000000009E-3</v>
      </c>
      <c r="G188" s="7">
        <f t="shared" si="13"/>
        <v>0.304535</v>
      </c>
    </row>
    <row r="189" spans="1:7" ht="36" x14ac:dyDescent="0.35">
      <c r="A189" s="43"/>
      <c r="B189" s="5" t="s">
        <v>566</v>
      </c>
      <c r="C189" s="6">
        <v>0.34</v>
      </c>
      <c r="D189" s="7">
        <f t="shared" si="10"/>
        <v>0.33575000000000005</v>
      </c>
      <c r="E189" s="7">
        <f t="shared" si="11"/>
        <v>0.31075000000000003</v>
      </c>
      <c r="F189" s="7">
        <f t="shared" si="12"/>
        <v>6.2150000000000009E-3</v>
      </c>
      <c r="G189" s="7">
        <f t="shared" si="13"/>
        <v>0.304535</v>
      </c>
    </row>
    <row r="190" spans="1:7" x14ac:dyDescent="0.35">
      <c r="A190" s="41" t="s">
        <v>1237</v>
      </c>
      <c r="B190" s="5" t="s">
        <v>580</v>
      </c>
      <c r="C190" s="6">
        <v>0.19500000000000001</v>
      </c>
      <c r="D190" s="7">
        <f t="shared" si="10"/>
        <v>0.1925625</v>
      </c>
      <c r="E190" s="7">
        <f t="shared" si="11"/>
        <v>0.1675625</v>
      </c>
      <c r="F190" s="7">
        <f t="shared" si="12"/>
        <v>3.3512500000000001E-3</v>
      </c>
      <c r="G190" s="7">
        <f t="shared" si="13"/>
        <v>0.16421125</v>
      </c>
    </row>
    <row r="191" spans="1:7" x14ac:dyDescent="0.35">
      <c r="A191" s="43"/>
      <c r="B191" s="5" t="s">
        <v>581</v>
      </c>
      <c r="C191" s="6">
        <v>0.36</v>
      </c>
      <c r="D191" s="7">
        <f t="shared" si="10"/>
        <v>0.35549999999999998</v>
      </c>
      <c r="E191" s="7">
        <f t="shared" si="11"/>
        <v>0.33049999999999996</v>
      </c>
      <c r="F191" s="7">
        <f t="shared" si="12"/>
        <v>6.6099999999999996E-3</v>
      </c>
      <c r="G191" s="7">
        <f t="shared" si="13"/>
        <v>0.32388999999999996</v>
      </c>
    </row>
    <row r="192" spans="1:7" x14ac:dyDescent="0.35">
      <c r="A192" s="5" t="s">
        <v>134</v>
      </c>
      <c r="B192" s="5" t="s">
        <v>570</v>
      </c>
      <c r="C192" s="6">
        <v>0.25</v>
      </c>
      <c r="D192" s="7">
        <f t="shared" si="10"/>
        <v>0.24687500000000001</v>
      </c>
      <c r="E192" s="7">
        <f t="shared" si="11"/>
        <v>0.22187500000000002</v>
      </c>
      <c r="F192" s="7">
        <f t="shared" si="12"/>
        <v>4.4375000000000005E-3</v>
      </c>
      <c r="G192" s="7">
        <f t="shared" si="13"/>
        <v>0.21743750000000001</v>
      </c>
    </row>
    <row r="193" spans="1:7" x14ac:dyDescent="0.35">
      <c r="A193" s="5" t="s">
        <v>135</v>
      </c>
      <c r="B193" s="5" t="s">
        <v>572</v>
      </c>
      <c r="C193" s="6">
        <v>0.25</v>
      </c>
      <c r="D193" s="7">
        <f t="shared" si="10"/>
        <v>0.24687500000000001</v>
      </c>
      <c r="E193" s="7">
        <f t="shared" si="11"/>
        <v>0.22187500000000002</v>
      </c>
      <c r="F193" s="7">
        <f t="shared" si="12"/>
        <v>4.4375000000000005E-3</v>
      </c>
      <c r="G193" s="7">
        <f t="shared" si="13"/>
        <v>0.21743750000000001</v>
      </c>
    </row>
    <row r="194" spans="1:7" x14ac:dyDescent="0.35">
      <c r="A194" s="5" t="s">
        <v>601</v>
      </c>
      <c r="B194" s="5" t="s">
        <v>100</v>
      </c>
      <c r="C194" s="6">
        <v>0.26</v>
      </c>
      <c r="D194" s="7">
        <f t="shared" si="10"/>
        <v>0.25675000000000003</v>
      </c>
      <c r="E194" s="7">
        <f t="shared" si="11"/>
        <v>0.23175000000000004</v>
      </c>
      <c r="F194" s="7">
        <f t="shared" si="12"/>
        <v>4.6350000000000011E-3</v>
      </c>
      <c r="G194" s="7">
        <f t="shared" si="13"/>
        <v>0.22711500000000004</v>
      </c>
    </row>
    <row r="195" spans="1:7" x14ac:dyDescent="0.35">
      <c r="A195" s="2" t="s">
        <v>141</v>
      </c>
      <c r="B195" s="2" t="s">
        <v>1</v>
      </c>
      <c r="C195" s="3" t="s">
        <v>2</v>
      </c>
      <c r="D195" s="4" t="s">
        <v>1275</v>
      </c>
      <c r="E195" s="4" t="s">
        <v>1276</v>
      </c>
      <c r="F195" s="4" t="s">
        <v>363</v>
      </c>
      <c r="G195" s="4" t="s">
        <v>364</v>
      </c>
    </row>
    <row r="196" spans="1:7" x14ac:dyDescent="0.35">
      <c r="A196" s="5" t="s">
        <v>602</v>
      </c>
      <c r="B196" s="5" t="s">
        <v>603</v>
      </c>
      <c r="C196" s="6">
        <v>0.2</v>
      </c>
      <c r="D196" s="7">
        <f t="shared" si="10"/>
        <v>0.19750000000000001</v>
      </c>
      <c r="E196" s="7">
        <f t="shared" si="11"/>
        <v>0.17250000000000001</v>
      </c>
      <c r="F196" s="7">
        <f t="shared" si="12"/>
        <v>3.4500000000000004E-3</v>
      </c>
      <c r="G196" s="7">
        <f t="shared" si="13"/>
        <v>0.16905000000000001</v>
      </c>
    </row>
    <row r="197" spans="1:7" x14ac:dyDescent="0.35">
      <c r="A197" s="5" t="s">
        <v>604</v>
      </c>
      <c r="B197" s="5" t="s">
        <v>605</v>
      </c>
      <c r="C197" s="6">
        <v>0.2</v>
      </c>
      <c r="D197" s="7">
        <f t="shared" si="10"/>
        <v>0.19750000000000001</v>
      </c>
      <c r="E197" s="7">
        <f t="shared" si="11"/>
        <v>0.17250000000000001</v>
      </c>
      <c r="F197" s="7">
        <f t="shared" si="12"/>
        <v>3.4500000000000004E-3</v>
      </c>
      <c r="G197" s="7">
        <f t="shared" si="13"/>
        <v>0.16905000000000001</v>
      </c>
    </row>
    <row r="198" spans="1:7" x14ac:dyDescent="0.35">
      <c r="A198" s="40" t="s">
        <v>606</v>
      </c>
      <c r="B198" s="5" t="s">
        <v>590</v>
      </c>
      <c r="C198" s="6">
        <v>0.19500000000000001</v>
      </c>
      <c r="D198" s="7">
        <f t="shared" si="10"/>
        <v>0.1925625</v>
      </c>
      <c r="E198" s="7">
        <f t="shared" si="11"/>
        <v>0.1675625</v>
      </c>
      <c r="F198" s="7">
        <f t="shared" si="12"/>
        <v>3.3512500000000001E-3</v>
      </c>
      <c r="G198" s="7">
        <f t="shared" si="13"/>
        <v>0.16421125</v>
      </c>
    </row>
    <row r="199" spans="1:7" x14ac:dyDescent="0.35">
      <c r="A199" s="40"/>
      <c r="B199" s="5" t="s">
        <v>591</v>
      </c>
      <c r="C199" s="6">
        <v>0.19500000000000001</v>
      </c>
      <c r="D199" s="7">
        <f t="shared" ref="D199:D261" si="14">(C199-(C199*1.25%))</f>
        <v>0.1925625</v>
      </c>
      <c r="E199" s="7">
        <f t="shared" ref="E199:E261" si="15">D199-(2.5%)</f>
        <v>0.1675625</v>
      </c>
      <c r="F199" s="7">
        <f t="shared" ref="F199:F261" si="16">E199*(2%)</f>
        <v>3.3512500000000001E-3</v>
      </c>
      <c r="G199" s="7">
        <f t="shared" ref="G199:G261" si="17">E199-F199</f>
        <v>0.16421125</v>
      </c>
    </row>
    <row r="200" spans="1:7" x14ac:dyDescent="0.35">
      <c r="A200" s="40"/>
      <c r="B200" s="5" t="s">
        <v>597</v>
      </c>
      <c r="C200" s="6">
        <v>0.19500000000000001</v>
      </c>
      <c r="D200" s="7">
        <f t="shared" si="14"/>
        <v>0.1925625</v>
      </c>
      <c r="E200" s="7">
        <f t="shared" si="15"/>
        <v>0.1675625</v>
      </c>
      <c r="F200" s="7">
        <f t="shared" si="16"/>
        <v>3.3512500000000001E-3</v>
      </c>
      <c r="G200" s="7">
        <f t="shared" si="17"/>
        <v>0.16421125</v>
      </c>
    </row>
    <row r="201" spans="1:7" x14ac:dyDescent="0.35">
      <c r="A201" s="40"/>
      <c r="B201" s="5" t="s">
        <v>592</v>
      </c>
      <c r="C201" s="6">
        <v>0.19500000000000001</v>
      </c>
      <c r="D201" s="7">
        <f t="shared" si="14"/>
        <v>0.1925625</v>
      </c>
      <c r="E201" s="7">
        <f t="shared" si="15"/>
        <v>0.1675625</v>
      </c>
      <c r="F201" s="7">
        <f t="shared" si="16"/>
        <v>3.3512500000000001E-3</v>
      </c>
      <c r="G201" s="7">
        <f t="shared" si="17"/>
        <v>0.16421125</v>
      </c>
    </row>
    <row r="202" spans="1:7" x14ac:dyDescent="0.35">
      <c r="A202" s="40"/>
      <c r="B202" s="5" t="s">
        <v>607</v>
      </c>
      <c r="C202" s="6">
        <v>0.19500000000000001</v>
      </c>
      <c r="D202" s="7">
        <f t="shared" si="14"/>
        <v>0.1925625</v>
      </c>
      <c r="E202" s="7">
        <f t="shared" si="15"/>
        <v>0.1675625</v>
      </c>
      <c r="F202" s="7">
        <f t="shared" si="16"/>
        <v>3.3512500000000001E-3</v>
      </c>
      <c r="G202" s="7">
        <f t="shared" si="17"/>
        <v>0.16421125</v>
      </c>
    </row>
    <row r="203" spans="1:7" x14ac:dyDescent="0.35">
      <c r="A203" s="40"/>
      <c r="B203" s="5" t="s">
        <v>608</v>
      </c>
      <c r="C203" s="6">
        <v>0.19500000000000001</v>
      </c>
      <c r="D203" s="7">
        <f t="shared" si="14"/>
        <v>0.1925625</v>
      </c>
      <c r="E203" s="7">
        <f t="shared" si="15"/>
        <v>0.1675625</v>
      </c>
      <c r="F203" s="7">
        <f t="shared" si="16"/>
        <v>3.3512500000000001E-3</v>
      </c>
      <c r="G203" s="7">
        <f t="shared" si="17"/>
        <v>0.16421125</v>
      </c>
    </row>
    <row r="204" spans="1:7" x14ac:dyDescent="0.35">
      <c r="A204" s="40"/>
      <c r="B204" s="5" t="s">
        <v>593</v>
      </c>
      <c r="C204" s="6">
        <v>0.19500000000000001</v>
      </c>
      <c r="D204" s="7">
        <f t="shared" si="14"/>
        <v>0.1925625</v>
      </c>
      <c r="E204" s="7">
        <f t="shared" si="15"/>
        <v>0.1675625</v>
      </c>
      <c r="F204" s="7">
        <f t="shared" si="16"/>
        <v>3.3512500000000001E-3</v>
      </c>
      <c r="G204" s="7">
        <f t="shared" si="17"/>
        <v>0.16421125</v>
      </c>
    </row>
    <row r="205" spans="1:7" x14ac:dyDescent="0.35">
      <c r="A205" s="40"/>
      <c r="B205" s="5" t="s">
        <v>594</v>
      </c>
      <c r="C205" s="6">
        <v>0.19500000000000001</v>
      </c>
      <c r="D205" s="7">
        <f t="shared" si="14"/>
        <v>0.1925625</v>
      </c>
      <c r="E205" s="7">
        <f t="shared" si="15"/>
        <v>0.1675625</v>
      </c>
      <c r="F205" s="7">
        <f t="shared" si="16"/>
        <v>3.3512500000000001E-3</v>
      </c>
      <c r="G205" s="7">
        <f t="shared" si="17"/>
        <v>0.16421125</v>
      </c>
    </row>
    <row r="206" spans="1:7" x14ac:dyDescent="0.35">
      <c r="A206" s="40"/>
      <c r="B206" s="5" t="s">
        <v>598</v>
      </c>
      <c r="C206" s="6">
        <v>0.19500000000000001</v>
      </c>
      <c r="D206" s="7">
        <f t="shared" si="14"/>
        <v>0.1925625</v>
      </c>
      <c r="E206" s="7">
        <f t="shared" si="15"/>
        <v>0.1675625</v>
      </c>
      <c r="F206" s="7">
        <f t="shared" si="16"/>
        <v>3.3512500000000001E-3</v>
      </c>
      <c r="G206" s="7">
        <f t="shared" si="17"/>
        <v>0.16421125</v>
      </c>
    </row>
    <row r="207" spans="1:7" x14ac:dyDescent="0.35">
      <c r="A207" s="40"/>
      <c r="B207" s="5" t="s">
        <v>599</v>
      </c>
      <c r="C207" s="6">
        <v>0.19500000000000001</v>
      </c>
      <c r="D207" s="7">
        <f t="shared" si="14"/>
        <v>0.1925625</v>
      </c>
      <c r="E207" s="7">
        <f t="shared" si="15"/>
        <v>0.1675625</v>
      </c>
      <c r="F207" s="7">
        <f t="shared" si="16"/>
        <v>3.3512500000000001E-3</v>
      </c>
      <c r="G207" s="7">
        <f t="shared" si="17"/>
        <v>0.16421125</v>
      </c>
    </row>
    <row r="208" spans="1:7" x14ac:dyDescent="0.35">
      <c r="A208" s="40" t="s">
        <v>609</v>
      </c>
      <c r="B208" s="11" t="s">
        <v>553</v>
      </c>
      <c r="C208" s="7">
        <v>0.17</v>
      </c>
      <c r="D208" s="7">
        <f t="shared" si="14"/>
        <v>0.16787500000000002</v>
      </c>
      <c r="E208" s="7">
        <f t="shared" si="15"/>
        <v>0.14287500000000003</v>
      </c>
      <c r="F208" s="7">
        <f t="shared" si="16"/>
        <v>2.8575000000000007E-3</v>
      </c>
      <c r="G208" s="7">
        <f t="shared" si="17"/>
        <v>0.14001750000000002</v>
      </c>
    </row>
    <row r="209" spans="1:7" x14ac:dyDescent="0.35">
      <c r="A209" s="40"/>
      <c r="B209" s="11" t="s">
        <v>554</v>
      </c>
      <c r="C209" s="7">
        <v>0.27</v>
      </c>
      <c r="D209" s="7">
        <f t="shared" si="14"/>
        <v>0.266625</v>
      </c>
      <c r="E209" s="7">
        <f t="shared" si="15"/>
        <v>0.24162500000000001</v>
      </c>
      <c r="F209" s="7">
        <f t="shared" si="16"/>
        <v>4.8325E-3</v>
      </c>
      <c r="G209" s="7">
        <f t="shared" si="17"/>
        <v>0.23679250000000002</v>
      </c>
    </row>
    <row r="210" spans="1:7" x14ac:dyDescent="0.35">
      <c r="A210" s="40"/>
      <c r="B210" s="11" t="s">
        <v>555</v>
      </c>
      <c r="C210" s="7">
        <v>0.14000000000000001</v>
      </c>
      <c r="D210" s="7">
        <f t="shared" si="14"/>
        <v>0.13825000000000001</v>
      </c>
      <c r="E210" s="7">
        <f t="shared" si="15"/>
        <v>0.11325000000000002</v>
      </c>
      <c r="F210" s="7">
        <f t="shared" si="16"/>
        <v>2.2650000000000005E-3</v>
      </c>
      <c r="G210" s="7">
        <f t="shared" si="17"/>
        <v>0.11098500000000001</v>
      </c>
    </row>
    <row r="211" spans="1:7" x14ac:dyDescent="0.35">
      <c r="A211" s="40"/>
      <c r="B211" s="11" t="s">
        <v>556</v>
      </c>
      <c r="C211" s="7">
        <v>0.2</v>
      </c>
      <c r="D211" s="7">
        <f t="shared" si="14"/>
        <v>0.19750000000000001</v>
      </c>
      <c r="E211" s="7">
        <f t="shared" si="15"/>
        <v>0.17250000000000001</v>
      </c>
      <c r="F211" s="7">
        <f t="shared" si="16"/>
        <v>3.4500000000000004E-3</v>
      </c>
      <c r="G211" s="7">
        <f t="shared" si="17"/>
        <v>0.16905000000000001</v>
      </c>
    </row>
    <row r="212" spans="1:7" x14ac:dyDescent="0.35">
      <c r="A212" s="40"/>
      <c r="B212" s="11" t="s">
        <v>557</v>
      </c>
      <c r="C212" s="7">
        <v>0.33</v>
      </c>
      <c r="D212" s="7">
        <f t="shared" si="14"/>
        <v>0.32587500000000003</v>
      </c>
      <c r="E212" s="7">
        <f t="shared" si="15"/>
        <v>0.300875</v>
      </c>
      <c r="F212" s="7">
        <f t="shared" si="16"/>
        <v>6.0175000000000003E-3</v>
      </c>
      <c r="G212" s="7">
        <f t="shared" si="17"/>
        <v>0.29485749999999999</v>
      </c>
    </row>
    <row r="213" spans="1:7" x14ac:dyDescent="0.35">
      <c r="A213" s="40"/>
      <c r="B213" s="11" t="s">
        <v>558</v>
      </c>
      <c r="C213" s="7">
        <v>0.01</v>
      </c>
      <c r="D213" s="7" t="s">
        <v>20</v>
      </c>
      <c r="E213" s="7" t="s">
        <v>20</v>
      </c>
      <c r="F213" s="7" t="s">
        <v>20</v>
      </c>
      <c r="G213" s="7" t="s">
        <v>20</v>
      </c>
    </row>
    <row r="214" spans="1:7" x14ac:dyDescent="0.35">
      <c r="A214" s="40"/>
      <c r="B214" s="11" t="s">
        <v>559</v>
      </c>
      <c r="C214" s="7">
        <v>0.09</v>
      </c>
      <c r="D214" s="7">
        <f t="shared" si="14"/>
        <v>8.8874999999999996E-2</v>
      </c>
      <c r="E214" s="7">
        <f t="shared" si="15"/>
        <v>6.3874999999999987E-2</v>
      </c>
      <c r="F214" s="7">
        <f t="shared" si="16"/>
        <v>1.2774999999999998E-3</v>
      </c>
      <c r="G214" s="7">
        <f t="shared" si="17"/>
        <v>6.2597499999999986E-2</v>
      </c>
    </row>
    <row r="215" spans="1:7" x14ac:dyDescent="0.35">
      <c r="A215" s="40"/>
      <c r="B215" s="11" t="s">
        <v>560</v>
      </c>
      <c r="C215" s="7">
        <v>0.09</v>
      </c>
      <c r="D215" s="7">
        <f t="shared" si="14"/>
        <v>8.8874999999999996E-2</v>
      </c>
      <c r="E215" s="7">
        <f t="shared" si="15"/>
        <v>6.3874999999999987E-2</v>
      </c>
      <c r="F215" s="7">
        <f t="shared" si="16"/>
        <v>1.2774999999999998E-3</v>
      </c>
      <c r="G215" s="7">
        <f t="shared" si="17"/>
        <v>6.2597499999999986E-2</v>
      </c>
    </row>
    <row r="216" spans="1:7" x14ac:dyDescent="0.35">
      <c r="A216" s="40"/>
      <c r="B216" s="11" t="s">
        <v>561</v>
      </c>
      <c r="C216" s="7">
        <v>0.01</v>
      </c>
      <c r="D216" s="7" t="s">
        <v>20</v>
      </c>
      <c r="E216" s="7" t="s">
        <v>20</v>
      </c>
      <c r="F216" s="7" t="s">
        <v>20</v>
      </c>
      <c r="G216" s="7" t="s">
        <v>20</v>
      </c>
    </row>
    <row r="217" spans="1:7" x14ac:dyDescent="0.35">
      <c r="A217" s="40"/>
      <c r="B217" s="11" t="s">
        <v>562</v>
      </c>
      <c r="C217" s="7">
        <v>0.09</v>
      </c>
      <c r="D217" s="7">
        <f t="shared" si="14"/>
        <v>8.8874999999999996E-2</v>
      </c>
      <c r="E217" s="7">
        <f t="shared" si="15"/>
        <v>6.3874999999999987E-2</v>
      </c>
      <c r="F217" s="7">
        <f t="shared" si="16"/>
        <v>1.2774999999999998E-3</v>
      </c>
      <c r="G217" s="7">
        <f t="shared" si="17"/>
        <v>6.2597499999999986E-2</v>
      </c>
    </row>
    <row r="218" spans="1:7" ht="36" x14ac:dyDescent="0.35">
      <c r="A218" s="41" t="s">
        <v>610</v>
      </c>
      <c r="B218" s="5" t="s">
        <v>563</v>
      </c>
      <c r="C218" s="6">
        <v>0.16</v>
      </c>
      <c r="D218" s="7">
        <f t="shared" si="14"/>
        <v>0.158</v>
      </c>
      <c r="E218" s="7">
        <f t="shared" si="15"/>
        <v>0.13300000000000001</v>
      </c>
      <c r="F218" s="7">
        <f t="shared" si="16"/>
        <v>2.66E-3</v>
      </c>
      <c r="G218" s="7">
        <f t="shared" si="17"/>
        <v>0.13034000000000001</v>
      </c>
    </row>
    <row r="219" spans="1:7" ht="48" x14ac:dyDescent="0.35">
      <c r="A219" s="42"/>
      <c r="B219" s="5" t="s">
        <v>564</v>
      </c>
      <c r="C219" s="6">
        <v>0</v>
      </c>
      <c r="D219" s="7" t="s">
        <v>20</v>
      </c>
      <c r="E219" s="7" t="s">
        <v>20</v>
      </c>
      <c r="F219" s="7" t="s">
        <v>20</v>
      </c>
      <c r="G219" s="7" t="s">
        <v>20</v>
      </c>
    </row>
    <row r="220" spans="1:7" x14ac:dyDescent="0.35">
      <c r="A220" s="42"/>
      <c r="B220" s="5" t="s">
        <v>565</v>
      </c>
      <c r="C220" s="6">
        <v>0</v>
      </c>
      <c r="D220" s="7" t="s">
        <v>20</v>
      </c>
      <c r="E220" s="7" t="s">
        <v>20</v>
      </c>
      <c r="F220" s="7" t="s">
        <v>20</v>
      </c>
      <c r="G220" s="7" t="s">
        <v>20</v>
      </c>
    </row>
    <row r="221" spans="1:7" ht="36" x14ac:dyDescent="0.35">
      <c r="A221" s="43"/>
      <c r="B221" s="5" t="s">
        <v>566</v>
      </c>
      <c r="C221" s="6">
        <v>0</v>
      </c>
      <c r="D221" s="7" t="s">
        <v>20</v>
      </c>
      <c r="E221" s="7" t="s">
        <v>20</v>
      </c>
      <c r="F221" s="7" t="s">
        <v>20</v>
      </c>
      <c r="G221" s="7" t="s">
        <v>20</v>
      </c>
    </row>
    <row r="222" spans="1:7" ht="36" x14ac:dyDescent="0.35">
      <c r="A222" s="41" t="s">
        <v>611</v>
      </c>
      <c r="B222" s="5" t="s">
        <v>563</v>
      </c>
      <c r="C222" s="6">
        <v>0.19</v>
      </c>
      <c r="D222" s="7">
        <f t="shared" si="14"/>
        <v>0.18762500000000001</v>
      </c>
      <c r="E222" s="7">
        <f t="shared" si="15"/>
        <v>0.16262500000000002</v>
      </c>
      <c r="F222" s="7">
        <f t="shared" si="16"/>
        <v>3.2525000000000006E-3</v>
      </c>
      <c r="G222" s="7">
        <f t="shared" si="17"/>
        <v>0.15937250000000003</v>
      </c>
    </row>
    <row r="223" spans="1:7" ht="48" x14ac:dyDescent="0.35">
      <c r="A223" s="42"/>
      <c r="B223" s="5" t="s">
        <v>564</v>
      </c>
      <c r="C223" s="6">
        <v>0.09</v>
      </c>
      <c r="D223" s="7">
        <f t="shared" si="14"/>
        <v>8.8874999999999996E-2</v>
      </c>
      <c r="E223" s="7">
        <f t="shared" si="15"/>
        <v>6.3874999999999987E-2</v>
      </c>
      <c r="F223" s="7">
        <f t="shared" si="16"/>
        <v>1.2774999999999998E-3</v>
      </c>
      <c r="G223" s="7">
        <f t="shared" si="17"/>
        <v>6.2597499999999986E-2</v>
      </c>
    </row>
    <row r="224" spans="1:7" x14ac:dyDescent="0.35">
      <c r="A224" s="42"/>
      <c r="B224" s="5" t="s">
        <v>565</v>
      </c>
      <c r="C224" s="6">
        <v>0.17</v>
      </c>
      <c r="D224" s="7">
        <f t="shared" si="14"/>
        <v>0.16787500000000002</v>
      </c>
      <c r="E224" s="7">
        <f t="shared" si="15"/>
        <v>0.14287500000000003</v>
      </c>
      <c r="F224" s="7">
        <f t="shared" si="16"/>
        <v>2.8575000000000007E-3</v>
      </c>
      <c r="G224" s="7">
        <f t="shared" si="17"/>
        <v>0.14001750000000002</v>
      </c>
    </row>
    <row r="225" spans="1:7" ht="36" x14ac:dyDescent="0.35">
      <c r="A225" s="43"/>
      <c r="B225" s="5" t="s">
        <v>566</v>
      </c>
      <c r="C225" s="6">
        <v>7.0000000000000007E-2</v>
      </c>
      <c r="D225" s="7">
        <f t="shared" si="14"/>
        <v>6.9125000000000006E-2</v>
      </c>
      <c r="E225" s="7">
        <f t="shared" si="15"/>
        <v>4.4125000000000004E-2</v>
      </c>
      <c r="F225" s="7">
        <f t="shared" si="16"/>
        <v>8.8250000000000015E-4</v>
      </c>
      <c r="G225" s="7">
        <f t="shared" si="17"/>
        <v>4.3242500000000003E-2</v>
      </c>
    </row>
    <row r="226" spans="1:7" ht="24" x14ac:dyDescent="0.35">
      <c r="A226" s="5" t="s">
        <v>1269</v>
      </c>
      <c r="B226" s="5" t="s">
        <v>612</v>
      </c>
      <c r="C226" s="6">
        <v>0.38</v>
      </c>
      <c r="D226" s="7">
        <f t="shared" si="14"/>
        <v>0.37525000000000003</v>
      </c>
      <c r="E226" s="7">
        <f t="shared" si="15"/>
        <v>0.35025000000000001</v>
      </c>
      <c r="F226" s="7">
        <f t="shared" si="16"/>
        <v>7.0049999999999999E-3</v>
      </c>
      <c r="G226" s="7">
        <f t="shared" si="17"/>
        <v>0.34324500000000002</v>
      </c>
    </row>
    <row r="227" spans="1:7" x14ac:dyDescent="0.35">
      <c r="A227" s="41" t="s">
        <v>1236</v>
      </c>
      <c r="B227" s="5" t="s">
        <v>580</v>
      </c>
      <c r="C227" s="6">
        <v>0.19500000000000001</v>
      </c>
      <c r="D227" s="7">
        <f t="shared" si="14"/>
        <v>0.1925625</v>
      </c>
      <c r="E227" s="7">
        <f t="shared" si="15"/>
        <v>0.1675625</v>
      </c>
      <c r="F227" s="7">
        <f t="shared" si="16"/>
        <v>3.3512500000000001E-3</v>
      </c>
      <c r="G227" s="7">
        <f t="shared" si="17"/>
        <v>0.16421125</v>
      </c>
    </row>
    <row r="228" spans="1:7" x14ac:dyDescent="0.35">
      <c r="A228" s="43"/>
      <c r="B228" s="5" t="s">
        <v>581</v>
      </c>
      <c r="C228" s="6">
        <v>0.3</v>
      </c>
      <c r="D228" s="7">
        <f t="shared" si="14"/>
        <v>0.29625000000000001</v>
      </c>
      <c r="E228" s="7">
        <f t="shared" si="15"/>
        <v>0.27124999999999999</v>
      </c>
      <c r="F228" s="7">
        <f t="shared" si="16"/>
        <v>5.4250000000000001E-3</v>
      </c>
      <c r="G228" s="7">
        <f t="shared" si="17"/>
        <v>0.26582499999999998</v>
      </c>
    </row>
    <row r="229" spans="1:7" x14ac:dyDescent="0.35">
      <c r="A229" s="2" t="s">
        <v>159</v>
      </c>
      <c r="B229" s="2" t="s">
        <v>1</v>
      </c>
      <c r="C229" s="3" t="s">
        <v>2</v>
      </c>
      <c r="D229" s="4" t="s">
        <v>1275</v>
      </c>
      <c r="E229" s="4" t="s">
        <v>1276</v>
      </c>
      <c r="F229" s="4" t="s">
        <v>363</v>
      </c>
      <c r="G229" s="4" t="s">
        <v>364</v>
      </c>
    </row>
    <row r="230" spans="1:7" x14ac:dyDescent="0.35">
      <c r="A230" s="5" t="s">
        <v>613</v>
      </c>
      <c r="B230" s="5" t="s">
        <v>603</v>
      </c>
      <c r="C230" s="7">
        <v>0.2</v>
      </c>
      <c r="D230" s="7">
        <f t="shared" si="14"/>
        <v>0.19750000000000001</v>
      </c>
      <c r="E230" s="7">
        <f t="shared" si="15"/>
        <v>0.17250000000000001</v>
      </c>
      <c r="F230" s="7">
        <f t="shared" si="16"/>
        <v>3.4500000000000004E-3</v>
      </c>
      <c r="G230" s="7">
        <f t="shared" si="17"/>
        <v>0.16905000000000001</v>
      </c>
    </row>
    <row r="231" spans="1:7" x14ac:dyDescent="0.35">
      <c r="A231" s="5" t="s">
        <v>614</v>
      </c>
      <c r="B231" s="5" t="s">
        <v>605</v>
      </c>
      <c r="C231" s="7">
        <v>0.2</v>
      </c>
      <c r="D231" s="7">
        <f t="shared" si="14"/>
        <v>0.19750000000000001</v>
      </c>
      <c r="E231" s="7">
        <f t="shared" si="15"/>
        <v>0.17250000000000001</v>
      </c>
      <c r="F231" s="7">
        <f t="shared" si="16"/>
        <v>3.4500000000000004E-3</v>
      </c>
      <c r="G231" s="7">
        <f t="shared" si="17"/>
        <v>0.16905000000000001</v>
      </c>
    </row>
    <row r="232" spans="1:7" x14ac:dyDescent="0.35">
      <c r="A232" s="40" t="s">
        <v>615</v>
      </c>
      <c r="B232" s="5" t="s">
        <v>590</v>
      </c>
      <c r="C232" s="7">
        <v>0.19500000000000001</v>
      </c>
      <c r="D232" s="7">
        <f t="shared" si="14"/>
        <v>0.1925625</v>
      </c>
      <c r="E232" s="7">
        <f t="shared" si="15"/>
        <v>0.1675625</v>
      </c>
      <c r="F232" s="7">
        <f t="shared" si="16"/>
        <v>3.3512500000000001E-3</v>
      </c>
      <c r="G232" s="7">
        <f t="shared" si="17"/>
        <v>0.16421125</v>
      </c>
    </row>
    <row r="233" spans="1:7" x14ac:dyDescent="0.35">
      <c r="A233" s="40"/>
      <c r="B233" s="5" t="s">
        <v>591</v>
      </c>
      <c r="C233" s="7">
        <v>0.19500000000000001</v>
      </c>
      <c r="D233" s="7">
        <f t="shared" si="14"/>
        <v>0.1925625</v>
      </c>
      <c r="E233" s="7">
        <f t="shared" si="15"/>
        <v>0.1675625</v>
      </c>
      <c r="F233" s="7">
        <f t="shared" si="16"/>
        <v>3.3512500000000001E-3</v>
      </c>
      <c r="G233" s="7">
        <f t="shared" si="17"/>
        <v>0.16421125</v>
      </c>
    </row>
    <row r="234" spans="1:7" x14ac:dyDescent="0.35">
      <c r="A234" s="40"/>
      <c r="B234" s="5" t="s">
        <v>597</v>
      </c>
      <c r="C234" s="7">
        <v>0.19500000000000001</v>
      </c>
      <c r="D234" s="7">
        <f t="shared" si="14"/>
        <v>0.1925625</v>
      </c>
      <c r="E234" s="7">
        <f t="shared" si="15"/>
        <v>0.1675625</v>
      </c>
      <c r="F234" s="7">
        <f t="shared" si="16"/>
        <v>3.3512500000000001E-3</v>
      </c>
      <c r="G234" s="7">
        <f t="shared" si="17"/>
        <v>0.16421125</v>
      </c>
    </row>
    <row r="235" spans="1:7" x14ac:dyDescent="0.35">
      <c r="A235" s="40"/>
      <c r="B235" s="5" t="s">
        <v>592</v>
      </c>
      <c r="C235" s="7">
        <v>0.19500000000000001</v>
      </c>
      <c r="D235" s="7">
        <f t="shared" si="14"/>
        <v>0.1925625</v>
      </c>
      <c r="E235" s="7">
        <f t="shared" si="15"/>
        <v>0.1675625</v>
      </c>
      <c r="F235" s="7">
        <f t="shared" si="16"/>
        <v>3.3512500000000001E-3</v>
      </c>
      <c r="G235" s="7">
        <f t="shared" si="17"/>
        <v>0.16421125</v>
      </c>
    </row>
    <row r="236" spans="1:7" x14ac:dyDescent="0.35">
      <c r="A236" s="40"/>
      <c r="B236" s="5" t="s">
        <v>607</v>
      </c>
      <c r="C236" s="7">
        <v>0.19500000000000001</v>
      </c>
      <c r="D236" s="7">
        <f t="shared" si="14"/>
        <v>0.1925625</v>
      </c>
      <c r="E236" s="7">
        <f t="shared" si="15"/>
        <v>0.1675625</v>
      </c>
      <c r="F236" s="7">
        <f t="shared" si="16"/>
        <v>3.3512500000000001E-3</v>
      </c>
      <c r="G236" s="7">
        <f t="shared" si="17"/>
        <v>0.16421125</v>
      </c>
    </row>
    <row r="237" spans="1:7" x14ac:dyDescent="0.35">
      <c r="A237" s="40"/>
      <c r="B237" s="5" t="s">
        <v>608</v>
      </c>
      <c r="C237" s="7">
        <v>0.19500000000000001</v>
      </c>
      <c r="D237" s="7">
        <f t="shared" si="14"/>
        <v>0.1925625</v>
      </c>
      <c r="E237" s="7">
        <f t="shared" si="15"/>
        <v>0.1675625</v>
      </c>
      <c r="F237" s="7">
        <f t="shared" si="16"/>
        <v>3.3512500000000001E-3</v>
      </c>
      <c r="G237" s="7">
        <f t="shared" si="17"/>
        <v>0.16421125</v>
      </c>
    </row>
    <row r="238" spans="1:7" x14ac:dyDescent="0.35">
      <c r="A238" s="40"/>
      <c r="B238" s="5" t="s">
        <v>593</v>
      </c>
      <c r="C238" s="7">
        <v>0.19500000000000001</v>
      </c>
      <c r="D238" s="7">
        <f t="shared" si="14"/>
        <v>0.1925625</v>
      </c>
      <c r="E238" s="7">
        <f t="shared" si="15"/>
        <v>0.1675625</v>
      </c>
      <c r="F238" s="7">
        <f t="shared" si="16"/>
        <v>3.3512500000000001E-3</v>
      </c>
      <c r="G238" s="7">
        <f t="shared" si="17"/>
        <v>0.16421125</v>
      </c>
    </row>
    <row r="239" spans="1:7" x14ac:dyDescent="0.35">
      <c r="A239" s="40"/>
      <c r="B239" s="5" t="s">
        <v>594</v>
      </c>
      <c r="C239" s="7">
        <v>0.19500000000000001</v>
      </c>
      <c r="D239" s="7">
        <f t="shared" si="14"/>
        <v>0.1925625</v>
      </c>
      <c r="E239" s="7">
        <f t="shared" si="15"/>
        <v>0.1675625</v>
      </c>
      <c r="F239" s="7">
        <f t="shared" si="16"/>
        <v>3.3512500000000001E-3</v>
      </c>
      <c r="G239" s="7">
        <f t="shared" si="17"/>
        <v>0.16421125</v>
      </c>
    </row>
    <row r="240" spans="1:7" x14ac:dyDescent="0.35">
      <c r="A240" s="40"/>
      <c r="B240" s="5" t="s">
        <v>598</v>
      </c>
      <c r="C240" s="7">
        <v>0.19500000000000001</v>
      </c>
      <c r="D240" s="7">
        <f t="shared" si="14"/>
        <v>0.1925625</v>
      </c>
      <c r="E240" s="7">
        <f t="shared" si="15"/>
        <v>0.1675625</v>
      </c>
      <c r="F240" s="7">
        <f t="shared" si="16"/>
        <v>3.3512500000000001E-3</v>
      </c>
      <c r="G240" s="7">
        <f t="shared" si="17"/>
        <v>0.16421125</v>
      </c>
    </row>
    <row r="241" spans="1:7" x14ac:dyDescent="0.35">
      <c r="A241" s="40"/>
      <c r="B241" s="5" t="s">
        <v>599</v>
      </c>
      <c r="C241" s="7">
        <v>0.19500000000000001</v>
      </c>
      <c r="D241" s="7">
        <f t="shared" si="14"/>
        <v>0.1925625</v>
      </c>
      <c r="E241" s="7">
        <f t="shared" si="15"/>
        <v>0.1675625</v>
      </c>
      <c r="F241" s="7">
        <f t="shared" si="16"/>
        <v>3.3512500000000001E-3</v>
      </c>
      <c r="G241" s="7">
        <f t="shared" si="17"/>
        <v>0.16421125</v>
      </c>
    </row>
    <row r="242" spans="1:7" x14ac:dyDescent="0.35">
      <c r="A242" s="40" t="s">
        <v>616</v>
      </c>
      <c r="B242" s="11" t="s">
        <v>553</v>
      </c>
      <c r="C242" s="7">
        <v>0.19</v>
      </c>
      <c r="D242" s="7">
        <f t="shared" si="14"/>
        <v>0.18762500000000001</v>
      </c>
      <c r="E242" s="7">
        <f t="shared" si="15"/>
        <v>0.16262500000000002</v>
      </c>
      <c r="F242" s="7">
        <f t="shared" si="16"/>
        <v>3.2525000000000006E-3</v>
      </c>
      <c r="G242" s="7">
        <f t="shared" si="17"/>
        <v>0.15937250000000003</v>
      </c>
    </row>
    <row r="243" spans="1:7" x14ac:dyDescent="0.35">
      <c r="A243" s="40"/>
      <c r="B243" s="11" t="s">
        <v>554</v>
      </c>
      <c r="C243" s="7">
        <v>0.23</v>
      </c>
      <c r="D243" s="7">
        <f t="shared" si="14"/>
        <v>0.22712500000000002</v>
      </c>
      <c r="E243" s="7">
        <f t="shared" si="15"/>
        <v>0.20212500000000003</v>
      </c>
      <c r="F243" s="7">
        <f t="shared" si="16"/>
        <v>4.042500000000001E-3</v>
      </c>
      <c r="G243" s="7">
        <f t="shared" si="17"/>
        <v>0.19808250000000002</v>
      </c>
    </row>
    <row r="244" spans="1:7" x14ac:dyDescent="0.35">
      <c r="A244" s="40"/>
      <c r="B244" s="11" t="s">
        <v>555</v>
      </c>
      <c r="C244" s="7">
        <v>0.23</v>
      </c>
      <c r="D244" s="7">
        <f t="shared" si="14"/>
        <v>0.22712500000000002</v>
      </c>
      <c r="E244" s="7">
        <f t="shared" si="15"/>
        <v>0.20212500000000003</v>
      </c>
      <c r="F244" s="7">
        <f t="shared" si="16"/>
        <v>4.042500000000001E-3</v>
      </c>
      <c r="G244" s="7">
        <f t="shared" si="17"/>
        <v>0.19808250000000002</v>
      </c>
    </row>
    <row r="245" spans="1:7" x14ac:dyDescent="0.35">
      <c r="A245" s="40"/>
      <c r="B245" s="11" t="s">
        <v>556</v>
      </c>
      <c r="C245" s="7">
        <v>0.21</v>
      </c>
      <c r="D245" s="7">
        <f t="shared" si="14"/>
        <v>0.207375</v>
      </c>
      <c r="E245" s="7">
        <f t="shared" si="15"/>
        <v>0.18237500000000001</v>
      </c>
      <c r="F245" s="7">
        <f t="shared" si="16"/>
        <v>3.6475000000000001E-3</v>
      </c>
      <c r="G245" s="7">
        <f t="shared" si="17"/>
        <v>0.17872750000000001</v>
      </c>
    </row>
    <row r="246" spans="1:7" x14ac:dyDescent="0.35">
      <c r="A246" s="40"/>
      <c r="B246" s="11" t="s">
        <v>557</v>
      </c>
      <c r="C246" s="7">
        <v>0.12</v>
      </c>
      <c r="D246" s="7">
        <f t="shared" si="14"/>
        <v>0.11849999999999999</v>
      </c>
      <c r="E246" s="7">
        <f t="shared" si="15"/>
        <v>9.35E-2</v>
      </c>
      <c r="F246" s="7">
        <f t="shared" si="16"/>
        <v>1.8700000000000001E-3</v>
      </c>
      <c r="G246" s="7">
        <f t="shared" si="17"/>
        <v>9.1630000000000003E-2</v>
      </c>
    </row>
    <row r="247" spans="1:7" x14ac:dyDescent="0.35">
      <c r="A247" s="40"/>
      <c r="B247" s="11" t="s">
        <v>558</v>
      </c>
      <c r="C247" s="7">
        <v>0.35</v>
      </c>
      <c r="D247" s="7">
        <f t="shared" si="14"/>
        <v>0.34562499999999996</v>
      </c>
      <c r="E247" s="7">
        <f t="shared" si="15"/>
        <v>0.32062499999999994</v>
      </c>
      <c r="F247" s="7">
        <f t="shared" si="16"/>
        <v>6.4124999999999989E-3</v>
      </c>
      <c r="G247" s="7">
        <f t="shared" si="17"/>
        <v>0.31421249999999995</v>
      </c>
    </row>
    <row r="248" spans="1:7" x14ac:dyDescent="0.35">
      <c r="A248" s="40"/>
      <c r="B248" s="11" t="s">
        <v>559</v>
      </c>
      <c r="C248" s="7">
        <v>0.19</v>
      </c>
      <c r="D248" s="7">
        <f t="shared" si="14"/>
        <v>0.18762500000000001</v>
      </c>
      <c r="E248" s="7">
        <f t="shared" si="15"/>
        <v>0.16262500000000002</v>
      </c>
      <c r="F248" s="7">
        <f t="shared" si="16"/>
        <v>3.2525000000000006E-3</v>
      </c>
      <c r="G248" s="7">
        <f t="shared" si="17"/>
        <v>0.15937250000000003</v>
      </c>
    </row>
    <row r="249" spans="1:7" x14ac:dyDescent="0.35">
      <c r="A249" s="40"/>
      <c r="B249" s="11" t="s">
        <v>560</v>
      </c>
      <c r="C249" s="7">
        <v>0.23</v>
      </c>
      <c r="D249" s="7">
        <f t="shared" si="14"/>
        <v>0.22712500000000002</v>
      </c>
      <c r="E249" s="7">
        <f t="shared" si="15"/>
        <v>0.20212500000000003</v>
      </c>
      <c r="F249" s="7">
        <f t="shared" si="16"/>
        <v>4.042500000000001E-3</v>
      </c>
      <c r="G249" s="7">
        <f t="shared" si="17"/>
        <v>0.19808250000000002</v>
      </c>
    </row>
    <row r="250" spans="1:7" x14ac:dyDescent="0.35">
      <c r="A250" s="40"/>
      <c r="B250" s="11" t="s">
        <v>561</v>
      </c>
      <c r="C250" s="7">
        <v>0.16</v>
      </c>
      <c r="D250" s="7">
        <f t="shared" si="14"/>
        <v>0.158</v>
      </c>
      <c r="E250" s="7">
        <f t="shared" si="15"/>
        <v>0.13300000000000001</v>
      </c>
      <c r="F250" s="7">
        <f t="shared" si="16"/>
        <v>2.66E-3</v>
      </c>
      <c r="G250" s="7">
        <f t="shared" si="17"/>
        <v>0.13034000000000001</v>
      </c>
    </row>
    <row r="251" spans="1:7" x14ac:dyDescent="0.35">
      <c r="A251" s="40"/>
      <c r="B251" s="11" t="s">
        <v>562</v>
      </c>
      <c r="C251" s="7">
        <v>7.0000000000000007E-2</v>
      </c>
      <c r="D251" s="7">
        <f t="shared" si="14"/>
        <v>6.9125000000000006E-2</v>
      </c>
      <c r="E251" s="7">
        <f t="shared" si="15"/>
        <v>4.4125000000000004E-2</v>
      </c>
      <c r="F251" s="7">
        <f t="shared" si="16"/>
        <v>8.8250000000000015E-4</v>
      </c>
      <c r="G251" s="7">
        <f t="shared" si="17"/>
        <v>4.3242500000000003E-2</v>
      </c>
    </row>
    <row r="252" spans="1:7" x14ac:dyDescent="0.35">
      <c r="A252" s="5" t="s">
        <v>456</v>
      </c>
      <c r="B252" s="5" t="s">
        <v>100</v>
      </c>
      <c r="C252" s="6">
        <v>0.17</v>
      </c>
      <c r="D252" s="7">
        <f t="shared" si="14"/>
        <v>0.16787500000000002</v>
      </c>
      <c r="E252" s="7">
        <f t="shared" si="15"/>
        <v>0.14287500000000003</v>
      </c>
      <c r="F252" s="7">
        <f t="shared" si="16"/>
        <v>2.8575000000000007E-3</v>
      </c>
      <c r="G252" s="7">
        <f t="shared" si="17"/>
        <v>0.14001750000000002</v>
      </c>
    </row>
    <row r="253" spans="1:7" x14ac:dyDescent="0.35">
      <c r="A253" s="2" t="s">
        <v>175</v>
      </c>
      <c r="B253" s="2" t="s">
        <v>1</v>
      </c>
      <c r="C253" s="3" t="s">
        <v>2</v>
      </c>
      <c r="D253" s="4" t="s">
        <v>1275</v>
      </c>
      <c r="E253" s="4" t="s">
        <v>1276</v>
      </c>
      <c r="F253" s="4" t="s">
        <v>363</v>
      </c>
      <c r="G253" s="4" t="s">
        <v>364</v>
      </c>
    </row>
    <row r="254" spans="1:7" x14ac:dyDescent="0.35">
      <c r="A254" s="5" t="s">
        <v>461</v>
      </c>
      <c r="B254" s="5" t="s">
        <v>100</v>
      </c>
      <c r="C254" s="6">
        <v>0.26</v>
      </c>
      <c r="D254" s="7">
        <f t="shared" si="14"/>
        <v>0.25675000000000003</v>
      </c>
      <c r="E254" s="7">
        <f t="shared" si="15"/>
        <v>0.23175000000000004</v>
      </c>
      <c r="F254" s="7">
        <f t="shared" si="16"/>
        <v>4.6350000000000011E-3</v>
      </c>
      <c r="G254" s="7">
        <f t="shared" si="17"/>
        <v>0.22711500000000004</v>
      </c>
    </row>
    <row r="255" spans="1:7" x14ac:dyDescent="0.35">
      <c r="A255" s="2" t="s">
        <v>185</v>
      </c>
      <c r="B255" s="2" t="s">
        <v>1</v>
      </c>
      <c r="C255" s="3" t="s">
        <v>2</v>
      </c>
      <c r="D255" s="4" t="s">
        <v>1275</v>
      </c>
      <c r="E255" s="4" t="s">
        <v>1276</v>
      </c>
      <c r="F255" s="4" t="s">
        <v>363</v>
      </c>
      <c r="G255" s="4" t="s">
        <v>364</v>
      </c>
    </row>
    <row r="256" spans="1:7" x14ac:dyDescent="0.35">
      <c r="A256" s="5" t="s">
        <v>617</v>
      </c>
      <c r="B256" s="5" t="s">
        <v>618</v>
      </c>
      <c r="C256" s="7">
        <v>0.15</v>
      </c>
      <c r="D256" s="7">
        <f t="shared" si="14"/>
        <v>0.14812500000000001</v>
      </c>
      <c r="E256" s="7">
        <f t="shared" si="15"/>
        <v>0.12312500000000001</v>
      </c>
      <c r="F256" s="7">
        <f t="shared" si="16"/>
        <v>2.4625000000000003E-3</v>
      </c>
      <c r="G256" s="7">
        <f t="shared" si="17"/>
        <v>0.12066250000000001</v>
      </c>
    </row>
    <row r="257" spans="1:7" x14ac:dyDescent="0.35">
      <c r="A257" s="44" t="s">
        <v>200</v>
      </c>
      <c r="B257" s="5" t="s">
        <v>92</v>
      </c>
      <c r="C257" s="6">
        <v>0.35</v>
      </c>
      <c r="D257" s="7">
        <f t="shared" si="14"/>
        <v>0.34562499999999996</v>
      </c>
      <c r="E257" s="7">
        <f t="shared" si="15"/>
        <v>0.32062499999999994</v>
      </c>
      <c r="F257" s="7">
        <f t="shared" si="16"/>
        <v>6.4124999999999989E-3</v>
      </c>
      <c r="G257" s="7">
        <f t="shared" si="17"/>
        <v>0.31421249999999995</v>
      </c>
    </row>
    <row r="258" spans="1:7" x14ac:dyDescent="0.35">
      <c r="A258" s="45"/>
      <c r="B258" s="5" t="s">
        <v>93</v>
      </c>
      <c r="C258" s="6">
        <v>0.35</v>
      </c>
      <c r="D258" s="7">
        <f t="shared" si="14"/>
        <v>0.34562499999999996</v>
      </c>
      <c r="E258" s="7">
        <f t="shared" si="15"/>
        <v>0.32062499999999994</v>
      </c>
      <c r="F258" s="7">
        <f t="shared" si="16"/>
        <v>6.4124999999999989E-3</v>
      </c>
      <c r="G258" s="7">
        <f t="shared" si="17"/>
        <v>0.31421249999999995</v>
      </c>
    </row>
    <row r="259" spans="1:7" x14ac:dyDescent="0.35">
      <c r="A259" s="5" t="s">
        <v>204</v>
      </c>
      <c r="B259" s="5" t="s">
        <v>100</v>
      </c>
      <c r="C259" s="7">
        <v>0.3</v>
      </c>
      <c r="D259" s="7">
        <f t="shared" si="14"/>
        <v>0.29625000000000001</v>
      </c>
      <c r="E259" s="7">
        <f t="shared" si="15"/>
        <v>0.27124999999999999</v>
      </c>
      <c r="F259" s="7">
        <f t="shared" si="16"/>
        <v>5.4250000000000001E-3</v>
      </c>
      <c r="G259" s="7">
        <f t="shared" si="17"/>
        <v>0.26582499999999998</v>
      </c>
    </row>
    <row r="260" spans="1:7" x14ac:dyDescent="0.35">
      <c r="A260" s="5" t="s">
        <v>619</v>
      </c>
      <c r="B260" s="5" t="s">
        <v>100</v>
      </c>
      <c r="C260" s="7">
        <v>0.2</v>
      </c>
      <c r="D260" s="7">
        <f t="shared" si="14"/>
        <v>0.19750000000000001</v>
      </c>
      <c r="E260" s="7">
        <f t="shared" si="15"/>
        <v>0.17250000000000001</v>
      </c>
      <c r="F260" s="7">
        <f t="shared" si="16"/>
        <v>3.4500000000000004E-3</v>
      </c>
      <c r="G260" s="7">
        <f t="shared" si="17"/>
        <v>0.16905000000000001</v>
      </c>
    </row>
    <row r="261" spans="1:7" x14ac:dyDescent="0.35">
      <c r="A261" s="5" t="s">
        <v>475</v>
      </c>
      <c r="B261" s="5" t="s">
        <v>100</v>
      </c>
      <c r="C261" s="7">
        <v>0.18</v>
      </c>
      <c r="D261" s="7">
        <f t="shared" si="14"/>
        <v>0.17774999999999999</v>
      </c>
      <c r="E261" s="7">
        <f t="shared" si="15"/>
        <v>0.15275</v>
      </c>
      <c r="F261" s="7">
        <f t="shared" si="16"/>
        <v>3.055E-3</v>
      </c>
      <c r="G261" s="7">
        <f t="shared" si="17"/>
        <v>0.14969499999999999</v>
      </c>
    </row>
    <row r="262" spans="1:7" ht="72" x14ac:dyDescent="0.35">
      <c r="A262" s="2" t="s">
        <v>206</v>
      </c>
      <c r="B262" s="2" t="s">
        <v>1</v>
      </c>
      <c r="C262" s="3" t="s">
        <v>2</v>
      </c>
      <c r="D262" s="4" t="s">
        <v>1275</v>
      </c>
      <c r="E262" s="38" t="s">
        <v>1315</v>
      </c>
      <c r="F262" s="4" t="s">
        <v>363</v>
      </c>
      <c r="G262" s="4" t="s">
        <v>364</v>
      </c>
    </row>
    <row r="263" spans="1:7" x14ac:dyDescent="0.35">
      <c r="A263" s="5" t="s">
        <v>207</v>
      </c>
      <c r="B263" s="5" t="s">
        <v>100</v>
      </c>
      <c r="C263" s="7">
        <v>0.6</v>
      </c>
      <c r="D263" s="7">
        <f t="shared" ref="D263:D331" si="18">(C263-(C263*1.25%))</f>
        <v>0.59250000000000003</v>
      </c>
      <c r="E263" s="7">
        <f t="shared" ref="E263:E331" si="19">D263-(2.5%)</f>
        <v>0.5675</v>
      </c>
      <c r="F263" s="7">
        <f t="shared" ref="F263:F331" si="20">E263*(2%)</f>
        <v>1.1350000000000001E-2</v>
      </c>
      <c r="G263" s="7">
        <f t="shared" ref="G263:G331" si="21">E263-F263</f>
        <v>0.55615000000000003</v>
      </c>
    </row>
    <row r="264" spans="1:7" x14ac:dyDescent="0.35">
      <c r="A264" s="5" t="s">
        <v>208</v>
      </c>
      <c r="B264" s="5" t="s">
        <v>100</v>
      </c>
      <c r="C264" s="7">
        <v>0.6</v>
      </c>
      <c r="D264" s="7">
        <f t="shared" si="18"/>
        <v>0.59250000000000003</v>
      </c>
      <c r="E264" s="7">
        <f t="shared" si="19"/>
        <v>0.5675</v>
      </c>
      <c r="F264" s="7">
        <f t="shared" si="20"/>
        <v>1.1350000000000001E-2</v>
      </c>
      <c r="G264" s="7">
        <f t="shared" si="21"/>
        <v>0.55615000000000003</v>
      </c>
    </row>
    <row r="265" spans="1:7" ht="36" x14ac:dyDescent="0.35">
      <c r="A265" s="41" t="s">
        <v>209</v>
      </c>
      <c r="B265" s="5" t="s">
        <v>563</v>
      </c>
      <c r="C265" s="7">
        <v>0.6</v>
      </c>
      <c r="D265" s="7">
        <f t="shared" si="18"/>
        <v>0.59250000000000003</v>
      </c>
      <c r="E265" s="7">
        <f t="shared" si="19"/>
        <v>0.5675</v>
      </c>
      <c r="F265" s="7">
        <f t="shared" si="20"/>
        <v>1.1350000000000001E-2</v>
      </c>
      <c r="G265" s="7">
        <f t="shared" si="21"/>
        <v>0.55615000000000003</v>
      </c>
    </row>
    <row r="266" spans="1:7" ht="48" x14ac:dyDescent="0.35">
      <c r="A266" s="42"/>
      <c r="B266" s="5" t="s">
        <v>564</v>
      </c>
      <c r="C266" s="7">
        <v>0</v>
      </c>
      <c r="D266" s="7" t="s">
        <v>20</v>
      </c>
      <c r="E266" s="7" t="s">
        <v>20</v>
      </c>
      <c r="F266" s="7" t="s">
        <v>20</v>
      </c>
      <c r="G266" s="7" t="s">
        <v>20</v>
      </c>
    </row>
    <row r="267" spans="1:7" x14ac:dyDescent="0.35">
      <c r="A267" s="42"/>
      <c r="B267" s="5" t="s">
        <v>565</v>
      </c>
      <c r="C267" s="7">
        <v>0</v>
      </c>
      <c r="D267" s="7" t="s">
        <v>20</v>
      </c>
      <c r="E267" s="7" t="s">
        <v>20</v>
      </c>
      <c r="F267" s="7" t="s">
        <v>20</v>
      </c>
      <c r="G267" s="7" t="s">
        <v>20</v>
      </c>
    </row>
    <row r="268" spans="1:7" ht="36" x14ac:dyDescent="0.35">
      <c r="A268" s="43"/>
      <c r="B268" s="5" t="s">
        <v>566</v>
      </c>
      <c r="C268" s="7">
        <v>0</v>
      </c>
      <c r="D268" s="7" t="s">
        <v>20</v>
      </c>
      <c r="E268" s="7" t="s">
        <v>20</v>
      </c>
      <c r="F268" s="7" t="s">
        <v>20</v>
      </c>
      <c r="G268" s="7" t="s">
        <v>20</v>
      </c>
    </row>
    <row r="269" spans="1:7" ht="36" x14ac:dyDescent="0.35">
      <c r="A269" s="41" t="s">
        <v>210</v>
      </c>
      <c r="B269" s="5" t="s">
        <v>563</v>
      </c>
      <c r="C269" s="7">
        <v>0.28000000000000003</v>
      </c>
      <c r="D269" s="7">
        <f t="shared" si="18"/>
        <v>0.27650000000000002</v>
      </c>
      <c r="E269" s="7">
        <f t="shared" si="19"/>
        <v>0.2515</v>
      </c>
      <c r="F269" s="7">
        <f t="shared" si="20"/>
        <v>5.0299999999999997E-3</v>
      </c>
      <c r="G269" s="7">
        <f t="shared" si="21"/>
        <v>0.24646999999999999</v>
      </c>
    </row>
    <row r="270" spans="1:7" ht="48" x14ac:dyDescent="0.35">
      <c r="A270" s="42"/>
      <c r="B270" s="5" t="s">
        <v>564</v>
      </c>
      <c r="C270" s="7">
        <v>0.28000000000000003</v>
      </c>
      <c r="D270" s="7">
        <f t="shared" si="18"/>
        <v>0.27650000000000002</v>
      </c>
      <c r="E270" s="7">
        <f t="shared" si="19"/>
        <v>0.2515</v>
      </c>
      <c r="F270" s="7">
        <f t="shared" si="20"/>
        <v>5.0299999999999997E-3</v>
      </c>
      <c r="G270" s="7">
        <f t="shared" si="21"/>
        <v>0.24646999999999999</v>
      </c>
    </row>
    <row r="271" spans="1:7" x14ac:dyDescent="0.35">
      <c r="A271" s="42"/>
      <c r="B271" s="5" t="s">
        <v>565</v>
      </c>
      <c r="C271" s="7">
        <v>0.28000000000000003</v>
      </c>
      <c r="D271" s="7">
        <f t="shared" si="18"/>
        <v>0.27650000000000002</v>
      </c>
      <c r="E271" s="7">
        <f t="shared" si="19"/>
        <v>0.2515</v>
      </c>
      <c r="F271" s="7">
        <f t="shared" si="20"/>
        <v>5.0299999999999997E-3</v>
      </c>
      <c r="G271" s="7">
        <f t="shared" si="21"/>
        <v>0.24646999999999999</v>
      </c>
    </row>
    <row r="272" spans="1:7" ht="36" x14ac:dyDescent="0.35">
      <c r="A272" s="43"/>
      <c r="B272" s="5" t="s">
        <v>566</v>
      </c>
      <c r="C272" s="7">
        <v>0.28000000000000003</v>
      </c>
      <c r="D272" s="7">
        <f t="shared" si="18"/>
        <v>0.27650000000000002</v>
      </c>
      <c r="E272" s="7">
        <f t="shared" si="19"/>
        <v>0.2515</v>
      </c>
      <c r="F272" s="7">
        <f t="shared" si="20"/>
        <v>5.0299999999999997E-3</v>
      </c>
      <c r="G272" s="7">
        <f t="shared" si="21"/>
        <v>0.24646999999999999</v>
      </c>
    </row>
    <row r="273" spans="1:10" ht="24" x14ac:dyDescent="0.35">
      <c r="A273" s="5" t="s">
        <v>212</v>
      </c>
      <c r="B273" s="5" t="s">
        <v>100</v>
      </c>
      <c r="C273" s="6">
        <v>0.65</v>
      </c>
      <c r="D273" s="7">
        <f t="shared" si="18"/>
        <v>0.64187499999999997</v>
      </c>
      <c r="E273" s="7">
        <f>D273-(1.5%)</f>
        <v>0.62687499999999996</v>
      </c>
      <c r="F273" s="7">
        <f t="shared" si="20"/>
        <v>1.25375E-2</v>
      </c>
      <c r="G273" s="7">
        <f t="shared" si="21"/>
        <v>0.61433749999999998</v>
      </c>
      <c r="I273" s="10"/>
      <c r="J273" s="10"/>
    </row>
    <row r="274" spans="1:10" ht="24" x14ac:dyDescent="0.35">
      <c r="A274" s="29" t="s">
        <v>1173</v>
      </c>
      <c r="B274" s="5" t="s">
        <v>100</v>
      </c>
      <c r="C274" s="6">
        <v>0.67500000000000004</v>
      </c>
      <c r="D274" s="7">
        <f t="shared" si="18"/>
        <v>0.66656250000000006</v>
      </c>
      <c r="E274" s="7">
        <f t="shared" ref="E274:E280" si="22">D274-(1.5%)</f>
        <v>0.65156250000000004</v>
      </c>
      <c r="F274" s="7">
        <f t="shared" si="20"/>
        <v>1.3031250000000001E-2</v>
      </c>
      <c r="G274" s="7">
        <f t="shared" si="21"/>
        <v>0.63853124999999999</v>
      </c>
    </row>
    <row r="275" spans="1:10" ht="24" x14ac:dyDescent="0.35">
      <c r="A275" s="29" t="s">
        <v>1174</v>
      </c>
      <c r="B275" s="5" t="s">
        <v>100</v>
      </c>
      <c r="C275" s="6">
        <v>0.67500000000000004</v>
      </c>
      <c r="D275" s="7">
        <f t="shared" si="18"/>
        <v>0.66656250000000006</v>
      </c>
      <c r="E275" s="7">
        <f t="shared" si="22"/>
        <v>0.65156250000000004</v>
      </c>
      <c r="F275" s="7">
        <f t="shared" si="20"/>
        <v>1.3031250000000001E-2</v>
      </c>
      <c r="G275" s="7">
        <f t="shared" si="21"/>
        <v>0.63853124999999999</v>
      </c>
    </row>
    <row r="276" spans="1:10" ht="36" x14ac:dyDescent="0.35">
      <c r="A276" s="29" t="s">
        <v>1175</v>
      </c>
      <c r="B276" s="5" t="s">
        <v>100</v>
      </c>
      <c r="C276" s="6">
        <v>0.72499999999999998</v>
      </c>
      <c r="D276" s="7">
        <f t="shared" si="18"/>
        <v>0.7159375</v>
      </c>
      <c r="E276" s="7">
        <f t="shared" si="22"/>
        <v>0.70093749999999999</v>
      </c>
      <c r="F276" s="7">
        <f t="shared" si="20"/>
        <v>1.401875E-2</v>
      </c>
      <c r="G276" s="7">
        <f t="shared" si="21"/>
        <v>0.68691875000000002</v>
      </c>
    </row>
    <row r="277" spans="1:10" x14ac:dyDescent="0.35">
      <c r="A277" s="41" t="s">
        <v>213</v>
      </c>
      <c r="B277" s="5" t="s">
        <v>620</v>
      </c>
      <c r="C277" s="6">
        <v>0</v>
      </c>
      <c r="D277" s="7" t="s">
        <v>20</v>
      </c>
      <c r="E277" s="7" t="s">
        <v>20</v>
      </c>
      <c r="F277" s="7" t="s">
        <v>20</v>
      </c>
      <c r="G277" s="7" t="s">
        <v>20</v>
      </c>
    </row>
    <row r="278" spans="1:10" x14ac:dyDescent="0.35">
      <c r="A278" s="42"/>
      <c r="B278" s="5" t="s">
        <v>621</v>
      </c>
      <c r="C278" s="6">
        <v>0.625</v>
      </c>
      <c r="D278" s="7">
        <f t="shared" si="18"/>
        <v>0.6171875</v>
      </c>
      <c r="E278" s="7">
        <f t="shared" si="22"/>
        <v>0.60218749999999999</v>
      </c>
      <c r="F278" s="7">
        <f t="shared" si="20"/>
        <v>1.2043750000000001E-2</v>
      </c>
      <c r="G278" s="7">
        <f t="shared" si="21"/>
        <v>0.59014374999999997</v>
      </c>
    </row>
    <row r="279" spans="1:10" x14ac:dyDescent="0.35">
      <c r="A279" s="42"/>
      <c r="B279" s="5" t="s">
        <v>622</v>
      </c>
      <c r="C279" s="6">
        <v>0.7</v>
      </c>
      <c r="D279" s="7">
        <f t="shared" si="18"/>
        <v>0.69124999999999992</v>
      </c>
      <c r="E279" s="7">
        <f t="shared" si="22"/>
        <v>0.67624999999999991</v>
      </c>
      <c r="F279" s="7">
        <f t="shared" si="20"/>
        <v>1.3524999999999999E-2</v>
      </c>
      <c r="G279" s="7">
        <f t="shared" si="21"/>
        <v>0.6627249999999999</v>
      </c>
    </row>
    <row r="280" spans="1:10" x14ac:dyDescent="0.35">
      <c r="A280" s="43"/>
      <c r="B280" s="5" t="s">
        <v>623</v>
      </c>
      <c r="C280" s="6">
        <v>0.7</v>
      </c>
      <c r="D280" s="7">
        <f t="shared" si="18"/>
        <v>0.69124999999999992</v>
      </c>
      <c r="E280" s="7">
        <f t="shared" si="22"/>
        <v>0.67624999999999991</v>
      </c>
      <c r="F280" s="7">
        <f t="shared" si="20"/>
        <v>1.3524999999999999E-2</v>
      </c>
      <c r="G280" s="7">
        <f t="shared" si="21"/>
        <v>0.6627249999999999</v>
      </c>
    </row>
    <row r="281" spans="1:10" ht="36" x14ac:dyDescent="0.35">
      <c r="A281" s="5" t="s">
        <v>1238</v>
      </c>
      <c r="B281" s="5" t="s">
        <v>100</v>
      </c>
      <c r="C281" s="6">
        <v>0.77</v>
      </c>
      <c r="D281" s="7">
        <f t="shared" ref="D281" si="23">(C281-(C281*1.25%))</f>
        <v>0.76037500000000002</v>
      </c>
      <c r="E281" s="7">
        <f>D281-(1.5%)</f>
        <v>0.74537500000000001</v>
      </c>
      <c r="F281" s="7">
        <f t="shared" si="20"/>
        <v>1.4907500000000001E-2</v>
      </c>
      <c r="G281" s="7">
        <f t="shared" ref="G281" si="24">E281-F281</f>
        <v>0.73046750000000005</v>
      </c>
    </row>
    <row r="282" spans="1:10" ht="24" x14ac:dyDescent="0.35">
      <c r="A282" s="5" t="s">
        <v>1506</v>
      </c>
      <c r="B282" s="5" t="s">
        <v>100</v>
      </c>
      <c r="C282" s="6">
        <v>0.65</v>
      </c>
      <c r="D282" s="7">
        <f t="shared" si="18"/>
        <v>0.64187499999999997</v>
      </c>
      <c r="E282" s="7">
        <f t="shared" si="19"/>
        <v>0.61687499999999995</v>
      </c>
      <c r="F282" s="7">
        <f t="shared" si="20"/>
        <v>1.23375E-2</v>
      </c>
      <c r="G282" s="7">
        <f t="shared" si="21"/>
        <v>0.60453749999999995</v>
      </c>
    </row>
    <row r="283" spans="1:10" ht="24" x14ac:dyDescent="0.35">
      <c r="A283" s="5" t="s">
        <v>1507</v>
      </c>
      <c r="B283" s="5" t="s">
        <v>100</v>
      </c>
      <c r="C283" s="6">
        <v>0.67</v>
      </c>
      <c r="D283" s="7">
        <f t="shared" si="18"/>
        <v>0.66162500000000002</v>
      </c>
      <c r="E283" s="7">
        <f t="shared" si="19"/>
        <v>0.636625</v>
      </c>
      <c r="F283" s="7">
        <f t="shared" si="20"/>
        <v>1.2732500000000001E-2</v>
      </c>
      <c r="G283" s="7">
        <f t="shared" si="21"/>
        <v>0.62389249999999996</v>
      </c>
    </row>
    <row r="284" spans="1:10" ht="24" x14ac:dyDescent="0.35">
      <c r="A284" s="5" t="s">
        <v>1508</v>
      </c>
      <c r="B284" s="5" t="s">
        <v>100</v>
      </c>
      <c r="C284" s="6">
        <v>0.55000000000000004</v>
      </c>
      <c r="D284" s="7">
        <f t="shared" ref="D284:D285" si="25">(C284-(C284*1.25%))</f>
        <v>0.54312500000000008</v>
      </c>
      <c r="E284" s="7">
        <f t="shared" ref="E284:E285" si="26">D284-(2.5%)</f>
        <v>0.51812500000000006</v>
      </c>
      <c r="F284" s="7">
        <f t="shared" ref="F284:F285" si="27">E284*(2%)</f>
        <v>1.0362500000000002E-2</v>
      </c>
      <c r="G284" s="7">
        <f t="shared" ref="G284:G285" si="28">E284-F284</f>
        <v>0.50776250000000001</v>
      </c>
    </row>
    <row r="285" spans="1:10" ht="24" x14ac:dyDescent="0.35">
      <c r="A285" s="5" t="s">
        <v>1509</v>
      </c>
      <c r="B285" s="5" t="s">
        <v>100</v>
      </c>
      <c r="C285" s="6">
        <v>0.56999999999999995</v>
      </c>
      <c r="D285" s="7">
        <f t="shared" si="25"/>
        <v>0.5628749999999999</v>
      </c>
      <c r="E285" s="7">
        <f t="shared" si="26"/>
        <v>0.53787499999999988</v>
      </c>
      <c r="F285" s="7">
        <f t="shared" si="27"/>
        <v>1.0757499999999998E-2</v>
      </c>
      <c r="G285" s="7">
        <f t="shared" si="28"/>
        <v>0.52711749999999991</v>
      </c>
    </row>
    <row r="286" spans="1:10" ht="24" x14ac:dyDescent="0.35">
      <c r="A286" s="23" t="s">
        <v>1270</v>
      </c>
      <c r="B286" s="5" t="s">
        <v>624</v>
      </c>
      <c r="C286" s="6">
        <v>0.75</v>
      </c>
      <c r="D286" s="7">
        <f t="shared" si="18"/>
        <v>0.74062499999999998</v>
      </c>
      <c r="E286" s="7">
        <f t="shared" si="19"/>
        <v>0.71562499999999996</v>
      </c>
      <c r="F286" s="7">
        <f t="shared" si="20"/>
        <v>1.4312499999999999E-2</v>
      </c>
      <c r="G286" s="7">
        <f t="shared" si="21"/>
        <v>0.70131250000000001</v>
      </c>
    </row>
    <row r="287" spans="1:10" x14ac:dyDescent="0.35">
      <c r="A287" s="2" t="s">
        <v>218</v>
      </c>
      <c r="B287" s="2" t="s">
        <v>1</v>
      </c>
      <c r="C287" s="3" t="s">
        <v>2</v>
      </c>
      <c r="D287" s="4" t="s">
        <v>1275</v>
      </c>
      <c r="E287" s="4" t="s">
        <v>1276</v>
      </c>
      <c r="F287" s="4" t="s">
        <v>363</v>
      </c>
      <c r="G287" s="4" t="s">
        <v>364</v>
      </c>
    </row>
    <row r="288" spans="1:10" x14ac:dyDescent="0.35">
      <c r="A288" s="5" t="s">
        <v>209</v>
      </c>
      <c r="B288" s="5" t="s">
        <v>222</v>
      </c>
      <c r="C288" s="6">
        <v>0.47</v>
      </c>
      <c r="D288" s="7">
        <f t="shared" si="18"/>
        <v>0.46412499999999995</v>
      </c>
      <c r="E288" s="7">
        <f t="shared" si="19"/>
        <v>0.43912499999999993</v>
      </c>
      <c r="F288" s="7">
        <f t="shared" si="20"/>
        <v>8.7824999999999986E-3</v>
      </c>
      <c r="G288" s="7">
        <f t="shared" si="21"/>
        <v>0.43034249999999996</v>
      </c>
    </row>
    <row r="289" spans="1:7" x14ac:dyDescent="0.35">
      <c r="A289" s="5" t="s">
        <v>210</v>
      </c>
      <c r="B289" s="5" t="s">
        <v>223</v>
      </c>
      <c r="C289" s="6">
        <v>0.45</v>
      </c>
      <c r="D289" s="7">
        <f t="shared" si="18"/>
        <v>0.44437500000000002</v>
      </c>
      <c r="E289" s="7">
        <f t="shared" si="19"/>
        <v>0.419375</v>
      </c>
      <c r="F289" s="7">
        <f t="shared" si="20"/>
        <v>8.3875000000000009E-3</v>
      </c>
      <c r="G289" s="7">
        <f t="shared" si="21"/>
        <v>0.41098750000000001</v>
      </c>
    </row>
    <row r="290" spans="1:7" x14ac:dyDescent="0.35">
      <c r="A290" s="2" t="s">
        <v>225</v>
      </c>
      <c r="B290" s="2" t="s">
        <v>1</v>
      </c>
      <c r="C290" s="3" t="s">
        <v>2</v>
      </c>
      <c r="D290" s="4" t="s">
        <v>1275</v>
      </c>
      <c r="E290" s="4" t="s">
        <v>1276</v>
      </c>
      <c r="F290" s="4" t="s">
        <v>363</v>
      </c>
      <c r="G290" s="4" t="s">
        <v>364</v>
      </c>
    </row>
    <row r="291" spans="1:7" x14ac:dyDescent="0.35">
      <c r="A291" s="5" t="s">
        <v>625</v>
      </c>
      <c r="B291" s="5" t="s">
        <v>626</v>
      </c>
      <c r="C291" s="7">
        <v>0.315</v>
      </c>
      <c r="D291" s="7">
        <f t="shared" si="18"/>
        <v>0.31106250000000002</v>
      </c>
      <c r="E291" s="7">
        <f t="shared" si="19"/>
        <v>0.2860625</v>
      </c>
      <c r="F291" s="7">
        <f t="shared" si="20"/>
        <v>5.7212499999999998E-3</v>
      </c>
      <c r="G291" s="7">
        <f t="shared" si="21"/>
        <v>0.28034124999999999</v>
      </c>
    </row>
    <row r="292" spans="1:7" x14ac:dyDescent="0.35">
      <c r="A292" s="5" t="s">
        <v>627</v>
      </c>
      <c r="B292" s="5" t="s">
        <v>626</v>
      </c>
      <c r="C292" s="7">
        <v>0.315</v>
      </c>
      <c r="D292" s="7">
        <f t="shared" si="18"/>
        <v>0.31106250000000002</v>
      </c>
      <c r="E292" s="7">
        <f t="shared" si="19"/>
        <v>0.2860625</v>
      </c>
      <c r="F292" s="7">
        <f t="shared" si="20"/>
        <v>5.7212499999999998E-3</v>
      </c>
      <c r="G292" s="7">
        <f t="shared" si="21"/>
        <v>0.28034124999999999</v>
      </c>
    </row>
    <row r="293" spans="1:7" ht="24" x14ac:dyDescent="0.35">
      <c r="A293" s="5" t="s">
        <v>628</v>
      </c>
      <c r="B293" s="5" t="s">
        <v>626</v>
      </c>
      <c r="C293" s="7">
        <v>0.28999999999999998</v>
      </c>
      <c r="D293" s="7">
        <f t="shared" si="18"/>
        <v>0.28637499999999999</v>
      </c>
      <c r="E293" s="7">
        <f t="shared" si="19"/>
        <v>0.26137499999999997</v>
      </c>
      <c r="F293" s="7">
        <f t="shared" si="20"/>
        <v>5.2274999999999995E-3</v>
      </c>
      <c r="G293" s="7">
        <f t="shared" si="21"/>
        <v>0.25614749999999997</v>
      </c>
    </row>
    <row r="294" spans="1:7" ht="24" x14ac:dyDescent="0.35">
      <c r="A294" s="5" t="s">
        <v>629</v>
      </c>
      <c r="B294" s="5" t="s">
        <v>626</v>
      </c>
      <c r="C294" s="7">
        <v>0.28999999999999998</v>
      </c>
      <c r="D294" s="7">
        <f t="shared" si="18"/>
        <v>0.28637499999999999</v>
      </c>
      <c r="E294" s="7">
        <f t="shared" si="19"/>
        <v>0.26137499999999997</v>
      </c>
      <c r="F294" s="7">
        <f t="shared" si="20"/>
        <v>5.2274999999999995E-3</v>
      </c>
      <c r="G294" s="7">
        <f t="shared" si="21"/>
        <v>0.25614749999999997</v>
      </c>
    </row>
    <row r="295" spans="1:7" x14ac:dyDescent="0.35">
      <c r="A295" s="5" t="s">
        <v>9</v>
      </c>
      <c r="B295" s="5" t="s">
        <v>188</v>
      </c>
      <c r="C295" s="7">
        <v>0.4</v>
      </c>
      <c r="D295" s="7">
        <f t="shared" si="18"/>
        <v>0.39500000000000002</v>
      </c>
      <c r="E295" s="7">
        <f t="shared" si="19"/>
        <v>0.37</v>
      </c>
      <c r="F295" s="7">
        <f t="shared" si="20"/>
        <v>7.4000000000000003E-3</v>
      </c>
      <c r="G295" s="7">
        <f t="shared" si="21"/>
        <v>0.36259999999999998</v>
      </c>
    </row>
    <row r="296" spans="1:7" x14ac:dyDescent="0.35">
      <c r="A296" s="5" t="s">
        <v>630</v>
      </c>
      <c r="B296" s="5" t="s">
        <v>631</v>
      </c>
      <c r="C296" s="7">
        <v>0</v>
      </c>
      <c r="D296" s="7" t="s">
        <v>20</v>
      </c>
      <c r="E296" s="7" t="s">
        <v>20</v>
      </c>
      <c r="F296" s="7" t="s">
        <v>20</v>
      </c>
      <c r="G296" s="7" t="s">
        <v>20</v>
      </c>
    </row>
    <row r="297" spans="1:7" x14ac:dyDescent="0.35">
      <c r="A297" s="5" t="s">
        <v>374</v>
      </c>
      <c r="B297" s="5" t="s">
        <v>631</v>
      </c>
      <c r="C297" s="7">
        <v>0</v>
      </c>
      <c r="D297" s="7" t="s">
        <v>20</v>
      </c>
      <c r="E297" s="7" t="s">
        <v>20</v>
      </c>
      <c r="F297" s="7" t="s">
        <v>20</v>
      </c>
      <c r="G297" s="7" t="s">
        <v>20</v>
      </c>
    </row>
    <row r="298" spans="1:7" x14ac:dyDescent="0.35">
      <c r="A298" s="5" t="s">
        <v>12</v>
      </c>
      <c r="B298" s="5" t="s">
        <v>100</v>
      </c>
      <c r="C298" s="7">
        <v>0.42499999999999999</v>
      </c>
      <c r="D298" s="7">
        <f t="shared" si="18"/>
        <v>0.41968749999999999</v>
      </c>
      <c r="E298" s="7">
        <f t="shared" si="19"/>
        <v>0.39468749999999997</v>
      </c>
      <c r="F298" s="7">
        <f t="shared" si="20"/>
        <v>7.8937499999999997E-3</v>
      </c>
      <c r="G298" s="7">
        <f t="shared" si="21"/>
        <v>0.38679374999999999</v>
      </c>
    </row>
    <row r="299" spans="1:7" x14ac:dyDescent="0.35">
      <c r="A299" s="5" t="s">
        <v>28</v>
      </c>
      <c r="B299" s="5" t="s">
        <v>100</v>
      </c>
      <c r="C299" s="7">
        <v>0.59</v>
      </c>
      <c r="D299" s="7">
        <f t="shared" si="18"/>
        <v>0.58262499999999995</v>
      </c>
      <c r="E299" s="7">
        <f t="shared" si="19"/>
        <v>0.55762499999999993</v>
      </c>
      <c r="F299" s="7">
        <f t="shared" si="20"/>
        <v>1.1152499999999999E-2</v>
      </c>
      <c r="G299" s="7">
        <f t="shared" si="21"/>
        <v>0.54647249999999992</v>
      </c>
    </row>
    <row r="300" spans="1:7" ht="36" x14ac:dyDescent="0.35">
      <c r="A300" s="41" t="s">
        <v>1243</v>
      </c>
      <c r="B300" s="5" t="s">
        <v>1240</v>
      </c>
      <c r="C300" s="6">
        <v>0.4</v>
      </c>
      <c r="D300" s="7">
        <f t="shared" si="18"/>
        <v>0.39500000000000002</v>
      </c>
      <c r="E300" s="7">
        <f t="shared" si="19"/>
        <v>0.37</v>
      </c>
      <c r="F300" s="7">
        <f t="shared" si="20"/>
        <v>7.4000000000000003E-3</v>
      </c>
      <c r="G300" s="7">
        <f t="shared" si="21"/>
        <v>0.36259999999999998</v>
      </c>
    </row>
    <row r="301" spans="1:7" ht="24" x14ac:dyDescent="0.35">
      <c r="A301" s="42"/>
      <c r="B301" s="5" t="s">
        <v>1239</v>
      </c>
      <c r="C301" s="6">
        <v>0.35</v>
      </c>
      <c r="D301" s="7">
        <f t="shared" si="18"/>
        <v>0.34562499999999996</v>
      </c>
      <c r="E301" s="7">
        <f t="shared" si="19"/>
        <v>0.32062499999999994</v>
      </c>
      <c r="F301" s="7">
        <f t="shared" si="20"/>
        <v>6.4124999999999989E-3</v>
      </c>
      <c r="G301" s="7">
        <f t="shared" si="21"/>
        <v>0.31421249999999995</v>
      </c>
    </row>
    <row r="302" spans="1:7" ht="36" x14ac:dyDescent="0.35">
      <c r="A302" s="42"/>
      <c r="B302" s="5" t="s">
        <v>1241</v>
      </c>
      <c r="C302" s="6">
        <v>0.3</v>
      </c>
      <c r="D302" s="7">
        <f t="shared" si="18"/>
        <v>0.29625000000000001</v>
      </c>
      <c r="E302" s="7">
        <f t="shared" si="19"/>
        <v>0.27124999999999999</v>
      </c>
      <c r="F302" s="7">
        <f t="shared" si="20"/>
        <v>5.4250000000000001E-3</v>
      </c>
      <c r="G302" s="7">
        <f t="shared" si="21"/>
        <v>0.26582499999999998</v>
      </c>
    </row>
    <row r="303" spans="1:7" ht="36" x14ac:dyDescent="0.35">
      <c r="A303" s="43"/>
      <c r="B303" s="5" t="s">
        <v>1242</v>
      </c>
      <c r="C303" s="6">
        <v>0.2</v>
      </c>
      <c r="D303" s="7">
        <f t="shared" si="18"/>
        <v>0.19750000000000001</v>
      </c>
      <c r="E303" s="7">
        <f t="shared" si="19"/>
        <v>0.17250000000000001</v>
      </c>
      <c r="F303" s="7">
        <f t="shared" si="20"/>
        <v>3.4500000000000004E-3</v>
      </c>
      <c r="G303" s="7">
        <f t="shared" si="21"/>
        <v>0.16905000000000001</v>
      </c>
    </row>
    <row r="304" spans="1:7" x14ac:dyDescent="0.35">
      <c r="A304" s="44" t="s">
        <v>184</v>
      </c>
      <c r="B304" s="5" t="s">
        <v>92</v>
      </c>
      <c r="C304" s="6">
        <v>0.38</v>
      </c>
      <c r="D304" s="7">
        <f t="shared" si="18"/>
        <v>0.37525000000000003</v>
      </c>
      <c r="E304" s="7">
        <f t="shared" si="19"/>
        <v>0.35025000000000001</v>
      </c>
      <c r="F304" s="7">
        <f t="shared" si="20"/>
        <v>7.0049999999999999E-3</v>
      </c>
      <c r="G304" s="7">
        <f t="shared" si="21"/>
        <v>0.34324500000000002</v>
      </c>
    </row>
    <row r="305" spans="1:7" x14ac:dyDescent="0.35">
      <c r="A305" s="45"/>
      <c r="B305" s="5" t="s">
        <v>93</v>
      </c>
      <c r="C305" s="6">
        <v>0.43</v>
      </c>
      <c r="D305" s="7">
        <f t="shared" si="18"/>
        <v>0.42462499999999997</v>
      </c>
      <c r="E305" s="7">
        <f t="shared" si="19"/>
        <v>0.39962499999999995</v>
      </c>
      <c r="F305" s="7">
        <f t="shared" si="20"/>
        <v>7.9924999999999996E-3</v>
      </c>
      <c r="G305" s="7">
        <f t="shared" si="21"/>
        <v>0.39163249999999994</v>
      </c>
    </row>
    <row r="306" spans="1:7" x14ac:dyDescent="0.35">
      <c r="A306" s="2" t="s">
        <v>241</v>
      </c>
      <c r="B306" s="2" t="s">
        <v>1</v>
      </c>
      <c r="C306" s="3" t="s">
        <v>2</v>
      </c>
      <c r="D306" s="4" t="s">
        <v>1275</v>
      </c>
      <c r="E306" s="4" t="s">
        <v>1276</v>
      </c>
      <c r="F306" s="4" t="s">
        <v>363</v>
      </c>
      <c r="G306" s="4" t="s">
        <v>364</v>
      </c>
    </row>
    <row r="307" spans="1:7" x14ac:dyDescent="0.35">
      <c r="A307" s="5" t="s">
        <v>632</v>
      </c>
      <c r="B307" s="5" t="s">
        <v>633</v>
      </c>
      <c r="C307" s="7">
        <v>0.23</v>
      </c>
      <c r="D307" s="7">
        <f t="shared" si="18"/>
        <v>0.22712500000000002</v>
      </c>
      <c r="E307" s="7">
        <f t="shared" si="19"/>
        <v>0.20212500000000003</v>
      </c>
      <c r="F307" s="7">
        <f t="shared" si="20"/>
        <v>4.042500000000001E-3</v>
      </c>
      <c r="G307" s="7">
        <f t="shared" si="21"/>
        <v>0.19808250000000002</v>
      </c>
    </row>
    <row r="308" spans="1:7" x14ac:dyDescent="0.35">
      <c r="A308" s="5" t="s">
        <v>634</v>
      </c>
      <c r="B308" s="5" t="s">
        <v>635</v>
      </c>
      <c r="C308" s="7">
        <v>0.3</v>
      </c>
      <c r="D308" s="7">
        <f t="shared" si="18"/>
        <v>0.29625000000000001</v>
      </c>
      <c r="E308" s="7">
        <f t="shared" si="19"/>
        <v>0.27124999999999999</v>
      </c>
      <c r="F308" s="7">
        <f t="shared" si="20"/>
        <v>5.4250000000000001E-3</v>
      </c>
      <c r="G308" s="7">
        <f t="shared" si="21"/>
        <v>0.26582499999999998</v>
      </c>
    </row>
    <row r="309" spans="1:7" x14ac:dyDescent="0.35">
      <c r="A309" s="5" t="s">
        <v>636</v>
      </c>
      <c r="B309" s="5" t="s">
        <v>570</v>
      </c>
      <c r="C309" s="7">
        <v>0.15</v>
      </c>
      <c r="D309" s="7">
        <f t="shared" si="18"/>
        <v>0.14812500000000001</v>
      </c>
      <c r="E309" s="7">
        <f t="shared" si="19"/>
        <v>0.12312500000000001</v>
      </c>
      <c r="F309" s="7">
        <f t="shared" si="20"/>
        <v>2.4625000000000003E-3</v>
      </c>
      <c r="G309" s="7">
        <f t="shared" si="21"/>
        <v>0.12066250000000001</v>
      </c>
    </row>
    <row r="310" spans="1:7" x14ac:dyDescent="0.35">
      <c r="A310" s="5" t="s">
        <v>637</v>
      </c>
      <c r="B310" s="5" t="s">
        <v>572</v>
      </c>
      <c r="C310" s="7">
        <v>0.15</v>
      </c>
      <c r="D310" s="7">
        <f t="shared" si="18"/>
        <v>0.14812500000000001</v>
      </c>
      <c r="E310" s="7">
        <f t="shared" si="19"/>
        <v>0.12312500000000001</v>
      </c>
      <c r="F310" s="7">
        <f t="shared" si="20"/>
        <v>2.4625000000000003E-3</v>
      </c>
      <c r="G310" s="7">
        <f t="shared" si="21"/>
        <v>0.12066250000000001</v>
      </c>
    </row>
    <row r="311" spans="1:7" ht="14.5" customHeight="1" x14ac:dyDescent="0.35">
      <c r="A311" s="41" t="s">
        <v>1494</v>
      </c>
      <c r="B311" s="5" t="s">
        <v>638</v>
      </c>
      <c r="C311" s="6">
        <v>0.24</v>
      </c>
      <c r="D311" s="7">
        <f t="shared" si="18"/>
        <v>0.23699999999999999</v>
      </c>
      <c r="E311" s="7">
        <f t="shared" si="19"/>
        <v>0.21199999999999999</v>
      </c>
      <c r="F311" s="7">
        <f t="shared" si="20"/>
        <v>4.2399999999999998E-3</v>
      </c>
      <c r="G311" s="7">
        <f t="shared" si="21"/>
        <v>0.20776</v>
      </c>
    </row>
    <row r="312" spans="1:7" x14ac:dyDescent="0.35">
      <c r="A312" s="42"/>
      <c r="B312" s="5" t="s">
        <v>639</v>
      </c>
      <c r="C312" s="6">
        <v>0.3</v>
      </c>
      <c r="D312" s="7">
        <f t="shared" si="18"/>
        <v>0.29625000000000001</v>
      </c>
      <c r="E312" s="7">
        <f t="shared" si="19"/>
        <v>0.27124999999999999</v>
      </c>
      <c r="F312" s="7">
        <f t="shared" si="20"/>
        <v>5.4250000000000001E-3</v>
      </c>
      <c r="G312" s="7">
        <f t="shared" si="21"/>
        <v>0.26582499999999998</v>
      </c>
    </row>
    <row r="313" spans="1:7" x14ac:dyDescent="0.35">
      <c r="A313" s="43"/>
      <c r="B313" s="5" t="s">
        <v>640</v>
      </c>
      <c r="C313" s="6">
        <v>0.35</v>
      </c>
      <c r="D313" s="7">
        <f t="shared" si="18"/>
        <v>0.34562499999999996</v>
      </c>
      <c r="E313" s="7">
        <f t="shared" si="19"/>
        <v>0.32062499999999994</v>
      </c>
      <c r="F313" s="7">
        <f t="shared" si="20"/>
        <v>6.4124999999999989E-3</v>
      </c>
      <c r="G313" s="7">
        <f t="shared" si="21"/>
        <v>0.31421249999999995</v>
      </c>
    </row>
    <row r="314" spans="1:7" x14ac:dyDescent="0.35">
      <c r="A314" s="41" t="s">
        <v>1504</v>
      </c>
      <c r="B314" s="5" t="s">
        <v>1510</v>
      </c>
      <c r="C314" s="6">
        <v>0.14000000000000001</v>
      </c>
      <c r="D314" s="7">
        <f t="shared" ref="D314:D316" si="29">(C314-(C314*1.25%))</f>
        <v>0.13825000000000001</v>
      </c>
      <c r="E314" s="7">
        <f t="shared" ref="E314:E316" si="30">D314-(2.5%)</f>
        <v>0.11325000000000002</v>
      </c>
      <c r="F314" s="7">
        <f t="shared" ref="F314:F316" si="31">E314*(2%)</f>
        <v>2.2650000000000005E-3</v>
      </c>
      <c r="G314" s="7">
        <f t="shared" ref="G314:G316" si="32">E314-F314</f>
        <v>0.11098500000000001</v>
      </c>
    </row>
    <row r="315" spans="1:7" x14ac:dyDescent="0.35">
      <c r="A315" s="42"/>
      <c r="B315" s="5" t="s">
        <v>1511</v>
      </c>
      <c r="C315" s="6">
        <v>0.2</v>
      </c>
      <c r="D315" s="7">
        <f t="shared" si="29"/>
        <v>0.19750000000000001</v>
      </c>
      <c r="E315" s="7">
        <f t="shared" si="30"/>
        <v>0.17250000000000001</v>
      </c>
      <c r="F315" s="7">
        <f t="shared" si="31"/>
        <v>3.4500000000000004E-3</v>
      </c>
      <c r="G315" s="7">
        <f t="shared" si="32"/>
        <v>0.16905000000000001</v>
      </c>
    </row>
    <row r="316" spans="1:7" x14ac:dyDescent="0.35">
      <c r="A316" s="43"/>
      <c r="B316" s="5" t="s">
        <v>1512</v>
      </c>
      <c r="C316" s="6">
        <v>0.25</v>
      </c>
      <c r="D316" s="7">
        <f t="shared" si="29"/>
        <v>0.24687500000000001</v>
      </c>
      <c r="E316" s="7">
        <f t="shared" si="30"/>
        <v>0.22187500000000002</v>
      </c>
      <c r="F316" s="7">
        <f t="shared" si="31"/>
        <v>4.4375000000000005E-3</v>
      </c>
      <c r="G316" s="7">
        <f t="shared" si="32"/>
        <v>0.21743750000000001</v>
      </c>
    </row>
    <row r="317" spans="1:7" x14ac:dyDescent="0.35">
      <c r="A317" s="5" t="s">
        <v>249</v>
      </c>
      <c r="B317" s="5" t="s">
        <v>100</v>
      </c>
      <c r="C317" s="6">
        <v>0.2</v>
      </c>
      <c r="D317" s="7">
        <f t="shared" si="18"/>
        <v>0.19750000000000001</v>
      </c>
      <c r="E317" s="7">
        <f t="shared" si="19"/>
        <v>0.17250000000000001</v>
      </c>
      <c r="F317" s="7">
        <f t="shared" si="20"/>
        <v>3.4500000000000004E-3</v>
      </c>
      <c r="G317" s="7">
        <f t="shared" si="21"/>
        <v>0.16905000000000001</v>
      </c>
    </row>
    <row r="318" spans="1:7" x14ac:dyDescent="0.35">
      <c r="A318" s="5" t="s">
        <v>250</v>
      </c>
      <c r="B318" s="5" t="s">
        <v>100</v>
      </c>
      <c r="C318" s="6">
        <v>0.11</v>
      </c>
      <c r="D318" s="7">
        <f t="shared" si="18"/>
        <v>0.108625</v>
      </c>
      <c r="E318" s="7">
        <f t="shared" si="19"/>
        <v>8.3625000000000005E-2</v>
      </c>
      <c r="F318" s="7">
        <f t="shared" si="20"/>
        <v>1.6725000000000002E-3</v>
      </c>
      <c r="G318" s="7">
        <f t="shared" si="21"/>
        <v>8.1952500000000011E-2</v>
      </c>
    </row>
    <row r="319" spans="1:7" x14ac:dyDescent="0.35">
      <c r="A319" s="5" t="s">
        <v>251</v>
      </c>
      <c r="B319" s="5" t="s">
        <v>100</v>
      </c>
      <c r="C319" s="6">
        <v>0.25</v>
      </c>
      <c r="D319" s="7">
        <f t="shared" si="18"/>
        <v>0.24687500000000001</v>
      </c>
      <c r="E319" s="7">
        <f t="shared" si="19"/>
        <v>0.22187500000000002</v>
      </c>
      <c r="F319" s="7">
        <f t="shared" si="20"/>
        <v>4.4375000000000005E-3</v>
      </c>
      <c r="G319" s="7">
        <f t="shared" si="21"/>
        <v>0.21743750000000001</v>
      </c>
    </row>
    <row r="320" spans="1:7" x14ac:dyDescent="0.35">
      <c r="A320" s="2" t="s">
        <v>252</v>
      </c>
      <c r="B320" s="2" t="s">
        <v>1</v>
      </c>
      <c r="C320" s="3" t="s">
        <v>2</v>
      </c>
      <c r="D320" s="4" t="s">
        <v>1275</v>
      </c>
      <c r="E320" s="4" t="s">
        <v>1276</v>
      </c>
      <c r="F320" s="4" t="s">
        <v>363</v>
      </c>
      <c r="G320" s="4" t="s">
        <v>364</v>
      </c>
    </row>
    <row r="321" spans="1:7" ht="24" x14ac:dyDescent="0.35">
      <c r="A321" s="5" t="s">
        <v>641</v>
      </c>
      <c r="B321" s="5" t="s">
        <v>419</v>
      </c>
      <c r="C321" s="7">
        <v>0.15</v>
      </c>
      <c r="D321" s="7">
        <f t="shared" si="18"/>
        <v>0.14812500000000001</v>
      </c>
      <c r="E321" s="7">
        <f t="shared" si="19"/>
        <v>0.12312500000000001</v>
      </c>
      <c r="F321" s="7">
        <f t="shared" si="20"/>
        <v>2.4625000000000003E-3</v>
      </c>
      <c r="G321" s="7">
        <f t="shared" si="21"/>
        <v>0.12066250000000001</v>
      </c>
    </row>
    <row r="322" spans="1:7" ht="24" x14ac:dyDescent="0.35">
      <c r="A322" s="5" t="s">
        <v>642</v>
      </c>
      <c r="B322" s="5" t="s">
        <v>643</v>
      </c>
      <c r="C322" s="7">
        <v>0.25</v>
      </c>
      <c r="D322" s="7">
        <f t="shared" si="18"/>
        <v>0.24687500000000001</v>
      </c>
      <c r="E322" s="7">
        <f t="shared" si="19"/>
        <v>0.22187500000000002</v>
      </c>
      <c r="F322" s="7">
        <f t="shared" si="20"/>
        <v>4.4375000000000005E-3</v>
      </c>
      <c r="G322" s="7">
        <f t="shared" si="21"/>
        <v>0.21743750000000001</v>
      </c>
    </row>
    <row r="323" spans="1:7" ht="24" x14ac:dyDescent="0.35">
      <c r="A323" s="5" t="s">
        <v>506</v>
      </c>
      <c r="B323" s="5" t="s">
        <v>419</v>
      </c>
      <c r="C323" s="7">
        <v>0.17499999999999999</v>
      </c>
      <c r="D323" s="7">
        <f t="shared" si="18"/>
        <v>0.17281249999999998</v>
      </c>
      <c r="E323" s="7">
        <f t="shared" si="19"/>
        <v>0.14781249999999999</v>
      </c>
      <c r="F323" s="7">
        <f t="shared" si="20"/>
        <v>2.9562499999999997E-3</v>
      </c>
      <c r="G323" s="7">
        <f t="shared" si="21"/>
        <v>0.14485624999999999</v>
      </c>
    </row>
    <row r="324" spans="1:7" x14ac:dyDescent="0.35">
      <c r="A324" s="5" t="s">
        <v>644</v>
      </c>
      <c r="B324" s="5" t="s">
        <v>100</v>
      </c>
      <c r="C324" s="7">
        <v>0.1</v>
      </c>
      <c r="D324" s="7">
        <f t="shared" si="18"/>
        <v>9.8750000000000004E-2</v>
      </c>
      <c r="E324" s="7">
        <f t="shared" si="19"/>
        <v>7.375000000000001E-2</v>
      </c>
      <c r="F324" s="7">
        <f t="shared" si="20"/>
        <v>1.4750000000000002E-3</v>
      </c>
      <c r="G324" s="7">
        <f t="shared" si="21"/>
        <v>7.2275000000000006E-2</v>
      </c>
    </row>
    <row r="325" spans="1:7" x14ac:dyDescent="0.35">
      <c r="A325" s="5" t="s">
        <v>257</v>
      </c>
      <c r="B325" s="5" t="s">
        <v>100</v>
      </c>
      <c r="C325" s="7">
        <v>0.125</v>
      </c>
      <c r="D325" s="7">
        <f t="shared" si="18"/>
        <v>0.12343750000000001</v>
      </c>
      <c r="E325" s="7">
        <f t="shared" si="19"/>
        <v>9.8437500000000011E-2</v>
      </c>
      <c r="F325" s="7">
        <f t="shared" si="20"/>
        <v>1.9687500000000004E-3</v>
      </c>
      <c r="G325" s="7">
        <f t="shared" si="21"/>
        <v>9.6468750000000006E-2</v>
      </c>
    </row>
    <row r="326" spans="1:7" x14ac:dyDescent="0.35">
      <c r="A326" s="11" t="s">
        <v>259</v>
      </c>
      <c r="B326" s="5" t="s">
        <v>100</v>
      </c>
      <c r="C326" s="7">
        <v>0.19500000000000001</v>
      </c>
      <c r="D326" s="7">
        <f t="shared" si="18"/>
        <v>0.1925625</v>
      </c>
      <c r="E326" s="7">
        <f t="shared" si="19"/>
        <v>0.1675625</v>
      </c>
      <c r="F326" s="7">
        <f t="shared" si="20"/>
        <v>3.3512500000000001E-3</v>
      </c>
      <c r="G326" s="7">
        <f t="shared" si="21"/>
        <v>0.16421125</v>
      </c>
    </row>
    <row r="327" spans="1:7" ht="24" x14ac:dyDescent="0.35">
      <c r="A327" s="11" t="s">
        <v>515</v>
      </c>
      <c r="B327" s="5" t="s">
        <v>645</v>
      </c>
      <c r="C327" s="7">
        <v>0.28000000000000003</v>
      </c>
      <c r="D327" s="7">
        <f t="shared" si="18"/>
        <v>0.27650000000000002</v>
      </c>
      <c r="E327" s="7">
        <f t="shared" si="19"/>
        <v>0.2515</v>
      </c>
      <c r="F327" s="7">
        <f t="shared" si="20"/>
        <v>5.0299999999999997E-3</v>
      </c>
      <c r="G327" s="7">
        <f t="shared" si="21"/>
        <v>0.24646999999999999</v>
      </c>
    </row>
    <row r="328" spans="1:7" x14ac:dyDescent="0.35">
      <c r="A328" s="44" t="s">
        <v>646</v>
      </c>
      <c r="B328" s="5" t="s">
        <v>647</v>
      </c>
      <c r="C328" s="7">
        <v>0.12</v>
      </c>
      <c r="D328" s="7">
        <f t="shared" si="18"/>
        <v>0.11849999999999999</v>
      </c>
      <c r="E328" s="7">
        <f t="shared" si="19"/>
        <v>9.35E-2</v>
      </c>
      <c r="F328" s="7">
        <f t="shared" si="20"/>
        <v>1.8700000000000001E-3</v>
      </c>
      <c r="G328" s="7">
        <f t="shared" si="21"/>
        <v>9.1630000000000003E-2</v>
      </c>
    </row>
    <row r="329" spans="1:7" x14ac:dyDescent="0.35">
      <c r="A329" s="47"/>
      <c r="B329" s="5" t="s">
        <v>648</v>
      </c>
      <c r="C329" s="7">
        <v>0.11</v>
      </c>
      <c r="D329" s="7">
        <f t="shared" si="18"/>
        <v>0.108625</v>
      </c>
      <c r="E329" s="7">
        <f t="shared" si="19"/>
        <v>8.3625000000000005E-2</v>
      </c>
      <c r="F329" s="7">
        <f t="shared" si="20"/>
        <v>1.6725000000000002E-3</v>
      </c>
      <c r="G329" s="7">
        <f t="shared" si="21"/>
        <v>8.1952500000000011E-2</v>
      </c>
    </row>
    <row r="330" spans="1:7" x14ac:dyDescent="0.35">
      <c r="A330" s="47"/>
      <c r="B330" s="5" t="s">
        <v>556</v>
      </c>
      <c r="C330" s="7">
        <v>0.09</v>
      </c>
      <c r="D330" s="7">
        <f t="shared" si="18"/>
        <v>8.8874999999999996E-2</v>
      </c>
      <c r="E330" s="7">
        <f t="shared" si="19"/>
        <v>6.3874999999999987E-2</v>
      </c>
      <c r="F330" s="7">
        <f t="shared" si="20"/>
        <v>1.2774999999999998E-3</v>
      </c>
      <c r="G330" s="7">
        <f t="shared" si="21"/>
        <v>6.2597499999999986E-2</v>
      </c>
    </row>
    <row r="331" spans="1:7" x14ac:dyDescent="0.35">
      <c r="A331" s="47"/>
      <c r="B331" s="5" t="s">
        <v>557</v>
      </c>
      <c r="C331" s="7">
        <v>0.09</v>
      </c>
      <c r="D331" s="7">
        <f t="shared" si="18"/>
        <v>8.8874999999999996E-2</v>
      </c>
      <c r="E331" s="7">
        <f t="shared" si="19"/>
        <v>6.3874999999999987E-2</v>
      </c>
      <c r="F331" s="7">
        <f t="shared" si="20"/>
        <v>1.2774999999999998E-3</v>
      </c>
      <c r="G331" s="7">
        <f t="shared" si="21"/>
        <v>6.2597499999999986E-2</v>
      </c>
    </row>
    <row r="332" spans="1:7" x14ac:dyDescent="0.35">
      <c r="A332" s="47"/>
      <c r="B332" s="5" t="s">
        <v>560</v>
      </c>
      <c r="C332" s="7">
        <v>0.09</v>
      </c>
      <c r="D332" s="7">
        <f t="shared" ref="D332:D387" si="33">(C332-(C332*1.25%))</f>
        <v>8.8874999999999996E-2</v>
      </c>
      <c r="E332" s="7">
        <f t="shared" ref="E332:E387" si="34">D332-(2.5%)</f>
        <v>6.3874999999999987E-2</v>
      </c>
      <c r="F332" s="7">
        <f t="shared" ref="F332:F387" si="35">E332*(2%)</f>
        <v>1.2774999999999998E-3</v>
      </c>
      <c r="G332" s="7">
        <f t="shared" ref="G332:G387" si="36">E332-F332</f>
        <v>6.2597499999999986E-2</v>
      </c>
    </row>
    <row r="333" spans="1:7" x14ac:dyDescent="0.35">
      <c r="A333" s="45"/>
      <c r="B333" s="5" t="s">
        <v>561</v>
      </c>
      <c r="C333" s="7">
        <v>0.09</v>
      </c>
      <c r="D333" s="7">
        <f t="shared" si="33"/>
        <v>8.8874999999999996E-2</v>
      </c>
      <c r="E333" s="7">
        <f t="shared" si="34"/>
        <v>6.3874999999999987E-2</v>
      </c>
      <c r="F333" s="7">
        <f t="shared" si="35"/>
        <v>1.2774999999999998E-3</v>
      </c>
      <c r="G333" s="7">
        <f t="shared" si="36"/>
        <v>6.2597499999999986E-2</v>
      </c>
    </row>
    <row r="334" spans="1:7" x14ac:dyDescent="0.35">
      <c r="A334" s="44" t="s">
        <v>649</v>
      </c>
      <c r="B334" s="5" t="s">
        <v>647</v>
      </c>
      <c r="C334" s="7">
        <v>0.1</v>
      </c>
      <c r="D334" s="7">
        <f t="shared" si="33"/>
        <v>9.8750000000000004E-2</v>
      </c>
      <c r="E334" s="7">
        <f t="shared" si="34"/>
        <v>7.375000000000001E-2</v>
      </c>
      <c r="F334" s="7">
        <f t="shared" si="35"/>
        <v>1.4750000000000002E-3</v>
      </c>
      <c r="G334" s="7">
        <f t="shared" si="36"/>
        <v>7.2275000000000006E-2</v>
      </c>
    </row>
    <row r="335" spans="1:7" x14ac:dyDescent="0.35">
      <c r="A335" s="47"/>
      <c r="B335" s="5" t="s">
        <v>648</v>
      </c>
      <c r="C335" s="7">
        <v>7.0000000000000007E-2</v>
      </c>
      <c r="D335" s="7">
        <f t="shared" si="33"/>
        <v>6.9125000000000006E-2</v>
      </c>
      <c r="E335" s="7">
        <f t="shared" si="34"/>
        <v>4.4125000000000004E-2</v>
      </c>
      <c r="F335" s="7">
        <f t="shared" si="35"/>
        <v>8.8250000000000015E-4</v>
      </c>
      <c r="G335" s="7">
        <f t="shared" si="36"/>
        <v>4.3242500000000003E-2</v>
      </c>
    </row>
    <row r="336" spans="1:7" x14ac:dyDescent="0.35">
      <c r="A336" s="47"/>
      <c r="B336" s="5" t="s">
        <v>556</v>
      </c>
      <c r="C336" s="7">
        <v>7.0000000000000007E-2</v>
      </c>
      <c r="D336" s="7">
        <f t="shared" si="33"/>
        <v>6.9125000000000006E-2</v>
      </c>
      <c r="E336" s="7">
        <f t="shared" si="34"/>
        <v>4.4125000000000004E-2</v>
      </c>
      <c r="F336" s="7">
        <f t="shared" si="35"/>
        <v>8.8250000000000015E-4</v>
      </c>
      <c r="G336" s="7">
        <f t="shared" si="36"/>
        <v>4.3242500000000003E-2</v>
      </c>
    </row>
    <row r="337" spans="1:7" x14ac:dyDescent="0.35">
      <c r="A337" s="47"/>
      <c r="B337" s="5" t="s">
        <v>557</v>
      </c>
      <c r="C337" s="7">
        <v>7.0000000000000007E-2</v>
      </c>
      <c r="D337" s="7">
        <f t="shared" si="33"/>
        <v>6.9125000000000006E-2</v>
      </c>
      <c r="E337" s="7">
        <f t="shared" si="34"/>
        <v>4.4125000000000004E-2</v>
      </c>
      <c r="F337" s="7">
        <f t="shared" si="35"/>
        <v>8.8250000000000015E-4</v>
      </c>
      <c r="G337" s="7">
        <f t="shared" si="36"/>
        <v>4.3242500000000003E-2</v>
      </c>
    </row>
    <row r="338" spans="1:7" x14ac:dyDescent="0.35">
      <c r="A338" s="47"/>
      <c r="B338" s="5" t="s">
        <v>560</v>
      </c>
      <c r="C338" s="7">
        <v>0.09</v>
      </c>
      <c r="D338" s="7">
        <f t="shared" si="33"/>
        <v>8.8874999999999996E-2</v>
      </c>
      <c r="E338" s="7">
        <f t="shared" si="34"/>
        <v>6.3874999999999987E-2</v>
      </c>
      <c r="F338" s="7">
        <f t="shared" si="35"/>
        <v>1.2774999999999998E-3</v>
      </c>
      <c r="G338" s="7">
        <f t="shared" si="36"/>
        <v>6.2597499999999986E-2</v>
      </c>
    </row>
    <row r="339" spans="1:7" x14ac:dyDescent="0.35">
      <c r="A339" s="45"/>
      <c r="B339" s="5" t="s">
        <v>561</v>
      </c>
      <c r="C339" s="7">
        <v>0.09</v>
      </c>
      <c r="D339" s="7">
        <f t="shared" si="33"/>
        <v>8.8874999999999996E-2</v>
      </c>
      <c r="E339" s="7">
        <f t="shared" si="34"/>
        <v>6.3874999999999987E-2</v>
      </c>
      <c r="F339" s="7">
        <f t="shared" si="35"/>
        <v>1.2774999999999998E-3</v>
      </c>
      <c r="G339" s="7">
        <f t="shared" si="36"/>
        <v>6.2597499999999986E-2</v>
      </c>
    </row>
    <row r="340" spans="1:7" ht="36" x14ac:dyDescent="0.35">
      <c r="A340" s="41" t="s">
        <v>650</v>
      </c>
      <c r="B340" s="5" t="s">
        <v>563</v>
      </c>
      <c r="C340" s="7">
        <v>0.1</v>
      </c>
      <c r="D340" s="7">
        <f t="shared" si="33"/>
        <v>9.8750000000000004E-2</v>
      </c>
      <c r="E340" s="7">
        <f t="shared" si="34"/>
        <v>7.375000000000001E-2</v>
      </c>
      <c r="F340" s="7">
        <f t="shared" si="35"/>
        <v>1.4750000000000002E-3</v>
      </c>
      <c r="G340" s="7">
        <f t="shared" si="36"/>
        <v>7.2275000000000006E-2</v>
      </c>
    </row>
    <row r="341" spans="1:7" ht="48" x14ac:dyDescent="0.35">
      <c r="A341" s="42"/>
      <c r="B341" s="5" t="s">
        <v>564</v>
      </c>
      <c r="C341" s="7">
        <v>0.125</v>
      </c>
      <c r="D341" s="7">
        <f t="shared" si="33"/>
        <v>0.12343750000000001</v>
      </c>
      <c r="E341" s="7">
        <f t="shared" si="34"/>
        <v>9.8437500000000011E-2</v>
      </c>
      <c r="F341" s="7">
        <f t="shared" si="35"/>
        <v>1.9687500000000004E-3</v>
      </c>
      <c r="G341" s="7">
        <f t="shared" si="36"/>
        <v>9.6468750000000006E-2</v>
      </c>
    </row>
    <row r="342" spans="1:7" x14ac:dyDescent="0.35">
      <c r="A342" s="42"/>
      <c r="B342" s="5" t="s">
        <v>565</v>
      </c>
      <c r="C342" s="7">
        <v>0.155</v>
      </c>
      <c r="D342" s="7">
        <f t="shared" si="33"/>
        <v>0.15306249999999999</v>
      </c>
      <c r="E342" s="7">
        <f t="shared" si="34"/>
        <v>0.1280625</v>
      </c>
      <c r="F342" s="7">
        <f t="shared" si="35"/>
        <v>2.5612500000000002E-3</v>
      </c>
      <c r="G342" s="7">
        <f t="shared" si="36"/>
        <v>0.12550125000000001</v>
      </c>
    </row>
    <row r="343" spans="1:7" ht="36" x14ac:dyDescent="0.35">
      <c r="A343" s="43"/>
      <c r="B343" s="5" t="s">
        <v>566</v>
      </c>
      <c r="C343" s="7">
        <v>0.19500000000000001</v>
      </c>
      <c r="D343" s="7">
        <f t="shared" si="33"/>
        <v>0.1925625</v>
      </c>
      <c r="E343" s="7">
        <f t="shared" si="34"/>
        <v>0.1675625</v>
      </c>
      <c r="F343" s="7">
        <f t="shared" si="35"/>
        <v>3.3512500000000001E-3</v>
      </c>
      <c r="G343" s="7">
        <f t="shared" si="36"/>
        <v>0.16421125</v>
      </c>
    </row>
    <row r="344" spans="1:7" ht="36" x14ac:dyDescent="0.35">
      <c r="A344" s="41" t="s">
        <v>651</v>
      </c>
      <c r="B344" s="5" t="s">
        <v>563</v>
      </c>
      <c r="C344" s="7">
        <v>0</v>
      </c>
      <c r="D344" s="7" t="s">
        <v>20</v>
      </c>
      <c r="E344" s="7" t="s">
        <v>20</v>
      </c>
      <c r="F344" s="7" t="s">
        <v>20</v>
      </c>
      <c r="G344" s="7" t="s">
        <v>20</v>
      </c>
    </row>
    <row r="345" spans="1:7" ht="48" x14ac:dyDescent="0.35">
      <c r="A345" s="42"/>
      <c r="B345" s="5" t="s">
        <v>564</v>
      </c>
      <c r="C345" s="7">
        <v>0</v>
      </c>
      <c r="D345" s="7" t="s">
        <v>20</v>
      </c>
      <c r="E345" s="7" t="s">
        <v>20</v>
      </c>
      <c r="F345" s="7" t="s">
        <v>20</v>
      </c>
      <c r="G345" s="7" t="s">
        <v>20</v>
      </c>
    </row>
    <row r="346" spans="1:7" x14ac:dyDescent="0.35">
      <c r="A346" s="42"/>
      <c r="B346" s="5" t="s">
        <v>565</v>
      </c>
      <c r="C346" s="7">
        <v>0.17499999999999999</v>
      </c>
      <c r="D346" s="7">
        <f t="shared" si="33"/>
        <v>0.17281249999999998</v>
      </c>
      <c r="E346" s="7">
        <f t="shared" si="34"/>
        <v>0.14781249999999999</v>
      </c>
      <c r="F346" s="7">
        <f t="shared" si="35"/>
        <v>2.9562499999999997E-3</v>
      </c>
      <c r="G346" s="7">
        <f t="shared" si="36"/>
        <v>0.14485624999999999</v>
      </c>
    </row>
    <row r="347" spans="1:7" ht="36" x14ac:dyDescent="0.35">
      <c r="A347" s="43"/>
      <c r="B347" s="5" t="s">
        <v>566</v>
      </c>
      <c r="C347" s="7">
        <v>0.1</v>
      </c>
      <c r="D347" s="7">
        <f t="shared" si="33"/>
        <v>9.8750000000000004E-2</v>
      </c>
      <c r="E347" s="7">
        <f t="shared" si="34"/>
        <v>7.375000000000001E-2</v>
      </c>
      <c r="F347" s="7">
        <f t="shared" si="35"/>
        <v>1.4750000000000002E-3</v>
      </c>
      <c r="G347" s="7">
        <f t="shared" si="36"/>
        <v>7.2275000000000006E-2</v>
      </c>
    </row>
    <row r="348" spans="1:7" ht="36" x14ac:dyDescent="0.35">
      <c r="A348" s="41" t="s">
        <v>519</v>
      </c>
      <c r="B348" s="5" t="s">
        <v>563</v>
      </c>
      <c r="C348" s="7">
        <v>0.155</v>
      </c>
      <c r="D348" s="7">
        <f t="shared" si="33"/>
        <v>0.15306249999999999</v>
      </c>
      <c r="E348" s="7">
        <f t="shared" si="34"/>
        <v>0.1280625</v>
      </c>
      <c r="F348" s="7">
        <f t="shared" si="35"/>
        <v>2.5612500000000002E-3</v>
      </c>
      <c r="G348" s="7">
        <f t="shared" si="36"/>
        <v>0.12550125000000001</v>
      </c>
    </row>
    <row r="349" spans="1:7" ht="48" x14ac:dyDescent="0.35">
      <c r="A349" s="42"/>
      <c r="B349" s="5" t="s">
        <v>564</v>
      </c>
      <c r="C349" s="7">
        <v>0</v>
      </c>
      <c r="D349" s="7" t="s">
        <v>20</v>
      </c>
      <c r="E349" s="7" t="s">
        <v>20</v>
      </c>
      <c r="F349" s="7" t="s">
        <v>20</v>
      </c>
      <c r="G349" s="7" t="s">
        <v>20</v>
      </c>
    </row>
    <row r="350" spans="1:7" x14ac:dyDescent="0.35">
      <c r="A350" s="42"/>
      <c r="B350" s="5" t="s">
        <v>565</v>
      </c>
      <c r="C350" s="7">
        <v>0</v>
      </c>
      <c r="D350" s="7" t="s">
        <v>20</v>
      </c>
      <c r="E350" s="7" t="s">
        <v>20</v>
      </c>
      <c r="F350" s="7" t="s">
        <v>20</v>
      </c>
      <c r="G350" s="7" t="s">
        <v>20</v>
      </c>
    </row>
    <row r="351" spans="1:7" ht="36" x14ac:dyDescent="0.35">
      <c r="A351" s="43"/>
      <c r="B351" s="5" t="s">
        <v>566</v>
      </c>
      <c r="C351" s="7">
        <v>0.1</v>
      </c>
      <c r="D351" s="7">
        <f t="shared" si="33"/>
        <v>9.8750000000000004E-2</v>
      </c>
      <c r="E351" s="7">
        <f t="shared" si="34"/>
        <v>7.375000000000001E-2</v>
      </c>
      <c r="F351" s="7">
        <f t="shared" si="35"/>
        <v>1.4750000000000002E-3</v>
      </c>
      <c r="G351" s="7">
        <f t="shared" si="36"/>
        <v>7.2275000000000006E-2</v>
      </c>
    </row>
    <row r="352" spans="1:7" x14ac:dyDescent="0.35">
      <c r="A352" s="5" t="s">
        <v>1159</v>
      </c>
      <c r="B352" s="5" t="s">
        <v>100</v>
      </c>
      <c r="C352" s="7">
        <v>0.125</v>
      </c>
      <c r="D352" s="7">
        <f t="shared" si="33"/>
        <v>0.12343750000000001</v>
      </c>
      <c r="E352" s="7">
        <f t="shared" si="34"/>
        <v>9.8437500000000011E-2</v>
      </c>
      <c r="F352" s="7">
        <f t="shared" si="35"/>
        <v>1.9687500000000004E-3</v>
      </c>
      <c r="G352" s="7">
        <f t="shared" si="36"/>
        <v>9.6468750000000006E-2</v>
      </c>
    </row>
    <row r="353" spans="1:7" x14ac:dyDescent="0.35">
      <c r="A353" s="5" t="s">
        <v>1160</v>
      </c>
      <c r="B353" s="5" t="s">
        <v>100</v>
      </c>
      <c r="C353" s="7">
        <v>0.05</v>
      </c>
      <c r="D353" s="7">
        <f t="shared" si="33"/>
        <v>4.9375000000000002E-2</v>
      </c>
      <c r="E353" s="7">
        <f t="shared" si="34"/>
        <v>2.4375000000000001E-2</v>
      </c>
      <c r="F353" s="7">
        <f t="shared" si="35"/>
        <v>4.8750000000000003E-4</v>
      </c>
      <c r="G353" s="7">
        <f t="shared" si="36"/>
        <v>2.3887500000000002E-2</v>
      </c>
    </row>
    <row r="354" spans="1:7" x14ac:dyDescent="0.35">
      <c r="A354" s="5" t="s">
        <v>334</v>
      </c>
      <c r="B354" s="5" t="s">
        <v>100</v>
      </c>
      <c r="C354" s="7">
        <v>0.25</v>
      </c>
      <c r="D354" s="7">
        <f t="shared" si="33"/>
        <v>0.24687500000000001</v>
      </c>
      <c r="E354" s="7">
        <f t="shared" si="34"/>
        <v>0.22187500000000002</v>
      </c>
      <c r="F354" s="7">
        <f t="shared" si="35"/>
        <v>4.4375000000000005E-3</v>
      </c>
      <c r="G354" s="7">
        <f t="shared" si="36"/>
        <v>0.21743750000000001</v>
      </c>
    </row>
    <row r="355" spans="1:7" x14ac:dyDescent="0.35">
      <c r="A355" s="5" t="s">
        <v>1297</v>
      </c>
      <c r="B355" s="5" t="s">
        <v>100</v>
      </c>
      <c r="C355" s="6">
        <v>0.25</v>
      </c>
      <c r="D355" s="7">
        <f t="shared" ref="D355:D356" si="37">(C355-(C355*1.25%))</f>
        <v>0.24687500000000001</v>
      </c>
      <c r="E355" s="7">
        <f t="shared" ref="E355:E356" si="38">D355-(2.5%)</f>
        <v>0.22187500000000002</v>
      </c>
      <c r="F355" s="7">
        <f t="shared" ref="F355:F356" si="39">E355*(2%)</f>
        <v>4.4375000000000005E-3</v>
      </c>
      <c r="G355" s="7">
        <f t="shared" ref="G355:G356" si="40">E355-F355</f>
        <v>0.21743750000000001</v>
      </c>
    </row>
    <row r="356" spans="1:7" x14ac:dyDescent="0.35">
      <c r="A356" s="5" t="s">
        <v>1298</v>
      </c>
      <c r="B356" s="5" t="s">
        <v>100</v>
      </c>
      <c r="C356" s="6">
        <v>0.245</v>
      </c>
      <c r="D356" s="7">
        <f t="shared" si="37"/>
        <v>0.2419375</v>
      </c>
      <c r="E356" s="7">
        <f t="shared" si="38"/>
        <v>0.21693750000000001</v>
      </c>
      <c r="F356" s="7">
        <f t="shared" si="39"/>
        <v>4.3387500000000006E-3</v>
      </c>
      <c r="G356" s="7">
        <f t="shared" si="40"/>
        <v>0.21259875</v>
      </c>
    </row>
    <row r="357" spans="1:7" x14ac:dyDescent="0.35">
      <c r="A357" s="14" t="s">
        <v>282</v>
      </c>
      <c r="B357" s="5" t="s">
        <v>100</v>
      </c>
      <c r="C357" s="6">
        <v>0.3</v>
      </c>
      <c r="D357" s="7">
        <f t="shared" si="33"/>
        <v>0.29625000000000001</v>
      </c>
      <c r="E357" s="7">
        <f t="shared" si="34"/>
        <v>0.27124999999999999</v>
      </c>
      <c r="F357" s="7">
        <f t="shared" si="35"/>
        <v>5.4250000000000001E-3</v>
      </c>
      <c r="G357" s="7">
        <f t="shared" si="36"/>
        <v>0.26582499999999998</v>
      </c>
    </row>
    <row r="358" spans="1:7" x14ac:dyDescent="0.35">
      <c r="A358" s="14" t="s">
        <v>283</v>
      </c>
      <c r="B358" s="5" t="s">
        <v>100</v>
      </c>
      <c r="C358" s="6">
        <v>0.27</v>
      </c>
      <c r="D358" s="7">
        <f t="shared" si="33"/>
        <v>0.266625</v>
      </c>
      <c r="E358" s="7">
        <f t="shared" si="34"/>
        <v>0.24162500000000001</v>
      </c>
      <c r="F358" s="7">
        <f t="shared" si="35"/>
        <v>4.8325E-3</v>
      </c>
      <c r="G358" s="7">
        <f t="shared" si="36"/>
        <v>0.23679250000000002</v>
      </c>
    </row>
    <row r="359" spans="1:7" x14ac:dyDescent="0.35">
      <c r="A359" s="14" t="s">
        <v>284</v>
      </c>
      <c r="B359" s="5" t="s">
        <v>100</v>
      </c>
      <c r="C359" s="6">
        <v>0.22</v>
      </c>
      <c r="D359" s="7">
        <f t="shared" si="33"/>
        <v>0.21725</v>
      </c>
      <c r="E359" s="7">
        <f t="shared" si="34"/>
        <v>0.19225</v>
      </c>
      <c r="F359" s="7">
        <f t="shared" si="35"/>
        <v>3.8450000000000003E-3</v>
      </c>
      <c r="G359" s="7">
        <f t="shared" si="36"/>
        <v>0.18840500000000002</v>
      </c>
    </row>
    <row r="360" spans="1:7" x14ac:dyDescent="0.35">
      <c r="A360" s="14" t="s">
        <v>285</v>
      </c>
      <c r="B360" s="5" t="s">
        <v>100</v>
      </c>
      <c r="C360" s="6">
        <v>0.19500000000000001</v>
      </c>
      <c r="D360" s="7">
        <f t="shared" si="33"/>
        <v>0.1925625</v>
      </c>
      <c r="E360" s="7">
        <f t="shared" si="34"/>
        <v>0.1675625</v>
      </c>
      <c r="F360" s="7">
        <f t="shared" si="35"/>
        <v>3.3512500000000001E-3</v>
      </c>
      <c r="G360" s="7">
        <f t="shared" si="36"/>
        <v>0.16421125</v>
      </c>
    </row>
    <row r="361" spans="1:7" x14ac:dyDescent="0.35">
      <c r="A361" s="5" t="s">
        <v>286</v>
      </c>
      <c r="B361" s="5" t="s">
        <v>100</v>
      </c>
      <c r="C361" s="6">
        <v>0.15</v>
      </c>
      <c r="D361" s="7">
        <f t="shared" si="33"/>
        <v>0.14812500000000001</v>
      </c>
      <c r="E361" s="7">
        <f t="shared" si="34"/>
        <v>0.12312500000000001</v>
      </c>
      <c r="F361" s="7">
        <f t="shared" si="35"/>
        <v>2.4625000000000003E-3</v>
      </c>
      <c r="G361" s="7">
        <f t="shared" si="36"/>
        <v>0.12066250000000001</v>
      </c>
    </row>
    <row r="362" spans="1:7" x14ac:dyDescent="0.35">
      <c r="A362" s="5" t="s">
        <v>300</v>
      </c>
      <c r="B362" s="5" t="s">
        <v>652</v>
      </c>
      <c r="C362" s="7">
        <v>0.22500000000000001</v>
      </c>
      <c r="D362" s="7">
        <f t="shared" si="33"/>
        <v>0.22218750000000001</v>
      </c>
      <c r="E362" s="7">
        <f t="shared" si="34"/>
        <v>0.19718750000000002</v>
      </c>
      <c r="F362" s="7">
        <f t="shared" si="35"/>
        <v>3.9437500000000002E-3</v>
      </c>
      <c r="G362" s="7">
        <f t="shared" si="36"/>
        <v>0.19324375000000002</v>
      </c>
    </row>
    <row r="363" spans="1:7" x14ac:dyDescent="0.35">
      <c r="A363" s="5" t="s">
        <v>302</v>
      </c>
      <c r="B363" s="5" t="s">
        <v>652</v>
      </c>
      <c r="C363" s="7">
        <v>0.19500000000000001</v>
      </c>
      <c r="D363" s="7">
        <f t="shared" si="33"/>
        <v>0.1925625</v>
      </c>
      <c r="E363" s="7">
        <f t="shared" si="34"/>
        <v>0.1675625</v>
      </c>
      <c r="F363" s="7">
        <f t="shared" si="35"/>
        <v>3.3512500000000001E-3</v>
      </c>
      <c r="G363" s="7">
        <f t="shared" si="36"/>
        <v>0.16421125</v>
      </c>
    </row>
    <row r="364" spans="1:7" x14ac:dyDescent="0.35">
      <c r="A364" s="5" t="s">
        <v>303</v>
      </c>
      <c r="B364" s="5" t="s">
        <v>652</v>
      </c>
      <c r="C364" s="7">
        <v>0.19500000000000001</v>
      </c>
      <c r="D364" s="7">
        <f t="shared" si="33"/>
        <v>0.1925625</v>
      </c>
      <c r="E364" s="7">
        <f t="shared" si="34"/>
        <v>0.1675625</v>
      </c>
      <c r="F364" s="7">
        <f t="shared" si="35"/>
        <v>3.3512500000000001E-3</v>
      </c>
      <c r="G364" s="7">
        <f t="shared" si="36"/>
        <v>0.16421125</v>
      </c>
    </row>
    <row r="365" spans="1:7" x14ac:dyDescent="0.35">
      <c r="A365" s="5" t="s">
        <v>309</v>
      </c>
      <c r="B365" s="5"/>
      <c r="C365" s="7">
        <v>0.35</v>
      </c>
      <c r="D365" s="7">
        <f t="shared" si="33"/>
        <v>0.34562499999999996</v>
      </c>
      <c r="E365" s="7">
        <f t="shared" si="34"/>
        <v>0.32062499999999994</v>
      </c>
      <c r="F365" s="7">
        <f t="shared" si="35"/>
        <v>6.4124999999999989E-3</v>
      </c>
      <c r="G365" s="7">
        <f t="shared" si="36"/>
        <v>0.31421249999999995</v>
      </c>
    </row>
    <row r="366" spans="1:7" x14ac:dyDescent="0.35">
      <c r="A366" s="5" t="s">
        <v>312</v>
      </c>
      <c r="B366" s="5"/>
      <c r="C366" s="7">
        <v>0.3</v>
      </c>
      <c r="D366" s="7">
        <f t="shared" si="33"/>
        <v>0.29625000000000001</v>
      </c>
      <c r="E366" s="7">
        <f t="shared" si="34"/>
        <v>0.27124999999999999</v>
      </c>
      <c r="F366" s="7">
        <f t="shared" si="35"/>
        <v>5.4250000000000001E-3</v>
      </c>
      <c r="G366" s="7">
        <f t="shared" si="36"/>
        <v>0.26582499999999998</v>
      </c>
    </row>
    <row r="367" spans="1:7" x14ac:dyDescent="0.35">
      <c r="A367" s="5" t="s">
        <v>1457</v>
      </c>
      <c r="B367" s="5" t="s">
        <v>100</v>
      </c>
      <c r="C367" s="7">
        <v>0.24</v>
      </c>
      <c r="D367" s="7">
        <f t="shared" ref="D367:D368" si="41">(C367-(C367*1.25%))</f>
        <v>0.23699999999999999</v>
      </c>
      <c r="E367" s="7">
        <f t="shared" ref="E367:E368" si="42">D367-(2.5%)</f>
        <v>0.21199999999999999</v>
      </c>
      <c r="F367" s="7">
        <f t="shared" ref="F367:F368" si="43">E367*(2%)</f>
        <v>4.2399999999999998E-3</v>
      </c>
      <c r="G367" s="7">
        <f t="shared" ref="G367:G368" si="44">E367-F367</f>
        <v>0.20776</v>
      </c>
    </row>
    <row r="368" spans="1:7" x14ac:dyDescent="0.35">
      <c r="A368" s="5" t="s">
        <v>1505</v>
      </c>
      <c r="B368" s="5" t="s">
        <v>100</v>
      </c>
      <c r="C368" s="7">
        <v>0.21</v>
      </c>
      <c r="D368" s="7">
        <f t="shared" si="41"/>
        <v>0.207375</v>
      </c>
      <c r="E368" s="7">
        <f t="shared" si="42"/>
        <v>0.18237500000000001</v>
      </c>
      <c r="F368" s="7">
        <f t="shared" si="43"/>
        <v>3.6475000000000001E-3</v>
      </c>
      <c r="G368" s="7">
        <f t="shared" si="44"/>
        <v>0.17872750000000001</v>
      </c>
    </row>
    <row r="369" spans="1:7" x14ac:dyDescent="0.35">
      <c r="A369" s="2" t="s">
        <v>318</v>
      </c>
      <c r="B369" s="2" t="s">
        <v>1</v>
      </c>
      <c r="C369" s="3" t="s">
        <v>2</v>
      </c>
      <c r="D369" s="4" t="s">
        <v>1275</v>
      </c>
      <c r="E369" s="4" t="s">
        <v>1276</v>
      </c>
      <c r="F369" s="4" t="s">
        <v>363</v>
      </c>
      <c r="G369" s="4" t="s">
        <v>364</v>
      </c>
    </row>
    <row r="370" spans="1:7" x14ac:dyDescent="0.35">
      <c r="A370" s="5" t="s">
        <v>320</v>
      </c>
      <c r="B370" s="5" t="s">
        <v>100</v>
      </c>
      <c r="C370" s="7">
        <v>0.5</v>
      </c>
      <c r="D370" s="7">
        <f t="shared" si="33"/>
        <v>0.49375000000000002</v>
      </c>
      <c r="E370" s="7">
        <f t="shared" si="34"/>
        <v>0.46875</v>
      </c>
      <c r="F370" s="7">
        <f t="shared" si="35"/>
        <v>9.3749999999999997E-3</v>
      </c>
      <c r="G370" s="7">
        <f t="shared" si="36"/>
        <v>0.45937499999999998</v>
      </c>
    </row>
    <row r="371" spans="1:7" x14ac:dyDescent="0.35">
      <c r="A371" s="48" t="s">
        <v>653</v>
      </c>
      <c r="B371" s="5" t="s">
        <v>323</v>
      </c>
      <c r="C371" s="7">
        <v>0.05</v>
      </c>
      <c r="D371" s="7">
        <f t="shared" si="33"/>
        <v>4.9375000000000002E-2</v>
      </c>
      <c r="E371" s="7">
        <f t="shared" si="34"/>
        <v>2.4375000000000001E-2</v>
      </c>
      <c r="F371" s="7">
        <f t="shared" si="35"/>
        <v>4.8750000000000003E-4</v>
      </c>
      <c r="G371" s="7">
        <f t="shared" si="36"/>
        <v>2.3887500000000002E-2</v>
      </c>
    </row>
    <row r="372" spans="1:7" x14ac:dyDescent="0.35">
      <c r="A372" s="48"/>
      <c r="B372" s="5" t="s">
        <v>324</v>
      </c>
      <c r="C372" s="7">
        <v>7.4999999999999997E-2</v>
      </c>
      <c r="D372" s="7">
        <f t="shared" si="33"/>
        <v>7.4062500000000003E-2</v>
      </c>
      <c r="E372" s="7">
        <f t="shared" si="34"/>
        <v>4.9062500000000002E-2</v>
      </c>
      <c r="F372" s="7">
        <f t="shared" si="35"/>
        <v>9.8125000000000013E-4</v>
      </c>
      <c r="G372" s="7">
        <f t="shared" si="36"/>
        <v>4.8081249999999999E-2</v>
      </c>
    </row>
    <row r="373" spans="1:7" ht="24" x14ac:dyDescent="0.35">
      <c r="A373" s="5" t="s">
        <v>654</v>
      </c>
      <c r="B373" s="5" t="s">
        <v>655</v>
      </c>
      <c r="C373" s="7">
        <v>0.05</v>
      </c>
      <c r="D373" s="7">
        <f t="shared" si="33"/>
        <v>4.9375000000000002E-2</v>
      </c>
      <c r="E373" s="7">
        <f t="shared" si="34"/>
        <v>2.4375000000000001E-2</v>
      </c>
      <c r="F373" s="7">
        <f t="shared" si="35"/>
        <v>4.8750000000000003E-4</v>
      </c>
      <c r="G373" s="7">
        <f t="shared" si="36"/>
        <v>2.3887500000000002E-2</v>
      </c>
    </row>
    <row r="374" spans="1:7" x14ac:dyDescent="0.35">
      <c r="A374" s="5" t="s">
        <v>656</v>
      </c>
      <c r="B374" s="5" t="s">
        <v>657</v>
      </c>
      <c r="C374" s="7">
        <v>0.33</v>
      </c>
      <c r="D374" s="7">
        <f t="shared" si="33"/>
        <v>0.32587500000000003</v>
      </c>
      <c r="E374" s="7">
        <f t="shared" si="34"/>
        <v>0.300875</v>
      </c>
      <c r="F374" s="7">
        <f t="shared" si="35"/>
        <v>6.0175000000000003E-3</v>
      </c>
      <c r="G374" s="7">
        <f t="shared" si="36"/>
        <v>0.29485749999999999</v>
      </c>
    </row>
    <row r="375" spans="1:7" x14ac:dyDescent="0.35">
      <c r="A375" s="2" t="s">
        <v>340</v>
      </c>
      <c r="B375" s="2" t="s">
        <v>1</v>
      </c>
      <c r="C375" s="3" t="s">
        <v>2</v>
      </c>
      <c r="D375" s="4" t="s">
        <v>1275</v>
      </c>
      <c r="E375" s="4" t="s">
        <v>1276</v>
      </c>
      <c r="F375" s="4" t="s">
        <v>363</v>
      </c>
      <c r="G375" s="4" t="s">
        <v>364</v>
      </c>
    </row>
    <row r="376" spans="1:7" x14ac:dyDescent="0.35">
      <c r="A376" s="5" t="s">
        <v>320</v>
      </c>
      <c r="B376" s="5" t="s">
        <v>100</v>
      </c>
      <c r="C376" s="7">
        <v>0.5</v>
      </c>
      <c r="D376" s="7">
        <f t="shared" si="33"/>
        <v>0.49375000000000002</v>
      </c>
      <c r="E376" s="7">
        <f t="shared" si="34"/>
        <v>0.46875</v>
      </c>
      <c r="F376" s="7">
        <f t="shared" si="35"/>
        <v>9.3749999999999997E-3</v>
      </c>
      <c r="G376" s="7">
        <f t="shared" si="36"/>
        <v>0.45937499999999998</v>
      </c>
    </row>
    <row r="377" spans="1:7" ht="36" x14ac:dyDescent="0.35">
      <c r="A377" s="41" t="s">
        <v>349</v>
      </c>
      <c r="B377" s="5" t="s">
        <v>563</v>
      </c>
      <c r="C377" s="7">
        <v>0.16</v>
      </c>
      <c r="D377" s="7">
        <f t="shared" si="33"/>
        <v>0.158</v>
      </c>
      <c r="E377" s="7">
        <f t="shared" si="34"/>
        <v>0.13300000000000001</v>
      </c>
      <c r="F377" s="7">
        <f t="shared" si="35"/>
        <v>2.66E-3</v>
      </c>
      <c r="G377" s="7">
        <f t="shared" si="36"/>
        <v>0.13034000000000001</v>
      </c>
    </row>
    <row r="378" spans="1:7" ht="48" x14ac:dyDescent="0.35">
      <c r="A378" s="42"/>
      <c r="B378" s="5" t="s">
        <v>564</v>
      </c>
      <c r="C378" s="7">
        <v>0.16</v>
      </c>
      <c r="D378" s="7">
        <f t="shared" si="33"/>
        <v>0.158</v>
      </c>
      <c r="E378" s="7">
        <f t="shared" si="34"/>
        <v>0.13300000000000001</v>
      </c>
      <c r="F378" s="7">
        <f t="shared" si="35"/>
        <v>2.66E-3</v>
      </c>
      <c r="G378" s="7">
        <f t="shared" si="36"/>
        <v>0.13034000000000001</v>
      </c>
    </row>
    <row r="379" spans="1:7" x14ac:dyDescent="0.35">
      <c r="A379" s="42"/>
      <c r="B379" s="5" t="s">
        <v>565</v>
      </c>
      <c r="C379" s="7">
        <v>0.17499999999999999</v>
      </c>
      <c r="D379" s="7">
        <f t="shared" si="33"/>
        <v>0.17281249999999998</v>
      </c>
      <c r="E379" s="7">
        <f t="shared" si="34"/>
        <v>0.14781249999999999</v>
      </c>
      <c r="F379" s="7">
        <f t="shared" si="35"/>
        <v>2.9562499999999997E-3</v>
      </c>
      <c r="G379" s="7">
        <f t="shared" si="36"/>
        <v>0.14485624999999999</v>
      </c>
    </row>
    <row r="380" spans="1:7" ht="36" x14ac:dyDescent="0.35">
      <c r="A380" s="43"/>
      <c r="B380" s="5" t="s">
        <v>566</v>
      </c>
      <c r="C380" s="7">
        <v>0.17</v>
      </c>
      <c r="D380" s="7">
        <f t="shared" si="33"/>
        <v>0.16787500000000002</v>
      </c>
      <c r="E380" s="7">
        <f t="shared" si="34"/>
        <v>0.14287500000000003</v>
      </c>
      <c r="F380" s="7">
        <f t="shared" si="35"/>
        <v>2.8575000000000007E-3</v>
      </c>
      <c r="G380" s="7">
        <f t="shared" si="36"/>
        <v>0.14001750000000002</v>
      </c>
    </row>
    <row r="381" spans="1:7" ht="36" x14ac:dyDescent="0.35">
      <c r="A381" s="41" t="s">
        <v>350</v>
      </c>
      <c r="B381" s="5" t="s">
        <v>563</v>
      </c>
      <c r="C381" s="7">
        <v>0.16</v>
      </c>
      <c r="D381" s="7">
        <f t="shared" si="33"/>
        <v>0.158</v>
      </c>
      <c r="E381" s="7">
        <f t="shared" si="34"/>
        <v>0.13300000000000001</v>
      </c>
      <c r="F381" s="7">
        <f t="shared" si="35"/>
        <v>2.66E-3</v>
      </c>
      <c r="G381" s="7">
        <f t="shared" si="36"/>
        <v>0.13034000000000001</v>
      </c>
    </row>
    <row r="382" spans="1:7" ht="48" x14ac:dyDescent="0.35">
      <c r="A382" s="42"/>
      <c r="B382" s="5" t="s">
        <v>564</v>
      </c>
      <c r="C382" s="7">
        <v>0.16</v>
      </c>
      <c r="D382" s="7">
        <f t="shared" si="33"/>
        <v>0.158</v>
      </c>
      <c r="E382" s="7">
        <f t="shared" si="34"/>
        <v>0.13300000000000001</v>
      </c>
      <c r="F382" s="7">
        <f t="shared" si="35"/>
        <v>2.66E-3</v>
      </c>
      <c r="G382" s="7">
        <f t="shared" si="36"/>
        <v>0.13034000000000001</v>
      </c>
    </row>
    <row r="383" spans="1:7" x14ac:dyDescent="0.35">
      <c r="A383" s="42"/>
      <c r="B383" s="5" t="s">
        <v>565</v>
      </c>
      <c r="C383" s="7">
        <v>0</v>
      </c>
      <c r="D383" s="7" t="s">
        <v>20</v>
      </c>
      <c r="E383" s="7" t="s">
        <v>20</v>
      </c>
      <c r="F383" s="7" t="s">
        <v>20</v>
      </c>
      <c r="G383" s="7" t="s">
        <v>20</v>
      </c>
    </row>
    <row r="384" spans="1:7" ht="36" x14ac:dyDescent="0.35">
      <c r="A384" s="43"/>
      <c r="B384" s="5" t="s">
        <v>566</v>
      </c>
      <c r="C384" s="7">
        <v>0</v>
      </c>
      <c r="D384" s="7" t="s">
        <v>20</v>
      </c>
      <c r="E384" s="7" t="s">
        <v>20</v>
      </c>
      <c r="F384" s="7" t="s">
        <v>20</v>
      </c>
      <c r="G384" s="7" t="s">
        <v>20</v>
      </c>
    </row>
    <row r="385" spans="1:7" x14ac:dyDescent="0.35">
      <c r="A385" s="48" t="s">
        <v>658</v>
      </c>
      <c r="B385" s="5" t="s">
        <v>323</v>
      </c>
      <c r="C385" s="7">
        <v>0.1</v>
      </c>
      <c r="D385" s="7">
        <f t="shared" si="33"/>
        <v>9.8750000000000004E-2</v>
      </c>
      <c r="E385" s="7">
        <f t="shared" si="34"/>
        <v>7.375000000000001E-2</v>
      </c>
      <c r="F385" s="7">
        <f t="shared" si="35"/>
        <v>1.4750000000000002E-3</v>
      </c>
      <c r="G385" s="7">
        <f t="shared" si="36"/>
        <v>7.2275000000000006E-2</v>
      </c>
    </row>
    <row r="386" spans="1:7" x14ac:dyDescent="0.35">
      <c r="A386" s="48"/>
      <c r="B386" s="5" t="s">
        <v>324</v>
      </c>
      <c r="C386" s="7">
        <v>7.4999999999999997E-2</v>
      </c>
      <c r="D386" s="7">
        <f t="shared" si="33"/>
        <v>7.4062500000000003E-2</v>
      </c>
      <c r="E386" s="7">
        <f t="shared" si="34"/>
        <v>4.9062500000000002E-2</v>
      </c>
      <c r="F386" s="7">
        <f t="shared" si="35"/>
        <v>9.8125000000000013E-4</v>
      </c>
      <c r="G386" s="7">
        <f t="shared" si="36"/>
        <v>4.8081249999999999E-2</v>
      </c>
    </row>
    <row r="387" spans="1:7" x14ac:dyDescent="0.35">
      <c r="A387" s="5" t="s">
        <v>334</v>
      </c>
      <c r="B387" s="5" t="s">
        <v>100</v>
      </c>
      <c r="C387" s="6">
        <v>0.47499999999999998</v>
      </c>
      <c r="D387" s="7">
        <f t="shared" si="33"/>
        <v>0.46906249999999999</v>
      </c>
      <c r="E387" s="7">
        <f t="shared" si="34"/>
        <v>0.44406249999999997</v>
      </c>
      <c r="F387" s="7">
        <f t="shared" si="35"/>
        <v>8.8812500000000003E-3</v>
      </c>
      <c r="G387" s="7">
        <f t="shared" si="36"/>
        <v>0.43518124999999996</v>
      </c>
    </row>
  </sheetData>
  <mergeCells count="50">
    <mergeCell ref="A39:A48"/>
    <mergeCell ref="A2:A3"/>
    <mergeCell ref="A9:A18"/>
    <mergeCell ref="A19:A28"/>
    <mergeCell ref="A29:A32"/>
    <mergeCell ref="A33:A36"/>
    <mergeCell ref="A131:A132"/>
    <mergeCell ref="A49:A58"/>
    <mergeCell ref="A73:A82"/>
    <mergeCell ref="A83:A92"/>
    <mergeCell ref="A93:A94"/>
    <mergeCell ref="A101:A104"/>
    <mergeCell ref="A105:A106"/>
    <mergeCell ref="A108:A110"/>
    <mergeCell ref="A115:A118"/>
    <mergeCell ref="A119:A122"/>
    <mergeCell ref="A123:A126"/>
    <mergeCell ref="A127:A130"/>
    <mergeCell ref="A222:A225"/>
    <mergeCell ref="A138:A147"/>
    <mergeCell ref="A148:A157"/>
    <mergeCell ref="A158:A159"/>
    <mergeCell ref="A162:A171"/>
    <mergeCell ref="A172:A181"/>
    <mergeCell ref="A182:A185"/>
    <mergeCell ref="A186:A189"/>
    <mergeCell ref="A190:A191"/>
    <mergeCell ref="A198:A207"/>
    <mergeCell ref="A208:A217"/>
    <mergeCell ref="A218:A221"/>
    <mergeCell ref="A334:A339"/>
    <mergeCell ref="A227:A228"/>
    <mergeCell ref="A232:A241"/>
    <mergeCell ref="A242:A251"/>
    <mergeCell ref="A257:A258"/>
    <mergeCell ref="A265:A268"/>
    <mergeCell ref="A269:A272"/>
    <mergeCell ref="A277:A280"/>
    <mergeCell ref="A300:A303"/>
    <mergeCell ref="A304:A305"/>
    <mergeCell ref="A311:A313"/>
    <mergeCell ref="A328:A333"/>
    <mergeCell ref="A314:A316"/>
    <mergeCell ref="A385:A386"/>
    <mergeCell ref="A340:A343"/>
    <mergeCell ref="A344:A347"/>
    <mergeCell ref="A348:A351"/>
    <mergeCell ref="A371:A372"/>
    <mergeCell ref="A377:A380"/>
    <mergeCell ref="A381:A384"/>
  </mergeCells>
  <printOptions horizontalCentered="1" verticalCentered="1"/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22CC-AF64-4A33-A6EA-EC5771491C67}">
  <sheetPr codeName="Sheet3"/>
  <dimension ref="A2:F603"/>
  <sheetViews>
    <sheetView showGridLines="0" tabSelected="1" topLeftCell="A484" zoomScaleNormal="100" workbookViewId="0">
      <selection activeCell="A492" sqref="A492:A493"/>
    </sheetView>
  </sheetViews>
  <sheetFormatPr defaultRowHeight="14.5" x14ac:dyDescent="0.35"/>
  <cols>
    <col min="1" max="1" width="37.1796875" style="9" customWidth="1"/>
    <col min="2" max="2" width="37.1796875" style="9" bestFit="1" customWidth="1"/>
    <col min="3" max="3" width="5.7265625" bestFit="1" customWidth="1"/>
    <col min="4" max="4" width="9.81640625" bestFit="1" customWidth="1"/>
    <col min="5" max="5" width="6.36328125" bestFit="1" customWidth="1"/>
    <col min="6" max="6" width="9.26953125" bestFit="1" customWidth="1"/>
  </cols>
  <sheetData>
    <row r="2" spans="1:6" ht="38.5" customHeight="1" x14ac:dyDescent="0.35">
      <c r="A2" s="46" t="s">
        <v>1284</v>
      </c>
      <c r="B2" s="1"/>
      <c r="C2" s="8"/>
      <c r="D2" s="8"/>
      <c r="E2" s="8"/>
      <c r="F2" s="8"/>
    </row>
    <row r="3" spans="1:6" ht="33.65" customHeight="1" x14ac:dyDescent="0.35">
      <c r="A3" s="46"/>
      <c r="B3" s="1"/>
      <c r="C3" s="8"/>
      <c r="D3" s="8"/>
      <c r="E3" s="8"/>
      <c r="F3" s="8"/>
    </row>
    <row r="4" spans="1:6" x14ac:dyDescent="0.35">
      <c r="C4" s="10"/>
      <c r="D4" s="10"/>
      <c r="E4" s="10"/>
      <c r="F4" s="10"/>
    </row>
    <row r="5" spans="1:6" x14ac:dyDescent="0.35">
      <c r="A5" s="2" t="s">
        <v>0</v>
      </c>
      <c r="B5" s="2" t="s">
        <v>1</v>
      </c>
      <c r="C5" s="3" t="s">
        <v>2</v>
      </c>
      <c r="D5" s="4" t="s">
        <v>4</v>
      </c>
      <c r="E5" s="4" t="s">
        <v>5</v>
      </c>
      <c r="F5" s="4" t="s">
        <v>6</v>
      </c>
    </row>
    <row r="6" spans="1:6" ht="24" x14ac:dyDescent="0.35">
      <c r="A6" s="5" t="s">
        <v>365</v>
      </c>
      <c r="B6" s="5" t="s">
        <v>366</v>
      </c>
      <c r="C6" s="6">
        <v>0.36499999999999999</v>
      </c>
      <c r="D6" s="7">
        <f>C6-(4%)</f>
        <v>0.32500000000000001</v>
      </c>
      <c r="E6" s="7">
        <f>D6*2%</f>
        <v>6.5000000000000006E-3</v>
      </c>
      <c r="F6" s="7">
        <f t="shared" ref="F6" si="0">D6-E6</f>
        <v>0.31850000000000001</v>
      </c>
    </row>
    <row r="7" spans="1:6" x14ac:dyDescent="0.35">
      <c r="A7" s="40" t="s">
        <v>367</v>
      </c>
      <c r="B7" s="11" t="s">
        <v>368</v>
      </c>
      <c r="C7" s="6">
        <v>0</v>
      </c>
      <c r="D7" s="7" t="s">
        <v>20</v>
      </c>
      <c r="E7" s="7" t="s">
        <v>20</v>
      </c>
      <c r="F7" s="7" t="s">
        <v>20</v>
      </c>
    </row>
    <row r="8" spans="1:6" x14ac:dyDescent="0.35">
      <c r="A8" s="40"/>
      <c r="B8" s="11" t="s">
        <v>369</v>
      </c>
      <c r="C8" s="6">
        <v>0</v>
      </c>
      <c r="D8" s="7" t="s">
        <v>20</v>
      </c>
      <c r="E8" s="7" t="s">
        <v>20</v>
      </c>
      <c r="F8" s="7" t="s">
        <v>20</v>
      </c>
    </row>
    <row r="9" spans="1:6" ht="24" x14ac:dyDescent="0.35">
      <c r="A9" s="40"/>
      <c r="B9" s="11" t="s">
        <v>370</v>
      </c>
      <c r="C9" s="6">
        <v>7.0000000000000007E-2</v>
      </c>
      <c r="D9" s="7">
        <f t="shared" ref="D9:D76" si="1">C9-(4%)</f>
        <v>3.0000000000000006E-2</v>
      </c>
      <c r="E9" s="7">
        <f t="shared" ref="E9:E76" si="2">D9*2%</f>
        <v>6.0000000000000016E-4</v>
      </c>
      <c r="F9" s="7">
        <f t="shared" ref="F9:F76" si="3">D9-E9</f>
        <v>2.9400000000000006E-2</v>
      </c>
    </row>
    <row r="10" spans="1:6" x14ac:dyDescent="0.35">
      <c r="A10" s="40"/>
      <c r="B10" s="11" t="s">
        <v>371</v>
      </c>
      <c r="C10" s="6">
        <v>0</v>
      </c>
      <c r="D10" s="7" t="s">
        <v>20</v>
      </c>
      <c r="E10" s="7" t="s">
        <v>20</v>
      </c>
      <c r="F10" s="7" t="s">
        <v>20</v>
      </c>
    </row>
    <row r="11" spans="1:6" x14ac:dyDescent="0.35">
      <c r="A11" s="40"/>
      <c r="B11" s="11" t="s">
        <v>372</v>
      </c>
      <c r="C11" s="6">
        <v>0</v>
      </c>
      <c r="D11" s="7" t="s">
        <v>20</v>
      </c>
      <c r="E11" s="7" t="s">
        <v>20</v>
      </c>
      <c r="F11" s="7" t="s">
        <v>20</v>
      </c>
    </row>
    <row r="12" spans="1:6" x14ac:dyDescent="0.35">
      <c r="A12" s="40"/>
      <c r="B12" s="11" t="s">
        <v>373</v>
      </c>
      <c r="C12" s="6">
        <v>0</v>
      </c>
      <c r="D12" s="7" t="s">
        <v>20</v>
      </c>
      <c r="E12" s="7" t="s">
        <v>20</v>
      </c>
      <c r="F12" s="7" t="s">
        <v>20</v>
      </c>
    </row>
    <row r="13" spans="1:6" x14ac:dyDescent="0.35">
      <c r="A13" s="40" t="s">
        <v>374</v>
      </c>
      <c r="B13" s="11" t="s">
        <v>368</v>
      </c>
      <c r="C13" s="6">
        <v>0</v>
      </c>
      <c r="D13" s="7" t="s">
        <v>20</v>
      </c>
      <c r="E13" s="7" t="s">
        <v>20</v>
      </c>
      <c r="F13" s="7" t="s">
        <v>20</v>
      </c>
    </row>
    <row r="14" spans="1:6" x14ac:dyDescent="0.35">
      <c r="A14" s="40"/>
      <c r="B14" s="11" t="s">
        <v>369</v>
      </c>
      <c r="C14" s="6">
        <v>0</v>
      </c>
      <c r="D14" s="7" t="s">
        <v>20</v>
      </c>
      <c r="E14" s="7" t="s">
        <v>20</v>
      </c>
      <c r="F14" s="7" t="s">
        <v>20</v>
      </c>
    </row>
    <row r="15" spans="1:6" ht="24" x14ac:dyDescent="0.35">
      <c r="A15" s="40"/>
      <c r="B15" s="11" t="s">
        <v>370</v>
      </c>
      <c r="C15" s="6">
        <v>0.14000000000000001</v>
      </c>
      <c r="D15" s="7">
        <f t="shared" si="1"/>
        <v>0.1</v>
      </c>
      <c r="E15" s="7">
        <f t="shared" si="2"/>
        <v>2E-3</v>
      </c>
      <c r="F15" s="7">
        <f t="shared" si="3"/>
        <v>9.8000000000000004E-2</v>
      </c>
    </row>
    <row r="16" spans="1:6" x14ac:dyDescent="0.35">
      <c r="A16" s="40"/>
      <c r="B16" s="11" t="s">
        <v>371</v>
      </c>
      <c r="C16" s="6">
        <v>0</v>
      </c>
      <c r="D16" s="7" t="s">
        <v>20</v>
      </c>
      <c r="E16" s="7" t="s">
        <v>20</v>
      </c>
      <c r="F16" s="7" t="s">
        <v>20</v>
      </c>
    </row>
    <row r="17" spans="1:6" x14ac:dyDescent="0.35">
      <c r="A17" s="40"/>
      <c r="B17" s="11" t="s">
        <v>372</v>
      </c>
      <c r="C17" s="6">
        <v>0</v>
      </c>
      <c r="D17" s="7" t="s">
        <v>20</v>
      </c>
      <c r="E17" s="7" t="s">
        <v>20</v>
      </c>
      <c r="F17" s="7" t="s">
        <v>20</v>
      </c>
    </row>
    <row r="18" spans="1:6" x14ac:dyDescent="0.35">
      <c r="A18" s="40"/>
      <c r="B18" s="11" t="s">
        <v>373</v>
      </c>
      <c r="C18" s="6">
        <v>0</v>
      </c>
      <c r="D18" s="7" t="s">
        <v>20</v>
      </c>
      <c r="E18" s="7" t="s">
        <v>20</v>
      </c>
      <c r="F18" s="7" t="s">
        <v>20</v>
      </c>
    </row>
    <row r="19" spans="1:6" x14ac:dyDescent="0.35">
      <c r="A19" s="40" t="s">
        <v>375</v>
      </c>
      <c r="B19" s="11" t="s">
        <v>368</v>
      </c>
      <c r="C19" s="6">
        <v>0</v>
      </c>
      <c r="D19" s="7" t="s">
        <v>20</v>
      </c>
      <c r="E19" s="7" t="s">
        <v>20</v>
      </c>
      <c r="F19" s="7" t="s">
        <v>20</v>
      </c>
    </row>
    <row r="20" spans="1:6" x14ac:dyDescent="0.35">
      <c r="A20" s="40"/>
      <c r="B20" s="11" t="s">
        <v>369</v>
      </c>
      <c r="C20" s="6">
        <v>0.05</v>
      </c>
      <c r="D20" s="7" t="s">
        <v>20</v>
      </c>
      <c r="E20" s="7" t="s">
        <v>20</v>
      </c>
      <c r="F20" s="7" t="s">
        <v>20</v>
      </c>
    </row>
    <row r="21" spans="1:6" ht="24" x14ac:dyDescent="0.35">
      <c r="A21" s="40"/>
      <c r="B21" s="11" t="s">
        <v>370</v>
      </c>
      <c r="C21" s="6">
        <v>0.26</v>
      </c>
      <c r="D21" s="7">
        <f t="shared" si="1"/>
        <v>0.22</v>
      </c>
      <c r="E21" s="7">
        <f t="shared" si="2"/>
        <v>4.4000000000000003E-3</v>
      </c>
      <c r="F21" s="7">
        <f t="shared" si="3"/>
        <v>0.21560000000000001</v>
      </c>
    </row>
    <row r="22" spans="1:6" x14ac:dyDescent="0.35">
      <c r="A22" s="40"/>
      <c r="B22" s="11" t="s">
        <v>371</v>
      </c>
      <c r="C22" s="6">
        <v>0.04</v>
      </c>
      <c r="D22" s="7" t="s">
        <v>20</v>
      </c>
      <c r="E22" s="7" t="s">
        <v>20</v>
      </c>
      <c r="F22" s="7" t="s">
        <v>20</v>
      </c>
    </row>
    <row r="23" spans="1:6" x14ac:dyDescent="0.35">
      <c r="A23" s="40"/>
      <c r="B23" s="11" t="s">
        <v>372</v>
      </c>
      <c r="C23" s="6">
        <v>0.03</v>
      </c>
      <c r="D23" s="7" t="s">
        <v>20</v>
      </c>
      <c r="E23" s="7" t="s">
        <v>20</v>
      </c>
      <c r="F23" s="7" t="s">
        <v>20</v>
      </c>
    </row>
    <row r="24" spans="1:6" x14ac:dyDescent="0.35">
      <c r="A24" s="40"/>
      <c r="B24" s="11" t="s">
        <v>373</v>
      </c>
      <c r="C24" s="6">
        <v>0.1</v>
      </c>
      <c r="D24" s="7">
        <f t="shared" si="1"/>
        <v>6.0000000000000005E-2</v>
      </c>
      <c r="E24" s="7">
        <f t="shared" si="2"/>
        <v>1.2000000000000001E-3</v>
      </c>
      <c r="F24" s="7">
        <f t="shared" si="3"/>
        <v>5.8800000000000005E-2</v>
      </c>
    </row>
    <row r="25" spans="1:6" x14ac:dyDescent="0.35">
      <c r="A25" s="40" t="s">
        <v>28</v>
      </c>
      <c r="B25" s="11" t="s">
        <v>368</v>
      </c>
      <c r="C25" s="6">
        <v>0</v>
      </c>
      <c r="D25" s="7" t="s">
        <v>20</v>
      </c>
      <c r="E25" s="7" t="s">
        <v>20</v>
      </c>
      <c r="F25" s="7" t="s">
        <v>20</v>
      </c>
    </row>
    <row r="26" spans="1:6" x14ac:dyDescent="0.35">
      <c r="A26" s="40"/>
      <c r="B26" s="11" t="s">
        <v>369</v>
      </c>
      <c r="C26" s="7">
        <v>0.03</v>
      </c>
      <c r="D26" s="7" t="s">
        <v>20</v>
      </c>
      <c r="E26" s="7" t="s">
        <v>20</v>
      </c>
      <c r="F26" s="7" t="s">
        <v>20</v>
      </c>
    </row>
    <row r="27" spans="1:6" ht="24" x14ac:dyDescent="0.35">
      <c r="A27" s="40"/>
      <c r="B27" s="11" t="s">
        <v>370</v>
      </c>
      <c r="C27" s="7">
        <v>0.32</v>
      </c>
      <c r="D27" s="7">
        <f t="shared" si="1"/>
        <v>0.28000000000000003</v>
      </c>
      <c r="E27" s="7">
        <f t="shared" si="2"/>
        <v>5.6000000000000008E-3</v>
      </c>
      <c r="F27" s="7">
        <f t="shared" si="3"/>
        <v>0.27440000000000003</v>
      </c>
    </row>
    <row r="28" spans="1:6" x14ac:dyDescent="0.35">
      <c r="A28" s="40"/>
      <c r="B28" s="11" t="s">
        <v>371</v>
      </c>
      <c r="C28" s="7">
        <v>1.0000000000000002E-2</v>
      </c>
      <c r="D28" s="7" t="s">
        <v>20</v>
      </c>
      <c r="E28" s="7" t="s">
        <v>20</v>
      </c>
      <c r="F28" s="7" t="s">
        <v>20</v>
      </c>
    </row>
    <row r="29" spans="1:6" x14ac:dyDescent="0.35">
      <c r="A29" s="40"/>
      <c r="B29" s="11" t="s">
        <v>372</v>
      </c>
      <c r="C29" s="6">
        <v>0</v>
      </c>
      <c r="D29" s="7" t="s">
        <v>20</v>
      </c>
      <c r="E29" s="7" t="s">
        <v>20</v>
      </c>
      <c r="F29" s="7" t="s">
        <v>20</v>
      </c>
    </row>
    <row r="30" spans="1:6" x14ac:dyDescent="0.35">
      <c r="A30" s="40"/>
      <c r="B30" s="11" t="s">
        <v>373</v>
      </c>
      <c r="C30" s="7">
        <v>0.1</v>
      </c>
      <c r="D30" s="7">
        <f t="shared" si="1"/>
        <v>6.0000000000000005E-2</v>
      </c>
      <c r="E30" s="7">
        <f t="shared" si="2"/>
        <v>1.2000000000000001E-3</v>
      </c>
      <c r="F30" s="7">
        <f t="shared" si="3"/>
        <v>5.8800000000000005E-2</v>
      </c>
    </row>
    <row r="31" spans="1:6" x14ac:dyDescent="0.35">
      <c r="A31" s="5" t="s">
        <v>31</v>
      </c>
      <c r="B31" s="5" t="s">
        <v>32</v>
      </c>
      <c r="C31" s="7">
        <v>7.4999999999999997E-2</v>
      </c>
      <c r="D31" s="7">
        <f t="shared" si="1"/>
        <v>3.4999999999999996E-2</v>
      </c>
      <c r="E31" s="7">
        <f t="shared" si="2"/>
        <v>6.9999999999999999E-4</v>
      </c>
      <c r="F31" s="7">
        <f t="shared" si="3"/>
        <v>3.4299999999999997E-2</v>
      </c>
    </row>
    <row r="32" spans="1:6" ht="14.5" customHeight="1" x14ac:dyDescent="0.35">
      <c r="A32" s="41" t="s">
        <v>1196</v>
      </c>
      <c r="B32" s="5" t="s">
        <v>400</v>
      </c>
      <c r="C32" s="37">
        <v>0.375</v>
      </c>
      <c r="D32" s="7">
        <f t="shared" si="1"/>
        <v>0.33500000000000002</v>
      </c>
      <c r="E32" s="7">
        <f t="shared" si="2"/>
        <v>6.7000000000000002E-3</v>
      </c>
      <c r="F32" s="7">
        <f t="shared" si="3"/>
        <v>0.32830000000000004</v>
      </c>
    </row>
    <row r="33" spans="1:6" x14ac:dyDescent="0.35">
      <c r="A33" s="42"/>
      <c r="B33" s="5" t="s">
        <v>381</v>
      </c>
      <c r="C33" s="6">
        <v>0</v>
      </c>
      <c r="D33" s="7" t="s">
        <v>20</v>
      </c>
      <c r="E33" s="7" t="s">
        <v>20</v>
      </c>
      <c r="F33" s="7" t="s">
        <v>20</v>
      </c>
    </row>
    <row r="34" spans="1:6" x14ac:dyDescent="0.35">
      <c r="A34" s="43"/>
      <c r="B34" s="5" t="s">
        <v>382</v>
      </c>
      <c r="C34" s="6">
        <v>0</v>
      </c>
      <c r="D34" s="7" t="s">
        <v>20</v>
      </c>
      <c r="E34" s="7" t="s">
        <v>20</v>
      </c>
      <c r="F34" s="7" t="s">
        <v>20</v>
      </c>
    </row>
    <row r="35" spans="1:6" x14ac:dyDescent="0.35">
      <c r="A35" s="41" t="s">
        <v>1190</v>
      </c>
      <c r="B35" s="5" t="s">
        <v>400</v>
      </c>
      <c r="C35" s="6">
        <v>0.375</v>
      </c>
      <c r="D35" s="7">
        <f t="shared" si="1"/>
        <v>0.33500000000000002</v>
      </c>
      <c r="E35" s="7">
        <f t="shared" si="2"/>
        <v>6.7000000000000002E-3</v>
      </c>
      <c r="F35" s="7">
        <f t="shared" si="3"/>
        <v>0.32830000000000004</v>
      </c>
    </row>
    <row r="36" spans="1:6" x14ac:dyDescent="0.35">
      <c r="A36" s="42"/>
      <c r="B36" s="5" t="s">
        <v>381</v>
      </c>
      <c r="C36" s="6">
        <v>0.245</v>
      </c>
      <c r="D36" s="7">
        <f t="shared" si="1"/>
        <v>0.20499999999999999</v>
      </c>
      <c r="E36" s="7">
        <f t="shared" si="2"/>
        <v>4.0999999999999995E-3</v>
      </c>
      <c r="F36" s="7">
        <f t="shared" si="3"/>
        <v>0.2009</v>
      </c>
    </row>
    <row r="37" spans="1:6" x14ac:dyDescent="0.35">
      <c r="A37" s="43"/>
      <c r="B37" s="5" t="s">
        <v>382</v>
      </c>
      <c r="C37" s="6">
        <v>0.245</v>
      </c>
      <c r="D37" s="7">
        <f t="shared" si="1"/>
        <v>0.20499999999999999</v>
      </c>
      <c r="E37" s="7">
        <f t="shared" si="2"/>
        <v>4.0999999999999995E-3</v>
      </c>
      <c r="F37" s="7">
        <f t="shared" si="3"/>
        <v>0.2009</v>
      </c>
    </row>
    <row r="38" spans="1:6" x14ac:dyDescent="0.35">
      <c r="A38" s="41" t="s">
        <v>1191</v>
      </c>
      <c r="B38" s="5" t="s">
        <v>400</v>
      </c>
      <c r="C38" s="6">
        <v>0.375</v>
      </c>
      <c r="D38" s="7">
        <f t="shared" si="1"/>
        <v>0.33500000000000002</v>
      </c>
      <c r="E38" s="7">
        <f t="shared" si="2"/>
        <v>6.7000000000000002E-3</v>
      </c>
      <c r="F38" s="7">
        <f t="shared" si="3"/>
        <v>0.32830000000000004</v>
      </c>
    </row>
    <row r="39" spans="1:6" x14ac:dyDescent="0.35">
      <c r="A39" s="42"/>
      <c r="B39" s="5" t="s">
        <v>381</v>
      </c>
      <c r="C39" s="6">
        <v>0.29499999999999998</v>
      </c>
      <c r="D39" s="7">
        <f t="shared" si="1"/>
        <v>0.255</v>
      </c>
      <c r="E39" s="7">
        <f t="shared" si="2"/>
        <v>5.1000000000000004E-3</v>
      </c>
      <c r="F39" s="7">
        <f t="shared" si="3"/>
        <v>0.24990000000000001</v>
      </c>
    </row>
    <row r="40" spans="1:6" x14ac:dyDescent="0.35">
      <c r="A40" s="43"/>
      <c r="B40" s="5" t="s">
        <v>382</v>
      </c>
      <c r="C40" s="6">
        <v>0.29499999999999998</v>
      </c>
      <c r="D40" s="7">
        <f t="shared" si="1"/>
        <v>0.255</v>
      </c>
      <c r="E40" s="7">
        <f t="shared" si="2"/>
        <v>5.1000000000000004E-3</v>
      </c>
      <c r="F40" s="7">
        <f t="shared" si="3"/>
        <v>0.24990000000000001</v>
      </c>
    </row>
    <row r="41" spans="1:6" x14ac:dyDescent="0.35">
      <c r="A41" s="41" t="s">
        <v>362</v>
      </c>
      <c r="B41" s="5" t="s">
        <v>400</v>
      </c>
      <c r="C41" s="6">
        <v>0.375</v>
      </c>
      <c r="D41" s="7">
        <f t="shared" si="1"/>
        <v>0.33500000000000002</v>
      </c>
      <c r="E41" s="7">
        <f t="shared" si="2"/>
        <v>6.7000000000000002E-3</v>
      </c>
      <c r="F41" s="7">
        <f t="shared" si="3"/>
        <v>0.32830000000000004</v>
      </c>
    </row>
    <row r="42" spans="1:6" x14ac:dyDescent="0.35">
      <c r="A42" s="42"/>
      <c r="B42" s="5" t="s">
        <v>381</v>
      </c>
      <c r="C42" s="6">
        <v>0</v>
      </c>
      <c r="D42" s="7" t="s">
        <v>20</v>
      </c>
      <c r="E42" s="7" t="s">
        <v>20</v>
      </c>
      <c r="F42" s="7" t="s">
        <v>20</v>
      </c>
    </row>
    <row r="43" spans="1:6" x14ac:dyDescent="0.35">
      <c r="A43" s="43"/>
      <c r="B43" s="5" t="s">
        <v>382</v>
      </c>
      <c r="C43" s="6">
        <v>0</v>
      </c>
      <c r="D43" s="7" t="s">
        <v>20</v>
      </c>
      <c r="E43" s="7" t="s">
        <v>20</v>
      </c>
      <c r="F43" s="7" t="s">
        <v>20</v>
      </c>
    </row>
    <row r="44" spans="1:6" x14ac:dyDescent="0.35">
      <c r="A44" s="5" t="s">
        <v>38</v>
      </c>
      <c r="B44" s="5" t="s">
        <v>100</v>
      </c>
      <c r="C44" s="6">
        <v>0.3</v>
      </c>
      <c r="D44" s="7">
        <f t="shared" si="1"/>
        <v>0.26</v>
      </c>
      <c r="E44" s="7">
        <f t="shared" si="2"/>
        <v>5.2000000000000006E-3</v>
      </c>
      <c r="F44" s="7">
        <f t="shared" si="3"/>
        <v>0.25480000000000003</v>
      </c>
    </row>
    <row r="45" spans="1:6" x14ac:dyDescent="0.35">
      <c r="A45" s="2" t="s">
        <v>41</v>
      </c>
      <c r="B45" s="2" t="s">
        <v>1</v>
      </c>
      <c r="C45" s="3" t="s">
        <v>2</v>
      </c>
      <c r="D45" s="4" t="s">
        <v>4</v>
      </c>
      <c r="E45" s="4" t="s">
        <v>5</v>
      </c>
      <c r="F45" s="4" t="s">
        <v>6</v>
      </c>
    </row>
    <row r="46" spans="1:6" x14ac:dyDescent="0.35">
      <c r="A46" s="11" t="s">
        <v>383</v>
      </c>
      <c r="B46" s="11" t="s">
        <v>100</v>
      </c>
      <c r="C46" s="7">
        <v>0.48499999999999999</v>
      </c>
      <c r="D46" s="7">
        <f t="shared" si="1"/>
        <v>0.44500000000000001</v>
      </c>
      <c r="E46" s="7">
        <f t="shared" si="2"/>
        <v>8.8999999999999999E-3</v>
      </c>
      <c r="F46" s="7">
        <f t="shared" si="3"/>
        <v>0.43609999999999999</v>
      </c>
    </row>
    <row r="47" spans="1:6" x14ac:dyDescent="0.35">
      <c r="A47" s="11" t="s">
        <v>384</v>
      </c>
      <c r="B47" s="11" t="s">
        <v>100</v>
      </c>
      <c r="C47" s="7">
        <v>0.48499999999999999</v>
      </c>
      <c r="D47" s="7">
        <f t="shared" si="1"/>
        <v>0.44500000000000001</v>
      </c>
      <c r="E47" s="7">
        <f t="shared" si="2"/>
        <v>8.8999999999999999E-3</v>
      </c>
      <c r="F47" s="7">
        <f t="shared" si="3"/>
        <v>0.43609999999999999</v>
      </c>
    </row>
    <row r="48" spans="1:6" x14ac:dyDescent="0.35">
      <c r="A48" s="40" t="s">
        <v>385</v>
      </c>
      <c r="B48" s="11" t="s">
        <v>372</v>
      </c>
      <c r="C48" s="7">
        <v>0.41</v>
      </c>
      <c r="D48" s="7">
        <f t="shared" si="1"/>
        <v>0.37</v>
      </c>
      <c r="E48" s="7">
        <f t="shared" si="2"/>
        <v>7.4000000000000003E-3</v>
      </c>
      <c r="F48" s="7">
        <f t="shared" si="3"/>
        <v>0.36259999999999998</v>
      </c>
    </row>
    <row r="49" spans="1:6" x14ac:dyDescent="0.35">
      <c r="A49" s="40"/>
      <c r="B49" s="11" t="s">
        <v>371</v>
      </c>
      <c r="C49" s="7">
        <v>0.41</v>
      </c>
      <c r="D49" s="7">
        <f t="shared" si="1"/>
        <v>0.37</v>
      </c>
      <c r="E49" s="7">
        <f t="shared" si="2"/>
        <v>7.4000000000000003E-3</v>
      </c>
      <c r="F49" s="7">
        <f t="shared" si="3"/>
        <v>0.36259999999999998</v>
      </c>
    </row>
    <row r="50" spans="1:6" ht="24" x14ac:dyDescent="0.35">
      <c r="A50" s="40"/>
      <c r="B50" s="11" t="s">
        <v>370</v>
      </c>
      <c r="C50" s="7">
        <v>0.45</v>
      </c>
      <c r="D50" s="7">
        <f t="shared" si="1"/>
        <v>0.41000000000000003</v>
      </c>
      <c r="E50" s="7">
        <f t="shared" si="2"/>
        <v>8.2000000000000007E-3</v>
      </c>
      <c r="F50" s="7">
        <f t="shared" si="3"/>
        <v>0.40180000000000005</v>
      </c>
    </row>
    <row r="51" spans="1:6" x14ac:dyDescent="0.35">
      <c r="A51" s="40"/>
      <c r="B51" s="11" t="s">
        <v>369</v>
      </c>
      <c r="C51" s="7">
        <v>0.41</v>
      </c>
      <c r="D51" s="7">
        <f t="shared" si="1"/>
        <v>0.37</v>
      </c>
      <c r="E51" s="7">
        <f t="shared" si="2"/>
        <v>7.4000000000000003E-3</v>
      </c>
      <c r="F51" s="7">
        <f t="shared" si="3"/>
        <v>0.36259999999999998</v>
      </c>
    </row>
    <row r="52" spans="1:6" x14ac:dyDescent="0.35">
      <c r="A52" s="40"/>
      <c r="B52" s="11" t="s">
        <v>373</v>
      </c>
      <c r="C52" s="7">
        <v>0.41</v>
      </c>
      <c r="D52" s="7">
        <f t="shared" si="1"/>
        <v>0.37</v>
      </c>
      <c r="E52" s="7">
        <f t="shared" si="2"/>
        <v>7.4000000000000003E-3</v>
      </c>
      <c r="F52" s="7">
        <f t="shared" si="3"/>
        <v>0.36259999999999998</v>
      </c>
    </row>
    <row r="53" spans="1:6" x14ac:dyDescent="0.35">
      <c r="A53" s="40"/>
      <c r="B53" s="11" t="s">
        <v>368</v>
      </c>
      <c r="C53" s="7">
        <v>0.41</v>
      </c>
      <c r="D53" s="7">
        <f t="shared" si="1"/>
        <v>0.37</v>
      </c>
      <c r="E53" s="7">
        <f t="shared" si="2"/>
        <v>7.4000000000000003E-3</v>
      </c>
      <c r="F53" s="7">
        <f t="shared" si="3"/>
        <v>0.36259999999999998</v>
      </c>
    </row>
    <row r="54" spans="1:6" x14ac:dyDescent="0.35">
      <c r="A54" s="40" t="s">
        <v>386</v>
      </c>
      <c r="B54" s="11" t="s">
        <v>368</v>
      </c>
      <c r="C54" s="7">
        <v>0.25</v>
      </c>
      <c r="D54" s="7">
        <f t="shared" si="1"/>
        <v>0.21</v>
      </c>
      <c r="E54" s="7">
        <f t="shared" si="2"/>
        <v>4.1999999999999997E-3</v>
      </c>
      <c r="F54" s="7">
        <f t="shared" si="3"/>
        <v>0.20579999999999998</v>
      </c>
    </row>
    <row r="55" spans="1:6" x14ac:dyDescent="0.35">
      <c r="A55" s="40"/>
      <c r="B55" s="11" t="s">
        <v>369</v>
      </c>
      <c r="C55" s="7">
        <v>0.39</v>
      </c>
      <c r="D55" s="7">
        <f t="shared" si="1"/>
        <v>0.35000000000000003</v>
      </c>
      <c r="E55" s="7">
        <f t="shared" si="2"/>
        <v>7.000000000000001E-3</v>
      </c>
      <c r="F55" s="7">
        <f t="shared" si="3"/>
        <v>0.34300000000000003</v>
      </c>
    </row>
    <row r="56" spans="1:6" ht="24" x14ac:dyDescent="0.35">
      <c r="A56" s="40"/>
      <c r="B56" s="11" t="s">
        <v>370</v>
      </c>
      <c r="C56" s="7">
        <v>0.45</v>
      </c>
      <c r="D56" s="7">
        <f t="shared" si="1"/>
        <v>0.41000000000000003</v>
      </c>
      <c r="E56" s="7">
        <f t="shared" si="2"/>
        <v>8.2000000000000007E-3</v>
      </c>
      <c r="F56" s="7">
        <f t="shared" si="3"/>
        <v>0.40180000000000005</v>
      </c>
    </row>
    <row r="57" spans="1:6" x14ac:dyDescent="0.35">
      <c r="A57" s="40"/>
      <c r="B57" s="11" t="s">
        <v>371</v>
      </c>
      <c r="C57" s="7">
        <v>0.38</v>
      </c>
      <c r="D57" s="7">
        <f t="shared" si="1"/>
        <v>0.34</v>
      </c>
      <c r="E57" s="7">
        <f t="shared" si="2"/>
        <v>6.8000000000000005E-3</v>
      </c>
      <c r="F57" s="7">
        <f t="shared" si="3"/>
        <v>0.33320000000000005</v>
      </c>
    </row>
    <row r="58" spans="1:6" x14ac:dyDescent="0.35">
      <c r="A58" s="40"/>
      <c r="B58" s="11" t="s">
        <v>372</v>
      </c>
      <c r="C58" s="7">
        <v>0.35</v>
      </c>
      <c r="D58" s="7">
        <f t="shared" si="1"/>
        <v>0.31</v>
      </c>
      <c r="E58" s="7">
        <f t="shared" si="2"/>
        <v>6.1999999999999998E-3</v>
      </c>
      <c r="F58" s="7">
        <f t="shared" si="3"/>
        <v>0.30380000000000001</v>
      </c>
    </row>
    <row r="59" spans="1:6" x14ac:dyDescent="0.35">
      <c r="A59" s="40"/>
      <c r="B59" s="11" t="s">
        <v>373</v>
      </c>
      <c r="C59" s="7">
        <v>0.43</v>
      </c>
      <c r="D59" s="7">
        <f t="shared" si="1"/>
        <v>0.39</v>
      </c>
      <c r="E59" s="7">
        <f t="shared" si="2"/>
        <v>7.8000000000000005E-3</v>
      </c>
      <c r="F59" s="7">
        <f t="shared" si="3"/>
        <v>0.38220000000000004</v>
      </c>
    </row>
    <row r="60" spans="1:6" x14ac:dyDescent="0.35">
      <c r="A60" s="11" t="s">
        <v>387</v>
      </c>
      <c r="B60" s="11" t="s">
        <v>100</v>
      </c>
      <c r="C60" s="7">
        <v>0.44</v>
      </c>
      <c r="D60" s="7">
        <f t="shared" si="1"/>
        <v>0.4</v>
      </c>
      <c r="E60" s="7">
        <f t="shared" si="2"/>
        <v>8.0000000000000002E-3</v>
      </c>
      <c r="F60" s="7">
        <f t="shared" si="3"/>
        <v>0.39200000000000002</v>
      </c>
    </row>
    <row r="61" spans="1:6" x14ac:dyDescent="0.35">
      <c r="A61" s="11" t="s">
        <v>388</v>
      </c>
      <c r="B61" s="11" t="s">
        <v>100</v>
      </c>
      <c r="C61" s="7">
        <v>0.52</v>
      </c>
      <c r="D61" s="7">
        <f t="shared" si="1"/>
        <v>0.48000000000000004</v>
      </c>
      <c r="E61" s="7">
        <f t="shared" si="2"/>
        <v>9.6000000000000009E-3</v>
      </c>
      <c r="F61" s="7">
        <f t="shared" si="3"/>
        <v>0.47040000000000004</v>
      </c>
    </row>
    <row r="62" spans="1:6" ht="24" x14ac:dyDescent="0.35">
      <c r="A62" s="24" t="s">
        <v>1422</v>
      </c>
      <c r="B62" s="5" t="s">
        <v>390</v>
      </c>
      <c r="C62" s="7">
        <v>0.55000000000000004</v>
      </c>
      <c r="D62" s="7">
        <f t="shared" si="1"/>
        <v>0.51</v>
      </c>
      <c r="E62" s="7">
        <f t="shared" si="2"/>
        <v>1.0200000000000001E-2</v>
      </c>
      <c r="F62" s="7">
        <f t="shared" si="3"/>
        <v>0.49980000000000002</v>
      </c>
    </row>
    <row r="63" spans="1:6" ht="24" x14ac:dyDescent="0.35">
      <c r="A63" s="24" t="s">
        <v>1423</v>
      </c>
      <c r="B63" s="5" t="s">
        <v>390</v>
      </c>
      <c r="C63" s="7">
        <v>0.6</v>
      </c>
      <c r="D63" s="7">
        <f t="shared" si="1"/>
        <v>0.55999999999999994</v>
      </c>
      <c r="E63" s="7">
        <f t="shared" si="2"/>
        <v>1.12E-2</v>
      </c>
      <c r="F63" s="7">
        <f t="shared" si="3"/>
        <v>0.54879999999999995</v>
      </c>
    </row>
    <row r="64" spans="1:6" ht="24" x14ac:dyDescent="0.35">
      <c r="A64" s="24" t="s">
        <v>1424</v>
      </c>
      <c r="B64" s="5" t="s">
        <v>390</v>
      </c>
      <c r="C64" s="7">
        <v>0.6</v>
      </c>
      <c r="D64" s="7">
        <f t="shared" si="1"/>
        <v>0.55999999999999994</v>
      </c>
      <c r="E64" s="7">
        <f t="shared" si="2"/>
        <v>1.12E-2</v>
      </c>
      <c r="F64" s="7">
        <f t="shared" si="3"/>
        <v>0.54879999999999995</v>
      </c>
    </row>
    <row r="65" spans="1:6" ht="24" x14ac:dyDescent="0.35">
      <c r="A65" s="44" t="s">
        <v>1425</v>
      </c>
      <c r="B65" s="5" t="s">
        <v>390</v>
      </c>
      <c r="C65" s="7">
        <v>0.55500000000000005</v>
      </c>
      <c r="D65" s="7">
        <f t="shared" si="1"/>
        <v>0.51500000000000001</v>
      </c>
      <c r="E65" s="7">
        <f t="shared" si="2"/>
        <v>1.03E-2</v>
      </c>
      <c r="F65" s="7">
        <f t="shared" si="3"/>
        <v>0.50470000000000004</v>
      </c>
    </row>
    <row r="66" spans="1:6" x14ac:dyDescent="0.35">
      <c r="A66" s="45"/>
      <c r="B66" s="5" t="s">
        <v>1426</v>
      </c>
      <c r="C66" s="7">
        <v>0.505</v>
      </c>
      <c r="D66" s="7">
        <f t="shared" si="1"/>
        <v>0.46500000000000002</v>
      </c>
      <c r="E66" s="7">
        <f t="shared" si="2"/>
        <v>9.300000000000001E-3</v>
      </c>
      <c r="F66" s="7">
        <f t="shared" si="3"/>
        <v>0.45570000000000005</v>
      </c>
    </row>
    <row r="67" spans="1:6" ht="24" x14ac:dyDescent="0.35">
      <c r="A67" s="44" t="s">
        <v>1427</v>
      </c>
      <c r="B67" s="5" t="s">
        <v>390</v>
      </c>
      <c r="C67" s="7">
        <v>0.6</v>
      </c>
      <c r="D67" s="7">
        <f t="shared" si="1"/>
        <v>0.55999999999999994</v>
      </c>
      <c r="E67" s="7">
        <f t="shared" si="2"/>
        <v>1.12E-2</v>
      </c>
      <c r="F67" s="7">
        <f t="shared" si="3"/>
        <v>0.54879999999999995</v>
      </c>
    </row>
    <row r="68" spans="1:6" x14ac:dyDescent="0.35">
      <c r="A68" s="45"/>
      <c r="B68" s="5" t="s">
        <v>1426</v>
      </c>
      <c r="C68" s="7">
        <v>0.57999999999999996</v>
      </c>
      <c r="D68" s="7">
        <f t="shared" si="1"/>
        <v>0.53999999999999992</v>
      </c>
      <c r="E68" s="7">
        <f t="shared" si="2"/>
        <v>1.0799999999999999E-2</v>
      </c>
      <c r="F68" s="7">
        <f t="shared" si="3"/>
        <v>0.52919999999999989</v>
      </c>
    </row>
    <row r="69" spans="1:6" ht="24" x14ac:dyDescent="0.35">
      <c r="A69" s="44" t="s">
        <v>1428</v>
      </c>
      <c r="B69" s="5" t="s">
        <v>390</v>
      </c>
      <c r="C69" s="7">
        <v>0.6</v>
      </c>
      <c r="D69" s="7">
        <f t="shared" si="1"/>
        <v>0.55999999999999994</v>
      </c>
      <c r="E69" s="7">
        <f t="shared" si="2"/>
        <v>1.12E-2</v>
      </c>
      <c r="F69" s="7">
        <f t="shared" si="3"/>
        <v>0.54879999999999995</v>
      </c>
    </row>
    <row r="70" spans="1:6" x14ac:dyDescent="0.35">
      <c r="A70" s="45"/>
      <c r="B70" s="5" t="s">
        <v>1426</v>
      </c>
      <c r="C70" s="7">
        <v>0.57999999999999996</v>
      </c>
      <c r="D70" s="7">
        <f t="shared" si="1"/>
        <v>0.53999999999999992</v>
      </c>
      <c r="E70" s="7">
        <f t="shared" si="2"/>
        <v>1.0799999999999999E-2</v>
      </c>
      <c r="F70" s="7">
        <f t="shared" si="3"/>
        <v>0.52919999999999989</v>
      </c>
    </row>
    <row r="71" spans="1:6" x14ac:dyDescent="0.35">
      <c r="A71" s="2" t="s">
        <v>67</v>
      </c>
      <c r="B71" s="2" t="s">
        <v>1</v>
      </c>
      <c r="C71" s="3" t="s">
        <v>2</v>
      </c>
      <c r="D71" s="4" t="s">
        <v>4</v>
      </c>
      <c r="E71" s="4" t="s">
        <v>5</v>
      </c>
      <c r="F71" s="4" t="s">
        <v>6</v>
      </c>
    </row>
    <row r="72" spans="1:6" x14ac:dyDescent="0.35">
      <c r="A72" s="5" t="s">
        <v>391</v>
      </c>
      <c r="B72" s="5" t="s">
        <v>100</v>
      </c>
      <c r="C72" s="6">
        <v>0.25</v>
      </c>
      <c r="D72" s="7">
        <f t="shared" si="1"/>
        <v>0.21</v>
      </c>
      <c r="E72" s="7">
        <f t="shared" si="2"/>
        <v>4.1999999999999997E-3</v>
      </c>
      <c r="F72" s="7">
        <f t="shared" si="3"/>
        <v>0.20579999999999998</v>
      </c>
    </row>
    <row r="73" spans="1:6" x14ac:dyDescent="0.35">
      <c r="A73" s="5" t="s">
        <v>392</v>
      </c>
      <c r="B73" s="5" t="s">
        <v>100</v>
      </c>
      <c r="C73" s="6">
        <v>0.25</v>
      </c>
      <c r="D73" s="7">
        <f t="shared" si="1"/>
        <v>0.21</v>
      </c>
      <c r="E73" s="7">
        <f t="shared" si="2"/>
        <v>4.1999999999999997E-3</v>
      </c>
      <c r="F73" s="7">
        <f t="shared" si="3"/>
        <v>0.20579999999999998</v>
      </c>
    </row>
    <row r="74" spans="1:6" ht="24" x14ac:dyDescent="0.35">
      <c r="A74" s="24" t="s">
        <v>1429</v>
      </c>
      <c r="B74" s="5" t="s">
        <v>390</v>
      </c>
      <c r="C74" s="7">
        <v>0.55000000000000004</v>
      </c>
      <c r="D74" s="7">
        <f t="shared" si="1"/>
        <v>0.51</v>
      </c>
      <c r="E74" s="7">
        <f t="shared" si="2"/>
        <v>1.0200000000000001E-2</v>
      </c>
      <c r="F74" s="7">
        <f t="shared" si="3"/>
        <v>0.49980000000000002</v>
      </c>
    </row>
    <row r="75" spans="1:6" ht="24" x14ac:dyDescent="0.35">
      <c r="A75" s="24" t="s">
        <v>1430</v>
      </c>
      <c r="B75" s="5" t="s">
        <v>390</v>
      </c>
      <c r="C75" s="7">
        <v>0.6</v>
      </c>
      <c r="D75" s="7">
        <f t="shared" si="1"/>
        <v>0.55999999999999994</v>
      </c>
      <c r="E75" s="7">
        <f t="shared" si="2"/>
        <v>1.12E-2</v>
      </c>
      <c r="F75" s="7">
        <f t="shared" si="3"/>
        <v>0.54879999999999995</v>
      </c>
    </row>
    <row r="76" spans="1:6" ht="24" x14ac:dyDescent="0.35">
      <c r="A76" s="24" t="s">
        <v>1431</v>
      </c>
      <c r="B76" s="5" t="s">
        <v>390</v>
      </c>
      <c r="C76" s="7">
        <v>0.6</v>
      </c>
      <c r="D76" s="7">
        <f t="shared" si="1"/>
        <v>0.55999999999999994</v>
      </c>
      <c r="E76" s="7">
        <f t="shared" si="2"/>
        <v>1.12E-2</v>
      </c>
      <c r="F76" s="7">
        <f t="shared" si="3"/>
        <v>0.54879999999999995</v>
      </c>
    </row>
    <row r="77" spans="1:6" ht="24" x14ac:dyDescent="0.35">
      <c r="A77" s="44" t="s">
        <v>1432</v>
      </c>
      <c r="B77" s="5" t="s">
        <v>390</v>
      </c>
      <c r="C77" s="7">
        <v>0.55500000000000005</v>
      </c>
      <c r="D77" s="7">
        <f t="shared" ref="D77:D82" si="4">C77-(4%)</f>
        <v>0.51500000000000001</v>
      </c>
      <c r="E77" s="7">
        <f t="shared" ref="E77:E82" si="5">D77*2%</f>
        <v>1.03E-2</v>
      </c>
      <c r="F77" s="7">
        <f t="shared" ref="F77:F82" si="6">D77-E77</f>
        <v>0.50470000000000004</v>
      </c>
    </row>
    <row r="78" spans="1:6" x14ac:dyDescent="0.35">
      <c r="A78" s="45"/>
      <c r="B78" s="5" t="s">
        <v>1426</v>
      </c>
      <c r="C78" s="7">
        <v>0.505</v>
      </c>
      <c r="D78" s="7">
        <f t="shared" si="4"/>
        <v>0.46500000000000002</v>
      </c>
      <c r="E78" s="7">
        <f t="shared" si="5"/>
        <v>9.300000000000001E-3</v>
      </c>
      <c r="F78" s="7">
        <f t="shared" si="6"/>
        <v>0.45570000000000005</v>
      </c>
    </row>
    <row r="79" spans="1:6" ht="24" x14ac:dyDescent="0.35">
      <c r="A79" s="44" t="s">
        <v>1433</v>
      </c>
      <c r="B79" s="5" t="s">
        <v>390</v>
      </c>
      <c r="C79" s="7">
        <v>0.6</v>
      </c>
      <c r="D79" s="7">
        <f t="shared" si="4"/>
        <v>0.55999999999999994</v>
      </c>
      <c r="E79" s="7">
        <f t="shared" si="5"/>
        <v>1.12E-2</v>
      </c>
      <c r="F79" s="7">
        <f t="shared" si="6"/>
        <v>0.54879999999999995</v>
      </c>
    </row>
    <row r="80" spans="1:6" x14ac:dyDescent="0.35">
      <c r="A80" s="45"/>
      <c r="B80" s="5" t="s">
        <v>1426</v>
      </c>
      <c r="C80" s="7">
        <v>0.57999999999999996</v>
      </c>
      <c r="D80" s="7">
        <f t="shared" si="4"/>
        <v>0.53999999999999992</v>
      </c>
      <c r="E80" s="7">
        <f t="shared" si="5"/>
        <v>1.0799999999999999E-2</v>
      </c>
      <c r="F80" s="7">
        <f t="shared" si="6"/>
        <v>0.52919999999999989</v>
      </c>
    </row>
    <row r="81" spans="1:6" ht="24" x14ac:dyDescent="0.35">
      <c r="A81" s="44" t="s">
        <v>1434</v>
      </c>
      <c r="B81" s="5" t="s">
        <v>390</v>
      </c>
      <c r="C81" s="7">
        <v>0.6</v>
      </c>
      <c r="D81" s="7">
        <f t="shared" si="4"/>
        <v>0.55999999999999994</v>
      </c>
      <c r="E81" s="7">
        <f t="shared" si="5"/>
        <v>1.12E-2</v>
      </c>
      <c r="F81" s="7">
        <f t="shared" si="6"/>
        <v>0.54879999999999995</v>
      </c>
    </row>
    <row r="82" spans="1:6" x14ac:dyDescent="0.35">
      <c r="A82" s="45"/>
      <c r="B82" s="5" t="s">
        <v>1426</v>
      </c>
      <c r="C82" s="7">
        <v>0.57999999999999996</v>
      </c>
      <c r="D82" s="7">
        <f t="shared" si="4"/>
        <v>0.53999999999999992</v>
      </c>
      <c r="E82" s="7">
        <f t="shared" si="5"/>
        <v>1.0799999999999999E-2</v>
      </c>
      <c r="F82" s="7">
        <f t="shared" si="6"/>
        <v>0.52919999999999989</v>
      </c>
    </row>
    <row r="83" spans="1:6" ht="36" x14ac:dyDescent="0.35">
      <c r="A83" s="24" t="s">
        <v>1435</v>
      </c>
      <c r="B83" s="5" t="s">
        <v>390</v>
      </c>
      <c r="C83" s="7">
        <v>0.45500000000000002</v>
      </c>
      <c r="D83" s="7">
        <f t="shared" ref="D83:D153" si="7">C83-(4%)</f>
        <v>0.41500000000000004</v>
      </c>
      <c r="E83" s="7">
        <f t="shared" ref="E83:E153" si="8">D83*2%</f>
        <v>8.3000000000000001E-3</v>
      </c>
      <c r="F83" s="7">
        <f t="shared" ref="F83:F153" si="9">D83-E83</f>
        <v>0.40670000000000006</v>
      </c>
    </row>
    <row r="84" spans="1:6" ht="36" x14ac:dyDescent="0.35">
      <c r="A84" s="24" t="s">
        <v>1436</v>
      </c>
      <c r="B84" s="5" t="s">
        <v>390</v>
      </c>
      <c r="C84" s="7">
        <v>0.47499999999999998</v>
      </c>
      <c r="D84" s="7">
        <f t="shared" si="7"/>
        <v>0.435</v>
      </c>
      <c r="E84" s="7">
        <f t="shared" si="8"/>
        <v>8.6999999999999994E-3</v>
      </c>
      <c r="F84" s="7">
        <f t="shared" si="9"/>
        <v>0.42630000000000001</v>
      </c>
    </row>
    <row r="85" spans="1:6" ht="24" x14ac:dyDescent="0.35">
      <c r="A85" s="24" t="s">
        <v>1437</v>
      </c>
      <c r="B85" s="5" t="s">
        <v>390</v>
      </c>
      <c r="C85" s="7">
        <v>0.495</v>
      </c>
      <c r="D85" s="7">
        <f t="shared" si="7"/>
        <v>0.45500000000000002</v>
      </c>
      <c r="E85" s="7">
        <f t="shared" si="8"/>
        <v>9.1000000000000004E-3</v>
      </c>
      <c r="F85" s="7">
        <f t="shared" si="9"/>
        <v>0.44590000000000002</v>
      </c>
    </row>
    <row r="86" spans="1:6" ht="24" x14ac:dyDescent="0.35">
      <c r="A86" s="44" t="s">
        <v>1438</v>
      </c>
      <c r="B86" s="5" t="s">
        <v>390</v>
      </c>
      <c r="C86" s="7">
        <v>0.45500000000000002</v>
      </c>
      <c r="D86" s="7">
        <f t="shared" si="7"/>
        <v>0.41500000000000004</v>
      </c>
      <c r="E86" s="7">
        <f t="shared" si="8"/>
        <v>8.3000000000000001E-3</v>
      </c>
      <c r="F86" s="7">
        <f t="shared" si="9"/>
        <v>0.40670000000000006</v>
      </c>
    </row>
    <row r="87" spans="1:6" x14ac:dyDescent="0.35">
      <c r="A87" s="45"/>
      <c r="B87" s="5" t="s">
        <v>1426</v>
      </c>
      <c r="C87" s="7">
        <v>0.40500000000000003</v>
      </c>
      <c r="D87" s="7">
        <f t="shared" si="7"/>
        <v>0.36500000000000005</v>
      </c>
      <c r="E87" s="7">
        <f t="shared" si="8"/>
        <v>7.3000000000000009E-3</v>
      </c>
      <c r="F87" s="7">
        <f t="shared" si="9"/>
        <v>0.35770000000000002</v>
      </c>
    </row>
    <row r="88" spans="1:6" ht="24" x14ac:dyDescent="0.35">
      <c r="A88" s="44" t="s">
        <v>1439</v>
      </c>
      <c r="B88" s="5" t="s">
        <v>390</v>
      </c>
      <c r="C88" s="7">
        <v>0.47499999999999998</v>
      </c>
      <c r="D88" s="7">
        <f t="shared" si="7"/>
        <v>0.435</v>
      </c>
      <c r="E88" s="7">
        <f t="shared" si="8"/>
        <v>8.6999999999999994E-3</v>
      </c>
      <c r="F88" s="7">
        <f t="shared" si="9"/>
        <v>0.42630000000000001</v>
      </c>
    </row>
    <row r="89" spans="1:6" x14ac:dyDescent="0.35">
      <c r="A89" s="45"/>
      <c r="B89" s="5" t="s">
        <v>1426</v>
      </c>
      <c r="C89" s="7">
        <v>0.42499999999999999</v>
      </c>
      <c r="D89" s="7">
        <f t="shared" si="7"/>
        <v>0.38500000000000001</v>
      </c>
      <c r="E89" s="7">
        <f t="shared" si="8"/>
        <v>7.7000000000000002E-3</v>
      </c>
      <c r="F89" s="7">
        <f t="shared" si="9"/>
        <v>0.37730000000000002</v>
      </c>
    </row>
    <row r="90" spans="1:6" ht="24" x14ac:dyDescent="0.35">
      <c r="A90" s="44" t="s">
        <v>1440</v>
      </c>
      <c r="B90" s="5" t="s">
        <v>390</v>
      </c>
      <c r="C90" s="7">
        <v>0.495</v>
      </c>
      <c r="D90" s="7">
        <f t="shared" si="7"/>
        <v>0.45500000000000002</v>
      </c>
      <c r="E90" s="7">
        <f t="shared" si="8"/>
        <v>9.1000000000000004E-3</v>
      </c>
      <c r="F90" s="7">
        <f t="shared" si="9"/>
        <v>0.44590000000000002</v>
      </c>
    </row>
    <row r="91" spans="1:6" x14ac:dyDescent="0.35">
      <c r="A91" s="45"/>
      <c r="B91" s="5" t="s">
        <v>1426</v>
      </c>
      <c r="C91" s="7">
        <v>0.44500000000000001</v>
      </c>
      <c r="D91" s="7">
        <f t="shared" si="7"/>
        <v>0.40500000000000003</v>
      </c>
      <c r="E91" s="7">
        <f t="shared" si="8"/>
        <v>8.1000000000000013E-3</v>
      </c>
      <c r="F91" s="7">
        <f t="shared" si="9"/>
        <v>0.39690000000000003</v>
      </c>
    </row>
    <row r="92" spans="1:6" x14ac:dyDescent="0.35">
      <c r="A92" s="44" t="s">
        <v>1170</v>
      </c>
      <c r="B92" s="5" t="s">
        <v>380</v>
      </c>
      <c r="C92" s="7">
        <v>0.4</v>
      </c>
      <c r="D92" s="7">
        <f t="shared" si="7"/>
        <v>0.36000000000000004</v>
      </c>
      <c r="E92" s="7">
        <f t="shared" si="8"/>
        <v>7.2000000000000007E-3</v>
      </c>
      <c r="F92" s="7">
        <f t="shared" si="9"/>
        <v>0.35280000000000006</v>
      </c>
    </row>
    <row r="93" spans="1:6" x14ac:dyDescent="0.35">
      <c r="A93" s="45"/>
      <c r="B93" s="5" t="s">
        <v>377</v>
      </c>
      <c r="C93" s="7">
        <v>0.35</v>
      </c>
      <c r="D93" s="7">
        <f t="shared" si="7"/>
        <v>0.31</v>
      </c>
      <c r="E93" s="7">
        <f t="shared" si="8"/>
        <v>6.1999999999999998E-3</v>
      </c>
      <c r="F93" s="7">
        <f t="shared" si="9"/>
        <v>0.30380000000000001</v>
      </c>
    </row>
    <row r="94" spans="1:6" ht="14.5" customHeight="1" x14ac:dyDescent="0.35">
      <c r="A94" s="44" t="s">
        <v>1171</v>
      </c>
      <c r="B94" s="5" t="s">
        <v>380</v>
      </c>
      <c r="C94" s="7">
        <v>0.375</v>
      </c>
      <c r="D94" s="7">
        <f t="shared" si="7"/>
        <v>0.33500000000000002</v>
      </c>
      <c r="E94" s="7">
        <f t="shared" si="8"/>
        <v>6.7000000000000002E-3</v>
      </c>
      <c r="F94" s="7">
        <f t="shared" si="9"/>
        <v>0.32830000000000004</v>
      </c>
    </row>
    <row r="95" spans="1:6" x14ac:dyDescent="0.35">
      <c r="A95" s="45"/>
      <c r="B95" s="5" t="s">
        <v>377</v>
      </c>
      <c r="C95" s="7">
        <v>0.32500000000000001</v>
      </c>
      <c r="D95" s="7">
        <f t="shared" si="7"/>
        <v>0.28500000000000003</v>
      </c>
      <c r="E95" s="7">
        <f t="shared" si="8"/>
        <v>5.7000000000000011E-3</v>
      </c>
      <c r="F95" s="7">
        <f t="shared" si="9"/>
        <v>0.27930000000000005</v>
      </c>
    </row>
    <row r="96" spans="1:6" ht="14.5" customHeight="1" x14ac:dyDescent="0.35">
      <c r="A96" s="44" t="s">
        <v>82</v>
      </c>
      <c r="B96" s="5" t="s">
        <v>380</v>
      </c>
      <c r="C96" s="7">
        <v>0.3</v>
      </c>
      <c r="D96" s="7">
        <f t="shared" si="7"/>
        <v>0.26</v>
      </c>
      <c r="E96" s="7">
        <f t="shared" si="8"/>
        <v>5.2000000000000006E-3</v>
      </c>
      <c r="F96" s="7">
        <f t="shared" si="9"/>
        <v>0.25480000000000003</v>
      </c>
    </row>
    <row r="97" spans="1:6" x14ac:dyDescent="0.35">
      <c r="A97" s="45"/>
      <c r="B97" s="5" t="s">
        <v>377</v>
      </c>
      <c r="C97" s="7">
        <v>0.25</v>
      </c>
      <c r="D97" s="7">
        <f t="shared" si="7"/>
        <v>0.21</v>
      </c>
      <c r="E97" s="7">
        <f t="shared" si="8"/>
        <v>4.1999999999999997E-3</v>
      </c>
      <c r="F97" s="7">
        <f t="shared" si="9"/>
        <v>0.20579999999999998</v>
      </c>
    </row>
    <row r="98" spans="1:6" ht="14.5" customHeight="1" x14ac:dyDescent="0.35">
      <c r="A98" s="44" t="s">
        <v>83</v>
      </c>
      <c r="B98" s="5" t="s">
        <v>380</v>
      </c>
      <c r="C98" s="7">
        <v>0.25</v>
      </c>
      <c r="D98" s="7">
        <f t="shared" si="7"/>
        <v>0.21</v>
      </c>
      <c r="E98" s="7">
        <f t="shared" si="8"/>
        <v>4.1999999999999997E-3</v>
      </c>
      <c r="F98" s="7">
        <f t="shared" si="9"/>
        <v>0.20579999999999998</v>
      </c>
    </row>
    <row r="99" spans="1:6" x14ac:dyDescent="0.35">
      <c r="A99" s="45"/>
      <c r="B99" s="5" t="s">
        <v>377</v>
      </c>
      <c r="C99" s="7">
        <v>0.2</v>
      </c>
      <c r="D99" s="7">
        <f t="shared" si="7"/>
        <v>0.16</v>
      </c>
      <c r="E99" s="7">
        <f t="shared" si="8"/>
        <v>3.2000000000000002E-3</v>
      </c>
      <c r="F99" s="7">
        <f t="shared" si="9"/>
        <v>0.15679999999999999</v>
      </c>
    </row>
    <row r="100" spans="1:6" ht="14.5" customHeight="1" x14ac:dyDescent="0.35">
      <c r="A100" s="44" t="s">
        <v>84</v>
      </c>
      <c r="B100" s="5" t="s">
        <v>380</v>
      </c>
      <c r="C100" s="7">
        <v>0.3</v>
      </c>
      <c r="D100" s="7">
        <f t="shared" si="7"/>
        <v>0.26</v>
      </c>
      <c r="E100" s="7">
        <f t="shared" si="8"/>
        <v>5.2000000000000006E-3</v>
      </c>
      <c r="F100" s="7">
        <f t="shared" si="9"/>
        <v>0.25480000000000003</v>
      </c>
    </row>
    <row r="101" spans="1:6" x14ac:dyDescent="0.35">
      <c r="A101" s="45"/>
      <c r="B101" s="5" t="s">
        <v>377</v>
      </c>
      <c r="C101" s="7">
        <v>0.25</v>
      </c>
      <c r="D101" s="7">
        <f t="shared" si="7"/>
        <v>0.21</v>
      </c>
      <c r="E101" s="7">
        <f t="shared" si="8"/>
        <v>4.1999999999999997E-3</v>
      </c>
      <c r="F101" s="7">
        <f t="shared" si="9"/>
        <v>0.20579999999999998</v>
      </c>
    </row>
    <row r="102" spans="1:6" ht="14.5" customHeight="1" x14ac:dyDescent="0.35">
      <c r="A102" s="44" t="s">
        <v>85</v>
      </c>
      <c r="B102" s="5" t="s">
        <v>380</v>
      </c>
      <c r="C102" s="7">
        <v>0.25</v>
      </c>
      <c r="D102" s="7">
        <f t="shared" si="7"/>
        <v>0.21</v>
      </c>
      <c r="E102" s="7">
        <f t="shared" si="8"/>
        <v>4.1999999999999997E-3</v>
      </c>
      <c r="F102" s="7">
        <f t="shared" si="9"/>
        <v>0.20579999999999998</v>
      </c>
    </row>
    <row r="103" spans="1:6" x14ac:dyDescent="0.35">
      <c r="A103" s="45"/>
      <c r="B103" s="5" t="s">
        <v>377</v>
      </c>
      <c r="C103" s="7">
        <v>0.2</v>
      </c>
      <c r="D103" s="7">
        <f t="shared" si="7"/>
        <v>0.16</v>
      </c>
      <c r="E103" s="7">
        <f t="shared" si="8"/>
        <v>3.2000000000000002E-3</v>
      </c>
      <c r="F103" s="7">
        <f t="shared" si="9"/>
        <v>0.15679999999999999</v>
      </c>
    </row>
    <row r="104" spans="1:6" x14ac:dyDescent="0.35">
      <c r="A104" s="44" t="s">
        <v>396</v>
      </c>
      <c r="B104" s="11" t="s">
        <v>397</v>
      </c>
      <c r="C104" s="7">
        <v>0.28999999999999998</v>
      </c>
      <c r="D104" s="7">
        <f t="shared" si="7"/>
        <v>0.24999999999999997</v>
      </c>
      <c r="E104" s="7">
        <f t="shared" si="8"/>
        <v>4.9999999999999992E-3</v>
      </c>
      <c r="F104" s="7">
        <f t="shared" si="9"/>
        <v>0.24499999999999997</v>
      </c>
    </row>
    <row r="105" spans="1:6" x14ac:dyDescent="0.35">
      <c r="A105" s="47"/>
      <c r="B105" s="11" t="s">
        <v>398</v>
      </c>
      <c r="C105" s="7">
        <v>0.55000000000000004</v>
      </c>
      <c r="D105" s="7">
        <f t="shared" si="7"/>
        <v>0.51</v>
      </c>
      <c r="E105" s="7">
        <f t="shared" si="8"/>
        <v>1.0200000000000001E-2</v>
      </c>
      <c r="F105" s="7">
        <f t="shared" si="9"/>
        <v>0.49980000000000002</v>
      </c>
    </row>
    <row r="106" spans="1:6" x14ac:dyDescent="0.35">
      <c r="A106" s="45"/>
      <c r="B106" s="11" t="s">
        <v>380</v>
      </c>
      <c r="C106" s="7">
        <v>0.59</v>
      </c>
      <c r="D106" s="7">
        <f t="shared" si="7"/>
        <v>0.54999999999999993</v>
      </c>
      <c r="E106" s="7">
        <f t="shared" si="8"/>
        <v>1.0999999999999999E-2</v>
      </c>
      <c r="F106" s="7">
        <f t="shared" si="9"/>
        <v>0.53899999999999992</v>
      </c>
    </row>
    <row r="107" spans="1:6" x14ac:dyDescent="0.35">
      <c r="A107" s="44" t="s">
        <v>90</v>
      </c>
      <c r="B107" s="11" t="s">
        <v>397</v>
      </c>
      <c r="C107" s="7">
        <v>0.28999999999999998</v>
      </c>
      <c r="D107" s="7">
        <f t="shared" si="7"/>
        <v>0.24999999999999997</v>
      </c>
      <c r="E107" s="7">
        <f t="shared" si="8"/>
        <v>4.9999999999999992E-3</v>
      </c>
      <c r="F107" s="7">
        <f t="shared" si="9"/>
        <v>0.24499999999999997</v>
      </c>
    </row>
    <row r="108" spans="1:6" x14ac:dyDescent="0.35">
      <c r="A108" s="47"/>
      <c r="B108" s="11" t="s">
        <v>398</v>
      </c>
      <c r="C108" s="7">
        <v>0.28999999999999998</v>
      </c>
      <c r="D108" s="7">
        <f t="shared" si="7"/>
        <v>0.24999999999999997</v>
      </c>
      <c r="E108" s="7">
        <f t="shared" si="8"/>
        <v>4.9999999999999992E-3</v>
      </c>
      <c r="F108" s="7">
        <f t="shared" si="9"/>
        <v>0.24499999999999997</v>
      </c>
    </row>
    <row r="109" spans="1:6" x14ac:dyDescent="0.35">
      <c r="A109" s="45"/>
      <c r="B109" s="11" t="s">
        <v>380</v>
      </c>
      <c r="C109" s="7">
        <v>0.28999999999999998</v>
      </c>
      <c r="D109" s="7">
        <f t="shared" si="7"/>
        <v>0.24999999999999997</v>
      </c>
      <c r="E109" s="7">
        <f t="shared" si="8"/>
        <v>4.9999999999999992E-3</v>
      </c>
      <c r="F109" s="7">
        <f t="shared" si="9"/>
        <v>0.24499999999999997</v>
      </c>
    </row>
    <row r="110" spans="1:6" x14ac:dyDescent="0.35">
      <c r="A110" s="41" t="s">
        <v>1147</v>
      </c>
      <c r="B110" s="5" t="s">
        <v>398</v>
      </c>
      <c r="C110" s="7">
        <v>0.37</v>
      </c>
      <c r="D110" s="7">
        <f t="shared" si="7"/>
        <v>0.33</v>
      </c>
      <c r="E110" s="7">
        <f t="shared" si="8"/>
        <v>6.6000000000000008E-3</v>
      </c>
      <c r="F110" s="7">
        <f t="shared" si="9"/>
        <v>0.32340000000000002</v>
      </c>
    </row>
    <row r="111" spans="1:6" x14ac:dyDescent="0.35">
      <c r="A111" s="42"/>
      <c r="B111" s="5" t="s">
        <v>380</v>
      </c>
      <c r="C111" s="7">
        <v>0.1</v>
      </c>
      <c r="D111" s="7">
        <f t="shared" si="7"/>
        <v>6.0000000000000005E-2</v>
      </c>
      <c r="E111" s="7">
        <f t="shared" si="8"/>
        <v>1.2000000000000001E-3</v>
      </c>
      <c r="F111" s="7">
        <f t="shared" si="9"/>
        <v>5.8800000000000005E-2</v>
      </c>
    </row>
    <row r="112" spans="1:6" x14ac:dyDescent="0.35">
      <c r="A112" s="43"/>
      <c r="B112" s="5" t="s">
        <v>378</v>
      </c>
      <c r="C112" s="7">
        <v>0</v>
      </c>
      <c r="D112" s="7" t="s">
        <v>20</v>
      </c>
      <c r="E112" s="7" t="s">
        <v>20</v>
      </c>
      <c r="F112" s="7" t="s">
        <v>20</v>
      </c>
    </row>
    <row r="113" spans="1:6" x14ac:dyDescent="0.35">
      <c r="A113" s="48" t="s">
        <v>399</v>
      </c>
      <c r="B113" s="5" t="s">
        <v>398</v>
      </c>
      <c r="C113" s="7">
        <v>0.5</v>
      </c>
      <c r="D113" s="7">
        <f t="shared" si="7"/>
        <v>0.46</v>
      </c>
      <c r="E113" s="7">
        <f t="shared" si="8"/>
        <v>9.1999999999999998E-3</v>
      </c>
      <c r="F113" s="7">
        <f t="shared" si="9"/>
        <v>0.45080000000000003</v>
      </c>
    </row>
    <row r="114" spans="1:6" x14ac:dyDescent="0.35">
      <c r="A114" s="48"/>
      <c r="B114" s="5" t="s">
        <v>380</v>
      </c>
      <c r="C114" s="7">
        <v>0.28000000000000003</v>
      </c>
      <c r="D114" s="7">
        <f t="shared" si="7"/>
        <v>0.24000000000000002</v>
      </c>
      <c r="E114" s="7">
        <f t="shared" si="8"/>
        <v>4.8000000000000004E-3</v>
      </c>
      <c r="F114" s="7">
        <f t="shared" si="9"/>
        <v>0.23520000000000002</v>
      </c>
    </row>
    <row r="115" spans="1:6" x14ac:dyDescent="0.35">
      <c r="A115" s="48"/>
      <c r="B115" s="5" t="s">
        <v>378</v>
      </c>
      <c r="C115" s="7">
        <v>0.55000000000000004</v>
      </c>
      <c r="D115" s="7">
        <f t="shared" si="7"/>
        <v>0.51</v>
      </c>
      <c r="E115" s="7">
        <f t="shared" si="8"/>
        <v>1.0200000000000001E-2</v>
      </c>
      <c r="F115" s="7">
        <f t="shared" si="9"/>
        <v>0.49980000000000002</v>
      </c>
    </row>
    <row r="116" spans="1:6" x14ac:dyDescent="0.35">
      <c r="A116" s="48"/>
      <c r="B116" s="5" t="s">
        <v>379</v>
      </c>
      <c r="C116" s="7">
        <v>0.55000000000000004</v>
      </c>
      <c r="D116" s="7">
        <f t="shared" si="7"/>
        <v>0.51</v>
      </c>
      <c r="E116" s="7">
        <f t="shared" si="8"/>
        <v>1.0200000000000001E-2</v>
      </c>
      <c r="F116" s="7">
        <f t="shared" si="9"/>
        <v>0.49980000000000002</v>
      </c>
    </row>
    <row r="117" spans="1:6" x14ac:dyDescent="0.35">
      <c r="A117" s="44" t="s">
        <v>91</v>
      </c>
      <c r="B117" s="5" t="s">
        <v>92</v>
      </c>
      <c r="C117" s="6">
        <v>0.5</v>
      </c>
      <c r="D117" s="7">
        <f t="shared" si="7"/>
        <v>0.46</v>
      </c>
      <c r="E117" s="7">
        <f t="shared" si="8"/>
        <v>9.1999999999999998E-3</v>
      </c>
      <c r="F117" s="7">
        <f t="shared" si="9"/>
        <v>0.45080000000000003</v>
      </c>
    </row>
    <row r="118" spans="1:6" x14ac:dyDescent="0.35">
      <c r="A118" s="45"/>
      <c r="B118" s="5" t="s">
        <v>93</v>
      </c>
      <c r="C118" s="6">
        <v>0.5</v>
      </c>
      <c r="D118" s="7">
        <f t="shared" si="7"/>
        <v>0.46</v>
      </c>
      <c r="E118" s="7">
        <f t="shared" si="8"/>
        <v>9.1999999999999998E-3</v>
      </c>
      <c r="F118" s="7">
        <f t="shared" si="9"/>
        <v>0.45080000000000003</v>
      </c>
    </row>
    <row r="119" spans="1:6" x14ac:dyDescent="0.35">
      <c r="A119" s="41" t="s">
        <v>1192</v>
      </c>
      <c r="B119" s="5" t="s">
        <v>400</v>
      </c>
      <c r="C119" s="6">
        <v>0.48499999999999999</v>
      </c>
      <c r="D119" s="7">
        <f t="shared" si="7"/>
        <v>0.44500000000000001</v>
      </c>
      <c r="E119" s="7">
        <f t="shared" si="8"/>
        <v>8.8999999999999999E-3</v>
      </c>
      <c r="F119" s="7">
        <f t="shared" si="9"/>
        <v>0.43609999999999999</v>
      </c>
    </row>
    <row r="120" spans="1:6" x14ac:dyDescent="0.35">
      <c r="A120" s="42"/>
      <c r="B120" s="5" t="s">
        <v>401</v>
      </c>
      <c r="C120" s="6">
        <v>0.34499999999999997</v>
      </c>
      <c r="D120" s="7">
        <f t="shared" si="7"/>
        <v>0.30499999999999999</v>
      </c>
      <c r="E120" s="7">
        <f t="shared" si="8"/>
        <v>6.1000000000000004E-3</v>
      </c>
      <c r="F120" s="7">
        <f t="shared" si="9"/>
        <v>0.2989</v>
      </c>
    </row>
    <row r="121" spans="1:6" x14ac:dyDescent="0.35">
      <c r="A121" s="43"/>
      <c r="B121" s="5" t="s">
        <v>402</v>
      </c>
      <c r="C121" s="6">
        <v>0.19500000000000001</v>
      </c>
      <c r="D121" s="7">
        <f t="shared" si="7"/>
        <v>0.155</v>
      </c>
      <c r="E121" s="7">
        <f t="shared" si="8"/>
        <v>3.0999999999999999E-3</v>
      </c>
      <c r="F121" s="7">
        <f t="shared" si="9"/>
        <v>0.15190000000000001</v>
      </c>
    </row>
    <row r="122" spans="1:6" x14ac:dyDescent="0.35">
      <c r="A122" s="41" t="s">
        <v>1193</v>
      </c>
      <c r="B122" s="5" t="s">
        <v>400</v>
      </c>
      <c r="C122" s="6">
        <v>0.52</v>
      </c>
      <c r="D122" s="7">
        <f t="shared" si="7"/>
        <v>0.48000000000000004</v>
      </c>
      <c r="E122" s="7">
        <f t="shared" si="8"/>
        <v>9.6000000000000009E-3</v>
      </c>
      <c r="F122" s="7">
        <f t="shared" si="9"/>
        <v>0.47040000000000004</v>
      </c>
    </row>
    <row r="123" spans="1:6" x14ac:dyDescent="0.35">
      <c r="A123" s="42"/>
      <c r="B123" s="5" t="s">
        <v>401</v>
      </c>
      <c r="C123" s="6">
        <v>0.29499999999999998</v>
      </c>
      <c r="D123" s="7">
        <f t="shared" si="7"/>
        <v>0.255</v>
      </c>
      <c r="E123" s="7">
        <f t="shared" si="8"/>
        <v>5.1000000000000004E-3</v>
      </c>
      <c r="F123" s="7">
        <f t="shared" si="9"/>
        <v>0.24990000000000001</v>
      </c>
    </row>
    <row r="124" spans="1:6" x14ac:dyDescent="0.35">
      <c r="A124" s="43"/>
      <c r="B124" s="5" t="s">
        <v>402</v>
      </c>
      <c r="C124" s="6">
        <v>0.29499999999999998</v>
      </c>
      <c r="D124" s="7">
        <f t="shared" si="7"/>
        <v>0.255</v>
      </c>
      <c r="E124" s="7">
        <f t="shared" si="8"/>
        <v>5.1000000000000004E-3</v>
      </c>
      <c r="F124" s="7">
        <f t="shared" si="9"/>
        <v>0.24990000000000001</v>
      </c>
    </row>
    <row r="125" spans="1:6" x14ac:dyDescent="0.35">
      <c r="A125" s="41" t="s">
        <v>1194</v>
      </c>
      <c r="B125" s="5" t="s">
        <v>400</v>
      </c>
      <c r="C125" s="6">
        <v>0.52</v>
      </c>
      <c r="D125" s="7">
        <f t="shared" si="7"/>
        <v>0.48000000000000004</v>
      </c>
      <c r="E125" s="7">
        <f t="shared" si="8"/>
        <v>9.6000000000000009E-3</v>
      </c>
      <c r="F125" s="7">
        <f t="shared" si="9"/>
        <v>0.47040000000000004</v>
      </c>
    </row>
    <row r="126" spans="1:6" x14ac:dyDescent="0.35">
      <c r="A126" s="42"/>
      <c r="B126" s="5" t="s">
        <v>401</v>
      </c>
      <c r="C126" s="6">
        <v>0.42499999999999999</v>
      </c>
      <c r="D126" s="7">
        <f t="shared" si="7"/>
        <v>0.38500000000000001</v>
      </c>
      <c r="E126" s="7">
        <f t="shared" si="8"/>
        <v>7.7000000000000002E-3</v>
      </c>
      <c r="F126" s="7">
        <f t="shared" si="9"/>
        <v>0.37730000000000002</v>
      </c>
    </row>
    <row r="127" spans="1:6" x14ac:dyDescent="0.35">
      <c r="A127" s="43"/>
      <c r="B127" s="5" t="s">
        <v>402</v>
      </c>
      <c r="C127" s="6">
        <v>0.29499999999999998</v>
      </c>
      <c r="D127" s="7">
        <f t="shared" si="7"/>
        <v>0.255</v>
      </c>
      <c r="E127" s="7">
        <f t="shared" si="8"/>
        <v>5.1000000000000004E-3</v>
      </c>
      <c r="F127" s="7">
        <f t="shared" si="9"/>
        <v>0.24990000000000001</v>
      </c>
    </row>
    <row r="128" spans="1:6" x14ac:dyDescent="0.35">
      <c r="A128" s="41" t="s">
        <v>1195</v>
      </c>
      <c r="B128" s="5" t="s">
        <v>400</v>
      </c>
      <c r="C128" s="6">
        <v>0.52</v>
      </c>
      <c r="D128" s="7">
        <f t="shared" si="7"/>
        <v>0.48000000000000004</v>
      </c>
      <c r="E128" s="7">
        <f t="shared" si="8"/>
        <v>9.6000000000000009E-3</v>
      </c>
      <c r="F128" s="7">
        <f t="shared" si="9"/>
        <v>0.47040000000000004</v>
      </c>
    </row>
    <row r="129" spans="1:6" x14ac:dyDescent="0.35">
      <c r="A129" s="42"/>
      <c r="B129" s="5" t="s">
        <v>401</v>
      </c>
      <c r="C129" s="6">
        <v>0</v>
      </c>
      <c r="D129" s="7" t="s">
        <v>20</v>
      </c>
      <c r="E129" s="7" t="s">
        <v>20</v>
      </c>
      <c r="F129" s="7" t="s">
        <v>20</v>
      </c>
    </row>
    <row r="130" spans="1:6" x14ac:dyDescent="0.35">
      <c r="A130" s="43"/>
      <c r="B130" s="5" t="s">
        <v>402</v>
      </c>
      <c r="C130" s="6">
        <v>0</v>
      </c>
      <c r="D130" s="7" t="s">
        <v>20</v>
      </c>
      <c r="E130" s="7" t="s">
        <v>20</v>
      </c>
      <c r="F130" s="7" t="s">
        <v>20</v>
      </c>
    </row>
    <row r="131" spans="1:6" x14ac:dyDescent="0.35">
      <c r="A131" s="41" t="s">
        <v>403</v>
      </c>
      <c r="B131" s="5" t="s">
        <v>98</v>
      </c>
      <c r="C131" s="6">
        <v>0.19500000000000001</v>
      </c>
      <c r="D131" s="7">
        <f t="shared" si="7"/>
        <v>0.155</v>
      </c>
      <c r="E131" s="7">
        <f t="shared" si="8"/>
        <v>3.0999999999999999E-3</v>
      </c>
      <c r="F131" s="7">
        <f t="shared" si="9"/>
        <v>0.15190000000000001</v>
      </c>
    </row>
    <row r="132" spans="1:6" x14ac:dyDescent="0.35">
      <c r="A132" s="43"/>
      <c r="B132" s="5" t="s">
        <v>99</v>
      </c>
      <c r="C132" s="6">
        <v>0.52500000000000002</v>
      </c>
      <c r="D132" s="7">
        <f t="shared" si="7"/>
        <v>0.48500000000000004</v>
      </c>
      <c r="E132" s="7">
        <f t="shared" si="8"/>
        <v>9.7000000000000003E-3</v>
      </c>
      <c r="F132" s="7">
        <f t="shared" si="9"/>
        <v>0.47530000000000006</v>
      </c>
    </row>
    <row r="133" spans="1:6" x14ac:dyDescent="0.35">
      <c r="A133" s="23" t="s">
        <v>1309</v>
      </c>
      <c r="B133" s="5" t="s">
        <v>100</v>
      </c>
      <c r="C133" s="6">
        <v>0.55000000000000004</v>
      </c>
      <c r="D133" s="7">
        <f t="shared" ref="D133" si="10">C133-(4%)</f>
        <v>0.51</v>
      </c>
      <c r="E133" s="7">
        <f t="shared" ref="E133" si="11">D133*2%</f>
        <v>1.0200000000000001E-2</v>
      </c>
      <c r="F133" s="7">
        <f t="shared" ref="F133" si="12">D133-E133</f>
        <v>0.49980000000000002</v>
      </c>
    </row>
    <row r="134" spans="1:6" x14ac:dyDescent="0.35">
      <c r="A134" s="2" t="s">
        <v>104</v>
      </c>
      <c r="B134" s="2" t="s">
        <v>1</v>
      </c>
      <c r="C134" s="3" t="s">
        <v>2</v>
      </c>
      <c r="D134" s="4" t="s">
        <v>4</v>
      </c>
      <c r="E134" s="4" t="s">
        <v>5</v>
      </c>
      <c r="F134" s="4" t="s">
        <v>6</v>
      </c>
    </row>
    <row r="135" spans="1:6" x14ac:dyDescent="0.35">
      <c r="A135" s="40" t="s">
        <v>404</v>
      </c>
      <c r="B135" s="11" t="s">
        <v>372</v>
      </c>
      <c r="C135" s="7">
        <v>0.13</v>
      </c>
      <c r="D135" s="7">
        <f t="shared" si="7"/>
        <v>0.09</v>
      </c>
      <c r="E135" s="7">
        <f t="shared" si="8"/>
        <v>1.8E-3</v>
      </c>
      <c r="F135" s="7">
        <f t="shared" si="9"/>
        <v>8.8200000000000001E-2</v>
      </c>
    </row>
    <row r="136" spans="1:6" x14ac:dyDescent="0.35">
      <c r="A136" s="40"/>
      <c r="B136" s="11" t="s">
        <v>371</v>
      </c>
      <c r="C136" s="7">
        <v>0.14000000000000001</v>
      </c>
      <c r="D136" s="7">
        <f t="shared" si="7"/>
        <v>0.1</v>
      </c>
      <c r="E136" s="7">
        <f t="shared" si="8"/>
        <v>2E-3</v>
      </c>
      <c r="F136" s="7">
        <f t="shared" si="9"/>
        <v>9.8000000000000004E-2</v>
      </c>
    </row>
    <row r="137" spans="1:6" ht="24" x14ac:dyDescent="0.35">
      <c r="A137" s="40"/>
      <c r="B137" s="11" t="s">
        <v>370</v>
      </c>
      <c r="C137" s="7">
        <v>0.32</v>
      </c>
      <c r="D137" s="7">
        <f t="shared" si="7"/>
        <v>0.28000000000000003</v>
      </c>
      <c r="E137" s="7">
        <f t="shared" si="8"/>
        <v>5.6000000000000008E-3</v>
      </c>
      <c r="F137" s="7">
        <f t="shared" si="9"/>
        <v>0.27440000000000003</v>
      </c>
    </row>
    <row r="138" spans="1:6" x14ac:dyDescent="0.35">
      <c r="A138" s="40"/>
      <c r="B138" s="11" t="s">
        <v>369</v>
      </c>
      <c r="C138" s="7">
        <v>0.13</v>
      </c>
      <c r="D138" s="7">
        <f t="shared" si="7"/>
        <v>0.09</v>
      </c>
      <c r="E138" s="7">
        <f t="shared" si="8"/>
        <v>1.8E-3</v>
      </c>
      <c r="F138" s="7">
        <f t="shared" si="9"/>
        <v>8.8200000000000001E-2</v>
      </c>
    </row>
    <row r="139" spans="1:6" x14ac:dyDescent="0.35">
      <c r="A139" s="40"/>
      <c r="B139" s="11" t="s">
        <v>373</v>
      </c>
      <c r="C139" s="7">
        <v>0.19</v>
      </c>
      <c r="D139" s="7">
        <f t="shared" si="7"/>
        <v>0.15</v>
      </c>
      <c r="E139" s="7">
        <f t="shared" si="8"/>
        <v>3.0000000000000001E-3</v>
      </c>
      <c r="F139" s="7">
        <f t="shared" si="9"/>
        <v>0.14699999999999999</v>
      </c>
    </row>
    <row r="140" spans="1:6" x14ac:dyDescent="0.35">
      <c r="A140" s="40"/>
      <c r="B140" s="11" t="s">
        <v>368</v>
      </c>
      <c r="C140" s="7">
        <v>0.06</v>
      </c>
      <c r="D140" s="7">
        <f t="shared" si="7"/>
        <v>1.9999999999999997E-2</v>
      </c>
      <c r="E140" s="7">
        <f t="shared" si="8"/>
        <v>3.9999999999999996E-4</v>
      </c>
      <c r="F140" s="7">
        <f t="shared" si="9"/>
        <v>1.9599999999999996E-2</v>
      </c>
    </row>
    <row r="141" spans="1:6" x14ac:dyDescent="0.35">
      <c r="A141" s="40" t="s">
        <v>405</v>
      </c>
      <c r="B141" s="11" t="s">
        <v>368</v>
      </c>
      <c r="C141" s="7">
        <v>0.12000000000000001</v>
      </c>
      <c r="D141" s="7">
        <f t="shared" si="7"/>
        <v>8.0000000000000016E-2</v>
      </c>
      <c r="E141" s="7">
        <f t="shared" si="8"/>
        <v>1.6000000000000003E-3</v>
      </c>
      <c r="F141" s="7">
        <f t="shared" si="9"/>
        <v>7.8400000000000011E-2</v>
      </c>
    </row>
    <row r="142" spans="1:6" x14ac:dyDescent="0.35">
      <c r="A142" s="40"/>
      <c r="B142" s="11" t="s">
        <v>369</v>
      </c>
      <c r="C142" s="7">
        <v>0.28000000000000003</v>
      </c>
      <c r="D142" s="7">
        <f t="shared" si="7"/>
        <v>0.24000000000000002</v>
      </c>
      <c r="E142" s="7">
        <f t="shared" si="8"/>
        <v>4.8000000000000004E-3</v>
      </c>
      <c r="F142" s="7">
        <f t="shared" si="9"/>
        <v>0.23520000000000002</v>
      </c>
    </row>
    <row r="143" spans="1:6" ht="24" x14ac:dyDescent="0.35">
      <c r="A143" s="40"/>
      <c r="B143" s="11" t="s">
        <v>370</v>
      </c>
      <c r="C143" s="7">
        <v>0.35</v>
      </c>
      <c r="D143" s="7">
        <f t="shared" si="7"/>
        <v>0.31</v>
      </c>
      <c r="E143" s="7">
        <f t="shared" si="8"/>
        <v>6.1999999999999998E-3</v>
      </c>
      <c r="F143" s="7">
        <f t="shared" si="9"/>
        <v>0.30380000000000001</v>
      </c>
    </row>
    <row r="144" spans="1:6" x14ac:dyDescent="0.35">
      <c r="A144" s="40"/>
      <c r="B144" s="11" t="s">
        <v>371</v>
      </c>
      <c r="C144" s="7">
        <v>0.25</v>
      </c>
      <c r="D144" s="7">
        <f t="shared" si="7"/>
        <v>0.21</v>
      </c>
      <c r="E144" s="7">
        <f t="shared" si="8"/>
        <v>4.1999999999999997E-3</v>
      </c>
      <c r="F144" s="7">
        <f t="shared" si="9"/>
        <v>0.20579999999999998</v>
      </c>
    </row>
    <row r="145" spans="1:6" x14ac:dyDescent="0.35">
      <c r="A145" s="40"/>
      <c r="B145" s="11" t="s">
        <v>372</v>
      </c>
      <c r="C145" s="7">
        <v>0.24</v>
      </c>
      <c r="D145" s="7">
        <f t="shared" si="7"/>
        <v>0.19999999999999998</v>
      </c>
      <c r="E145" s="7">
        <f t="shared" si="8"/>
        <v>4.0000000000000001E-3</v>
      </c>
      <c r="F145" s="7">
        <f t="shared" si="9"/>
        <v>0.19599999999999998</v>
      </c>
    </row>
    <row r="146" spans="1:6" x14ac:dyDescent="0.35">
      <c r="A146" s="40"/>
      <c r="B146" s="11" t="s">
        <v>373</v>
      </c>
      <c r="C146" s="7">
        <v>0.31</v>
      </c>
      <c r="D146" s="7">
        <f t="shared" si="7"/>
        <v>0.27</v>
      </c>
      <c r="E146" s="7">
        <f t="shared" si="8"/>
        <v>5.4000000000000003E-3</v>
      </c>
      <c r="F146" s="7">
        <f t="shared" si="9"/>
        <v>0.2646</v>
      </c>
    </row>
    <row r="147" spans="1:6" x14ac:dyDescent="0.35">
      <c r="A147" s="5" t="s">
        <v>406</v>
      </c>
      <c r="B147" s="5" t="s">
        <v>380</v>
      </c>
      <c r="C147" s="7">
        <v>0.41499999999999998</v>
      </c>
      <c r="D147" s="7">
        <f t="shared" si="7"/>
        <v>0.375</v>
      </c>
      <c r="E147" s="7">
        <f t="shared" si="8"/>
        <v>7.4999999999999997E-3</v>
      </c>
      <c r="F147" s="7">
        <f t="shared" si="9"/>
        <v>0.36749999999999999</v>
      </c>
    </row>
    <row r="148" spans="1:6" x14ac:dyDescent="0.35">
      <c r="A148" s="5" t="s">
        <v>112</v>
      </c>
      <c r="B148" s="5" t="s">
        <v>380</v>
      </c>
      <c r="C148" s="7">
        <v>5.5E-2</v>
      </c>
      <c r="D148" s="7" t="s">
        <v>20</v>
      </c>
      <c r="E148" s="7" t="s">
        <v>20</v>
      </c>
      <c r="F148" s="7" t="s">
        <v>20</v>
      </c>
    </row>
    <row r="149" spans="1:6" x14ac:dyDescent="0.35">
      <c r="A149" s="44" t="s">
        <v>110</v>
      </c>
      <c r="B149" s="11" t="s">
        <v>397</v>
      </c>
      <c r="C149" s="7">
        <v>0</v>
      </c>
      <c r="D149" s="7" t="s">
        <v>20</v>
      </c>
      <c r="E149" s="7" t="s">
        <v>20</v>
      </c>
      <c r="F149" s="7" t="s">
        <v>20</v>
      </c>
    </row>
    <row r="150" spans="1:6" x14ac:dyDescent="0.35">
      <c r="A150" s="47"/>
      <c r="B150" s="11" t="s">
        <v>398</v>
      </c>
      <c r="C150" s="7">
        <v>0</v>
      </c>
      <c r="D150" s="7" t="s">
        <v>20</v>
      </c>
      <c r="E150" s="7" t="s">
        <v>20</v>
      </c>
      <c r="F150" s="7" t="s">
        <v>20</v>
      </c>
    </row>
    <row r="151" spans="1:6" x14ac:dyDescent="0.35">
      <c r="A151" s="45"/>
      <c r="B151" s="11" t="s">
        <v>380</v>
      </c>
      <c r="C151" s="7">
        <v>0.37</v>
      </c>
      <c r="D151" s="7">
        <f t="shared" si="7"/>
        <v>0.33</v>
      </c>
      <c r="E151" s="7">
        <f t="shared" si="8"/>
        <v>6.6000000000000008E-3</v>
      </c>
      <c r="F151" s="7">
        <f t="shared" si="9"/>
        <v>0.32340000000000002</v>
      </c>
    </row>
    <row r="152" spans="1:6" ht="32.15" customHeight="1" x14ac:dyDescent="0.35">
      <c r="A152" s="48" t="s">
        <v>107</v>
      </c>
      <c r="B152" s="5" t="s">
        <v>32</v>
      </c>
      <c r="C152" s="7">
        <v>0.45</v>
      </c>
      <c r="D152" s="7">
        <f t="shared" si="7"/>
        <v>0.41000000000000003</v>
      </c>
      <c r="E152" s="7">
        <f t="shared" si="8"/>
        <v>8.2000000000000007E-3</v>
      </c>
      <c r="F152" s="7">
        <f t="shared" si="9"/>
        <v>0.40180000000000005</v>
      </c>
    </row>
    <row r="153" spans="1:6" ht="39" customHeight="1" x14ac:dyDescent="0.35">
      <c r="A153" s="48"/>
      <c r="B153" s="5" t="s">
        <v>108</v>
      </c>
      <c r="C153" s="7">
        <v>0.35</v>
      </c>
      <c r="D153" s="7">
        <f t="shared" si="7"/>
        <v>0.31</v>
      </c>
      <c r="E153" s="7">
        <f t="shared" si="8"/>
        <v>6.1999999999999998E-3</v>
      </c>
      <c r="F153" s="7">
        <f t="shared" si="9"/>
        <v>0.30380000000000001</v>
      </c>
    </row>
    <row r="154" spans="1:6" ht="24" x14ac:dyDescent="0.35">
      <c r="A154" s="5" t="s">
        <v>407</v>
      </c>
      <c r="B154" s="5" t="s">
        <v>32</v>
      </c>
      <c r="C154" s="7">
        <v>0.25</v>
      </c>
      <c r="D154" s="7">
        <f t="shared" ref="D154:D218" si="13">C154-(4%)</f>
        <v>0.21</v>
      </c>
      <c r="E154" s="7">
        <f t="shared" ref="E154:E218" si="14">D154*2%</f>
        <v>4.1999999999999997E-3</v>
      </c>
      <c r="F154" s="7">
        <f t="shared" ref="F154:F218" si="15">D154-E154</f>
        <v>0.20579999999999998</v>
      </c>
    </row>
    <row r="155" spans="1:6" x14ac:dyDescent="0.35">
      <c r="A155" s="44" t="s">
        <v>1232</v>
      </c>
      <c r="B155" s="5" t="s">
        <v>92</v>
      </c>
      <c r="C155" s="6">
        <v>0.27</v>
      </c>
      <c r="D155" s="7">
        <f t="shared" si="13"/>
        <v>0.23</v>
      </c>
      <c r="E155" s="7">
        <f t="shared" si="14"/>
        <v>4.5999999999999999E-3</v>
      </c>
      <c r="F155" s="7">
        <f t="shared" si="15"/>
        <v>0.22540000000000002</v>
      </c>
    </row>
    <row r="156" spans="1:6" x14ac:dyDescent="0.35">
      <c r="A156" s="45"/>
      <c r="B156" s="5" t="s">
        <v>93</v>
      </c>
      <c r="C156" s="6">
        <v>0.27</v>
      </c>
      <c r="D156" s="7">
        <f t="shared" si="13"/>
        <v>0.23</v>
      </c>
      <c r="E156" s="7">
        <f t="shared" si="14"/>
        <v>4.5999999999999999E-3</v>
      </c>
      <c r="F156" s="7">
        <f t="shared" si="15"/>
        <v>0.22540000000000002</v>
      </c>
    </row>
    <row r="157" spans="1:6" ht="24" x14ac:dyDescent="0.35">
      <c r="A157" s="5" t="s">
        <v>115</v>
      </c>
      <c r="B157" s="5" t="s">
        <v>408</v>
      </c>
      <c r="C157" s="7">
        <v>0.315</v>
      </c>
      <c r="D157" s="7">
        <f t="shared" si="13"/>
        <v>0.27500000000000002</v>
      </c>
      <c r="E157" s="7">
        <f t="shared" si="14"/>
        <v>5.5000000000000005E-3</v>
      </c>
      <c r="F157" s="7">
        <f t="shared" si="15"/>
        <v>0.26950000000000002</v>
      </c>
    </row>
    <row r="158" spans="1:6" x14ac:dyDescent="0.35">
      <c r="A158" s="5" t="s">
        <v>116</v>
      </c>
      <c r="B158" s="5" t="s">
        <v>100</v>
      </c>
      <c r="C158" s="7">
        <v>0.3</v>
      </c>
      <c r="D158" s="7">
        <f t="shared" si="13"/>
        <v>0.26</v>
      </c>
      <c r="E158" s="7">
        <f t="shared" si="14"/>
        <v>5.2000000000000006E-3</v>
      </c>
      <c r="F158" s="7">
        <f t="shared" si="15"/>
        <v>0.25480000000000003</v>
      </c>
    </row>
    <row r="159" spans="1:6" x14ac:dyDescent="0.35">
      <c r="A159" s="23" t="s">
        <v>1310</v>
      </c>
      <c r="B159" s="5" t="s">
        <v>100</v>
      </c>
      <c r="C159" s="6">
        <v>0.47499999999999998</v>
      </c>
      <c r="D159" s="7">
        <f t="shared" ref="D159" si="16">C159-(4%)</f>
        <v>0.435</v>
      </c>
      <c r="E159" s="7">
        <f t="shared" ref="E159" si="17">D159*2%</f>
        <v>8.6999999999999994E-3</v>
      </c>
      <c r="F159" s="7">
        <f t="shared" ref="F159" si="18">D159-E159</f>
        <v>0.42630000000000001</v>
      </c>
    </row>
    <row r="160" spans="1:6" x14ac:dyDescent="0.35">
      <c r="A160" s="2" t="s">
        <v>117</v>
      </c>
      <c r="B160" s="2" t="s">
        <v>1</v>
      </c>
      <c r="C160" s="3" t="s">
        <v>2</v>
      </c>
      <c r="D160" s="4" t="s">
        <v>4</v>
      </c>
      <c r="E160" s="4" t="s">
        <v>5</v>
      </c>
      <c r="F160" s="4" t="s">
        <v>6</v>
      </c>
    </row>
    <row r="161" spans="1:6" ht="24" customHeight="1" x14ac:dyDescent="0.35">
      <c r="A161" s="41" t="s">
        <v>409</v>
      </c>
      <c r="B161" s="5" t="s">
        <v>410</v>
      </c>
      <c r="C161" s="7">
        <v>0.19500000000000001</v>
      </c>
      <c r="D161" s="7">
        <f t="shared" si="13"/>
        <v>0.155</v>
      </c>
      <c r="E161" s="7">
        <f t="shared" si="14"/>
        <v>3.0999999999999999E-3</v>
      </c>
      <c r="F161" s="7">
        <f t="shared" si="15"/>
        <v>0.15190000000000001</v>
      </c>
    </row>
    <row r="162" spans="1:6" x14ac:dyDescent="0.35">
      <c r="A162" s="42"/>
      <c r="B162" s="5" t="s">
        <v>411</v>
      </c>
      <c r="C162" s="7">
        <v>0.19500000000000001</v>
      </c>
      <c r="D162" s="7">
        <f t="shared" si="13"/>
        <v>0.155</v>
      </c>
      <c r="E162" s="7">
        <f t="shared" si="14"/>
        <v>3.0999999999999999E-3</v>
      </c>
      <c r="F162" s="7">
        <f t="shared" si="15"/>
        <v>0.15190000000000001</v>
      </c>
    </row>
    <row r="163" spans="1:6" ht="24" x14ac:dyDescent="0.35">
      <c r="A163" s="42"/>
      <c r="B163" s="5" t="s">
        <v>370</v>
      </c>
      <c r="C163" s="7">
        <v>0.15</v>
      </c>
      <c r="D163" s="7">
        <f t="shared" si="13"/>
        <v>0.10999999999999999</v>
      </c>
      <c r="E163" s="7">
        <f t="shared" si="14"/>
        <v>2.1999999999999997E-3</v>
      </c>
      <c r="F163" s="7">
        <f t="shared" si="15"/>
        <v>0.10779999999999999</v>
      </c>
    </row>
    <row r="164" spans="1:6" x14ac:dyDescent="0.35">
      <c r="A164" s="42"/>
      <c r="B164" s="5" t="s">
        <v>412</v>
      </c>
      <c r="C164" s="7">
        <v>0.19500000000000001</v>
      </c>
      <c r="D164" s="7">
        <f t="shared" si="13"/>
        <v>0.155</v>
      </c>
      <c r="E164" s="7">
        <f t="shared" si="14"/>
        <v>3.0999999999999999E-3</v>
      </c>
      <c r="F164" s="7">
        <f t="shared" si="15"/>
        <v>0.15190000000000001</v>
      </c>
    </row>
    <row r="165" spans="1:6" x14ac:dyDescent="0.35">
      <c r="A165" s="42"/>
      <c r="B165" s="5" t="s">
        <v>413</v>
      </c>
      <c r="C165" s="7">
        <v>0.19500000000000001</v>
      </c>
      <c r="D165" s="7">
        <f t="shared" si="13"/>
        <v>0.155</v>
      </c>
      <c r="E165" s="7">
        <f t="shared" si="14"/>
        <v>3.0999999999999999E-3</v>
      </c>
      <c r="F165" s="7">
        <f t="shared" si="15"/>
        <v>0.15190000000000001</v>
      </c>
    </row>
    <row r="166" spans="1:6" x14ac:dyDescent="0.35">
      <c r="A166" s="43"/>
      <c r="B166" s="5" t="s">
        <v>414</v>
      </c>
      <c r="C166" s="7">
        <v>0.19500000000000001</v>
      </c>
      <c r="D166" s="7">
        <f t="shared" si="13"/>
        <v>0.155</v>
      </c>
      <c r="E166" s="7">
        <f t="shared" si="14"/>
        <v>3.0999999999999999E-3</v>
      </c>
      <c r="F166" s="7">
        <f t="shared" si="15"/>
        <v>0.15190000000000001</v>
      </c>
    </row>
    <row r="167" spans="1:6" x14ac:dyDescent="0.35">
      <c r="A167" s="40" t="s">
        <v>415</v>
      </c>
      <c r="B167" s="11" t="s">
        <v>368</v>
      </c>
      <c r="C167" s="7">
        <v>0</v>
      </c>
      <c r="D167" s="7" t="s">
        <v>20</v>
      </c>
      <c r="E167" s="7" t="s">
        <v>20</v>
      </c>
      <c r="F167" s="7" t="s">
        <v>20</v>
      </c>
    </row>
    <row r="168" spans="1:6" x14ac:dyDescent="0.35">
      <c r="A168" s="40"/>
      <c r="B168" s="11" t="s">
        <v>369</v>
      </c>
      <c r="C168" s="7">
        <v>0</v>
      </c>
      <c r="D168" s="7" t="s">
        <v>20</v>
      </c>
      <c r="E168" s="7" t="s">
        <v>20</v>
      </c>
      <c r="F168" s="7" t="s">
        <v>20</v>
      </c>
    </row>
    <row r="169" spans="1:6" ht="24" x14ac:dyDescent="0.35">
      <c r="A169" s="40"/>
      <c r="B169" s="11" t="s">
        <v>370</v>
      </c>
      <c r="C169" s="7">
        <v>0.28000000000000003</v>
      </c>
      <c r="D169" s="7">
        <f t="shared" si="13"/>
        <v>0.24000000000000002</v>
      </c>
      <c r="E169" s="7">
        <f t="shared" si="14"/>
        <v>4.8000000000000004E-3</v>
      </c>
      <c r="F169" s="7">
        <f t="shared" si="15"/>
        <v>0.23520000000000002</v>
      </c>
    </row>
    <row r="170" spans="1:6" x14ac:dyDescent="0.35">
      <c r="A170" s="40"/>
      <c r="B170" s="11" t="s">
        <v>371</v>
      </c>
      <c r="C170" s="7">
        <v>0</v>
      </c>
      <c r="D170" s="7" t="s">
        <v>20</v>
      </c>
      <c r="E170" s="7" t="s">
        <v>20</v>
      </c>
      <c r="F170" s="7" t="s">
        <v>20</v>
      </c>
    </row>
    <row r="171" spans="1:6" x14ac:dyDescent="0.35">
      <c r="A171" s="40"/>
      <c r="B171" s="11" t="s">
        <v>372</v>
      </c>
      <c r="C171" s="7">
        <v>0</v>
      </c>
      <c r="D171" s="7" t="s">
        <v>20</v>
      </c>
      <c r="E171" s="7" t="s">
        <v>20</v>
      </c>
      <c r="F171" s="7" t="s">
        <v>20</v>
      </c>
    </row>
    <row r="172" spans="1:6" x14ac:dyDescent="0.35">
      <c r="A172" s="40"/>
      <c r="B172" s="11" t="s">
        <v>373</v>
      </c>
      <c r="C172" s="7">
        <v>0.09</v>
      </c>
      <c r="D172" s="7">
        <f t="shared" si="13"/>
        <v>4.9999999999999996E-2</v>
      </c>
      <c r="E172" s="7">
        <f t="shared" si="14"/>
        <v>1E-3</v>
      </c>
      <c r="F172" s="7">
        <f t="shared" si="15"/>
        <v>4.8999999999999995E-2</v>
      </c>
    </row>
    <row r="173" spans="1:6" x14ac:dyDescent="0.35">
      <c r="A173" s="5" t="s">
        <v>416</v>
      </c>
      <c r="B173" s="5" t="s">
        <v>32</v>
      </c>
      <c r="C173" s="7">
        <v>0.125</v>
      </c>
      <c r="D173" s="7">
        <f t="shared" si="13"/>
        <v>8.4999999999999992E-2</v>
      </c>
      <c r="E173" s="7">
        <f t="shared" si="14"/>
        <v>1.6999999999999999E-3</v>
      </c>
      <c r="F173" s="7">
        <f t="shared" si="15"/>
        <v>8.3299999999999999E-2</v>
      </c>
    </row>
    <row r="174" spans="1:6" x14ac:dyDescent="0.35">
      <c r="A174" s="44" t="s">
        <v>128</v>
      </c>
      <c r="B174" s="5" t="s">
        <v>92</v>
      </c>
      <c r="C174" s="6">
        <v>0.27</v>
      </c>
      <c r="D174" s="7">
        <f t="shared" si="13"/>
        <v>0.23</v>
      </c>
      <c r="E174" s="7">
        <f t="shared" si="14"/>
        <v>4.5999999999999999E-3</v>
      </c>
      <c r="F174" s="7">
        <f t="shared" si="15"/>
        <v>0.22540000000000002</v>
      </c>
    </row>
    <row r="175" spans="1:6" x14ac:dyDescent="0.35">
      <c r="A175" s="45"/>
      <c r="B175" s="5" t="s">
        <v>93</v>
      </c>
      <c r="C175" s="6">
        <v>0.27</v>
      </c>
      <c r="D175" s="7">
        <f t="shared" si="13"/>
        <v>0.23</v>
      </c>
      <c r="E175" s="7">
        <f t="shared" si="14"/>
        <v>4.5999999999999999E-3</v>
      </c>
      <c r="F175" s="7">
        <f t="shared" si="15"/>
        <v>0.22540000000000002</v>
      </c>
    </row>
    <row r="176" spans="1:6" x14ac:dyDescent="0.35">
      <c r="A176" s="24" t="s">
        <v>417</v>
      </c>
      <c r="B176" s="5" t="s">
        <v>100</v>
      </c>
      <c r="C176" s="7">
        <v>0.23</v>
      </c>
      <c r="D176" s="7">
        <f t="shared" si="13"/>
        <v>0.19</v>
      </c>
      <c r="E176" s="7">
        <f t="shared" si="14"/>
        <v>3.8E-3</v>
      </c>
      <c r="F176" s="7">
        <f t="shared" si="15"/>
        <v>0.1862</v>
      </c>
    </row>
    <row r="177" spans="1:6" x14ac:dyDescent="0.35">
      <c r="A177" s="5" t="s">
        <v>1197</v>
      </c>
      <c r="B177" s="5" t="s">
        <v>408</v>
      </c>
      <c r="C177" s="7">
        <v>0.22500000000000001</v>
      </c>
      <c r="D177" s="7">
        <f t="shared" si="13"/>
        <v>0.185</v>
      </c>
      <c r="E177" s="7">
        <f t="shared" si="14"/>
        <v>3.7000000000000002E-3</v>
      </c>
      <c r="F177" s="7">
        <f t="shared" si="15"/>
        <v>0.18129999999999999</v>
      </c>
    </row>
    <row r="178" spans="1:6" x14ac:dyDescent="0.35">
      <c r="A178" s="2" t="s">
        <v>133</v>
      </c>
      <c r="B178" s="2" t="s">
        <v>1</v>
      </c>
      <c r="C178" s="3" t="s">
        <v>2</v>
      </c>
      <c r="D178" s="4" t="s">
        <v>4</v>
      </c>
      <c r="E178" s="4" t="s">
        <v>5</v>
      </c>
      <c r="F178" s="4" t="s">
        <v>6</v>
      </c>
    </row>
    <row r="179" spans="1:6" ht="24" x14ac:dyDescent="0.35">
      <c r="A179" s="5" t="s">
        <v>418</v>
      </c>
      <c r="B179" s="5" t="s">
        <v>419</v>
      </c>
      <c r="C179" s="7">
        <v>0.19500000000000001</v>
      </c>
      <c r="D179" s="7">
        <f t="shared" si="13"/>
        <v>0.155</v>
      </c>
      <c r="E179" s="7">
        <f t="shared" si="14"/>
        <v>3.0999999999999999E-3</v>
      </c>
      <c r="F179" s="7">
        <f t="shared" si="15"/>
        <v>0.15190000000000001</v>
      </c>
    </row>
    <row r="180" spans="1:6" x14ac:dyDescent="0.35">
      <c r="A180" s="40" t="s">
        <v>420</v>
      </c>
      <c r="B180" s="11" t="s">
        <v>368</v>
      </c>
      <c r="C180" s="7">
        <v>0</v>
      </c>
      <c r="D180" s="7" t="s">
        <v>20</v>
      </c>
      <c r="E180" s="7" t="s">
        <v>20</v>
      </c>
      <c r="F180" s="7" t="s">
        <v>20</v>
      </c>
    </row>
    <row r="181" spans="1:6" x14ac:dyDescent="0.35">
      <c r="A181" s="40"/>
      <c r="B181" s="11" t="s">
        <v>369</v>
      </c>
      <c r="C181" s="7">
        <v>0</v>
      </c>
      <c r="D181" s="7" t="s">
        <v>20</v>
      </c>
      <c r="E181" s="7" t="s">
        <v>20</v>
      </c>
      <c r="F181" s="7" t="s">
        <v>20</v>
      </c>
    </row>
    <row r="182" spans="1:6" ht="24" x14ac:dyDescent="0.35">
      <c r="A182" s="40"/>
      <c r="B182" s="11" t="s">
        <v>370</v>
      </c>
      <c r="C182" s="7">
        <v>0.1</v>
      </c>
      <c r="D182" s="7">
        <f t="shared" si="13"/>
        <v>6.0000000000000005E-2</v>
      </c>
      <c r="E182" s="7">
        <f t="shared" si="14"/>
        <v>1.2000000000000001E-3</v>
      </c>
      <c r="F182" s="7">
        <f t="shared" si="15"/>
        <v>5.8800000000000005E-2</v>
      </c>
    </row>
    <row r="183" spans="1:6" x14ac:dyDescent="0.35">
      <c r="A183" s="40"/>
      <c r="B183" s="11" t="s">
        <v>371</v>
      </c>
      <c r="C183" s="7">
        <v>0</v>
      </c>
      <c r="D183" s="7" t="s">
        <v>20</v>
      </c>
      <c r="E183" s="7" t="s">
        <v>20</v>
      </c>
      <c r="F183" s="7" t="s">
        <v>20</v>
      </c>
    </row>
    <row r="184" spans="1:6" x14ac:dyDescent="0.35">
      <c r="A184" s="40"/>
      <c r="B184" s="11" t="s">
        <v>372</v>
      </c>
      <c r="C184" s="7">
        <v>0</v>
      </c>
      <c r="D184" s="7" t="s">
        <v>20</v>
      </c>
      <c r="E184" s="7" t="s">
        <v>20</v>
      </c>
      <c r="F184" s="7" t="s">
        <v>20</v>
      </c>
    </row>
    <row r="185" spans="1:6" x14ac:dyDescent="0.35">
      <c r="A185" s="40"/>
      <c r="B185" s="11" t="s">
        <v>373</v>
      </c>
      <c r="C185" s="7">
        <v>0</v>
      </c>
      <c r="D185" s="7" t="s">
        <v>20</v>
      </c>
      <c r="E185" s="7" t="s">
        <v>20</v>
      </c>
      <c r="F185" s="7" t="s">
        <v>20</v>
      </c>
    </row>
    <row r="186" spans="1:6" x14ac:dyDescent="0.35">
      <c r="A186" s="41" t="s">
        <v>137</v>
      </c>
      <c r="B186" s="5" t="s">
        <v>397</v>
      </c>
      <c r="C186" s="6">
        <v>0.2</v>
      </c>
      <c r="D186" s="7">
        <f t="shared" si="13"/>
        <v>0.16</v>
      </c>
      <c r="E186" s="7">
        <f t="shared" si="14"/>
        <v>3.2000000000000002E-3</v>
      </c>
      <c r="F186" s="7">
        <f t="shared" si="15"/>
        <v>0.15679999999999999</v>
      </c>
    </row>
    <row r="187" spans="1:6" x14ac:dyDescent="0.35">
      <c r="A187" s="42"/>
      <c r="B187" s="5" t="s">
        <v>398</v>
      </c>
      <c r="C187" s="6">
        <v>0.18</v>
      </c>
      <c r="D187" s="7">
        <f t="shared" si="13"/>
        <v>0.13999999999999999</v>
      </c>
      <c r="E187" s="7">
        <f t="shared" si="14"/>
        <v>2.8E-3</v>
      </c>
      <c r="F187" s="7">
        <f t="shared" si="15"/>
        <v>0.13719999999999999</v>
      </c>
    </row>
    <row r="188" spans="1:6" x14ac:dyDescent="0.35">
      <c r="A188" s="43"/>
      <c r="B188" s="5" t="s">
        <v>380</v>
      </c>
      <c r="C188" s="6">
        <v>0.25</v>
      </c>
      <c r="D188" s="7">
        <f t="shared" si="13"/>
        <v>0.21</v>
      </c>
      <c r="E188" s="7">
        <f t="shared" si="14"/>
        <v>4.1999999999999997E-3</v>
      </c>
      <c r="F188" s="7">
        <f t="shared" si="15"/>
        <v>0.20579999999999998</v>
      </c>
    </row>
    <row r="189" spans="1:6" x14ac:dyDescent="0.35">
      <c r="A189" s="41" t="s">
        <v>139</v>
      </c>
      <c r="B189" s="5" t="s">
        <v>397</v>
      </c>
      <c r="C189" s="6">
        <v>0.05</v>
      </c>
      <c r="D189" s="7" t="s">
        <v>20</v>
      </c>
      <c r="E189" s="7" t="s">
        <v>20</v>
      </c>
      <c r="F189" s="7" t="s">
        <v>20</v>
      </c>
    </row>
    <row r="190" spans="1:6" x14ac:dyDescent="0.35">
      <c r="A190" s="42"/>
      <c r="B190" s="5" t="s">
        <v>398</v>
      </c>
      <c r="C190" s="6">
        <v>0.05</v>
      </c>
      <c r="D190" s="7" t="s">
        <v>20</v>
      </c>
      <c r="E190" s="7" t="s">
        <v>20</v>
      </c>
      <c r="F190" s="7" t="s">
        <v>20</v>
      </c>
    </row>
    <row r="191" spans="1:6" x14ac:dyDescent="0.35">
      <c r="A191" s="43"/>
      <c r="B191" s="5" t="s">
        <v>380</v>
      </c>
      <c r="C191" s="6">
        <v>0.16</v>
      </c>
      <c r="D191" s="7">
        <f t="shared" si="13"/>
        <v>0.12</v>
      </c>
      <c r="E191" s="7">
        <f t="shared" si="14"/>
        <v>2.3999999999999998E-3</v>
      </c>
      <c r="F191" s="7">
        <f t="shared" si="15"/>
        <v>0.1176</v>
      </c>
    </row>
    <row r="192" spans="1:6" x14ac:dyDescent="0.35">
      <c r="A192" s="5" t="s">
        <v>421</v>
      </c>
      <c r="B192" s="5" t="s">
        <v>32</v>
      </c>
      <c r="C192" s="7">
        <v>0.125</v>
      </c>
      <c r="D192" s="7">
        <f t="shared" si="13"/>
        <v>8.4999999999999992E-2</v>
      </c>
      <c r="E192" s="7">
        <f t="shared" si="14"/>
        <v>1.6999999999999999E-3</v>
      </c>
      <c r="F192" s="7">
        <f t="shared" si="15"/>
        <v>8.3299999999999999E-2</v>
      </c>
    </row>
    <row r="193" spans="1:6" x14ac:dyDescent="0.35">
      <c r="A193" s="41" t="s">
        <v>422</v>
      </c>
      <c r="B193" s="5" t="s">
        <v>377</v>
      </c>
      <c r="C193" s="7">
        <v>0.1</v>
      </c>
      <c r="D193" s="7">
        <f t="shared" si="13"/>
        <v>6.0000000000000005E-2</v>
      </c>
      <c r="E193" s="7">
        <f t="shared" si="14"/>
        <v>1.2000000000000001E-3</v>
      </c>
      <c r="F193" s="7">
        <f t="shared" si="15"/>
        <v>5.8800000000000005E-2</v>
      </c>
    </row>
    <row r="194" spans="1:6" x14ac:dyDescent="0.35">
      <c r="A194" s="42"/>
      <c r="B194" s="5" t="s">
        <v>378</v>
      </c>
      <c r="C194" s="7">
        <v>0</v>
      </c>
      <c r="D194" s="7" t="s">
        <v>20</v>
      </c>
      <c r="E194" s="7" t="s">
        <v>20</v>
      </c>
      <c r="F194" s="7" t="s">
        <v>20</v>
      </c>
    </row>
    <row r="195" spans="1:6" x14ac:dyDescent="0.35">
      <c r="A195" s="42"/>
      <c r="B195" s="5" t="s">
        <v>379</v>
      </c>
      <c r="C195" s="7">
        <v>0</v>
      </c>
      <c r="D195" s="7" t="s">
        <v>20</v>
      </c>
      <c r="E195" s="7" t="s">
        <v>20</v>
      </c>
      <c r="F195" s="7" t="s">
        <v>20</v>
      </c>
    </row>
    <row r="196" spans="1:6" x14ac:dyDescent="0.35">
      <c r="A196" s="43"/>
      <c r="B196" s="5" t="s">
        <v>380</v>
      </c>
      <c r="C196" s="7">
        <v>0</v>
      </c>
      <c r="D196" s="7" t="s">
        <v>20</v>
      </c>
      <c r="E196" s="7" t="s">
        <v>20</v>
      </c>
      <c r="F196" s="7" t="s">
        <v>20</v>
      </c>
    </row>
    <row r="197" spans="1:6" ht="24" x14ac:dyDescent="0.35">
      <c r="A197" s="5" t="s">
        <v>423</v>
      </c>
      <c r="B197" s="5" t="s">
        <v>100</v>
      </c>
      <c r="C197" s="7">
        <v>0.2</v>
      </c>
      <c r="D197" s="7">
        <f t="shared" si="13"/>
        <v>0.16</v>
      </c>
      <c r="E197" s="7">
        <f t="shared" si="14"/>
        <v>3.2000000000000002E-3</v>
      </c>
      <c r="F197" s="7">
        <f t="shared" si="15"/>
        <v>0.15679999999999999</v>
      </c>
    </row>
    <row r="198" spans="1:6" ht="24" x14ac:dyDescent="0.35">
      <c r="A198" s="5" t="s">
        <v>424</v>
      </c>
      <c r="B198" s="5" t="s">
        <v>100</v>
      </c>
      <c r="C198" s="7">
        <v>0.2</v>
      </c>
      <c r="D198" s="7">
        <f t="shared" si="13"/>
        <v>0.16</v>
      </c>
      <c r="E198" s="7">
        <f t="shared" si="14"/>
        <v>3.2000000000000002E-3</v>
      </c>
      <c r="F198" s="7">
        <f t="shared" si="15"/>
        <v>0.15679999999999999</v>
      </c>
    </row>
    <row r="199" spans="1:6" ht="24" x14ac:dyDescent="0.35">
      <c r="A199" s="5" t="s">
        <v>425</v>
      </c>
      <c r="B199" s="5" t="s">
        <v>100</v>
      </c>
      <c r="C199" s="7">
        <v>0.15</v>
      </c>
      <c r="D199" s="7">
        <f t="shared" si="13"/>
        <v>0.10999999999999999</v>
      </c>
      <c r="E199" s="7">
        <f t="shared" si="14"/>
        <v>2.1999999999999997E-3</v>
      </c>
      <c r="F199" s="7">
        <f t="shared" si="15"/>
        <v>0.10779999999999999</v>
      </c>
    </row>
    <row r="200" spans="1:6" ht="24" x14ac:dyDescent="0.35">
      <c r="A200" s="5" t="s">
        <v>426</v>
      </c>
      <c r="B200" s="5" t="s">
        <v>100</v>
      </c>
      <c r="C200" s="7">
        <v>0.15</v>
      </c>
      <c r="D200" s="7">
        <f t="shared" si="13"/>
        <v>0.10999999999999999</v>
      </c>
      <c r="E200" s="7">
        <f t="shared" si="14"/>
        <v>2.1999999999999997E-3</v>
      </c>
      <c r="F200" s="7">
        <f t="shared" si="15"/>
        <v>0.10779999999999999</v>
      </c>
    </row>
    <row r="201" spans="1:6" x14ac:dyDescent="0.35">
      <c r="A201" s="5" t="s">
        <v>1198</v>
      </c>
      <c r="B201" s="5" t="s">
        <v>408</v>
      </c>
      <c r="C201" s="7">
        <v>0.22500000000000001</v>
      </c>
      <c r="D201" s="7">
        <f t="shared" si="13"/>
        <v>0.185</v>
      </c>
      <c r="E201" s="7">
        <f t="shared" si="14"/>
        <v>3.7000000000000002E-3</v>
      </c>
      <c r="F201" s="7">
        <f t="shared" si="15"/>
        <v>0.18129999999999999</v>
      </c>
    </row>
    <row r="202" spans="1:6" x14ac:dyDescent="0.35">
      <c r="A202" s="2" t="s">
        <v>141</v>
      </c>
      <c r="B202" s="2" t="s">
        <v>1</v>
      </c>
      <c r="C202" s="3" t="s">
        <v>2</v>
      </c>
      <c r="D202" s="4" t="s">
        <v>4</v>
      </c>
      <c r="E202" s="4" t="s">
        <v>5</v>
      </c>
      <c r="F202" s="4" t="s">
        <v>6</v>
      </c>
    </row>
    <row r="203" spans="1:6" ht="24" x14ac:dyDescent="0.35">
      <c r="A203" s="5" t="s">
        <v>427</v>
      </c>
      <c r="B203" s="5" t="s">
        <v>428</v>
      </c>
      <c r="C203" s="7">
        <v>0.22500000000000001</v>
      </c>
      <c r="D203" s="7">
        <f t="shared" si="13"/>
        <v>0.185</v>
      </c>
      <c r="E203" s="7">
        <f t="shared" si="14"/>
        <v>3.7000000000000002E-3</v>
      </c>
      <c r="F203" s="7">
        <f t="shared" si="15"/>
        <v>0.18129999999999999</v>
      </c>
    </row>
    <row r="204" spans="1:6" ht="24" x14ac:dyDescent="0.35">
      <c r="A204" s="5" t="s">
        <v>429</v>
      </c>
      <c r="B204" s="5" t="s">
        <v>428</v>
      </c>
      <c r="C204" s="7">
        <v>0.22500000000000001</v>
      </c>
      <c r="D204" s="7">
        <f t="shared" si="13"/>
        <v>0.185</v>
      </c>
      <c r="E204" s="7">
        <f t="shared" si="14"/>
        <v>3.7000000000000002E-3</v>
      </c>
      <c r="F204" s="7">
        <f t="shared" si="15"/>
        <v>0.18129999999999999</v>
      </c>
    </row>
    <row r="205" spans="1:6" x14ac:dyDescent="0.35">
      <c r="A205" s="40" t="s">
        <v>1155</v>
      </c>
      <c r="B205" s="11" t="s">
        <v>368</v>
      </c>
      <c r="C205" s="7">
        <v>0.22</v>
      </c>
      <c r="D205" s="7">
        <f t="shared" si="13"/>
        <v>0.18</v>
      </c>
      <c r="E205" s="7">
        <f t="shared" si="14"/>
        <v>3.5999999999999999E-3</v>
      </c>
      <c r="F205" s="7">
        <f t="shared" si="15"/>
        <v>0.1764</v>
      </c>
    </row>
    <row r="206" spans="1:6" x14ac:dyDescent="0.35">
      <c r="A206" s="40"/>
      <c r="B206" s="11" t="s">
        <v>369</v>
      </c>
      <c r="C206" s="7">
        <v>0.22</v>
      </c>
      <c r="D206" s="7">
        <f t="shared" si="13"/>
        <v>0.18</v>
      </c>
      <c r="E206" s="7">
        <f t="shared" si="14"/>
        <v>3.5999999999999999E-3</v>
      </c>
      <c r="F206" s="7">
        <f t="shared" si="15"/>
        <v>0.1764</v>
      </c>
    </row>
    <row r="207" spans="1:6" ht="24" x14ac:dyDescent="0.35">
      <c r="A207" s="40"/>
      <c r="B207" s="11" t="s">
        <v>370</v>
      </c>
      <c r="C207" s="7">
        <v>0.22</v>
      </c>
      <c r="D207" s="7">
        <f t="shared" si="13"/>
        <v>0.18</v>
      </c>
      <c r="E207" s="7">
        <f t="shared" si="14"/>
        <v>3.5999999999999999E-3</v>
      </c>
      <c r="F207" s="7">
        <f t="shared" si="15"/>
        <v>0.1764</v>
      </c>
    </row>
    <row r="208" spans="1:6" x14ac:dyDescent="0.35">
      <c r="A208" s="40"/>
      <c r="B208" s="11" t="s">
        <v>371</v>
      </c>
      <c r="C208" s="7">
        <v>0.22</v>
      </c>
      <c r="D208" s="7">
        <f t="shared" si="13"/>
        <v>0.18</v>
      </c>
      <c r="E208" s="7">
        <f t="shared" si="14"/>
        <v>3.5999999999999999E-3</v>
      </c>
      <c r="F208" s="7">
        <f t="shared" si="15"/>
        <v>0.1764</v>
      </c>
    </row>
    <row r="209" spans="1:6" x14ac:dyDescent="0.35">
      <c r="A209" s="40"/>
      <c r="B209" s="11" t="s">
        <v>372</v>
      </c>
      <c r="C209" s="7">
        <v>0.22</v>
      </c>
      <c r="D209" s="7">
        <f t="shared" si="13"/>
        <v>0.18</v>
      </c>
      <c r="E209" s="7">
        <f t="shared" si="14"/>
        <v>3.5999999999999999E-3</v>
      </c>
      <c r="F209" s="7">
        <f t="shared" si="15"/>
        <v>0.1764</v>
      </c>
    </row>
    <row r="210" spans="1:6" x14ac:dyDescent="0.35">
      <c r="A210" s="40"/>
      <c r="B210" s="11" t="s">
        <v>373</v>
      </c>
      <c r="C210" s="7">
        <v>0.22</v>
      </c>
      <c r="D210" s="7">
        <f t="shared" si="13"/>
        <v>0.18</v>
      </c>
      <c r="E210" s="7">
        <f t="shared" si="14"/>
        <v>3.5999999999999999E-3</v>
      </c>
      <c r="F210" s="7">
        <f t="shared" si="15"/>
        <v>0.1764</v>
      </c>
    </row>
    <row r="211" spans="1:6" x14ac:dyDescent="0.35">
      <c r="A211" s="40" t="s">
        <v>1156</v>
      </c>
      <c r="B211" s="11" t="s">
        <v>368</v>
      </c>
      <c r="C211" s="7">
        <v>0.22</v>
      </c>
      <c r="D211" s="7">
        <f t="shared" si="13"/>
        <v>0.18</v>
      </c>
      <c r="E211" s="7">
        <f t="shared" si="14"/>
        <v>3.5999999999999999E-3</v>
      </c>
      <c r="F211" s="7">
        <f t="shared" si="15"/>
        <v>0.1764</v>
      </c>
    </row>
    <row r="212" spans="1:6" x14ac:dyDescent="0.35">
      <c r="A212" s="40"/>
      <c r="B212" s="11" t="s">
        <v>369</v>
      </c>
      <c r="C212" s="7">
        <v>0.22</v>
      </c>
      <c r="D212" s="7">
        <f t="shared" si="13"/>
        <v>0.18</v>
      </c>
      <c r="E212" s="7">
        <f t="shared" si="14"/>
        <v>3.5999999999999999E-3</v>
      </c>
      <c r="F212" s="7">
        <f t="shared" si="15"/>
        <v>0.1764</v>
      </c>
    </row>
    <row r="213" spans="1:6" ht="24" x14ac:dyDescent="0.35">
      <c r="A213" s="40"/>
      <c r="B213" s="11" t="s">
        <v>370</v>
      </c>
      <c r="C213" s="7">
        <v>0.3</v>
      </c>
      <c r="D213" s="7">
        <f t="shared" si="13"/>
        <v>0.26</v>
      </c>
      <c r="E213" s="7">
        <f t="shared" si="14"/>
        <v>5.2000000000000006E-3</v>
      </c>
      <c r="F213" s="7">
        <f t="shared" si="15"/>
        <v>0.25480000000000003</v>
      </c>
    </row>
    <row r="214" spans="1:6" x14ac:dyDescent="0.35">
      <c r="A214" s="40"/>
      <c r="B214" s="11" t="s">
        <v>371</v>
      </c>
      <c r="C214" s="7">
        <v>0.22</v>
      </c>
      <c r="D214" s="7">
        <f t="shared" si="13"/>
        <v>0.18</v>
      </c>
      <c r="E214" s="7">
        <f t="shared" si="14"/>
        <v>3.5999999999999999E-3</v>
      </c>
      <c r="F214" s="7">
        <f t="shared" si="15"/>
        <v>0.1764</v>
      </c>
    </row>
    <row r="215" spans="1:6" x14ac:dyDescent="0.35">
      <c r="A215" s="40"/>
      <c r="B215" s="11" t="s">
        <v>372</v>
      </c>
      <c r="C215" s="7">
        <v>0.22</v>
      </c>
      <c r="D215" s="7">
        <f t="shared" si="13"/>
        <v>0.18</v>
      </c>
      <c r="E215" s="7">
        <f t="shared" si="14"/>
        <v>3.5999999999999999E-3</v>
      </c>
      <c r="F215" s="7">
        <f t="shared" si="15"/>
        <v>0.1764</v>
      </c>
    </row>
    <row r="216" spans="1:6" x14ac:dyDescent="0.35">
      <c r="A216" s="40"/>
      <c r="B216" s="11" t="s">
        <v>373</v>
      </c>
      <c r="C216" s="7">
        <v>0.3</v>
      </c>
      <c r="D216" s="7">
        <f t="shared" si="13"/>
        <v>0.26</v>
      </c>
      <c r="E216" s="7">
        <f t="shared" si="14"/>
        <v>5.2000000000000006E-3</v>
      </c>
      <c r="F216" s="7">
        <f t="shared" si="15"/>
        <v>0.25480000000000003</v>
      </c>
    </row>
    <row r="217" spans="1:6" x14ac:dyDescent="0.35">
      <c r="A217" s="40" t="s">
        <v>430</v>
      </c>
      <c r="B217" s="11" t="s">
        <v>368</v>
      </c>
      <c r="C217" s="7">
        <v>0.22</v>
      </c>
      <c r="D217" s="7">
        <f t="shared" si="13"/>
        <v>0.18</v>
      </c>
      <c r="E217" s="7">
        <f t="shared" si="14"/>
        <v>3.5999999999999999E-3</v>
      </c>
      <c r="F217" s="7">
        <f t="shared" si="15"/>
        <v>0.1764</v>
      </c>
    </row>
    <row r="218" spans="1:6" x14ac:dyDescent="0.35">
      <c r="A218" s="40"/>
      <c r="B218" s="11" t="s">
        <v>369</v>
      </c>
      <c r="C218" s="7">
        <v>0.22</v>
      </c>
      <c r="D218" s="7">
        <f t="shared" si="13"/>
        <v>0.18</v>
      </c>
      <c r="E218" s="7">
        <f t="shared" si="14"/>
        <v>3.5999999999999999E-3</v>
      </c>
      <c r="F218" s="7">
        <f t="shared" si="15"/>
        <v>0.1764</v>
      </c>
    </row>
    <row r="219" spans="1:6" ht="24" x14ac:dyDescent="0.35">
      <c r="A219" s="40"/>
      <c r="B219" s="11" t="s">
        <v>370</v>
      </c>
      <c r="C219" s="7">
        <v>0.22</v>
      </c>
      <c r="D219" s="7">
        <f t="shared" ref="D219:D282" si="19">C219-(4%)</f>
        <v>0.18</v>
      </c>
      <c r="E219" s="7">
        <f t="shared" ref="E219:E282" si="20">D219*2%</f>
        <v>3.5999999999999999E-3</v>
      </c>
      <c r="F219" s="7">
        <f t="shared" ref="F219:F282" si="21">D219-E219</f>
        <v>0.1764</v>
      </c>
    </row>
    <row r="220" spans="1:6" x14ac:dyDescent="0.35">
      <c r="A220" s="40"/>
      <c r="B220" s="11" t="s">
        <v>371</v>
      </c>
      <c r="C220" s="7">
        <v>0.22</v>
      </c>
      <c r="D220" s="7">
        <f t="shared" si="19"/>
        <v>0.18</v>
      </c>
      <c r="E220" s="7">
        <f t="shared" si="20"/>
        <v>3.5999999999999999E-3</v>
      </c>
      <c r="F220" s="7">
        <f t="shared" si="21"/>
        <v>0.1764</v>
      </c>
    </row>
    <row r="221" spans="1:6" x14ac:dyDescent="0.35">
      <c r="A221" s="40"/>
      <c r="B221" s="11" t="s">
        <v>372</v>
      </c>
      <c r="C221" s="7">
        <v>0.22</v>
      </c>
      <c r="D221" s="7">
        <f t="shared" si="19"/>
        <v>0.18</v>
      </c>
      <c r="E221" s="7">
        <f t="shared" si="20"/>
        <v>3.5999999999999999E-3</v>
      </c>
      <c r="F221" s="7">
        <f t="shared" si="21"/>
        <v>0.1764</v>
      </c>
    </row>
    <row r="222" spans="1:6" x14ac:dyDescent="0.35">
      <c r="A222" s="40"/>
      <c r="B222" s="11" t="s">
        <v>373</v>
      </c>
      <c r="C222" s="7">
        <v>0.22</v>
      </c>
      <c r="D222" s="7">
        <f t="shared" si="19"/>
        <v>0.18</v>
      </c>
      <c r="E222" s="7">
        <f t="shared" si="20"/>
        <v>3.5999999999999999E-3</v>
      </c>
      <c r="F222" s="7">
        <f t="shared" si="21"/>
        <v>0.1764</v>
      </c>
    </row>
    <row r="223" spans="1:6" x14ac:dyDescent="0.35">
      <c r="A223" s="40" t="s">
        <v>1157</v>
      </c>
      <c r="B223" s="11" t="s">
        <v>368</v>
      </c>
      <c r="C223" s="7">
        <v>0.22</v>
      </c>
      <c r="D223" s="7">
        <f t="shared" si="19"/>
        <v>0.18</v>
      </c>
      <c r="E223" s="7">
        <f t="shared" si="20"/>
        <v>3.5999999999999999E-3</v>
      </c>
      <c r="F223" s="7">
        <f t="shared" si="21"/>
        <v>0.1764</v>
      </c>
    </row>
    <row r="224" spans="1:6" x14ac:dyDescent="0.35">
      <c r="A224" s="40"/>
      <c r="B224" s="11" t="s">
        <v>369</v>
      </c>
      <c r="C224" s="7">
        <v>0.22</v>
      </c>
      <c r="D224" s="7">
        <f t="shared" si="19"/>
        <v>0.18</v>
      </c>
      <c r="E224" s="7">
        <f t="shared" si="20"/>
        <v>3.5999999999999999E-3</v>
      </c>
      <c r="F224" s="7">
        <f t="shared" si="21"/>
        <v>0.1764</v>
      </c>
    </row>
    <row r="225" spans="1:6" ht="24" x14ac:dyDescent="0.35">
      <c r="A225" s="40"/>
      <c r="B225" s="11" t="s">
        <v>370</v>
      </c>
      <c r="C225" s="7">
        <v>0.3</v>
      </c>
      <c r="D225" s="7">
        <f t="shared" si="19"/>
        <v>0.26</v>
      </c>
      <c r="E225" s="7">
        <f t="shared" si="20"/>
        <v>5.2000000000000006E-3</v>
      </c>
      <c r="F225" s="7">
        <f t="shared" si="21"/>
        <v>0.25480000000000003</v>
      </c>
    </row>
    <row r="226" spans="1:6" x14ac:dyDescent="0.35">
      <c r="A226" s="40"/>
      <c r="B226" s="11" t="s">
        <v>371</v>
      </c>
      <c r="C226" s="7">
        <v>0.22</v>
      </c>
      <c r="D226" s="7">
        <f t="shared" si="19"/>
        <v>0.18</v>
      </c>
      <c r="E226" s="7">
        <f t="shared" si="20"/>
        <v>3.5999999999999999E-3</v>
      </c>
      <c r="F226" s="7">
        <f t="shared" si="21"/>
        <v>0.1764</v>
      </c>
    </row>
    <row r="227" spans="1:6" x14ac:dyDescent="0.35">
      <c r="A227" s="40"/>
      <c r="B227" s="11" t="s">
        <v>372</v>
      </c>
      <c r="C227" s="7">
        <v>0.22</v>
      </c>
      <c r="D227" s="7">
        <f t="shared" si="19"/>
        <v>0.18</v>
      </c>
      <c r="E227" s="7">
        <f t="shared" si="20"/>
        <v>3.5999999999999999E-3</v>
      </c>
      <c r="F227" s="7">
        <f t="shared" si="21"/>
        <v>0.1764</v>
      </c>
    </row>
    <row r="228" spans="1:6" x14ac:dyDescent="0.35">
      <c r="A228" s="40"/>
      <c r="B228" s="11" t="s">
        <v>373</v>
      </c>
      <c r="C228" s="7">
        <v>0.3</v>
      </c>
      <c r="D228" s="7">
        <f t="shared" si="19"/>
        <v>0.26</v>
      </c>
      <c r="E228" s="7">
        <f t="shared" si="20"/>
        <v>5.2000000000000006E-3</v>
      </c>
      <c r="F228" s="7">
        <f t="shared" si="21"/>
        <v>0.25480000000000003</v>
      </c>
    </row>
    <row r="229" spans="1:6" x14ac:dyDescent="0.35">
      <c r="A229" s="40" t="s">
        <v>431</v>
      </c>
      <c r="B229" s="11" t="s">
        <v>368</v>
      </c>
      <c r="C229" s="7">
        <v>0.28000000000000003</v>
      </c>
      <c r="D229" s="7">
        <f t="shared" si="19"/>
        <v>0.24000000000000002</v>
      </c>
      <c r="E229" s="7">
        <f t="shared" si="20"/>
        <v>4.8000000000000004E-3</v>
      </c>
      <c r="F229" s="7">
        <f t="shared" si="21"/>
        <v>0.23520000000000002</v>
      </c>
    </row>
    <row r="230" spans="1:6" x14ac:dyDescent="0.35">
      <c r="A230" s="40"/>
      <c r="B230" s="11" t="s">
        <v>369</v>
      </c>
      <c r="C230" s="7">
        <v>0.28000000000000003</v>
      </c>
      <c r="D230" s="7">
        <f t="shared" si="19"/>
        <v>0.24000000000000002</v>
      </c>
      <c r="E230" s="7">
        <f t="shared" si="20"/>
        <v>4.8000000000000004E-3</v>
      </c>
      <c r="F230" s="7">
        <f t="shared" si="21"/>
        <v>0.23520000000000002</v>
      </c>
    </row>
    <row r="231" spans="1:6" ht="24" x14ac:dyDescent="0.35">
      <c r="A231" s="40"/>
      <c r="B231" s="11" t="s">
        <v>370</v>
      </c>
      <c r="C231" s="7">
        <v>0.28000000000000003</v>
      </c>
      <c r="D231" s="7">
        <f t="shared" si="19"/>
        <v>0.24000000000000002</v>
      </c>
      <c r="E231" s="7">
        <f t="shared" si="20"/>
        <v>4.8000000000000004E-3</v>
      </c>
      <c r="F231" s="7">
        <f t="shared" si="21"/>
        <v>0.23520000000000002</v>
      </c>
    </row>
    <row r="232" spans="1:6" x14ac:dyDescent="0.35">
      <c r="A232" s="40"/>
      <c r="B232" s="11" t="s">
        <v>371</v>
      </c>
      <c r="C232" s="7">
        <v>0.28000000000000003</v>
      </c>
      <c r="D232" s="7">
        <f t="shared" si="19"/>
        <v>0.24000000000000002</v>
      </c>
      <c r="E232" s="7">
        <f t="shared" si="20"/>
        <v>4.8000000000000004E-3</v>
      </c>
      <c r="F232" s="7">
        <f t="shared" si="21"/>
        <v>0.23520000000000002</v>
      </c>
    </row>
    <row r="233" spans="1:6" x14ac:dyDescent="0.35">
      <c r="A233" s="40"/>
      <c r="B233" s="11" t="s">
        <v>372</v>
      </c>
      <c r="C233" s="7">
        <v>0.28000000000000003</v>
      </c>
      <c r="D233" s="7">
        <f t="shared" si="19"/>
        <v>0.24000000000000002</v>
      </c>
      <c r="E233" s="7">
        <f t="shared" si="20"/>
        <v>4.8000000000000004E-3</v>
      </c>
      <c r="F233" s="7">
        <f t="shared" si="21"/>
        <v>0.23520000000000002</v>
      </c>
    </row>
    <row r="234" spans="1:6" x14ac:dyDescent="0.35">
      <c r="A234" s="40"/>
      <c r="B234" s="11" t="s">
        <v>373</v>
      </c>
      <c r="C234" s="7">
        <v>0.28000000000000003</v>
      </c>
      <c r="D234" s="7">
        <f t="shared" si="19"/>
        <v>0.24000000000000002</v>
      </c>
      <c r="E234" s="7">
        <f t="shared" si="20"/>
        <v>4.8000000000000004E-3</v>
      </c>
      <c r="F234" s="7">
        <f t="shared" si="21"/>
        <v>0.23520000000000002</v>
      </c>
    </row>
    <row r="235" spans="1:6" x14ac:dyDescent="0.35">
      <c r="A235" s="40" t="s">
        <v>432</v>
      </c>
      <c r="B235" s="11" t="s">
        <v>368</v>
      </c>
      <c r="C235" s="7">
        <v>0.25</v>
      </c>
      <c r="D235" s="7">
        <f t="shared" si="19"/>
        <v>0.21</v>
      </c>
      <c r="E235" s="7">
        <f t="shared" si="20"/>
        <v>4.1999999999999997E-3</v>
      </c>
      <c r="F235" s="7">
        <f t="shared" si="21"/>
        <v>0.20579999999999998</v>
      </c>
    </row>
    <row r="236" spans="1:6" x14ac:dyDescent="0.35">
      <c r="A236" s="40"/>
      <c r="B236" s="11" t="s">
        <v>369</v>
      </c>
      <c r="C236" s="7">
        <v>0.25</v>
      </c>
      <c r="D236" s="7">
        <f t="shared" si="19"/>
        <v>0.21</v>
      </c>
      <c r="E236" s="7">
        <f t="shared" si="20"/>
        <v>4.1999999999999997E-3</v>
      </c>
      <c r="F236" s="7">
        <f t="shared" si="21"/>
        <v>0.20579999999999998</v>
      </c>
    </row>
    <row r="237" spans="1:6" ht="24" x14ac:dyDescent="0.35">
      <c r="A237" s="40"/>
      <c r="B237" s="11" t="s">
        <v>370</v>
      </c>
      <c r="C237" s="7">
        <v>0.25</v>
      </c>
      <c r="D237" s="7">
        <f t="shared" si="19"/>
        <v>0.21</v>
      </c>
      <c r="E237" s="7">
        <f t="shared" si="20"/>
        <v>4.1999999999999997E-3</v>
      </c>
      <c r="F237" s="7">
        <f t="shared" si="21"/>
        <v>0.20579999999999998</v>
      </c>
    </row>
    <row r="238" spans="1:6" x14ac:dyDescent="0.35">
      <c r="A238" s="40"/>
      <c r="B238" s="11" t="s">
        <v>371</v>
      </c>
      <c r="C238" s="7">
        <v>0.25</v>
      </c>
      <c r="D238" s="7">
        <f t="shared" si="19"/>
        <v>0.21</v>
      </c>
      <c r="E238" s="7">
        <f t="shared" si="20"/>
        <v>4.1999999999999997E-3</v>
      </c>
      <c r="F238" s="7">
        <f t="shared" si="21"/>
        <v>0.20579999999999998</v>
      </c>
    </row>
    <row r="239" spans="1:6" x14ac:dyDescent="0.35">
      <c r="A239" s="40"/>
      <c r="B239" s="11" t="s">
        <v>372</v>
      </c>
      <c r="C239" s="7">
        <v>0.25</v>
      </c>
      <c r="D239" s="7">
        <f t="shared" si="19"/>
        <v>0.21</v>
      </c>
      <c r="E239" s="7">
        <f t="shared" si="20"/>
        <v>4.1999999999999997E-3</v>
      </c>
      <c r="F239" s="7">
        <f t="shared" si="21"/>
        <v>0.20579999999999998</v>
      </c>
    </row>
    <row r="240" spans="1:6" x14ac:dyDescent="0.35">
      <c r="A240" s="40"/>
      <c r="B240" s="11" t="s">
        <v>373</v>
      </c>
      <c r="C240" s="7">
        <v>0.25</v>
      </c>
      <c r="D240" s="7">
        <f t="shared" si="19"/>
        <v>0.21</v>
      </c>
      <c r="E240" s="7">
        <f t="shared" si="20"/>
        <v>4.1999999999999997E-3</v>
      </c>
      <c r="F240" s="7">
        <f t="shared" si="21"/>
        <v>0.20579999999999998</v>
      </c>
    </row>
    <row r="241" spans="1:6" x14ac:dyDescent="0.35">
      <c r="A241" s="40" t="s">
        <v>433</v>
      </c>
      <c r="B241" s="11" t="s">
        <v>368</v>
      </c>
      <c r="C241" s="7">
        <v>0.2</v>
      </c>
      <c r="D241" s="7">
        <f t="shared" si="19"/>
        <v>0.16</v>
      </c>
      <c r="E241" s="7">
        <f t="shared" si="20"/>
        <v>3.2000000000000002E-3</v>
      </c>
      <c r="F241" s="7">
        <f t="shared" si="21"/>
        <v>0.15679999999999999</v>
      </c>
    </row>
    <row r="242" spans="1:6" x14ac:dyDescent="0.35">
      <c r="A242" s="40"/>
      <c r="B242" s="11" t="s">
        <v>369</v>
      </c>
      <c r="C242" s="7">
        <v>0.2</v>
      </c>
      <c r="D242" s="7">
        <f t="shared" si="19"/>
        <v>0.16</v>
      </c>
      <c r="E242" s="7">
        <f t="shared" si="20"/>
        <v>3.2000000000000002E-3</v>
      </c>
      <c r="F242" s="7">
        <f t="shared" si="21"/>
        <v>0.15679999999999999</v>
      </c>
    </row>
    <row r="243" spans="1:6" ht="24" x14ac:dyDescent="0.35">
      <c r="A243" s="40"/>
      <c r="B243" s="11" t="s">
        <v>370</v>
      </c>
      <c r="C243" s="7">
        <v>0.2</v>
      </c>
      <c r="D243" s="7">
        <f t="shared" si="19"/>
        <v>0.16</v>
      </c>
      <c r="E243" s="7">
        <f t="shared" si="20"/>
        <v>3.2000000000000002E-3</v>
      </c>
      <c r="F243" s="7">
        <f t="shared" si="21"/>
        <v>0.15679999999999999</v>
      </c>
    </row>
    <row r="244" spans="1:6" x14ac:dyDescent="0.35">
      <c r="A244" s="40"/>
      <c r="B244" s="11" t="s">
        <v>371</v>
      </c>
      <c r="C244" s="7">
        <v>0.2</v>
      </c>
      <c r="D244" s="7">
        <f t="shared" si="19"/>
        <v>0.16</v>
      </c>
      <c r="E244" s="7">
        <f t="shared" si="20"/>
        <v>3.2000000000000002E-3</v>
      </c>
      <c r="F244" s="7">
        <f t="shared" si="21"/>
        <v>0.15679999999999999</v>
      </c>
    </row>
    <row r="245" spans="1:6" x14ac:dyDescent="0.35">
      <c r="A245" s="40"/>
      <c r="B245" s="11" t="s">
        <v>372</v>
      </c>
      <c r="C245" s="7">
        <v>0.2</v>
      </c>
      <c r="D245" s="7">
        <f t="shared" si="19"/>
        <v>0.16</v>
      </c>
      <c r="E245" s="7">
        <f t="shared" si="20"/>
        <v>3.2000000000000002E-3</v>
      </c>
      <c r="F245" s="7">
        <f t="shared" si="21"/>
        <v>0.15679999999999999</v>
      </c>
    </row>
    <row r="246" spans="1:6" x14ac:dyDescent="0.35">
      <c r="A246" s="40"/>
      <c r="B246" s="11" t="s">
        <v>373</v>
      </c>
      <c r="C246" s="7">
        <v>0.2</v>
      </c>
      <c r="D246" s="7">
        <f t="shared" si="19"/>
        <v>0.16</v>
      </c>
      <c r="E246" s="7">
        <f t="shared" si="20"/>
        <v>3.2000000000000002E-3</v>
      </c>
      <c r="F246" s="7">
        <f t="shared" si="21"/>
        <v>0.15679999999999999</v>
      </c>
    </row>
    <row r="247" spans="1:6" x14ac:dyDescent="0.35">
      <c r="A247" s="40" t="s">
        <v>434</v>
      </c>
      <c r="B247" s="11" t="s">
        <v>368</v>
      </c>
      <c r="C247" s="7">
        <v>0.15</v>
      </c>
      <c r="D247" s="7">
        <f t="shared" si="19"/>
        <v>0.10999999999999999</v>
      </c>
      <c r="E247" s="7">
        <f t="shared" si="20"/>
        <v>2.1999999999999997E-3</v>
      </c>
      <c r="F247" s="7">
        <f t="shared" si="21"/>
        <v>0.10779999999999999</v>
      </c>
    </row>
    <row r="248" spans="1:6" x14ac:dyDescent="0.35">
      <c r="A248" s="40"/>
      <c r="B248" s="11" t="s">
        <v>369</v>
      </c>
      <c r="C248" s="7">
        <v>0.15</v>
      </c>
      <c r="D248" s="7">
        <f t="shared" si="19"/>
        <v>0.10999999999999999</v>
      </c>
      <c r="E248" s="7">
        <f t="shared" si="20"/>
        <v>2.1999999999999997E-3</v>
      </c>
      <c r="F248" s="7">
        <f t="shared" si="21"/>
        <v>0.10779999999999999</v>
      </c>
    </row>
    <row r="249" spans="1:6" ht="24" x14ac:dyDescent="0.35">
      <c r="A249" s="40"/>
      <c r="B249" s="11" t="s">
        <v>370</v>
      </c>
      <c r="C249" s="7">
        <v>0.15</v>
      </c>
      <c r="D249" s="7">
        <f t="shared" si="19"/>
        <v>0.10999999999999999</v>
      </c>
      <c r="E249" s="7">
        <f t="shared" si="20"/>
        <v>2.1999999999999997E-3</v>
      </c>
      <c r="F249" s="7">
        <f t="shared" si="21"/>
        <v>0.10779999999999999</v>
      </c>
    </row>
    <row r="250" spans="1:6" x14ac:dyDescent="0.35">
      <c r="A250" s="40"/>
      <c r="B250" s="11" t="s">
        <v>371</v>
      </c>
      <c r="C250" s="7">
        <v>0.15</v>
      </c>
      <c r="D250" s="7">
        <f t="shared" si="19"/>
        <v>0.10999999999999999</v>
      </c>
      <c r="E250" s="7">
        <f t="shared" si="20"/>
        <v>2.1999999999999997E-3</v>
      </c>
      <c r="F250" s="7">
        <f t="shared" si="21"/>
        <v>0.10779999999999999</v>
      </c>
    </row>
    <row r="251" spans="1:6" x14ac:dyDescent="0.35">
      <c r="A251" s="40"/>
      <c r="B251" s="11" t="s">
        <v>372</v>
      </c>
      <c r="C251" s="7">
        <v>0.15</v>
      </c>
      <c r="D251" s="7">
        <f t="shared" si="19"/>
        <v>0.10999999999999999</v>
      </c>
      <c r="E251" s="7">
        <f t="shared" si="20"/>
        <v>2.1999999999999997E-3</v>
      </c>
      <c r="F251" s="7">
        <f t="shared" si="21"/>
        <v>0.10779999999999999</v>
      </c>
    </row>
    <row r="252" spans="1:6" x14ac:dyDescent="0.35">
      <c r="A252" s="40"/>
      <c r="B252" s="11" t="s">
        <v>373</v>
      </c>
      <c r="C252" s="7">
        <v>0.15</v>
      </c>
      <c r="D252" s="7">
        <f t="shared" si="19"/>
        <v>0.10999999999999999</v>
      </c>
      <c r="E252" s="7">
        <f t="shared" si="20"/>
        <v>2.1999999999999997E-3</v>
      </c>
      <c r="F252" s="7">
        <f t="shared" si="21"/>
        <v>0.10779999999999999</v>
      </c>
    </row>
    <row r="253" spans="1:6" x14ac:dyDescent="0.35">
      <c r="A253" s="40" t="s">
        <v>435</v>
      </c>
      <c r="B253" s="11" t="s">
        <v>368</v>
      </c>
      <c r="C253" s="7">
        <v>0.01</v>
      </c>
      <c r="D253" s="7" t="s">
        <v>20</v>
      </c>
      <c r="E253" s="7" t="s">
        <v>20</v>
      </c>
      <c r="F253" s="7" t="s">
        <v>20</v>
      </c>
    </row>
    <row r="254" spans="1:6" x14ac:dyDescent="0.35">
      <c r="A254" s="40"/>
      <c r="B254" s="11" t="s">
        <v>369</v>
      </c>
      <c r="C254" s="7">
        <v>0.21</v>
      </c>
      <c r="D254" s="7">
        <f t="shared" si="19"/>
        <v>0.16999999999999998</v>
      </c>
      <c r="E254" s="7">
        <f t="shared" si="20"/>
        <v>3.3999999999999998E-3</v>
      </c>
      <c r="F254" s="7">
        <f t="shared" si="21"/>
        <v>0.1666</v>
      </c>
    </row>
    <row r="255" spans="1:6" ht="24" x14ac:dyDescent="0.35">
      <c r="A255" s="40"/>
      <c r="B255" s="11" t="s">
        <v>370</v>
      </c>
      <c r="C255" s="7">
        <v>0.26</v>
      </c>
      <c r="D255" s="7">
        <f t="shared" si="19"/>
        <v>0.22</v>
      </c>
      <c r="E255" s="7">
        <f t="shared" si="20"/>
        <v>4.4000000000000003E-3</v>
      </c>
      <c r="F255" s="7">
        <f t="shared" si="21"/>
        <v>0.21560000000000001</v>
      </c>
    </row>
    <row r="256" spans="1:6" x14ac:dyDescent="0.35">
      <c r="A256" s="40"/>
      <c r="B256" s="11" t="s">
        <v>371</v>
      </c>
      <c r="C256" s="7">
        <v>0.01</v>
      </c>
      <c r="D256" s="7" t="s">
        <v>20</v>
      </c>
      <c r="E256" s="7" t="s">
        <v>20</v>
      </c>
      <c r="F256" s="7" t="s">
        <v>20</v>
      </c>
    </row>
    <row r="257" spans="1:6" x14ac:dyDescent="0.35">
      <c r="A257" s="40"/>
      <c r="B257" s="11" t="s">
        <v>372</v>
      </c>
      <c r="C257" s="7">
        <v>0.26</v>
      </c>
      <c r="D257" s="7">
        <f t="shared" si="19"/>
        <v>0.22</v>
      </c>
      <c r="E257" s="7">
        <f t="shared" si="20"/>
        <v>4.4000000000000003E-3</v>
      </c>
      <c r="F257" s="7">
        <f t="shared" si="21"/>
        <v>0.21560000000000001</v>
      </c>
    </row>
    <row r="258" spans="1:6" x14ac:dyDescent="0.35">
      <c r="A258" s="40"/>
      <c r="B258" s="11" t="s">
        <v>373</v>
      </c>
      <c r="C258" s="7">
        <v>0.01</v>
      </c>
      <c r="D258" s="7" t="s">
        <v>20</v>
      </c>
      <c r="E258" s="7" t="s">
        <v>20</v>
      </c>
      <c r="F258" s="7" t="s">
        <v>20</v>
      </c>
    </row>
    <row r="259" spans="1:6" x14ac:dyDescent="0.35">
      <c r="A259" s="5" t="s">
        <v>436</v>
      </c>
      <c r="B259" s="5" t="s">
        <v>32</v>
      </c>
      <c r="C259" s="7">
        <v>0.27500000000000002</v>
      </c>
      <c r="D259" s="7">
        <f t="shared" si="19"/>
        <v>0.23500000000000001</v>
      </c>
      <c r="E259" s="7">
        <f t="shared" si="20"/>
        <v>4.7000000000000002E-3</v>
      </c>
      <c r="F259" s="7">
        <f t="shared" si="21"/>
        <v>0.2303</v>
      </c>
    </row>
    <row r="260" spans="1:6" ht="24" customHeight="1" x14ac:dyDescent="0.35">
      <c r="A260" s="41" t="s">
        <v>437</v>
      </c>
      <c r="B260" s="5" t="s">
        <v>397</v>
      </c>
      <c r="C260" s="7">
        <v>0.17</v>
      </c>
      <c r="D260" s="7">
        <f t="shared" si="19"/>
        <v>0.13</v>
      </c>
      <c r="E260" s="7">
        <f t="shared" si="20"/>
        <v>2.6000000000000003E-3</v>
      </c>
      <c r="F260" s="7">
        <f t="shared" si="21"/>
        <v>0.12740000000000001</v>
      </c>
    </row>
    <row r="261" spans="1:6" x14ac:dyDescent="0.35">
      <c r="A261" s="42"/>
      <c r="B261" s="5" t="s">
        <v>398</v>
      </c>
      <c r="C261" s="7">
        <v>0.22</v>
      </c>
      <c r="D261" s="7">
        <f t="shared" si="19"/>
        <v>0.18</v>
      </c>
      <c r="E261" s="7">
        <f t="shared" si="20"/>
        <v>3.5999999999999999E-3</v>
      </c>
      <c r="F261" s="7">
        <f t="shared" si="21"/>
        <v>0.1764</v>
      </c>
    </row>
    <row r="262" spans="1:6" x14ac:dyDescent="0.35">
      <c r="A262" s="43"/>
      <c r="B262" s="5" t="s">
        <v>380</v>
      </c>
      <c r="C262" s="7">
        <v>0.28000000000000003</v>
      </c>
      <c r="D262" s="7">
        <f t="shared" si="19"/>
        <v>0.24000000000000002</v>
      </c>
      <c r="E262" s="7">
        <f t="shared" si="20"/>
        <v>4.8000000000000004E-3</v>
      </c>
      <c r="F262" s="7">
        <f t="shared" si="21"/>
        <v>0.23520000000000002</v>
      </c>
    </row>
    <row r="263" spans="1:6" x14ac:dyDescent="0.35">
      <c r="A263" s="41" t="s">
        <v>438</v>
      </c>
      <c r="B263" s="5" t="s">
        <v>397</v>
      </c>
      <c r="C263" s="7">
        <v>0.14000000000000001</v>
      </c>
      <c r="D263" s="7">
        <f t="shared" si="19"/>
        <v>0.1</v>
      </c>
      <c r="E263" s="7">
        <f t="shared" si="20"/>
        <v>2E-3</v>
      </c>
      <c r="F263" s="7">
        <f t="shared" si="21"/>
        <v>9.8000000000000004E-2</v>
      </c>
    </row>
    <row r="264" spans="1:6" x14ac:dyDescent="0.35">
      <c r="A264" s="42"/>
      <c r="B264" s="5" t="s">
        <v>398</v>
      </c>
      <c r="C264" s="7">
        <v>0.27</v>
      </c>
      <c r="D264" s="7">
        <f t="shared" si="19"/>
        <v>0.23</v>
      </c>
      <c r="E264" s="7">
        <f t="shared" si="20"/>
        <v>4.5999999999999999E-3</v>
      </c>
      <c r="F264" s="7">
        <f t="shared" si="21"/>
        <v>0.22540000000000002</v>
      </c>
    </row>
    <row r="265" spans="1:6" x14ac:dyDescent="0.35">
      <c r="A265" s="43"/>
      <c r="B265" s="5" t="s">
        <v>380</v>
      </c>
      <c r="C265" s="7">
        <v>0.28000000000000003</v>
      </c>
      <c r="D265" s="7">
        <f t="shared" si="19"/>
        <v>0.24000000000000002</v>
      </c>
      <c r="E265" s="7">
        <f t="shared" si="20"/>
        <v>4.8000000000000004E-3</v>
      </c>
      <c r="F265" s="7">
        <f t="shared" si="21"/>
        <v>0.23520000000000002</v>
      </c>
    </row>
    <row r="266" spans="1:6" x14ac:dyDescent="0.35">
      <c r="A266" s="41" t="s">
        <v>439</v>
      </c>
      <c r="B266" s="5" t="s">
        <v>397</v>
      </c>
      <c r="C266" s="7">
        <v>0</v>
      </c>
      <c r="D266" s="7" t="s">
        <v>20</v>
      </c>
      <c r="E266" s="7" t="s">
        <v>20</v>
      </c>
      <c r="F266" s="7" t="s">
        <v>20</v>
      </c>
    </row>
    <row r="267" spans="1:6" x14ac:dyDescent="0.35">
      <c r="A267" s="42"/>
      <c r="B267" s="5" t="s">
        <v>398</v>
      </c>
      <c r="C267" s="7">
        <v>0.15</v>
      </c>
      <c r="D267" s="7">
        <f t="shared" si="19"/>
        <v>0.10999999999999999</v>
      </c>
      <c r="E267" s="7">
        <f t="shared" si="20"/>
        <v>2.1999999999999997E-3</v>
      </c>
      <c r="F267" s="7">
        <f t="shared" si="21"/>
        <v>0.10779999999999999</v>
      </c>
    </row>
    <row r="268" spans="1:6" x14ac:dyDescent="0.35">
      <c r="A268" s="43"/>
      <c r="B268" s="5" t="s">
        <v>380</v>
      </c>
      <c r="C268" s="7">
        <v>0.19</v>
      </c>
      <c r="D268" s="7">
        <f t="shared" si="19"/>
        <v>0.15</v>
      </c>
      <c r="E268" s="7">
        <f t="shared" si="20"/>
        <v>3.0000000000000001E-3</v>
      </c>
      <c r="F268" s="7">
        <f t="shared" si="21"/>
        <v>0.14699999999999999</v>
      </c>
    </row>
    <row r="269" spans="1:6" x14ac:dyDescent="0.35">
      <c r="A269" s="41" t="s">
        <v>440</v>
      </c>
      <c r="B269" s="5" t="s">
        <v>397</v>
      </c>
      <c r="C269" s="7">
        <v>0.03</v>
      </c>
      <c r="D269" s="7" t="s">
        <v>20</v>
      </c>
      <c r="E269" s="7" t="s">
        <v>20</v>
      </c>
      <c r="F269" s="7" t="s">
        <v>20</v>
      </c>
    </row>
    <row r="270" spans="1:6" x14ac:dyDescent="0.35">
      <c r="A270" s="42"/>
      <c r="B270" s="5" t="s">
        <v>398</v>
      </c>
      <c r="C270" s="7">
        <v>0.23</v>
      </c>
      <c r="D270" s="7">
        <f t="shared" si="19"/>
        <v>0.19</v>
      </c>
      <c r="E270" s="7">
        <f t="shared" si="20"/>
        <v>3.8E-3</v>
      </c>
      <c r="F270" s="7">
        <f t="shared" si="21"/>
        <v>0.1862</v>
      </c>
    </row>
    <row r="271" spans="1:6" x14ac:dyDescent="0.35">
      <c r="A271" s="43"/>
      <c r="B271" s="5" t="s">
        <v>380</v>
      </c>
      <c r="C271" s="7">
        <v>0.25</v>
      </c>
      <c r="D271" s="7">
        <f t="shared" si="19"/>
        <v>0.21</v>
      </c>
      <c r="E271" s="7">
        <f t="shared" si="20"/>
        <v>4.1999999999999997E-3</v>
      </c>
      <c r="F271" s="7">
        <f t="shared" si="21"/>
        <v>0.20579999999999998</v>
      </c>
    </row>
    <row r="272" spans="1:6" x14ac:dyDescent="0.35">
      <c r="A272" s="5" t="s">
        <v>441</v>
      </c>
      <c r="B272" s="5" t="s">
        <v>408</v>
      </c>
      <c r="C272" s="7">
        <v>0.22500000000000001</v>
      </c>
      <c r="D272" s="7">
        <f t="shared" si="19"/>
        <v>0.185</v>
      </c>
      <c r="E272" s="7">
        <f t="shared" si="20"/>
        <v>3.7000000000000002E-3</v>
      </c>
      <c r="F272" s="7">
        <f t="shared" si="21"/>
        <v>0.18129999999999999</v>
      </c>
    </row>
    <row r="273" spans="1:6" x14ac:dyDescent="0.35">
      <c r="A273" s="2" t="s">
        <v>159</v>
      </c>
      <c r="B273" s="2" t="s">
        <v>1</v>
      </c>
      <c r="C273" s="3" t="s">
        <v>2</v>
      </c>
      <c r="D273" s="4" t="s">
        <v>4</v>
      </c>
      <c r="E273" s="4" t="s">
        <v>5</v>
      </c>
      <c r="F273" s="4" t="s">
        <v>6</v>
      </c>
    </row>
    <row r="274" spans="1:6" ht="24" x14ac:dyDescent="0.35">
      <c r="A274" s="5" t="s">
        <v>442</v>
      </c>
      <c r="B274" s="5" t="s">
        <v>408</v>
      </c>
      <c r="C274" s="7">
        <v>0.2</v>
      </c>
      <c r="D274" s="7">
        <f t="shared" si="19"/>
        <v>0.16</v>
      </c>
      <c r="E274" s="7">
        <f t="shared" si="20"/>
        <v>3.2000000000000002E-3</v>
      </c>
      <c r="F274" s="7">
        <f t="shared" si="21"/>
        <v>0.15679999999999999</v>
      </c>
    </row>
    <row r="275" spans="1:6" x14ac:dyDescent="0.35">
      <c r="A275" s="5" t="s">
        <v>443</v>
      </c>
      <c r="B275" s="5" t="s">
        <v>408</v>
      </c>
      <c r="C275" s="7">
        <v>0.2</v>
      </c>
      <c r="D275" s="7">
        <f t="shared" si="19"/>
        <v>0.16</v>
      </c>
      <c r="E275" s="7">
        <f t="shared" si="20"/>
        <v>3.2000000000000002E-3</v>
      </c>
      <c r="F275" s="7">
        <f t="shared" si="21"/>
        <v>0.15679999999999999</v>
      </c>
    </row>
    <row r="276" spans="1:6" ht="24" x14ac:dyDescent="0.35">
      <c r="A276" s="5" t="s">
        <v>442</v>
      </c>
      <c r="B276" s="5" t="s">
        <v>1140</v>
      </c>
      <c r="C276" s="7">
        <v>0.22500000000000001</v>
      </c>
      <c r="D276" s="7">
        <f t="shared" si="19"/>
        <v>0.185</v>
      </c>
      <c r="E276" s="7">
        <f t="shared" si="20"/>
        <v>3.7000000000000002E-3</v>
      </c>
      <c r="F276" s="7">
        <f t="shared" si="21"/>
        <v>0.18129999999999999</v>
      </c>
    </row>
    <row r="277" spans="1:6" x14ac:dyDescent="0.35">
      <c r="A277" s="5" t="s">
        <v>443</v>
      </c>
      <c r="B277" s="5" t="s">
        <v>1140</v>
      </c>
      <c r="C277" s="7">
        <v>0.22500000000000001</v>
      </c>
      <c r="D277" s="7">
        <f t="shared" si="19"/>
        <v>0.185</v>
      </c>
      <c r="E277" s="7">
        <f t="shared" si="20"/>
        <v>3.7000000000000002E-3</v>
      </c>
      <c r="F277" s="7">
        <f t="shared" si="21"/>
        <v>0.18129999999999999</v>
      </c>
    </row>
    <row r="278" spans="1:6" x14ac:dyDescent="0.35">
      <c r="A278" s="40" t="s">
        <v>444</v>
      </c>
      <c r="B278" s="11" t="s">
        <v>445</v>
      </c>
      <c r="C278" s="7">
        <v>0.19500000000000001</v>
      </c>
      <c r="D278" s="7">
        <f t="shared" si="19"/>
        <v>0.155</v>
      </c>
      <c r="E278" s="7">
        <f t="shared" si="20"/>
        <v>3.0999999999999999E-3</v>
      </c>
      <c r="F278" s="7">
        <f t="shared" si="21"/>
        <v>0.15190000000000001</v>
      </c>
    </row>
    <row r="279" spans="1:6" x14ac:dyDescent="0.35">
      <c r="A279" s="40"/>
      <c r="B279" s="11" t="s">
        <v>446</v>
      </c>
      <c r="C279" s="7">
        <v>0.19500000000000001</v>
      </c>
      <c r="D279" s="7">
        <f t="shared" si="19"/>
        <v>0.155</v>
      </c>
      <c r="E279" s="7">
        <f t="shared" si="20"/>
        <v>3.0999999999999999E-3</v>
      </c>
      <c r="F279" s="7">
        <f t="shared" si="21"/>
        <v>0.15190000000000001</v>
      </c>
    </row>
    <row r="280" spans="1:6" ht="24" x14ac:dyDescent="0.35">
      <c r="A280" s="40"/>
      <c r="B280" s="11" t="s">
        <v>447</v>
      </c>
      <c r="C280" s="7">
        <v>0.19500000000000001</v>
      </c>
      <c r="D280" s="7">
        <f t="shared" si="19"/>
        <v>0.155</v>
      </c>
      <c r="E280" s="7">
        <f t="shared" si="20"/>
        <v>3.0999999999999999E-3</v>
      </c>
      <c r="F280" s="7">
        <f t="shared" si="21"/>
        <v>0.15190000000000001</v>
      </c>
    </row>
    <row r="281" spans="1:6" x14ac:dyDescent="0.35">
      <c r="A281" s="40"/>
      <c r="B281" s="11" t="s">
        <v>448</v>
      </c>
      <c r="C281" s="7">
        <v>0.19500000000000001</v>
      </c>
      <c r="D281" s="7">
        <f t="shared" si="19"/>
        <v>0.155</v>
      </c>
      <c r="E281" s="7">
        <f t="shared" si="20"/>
        <v>3.0999999999999999E-3</v>
      </c>
      <c r="F281" s="7">
        <f t="shared" si="21"/>
        <v>0.15190000000000001</v>
      </c>
    </row>
    <row r="282" spans="1:6" x14ac:dyDescent="0.35">
      <c r="A282" s="40"/>
      <c r="B282" s="11" t="s">
        <v>449</v>
      </c>
      <c r="C282" s="7">
        <v>0.19500000000000001</v>
      </c>
      <c r="D282" s="7">
        <f t="shared" si="19"/>
        <v>0.155</v>
      </c>
      <c r="E282" s="7">
        <f t="shared" si="20"/>
        <v>3.0999999999999999E-3</v>
      </c>
      <c r="F282" s="7">
        <f t="shared" si="21"/>
        <v>0.15190000000000001</v>
      </c>
    </row>
    <row r="283" spans="1:6" x14ac:dyDescent="0.35">
      <c r="A283" s="40"/>
      <c r="B283" s="11" t="s">
        <v>450</v>
      </c>
      <c r="C283" s="7">
        <v>0.19500000000000001</v>
      </c>
      <c r="D283" s="7">
        <f t="shared" ref="D283:D345" si="22">C283-(4%)</f>
        <v>0.155</v>
      </c>
      <c r="E283" s="7">
        <f t="shared" ref="E283:E345" si="23">D283*2%</f>
        <v>3.0999999999999999E-3</v>
      </c>
      <c r="F283" s="7">
        <f t="shared" ref="F283:F345" si="24">D283-E283</f>
        <v>0.15190000000000001</v>
      </c>
    </row>
    <row r="284" spans="1:6" x14ac:dyDescent="0.35">
      <c r="A284" s="40" t="s">
        <v>451</v>
      </c>
      <c r="B284" s="11" t="s">
        <v>368</v>
      </c>
      <c r="C284" s="7">
        <v>0.19</v>
      </c>
      <c r="D284" s="7">
        <f t="shared" si="22"/>
        <v>0.15</v>
      </c>
      <c r="E284" s="7">
        <f t="shared" si="23"/>
        <v>3.0000000000000001E-3</v>
      </c>
      <c r="F284" s="7">
        <f t="shared" si="24"/>
        <v>0.14699999999999999</v>
      </c>
    </row>
    <row r="285" spans="1:6" x14ac:dyDescent="0.35">
      <c r="A285" s="40"/>
      <c r="B285" s="11" t="s">
        <v>369</v>
      </c>
      <c r="C285" s="7">
        <v>0.19</v>
      </c>
      <c r="D285" s="7">
        <f t="shared" si="22"/>
        <v>0.15</v>
      </c>
      <c r="E285" s="7">
        <f t="shared" si="23"/>
        <v>3.0000000000000001E-3</v>
      </c>
      <c r="F285" s="7">
        <f t="shared" si="24"/>
        <v>0.14699999999999999</v>
      </c>
    </row>
    <row r="286" spans="1:6" ht="24" x14ac:dyDescent="0.35">
      <c r="A286" s="40"/>
      <c r="B286" s="11" t="s">
        <v>370</v>
      </c>
      <c r="C286" s="7">
        <v>0.27</v>
      </c>
      <c r="D286" s="7">
        <f t="shared" si="22"/>
        <v>0.23</v>
      </c>
      <c r="E286" s="7">
        <f t="shared" si="23"/>
        <v>4.5999999999999999E-3</v>
      </c>
      <c r="F286" s="7">
        <f t="shared" si="24"/>
        <v>0.22540000000000002</v>
      </c>
    </row>
    <row r="287" spans="1:6" x14ac:dyDescent="0.35">
      <c r="A287" s="40"/>
      <c r="B287" s="11" t="s">
        <v>371</v>
      </c>
      <c r="C287" s="7">
        <v>0.19</v>
      </c>
      <c r="D287" s="7">
        <f t="shared" si="22"/>
        <v>0.15</v>
      </c>
      <c r="E287" s="7">
        <f t="shared" si="23"/>
        <v>3.0000000000000001E-3</v>
      </c>
      <c r="F287" s="7">
        <f t="shared" si="24"/>
        <v>0.14699999999999999</v>
      </c>
    </row>
    <row r="288" spans="1:6" x14ac:dyDescent="0.35">
      <c r="A288" s="40"/>
      <c r="B288" s="11" t="s">
        <v>372</v>
      </c>
      <c r="C288" s="7">
        <v>0.19</v>
      </c>
      <c r="D288" s="7">
        <f t="shared" si="22"/>
        <v>0.15</v>
      </c>
      <c r="E288" s="7">
        <f t="shared" si="23"/>
        <v>3.0000000000000001E-3</v>
      </c>
      <c r="F288" s="7">
        <f t="shared" si="24"/>
        <v>0.14699999999999999</v>
      </c>
    </row>
    <row r="289" spans="1:6" x14ac:dyDescent="0.35">
      <c r="A289" s="40"/>
      <c r="B289" s="11" t="s">
        <v>373</v>
      </c>
      <c r="C289" s="7">
        <v>0.27</v>
      </c>
      <c r="D289" s="7">
        <f t="shared" si="22"/>
        <v>0.23</v>
      </c>
      <c r="E289" s="7">
        <f t="shared" si="23"/>
        <v>4.5999999999999999E-3</v>
      </c>
      <c r="F289" s="7">
        <f t="shared" si="24"/>
        <v>0.22540000000000002</v>
      </c>
    </row>
    <row r="290" spans="1:6" x14ac:dyDescent="0.35">
      <c r="A290" s="40" t="s">
        <v>452</v>
      </c>
      <c r="B290" s="11" t="s">
        <v>368</v>
      </c>
      <c r="C290" s="7">
        <v>0</v>
      </c>
      <c r="D290" s="7" t="s">
        <v>20</v>
      </c>
      <c r="E290" s="7" t="s">
        <v>20</v>
      </c>
      <c r="F290" s="7" t="s">
        <v>20</v>
      </c>
    </row>
    <row r="291" spans="1:6" x14ac:dyDescent="0.35">
      <c r="A291" s="40"/>
      <c r="B291" s="11" t="s">
        <v>369</v>
      </c>
      <c r="C291" s="7">
        <v>0.15</v>
      </c>
      <c r="D291" s="7">
        <f t="shared" si="22"/>
        <v>0.10999999999999999</v>
      </c>
      <c r="E291" s="7">
        <f t="shared" si="23"/>
        <v>2.1999999999999997E-3</v>
      </c>
      <c r="F291" s="7">
        <f t="shared" si="24"/>
        <v>0.10779999999999999</v>
      </c>
    </row>
    <row r="292" spans="1:6" ht="24" x14ac:dyDescent="0.35">
      <c r="A292" s="40"/>
      <c r="B292" s="11" t="s">
        <v>370</v>
      </c>
      <c r="C292" s="7">
        <v>0.1</v>
      </c>
      <c r="D292" s="7">
        <f t="shared" si="22"/>
        <v>6.0000000000000005E-2</v>
      </c>
      <c r="E292" s="7">
        <f t="shared" si="23"/>
        <v>1.2000000000000001E-3</v>
      </c>
      <c r="F292" s="7">
        <f t="shared" si="24"/>
        <v>5.8800000000000005E-2</v>
      </c>
    </row>
    <row r="293" spans="1:6" x14ac:dyDescent="0.35">
      <c r="A293" s="40"/>
      <c r="B293" s="11" t="s">
        <v>371</v>
      </c>
      <c r="C293" s="7">
        <v>0</v>
      </c>
      <c r="D293" s="7" t="s">
        <v>20</v>
      </c>
      <c r="E293" s="7" t="s">
        <v>20</v>
      </c>
      <c r="F293" s="7" t="s">
        <v>20</v>
      </c>
    </row>
    <row r="294" spans="1:6" x14ac:dyDescent="0.35">
      <c r="A294" s="40"/>
      <c r="B294" s="11" t="s">
        <v>372</v>
      </c>
      <c r="C294" s="7">
        <v>0.1</v>
      </c>
      <c r="D294" s="7">
        <f t="shared" si="22"/>
        <v>6.0000000000000005E-2</v>
      </c>
      <c r="E294" s="7">
        <f t="shared" si="23"/>
        <v>1.2000000000000001E-3</v>
      </c>
      <c r="F294" s="7">
        <f t="shared" si="24"/>
        <v>5.8800000000000005E-2</v>
      </c>
    </row>
    <row r="295" spans="1:6" x14ac:dyDescent="0.35">
      <c r="A295" s="40"/>
      <c r="B295" s="11" t="s">
        <v>373</v>
      </c>
      <c r="C295" s="7">
        <v>0.27</v>
      </c>
      <c r="D295" s="7">
        <f t="shared" si="22"/>
        <v>0.23</v>
      </c>
      <c r="E295" s="7">
        <f t="shared" si="23"/>
        <v>4.5999999999999999E-3</v>
      </c>
      <c r="F295" s="7">
        <f t="shared" si="24"/>
        <v>0.22540000000000002</v>
      </c>
    </row>
    <row r="296" spans="1:6" x14ac:dyDescent="0.35">
      <c r="A296" s="5" t="s">
        <v>453</v>
      </c>
      <c r="B296" s="5" t="s">
        <v>32</v>
      </c>
      <c r="C296" s="7">
        <v>0.22500000000000001</v>
      </c>
      <c r="D296" s="7">
        <f t="shared" si="22"/>
        <v>0.185</v>
      </c>
      <c r="E296" s="7">
        <f t="shared" si="23"/>
        <v>3.7000000000000002E-3</v>
      </c>
      <c r="F296" s="7">
        <f t="shared" si="24"/>
        <v>0.18129999999999999</v>
      </c>
    </row>
    <row r="297" spans="1:6" x14ac:dyDescent="0.35">
      <c r="A297" s="41" t="s">
        <v>454</v>
      </c>
      <c r="B297" s="5" t="s">
        <v>397</v>
      </c>
      <c r="C297" s="7">
        <v>0.15</v>
      </c>
      <c r="D297" s="7">
        <f t="shared" si="22"/>
        <v>0.10999999999999999</v>
      </c>
      <c r="E297" s="7">
        <f t="shared" si="23"/>
        <v>2.1999999999999997E-3</v>
      </c>
      <c r="F297" s="7">
        <f t="shared" si="24"/>
        <v>0.10779999999999999</v>
      </c>
    </row>
    <row r="298" spans="1:6" x14ac:dyDescent="0.35">
      <c r="A298" s="42"/>
      <c r="B298" s="5" t="s">
        <v>398</v>
      </c>
      <c r="C298" s="7">
        <v>0.15</v>
      </c>
      <c r="D298" s="7">
        <f t="shared" si="22"/>
        <v>0.10999999999999999</v>
      </c>
      <c r="E298" s="7">
        <f t="shared" si="23"/>
        <v>2.1999999999999997E-3</v>
      </c>
      <c r="F298" s="7">
        <f t="shared" si="24"/>
        <v>0.10779999999999999</v>
      </c>
    </row>
    <row r="299" spans="1:6" x14ac:dyDescent="0.35">
      <c r="A299" s="43"/>
      <c r="B299" s="5" t="s">
        <v>380</v>
      </c>
      <c r="C299" s="7">
        <v>0.15</v>
      </c>
      <c r="D299" s="7">
        <f t="shared" si="22"/>
        <v>0.10999999999999999</v>
      </c>
      <c r="E299" s="7">
        <f t="shared" si="23"/>
        <v>2.1999999999999997E-3</v>
      </c>
      <c r="F299" s="7">
        <f t="shared" si="24"/>
        <v>0.10779999999999999</v>
      </c>
    </row>
    <row r="300" spans="1:6" x14ac:dyDescent="0.35">
      <c r="A300" s="5" t="s">
        <v>455</v>
      </c>
      <c r="B300" s="5" t="s">
        <v>408</v>
      </c>
      <c r="C300" s="7">
        <v>0.22500000000000001</v>
      </c>
      <c r="D300" s="7">
        <f t="shared" si="22"/>
        <v>0.185</v>
      </c>
      <c r="E300" s="7">
        <f t="shared" si="23"/>
        <v>3.7000000000000002E-3</v>
      </c>
      <c r="F300" s="7">
        <f t="shared" si="24"/>
        <v>0.18129999999999999</v>
      </c>
    </row>
    <row r="301" spans="1:6" x14ac:dyDescent="0.35">
      <c r="A301" s="5" t="s">
        <v>456</v>
      </c>
      <c r="B301" s="5" t="s">
        <v>100</v>
      </c>
      <c r="C301" s="7">
        <v>0.18</v>
      </c>
      <c r="D301" s="7">
        <f t="shared" si="22"/>
        <v>0.13999999999999999</v>
      </c>
      <c r="E301" s="7">
        <f t="shared" si="23"/>
        <v>2.8E-3</v>
      </c>
      <c r="F301" s="7">
        <f t="shared" si="24"/>
        <v>0.13719999999999999</v>
      </c>
    </row>
    <row r="302" spans="1:6" x14ac:dyDescent="0.35">
      <c r="A302" s="2" t="s">
        <v>175</v>
      </c>
      <c r="B302" s="2" t="s">
        <v>1</v>
      </c>
      <c r="C302" s="3" t="s">
        <v>2</v>
      </c>
      <c r="D302" s="4" t="s">
        <v>4</v>
      </c>
      <c r="E302" s="4" t="s">
        <v>5</v>
      </c>
      <c r="F302" s="4" t="s">
        <v>6</v>
      </c>
    </row>
    <row r="303" spans="1:6" ht="24" x14ac:dyDescent="0.35">
      <c r="A303" s="5" t="s">
        <v>457</v>
      </c>
      <c r="B303" s="5" t="s">
        <v>100</v>
      </c>
      <c r="C303" s="7">
        <v>0.1</v>
      </c>
      <c r="D303" s="7">
        <f t="shared" si="22"/>
        <v>6.0000000000000005E-2</v>
      </c>
      <c r="E303" s="7">
        <f t="shared" si="23"/>
        <v>1.2000000000000001E-3</v>
      </c>
      <c r="F303" s="7">
        <f t="shared" si="24"/>
        <v>5.8800000000000005E-2</v>
      </c>
    </row>
    <row r="304" spans="1:6" x14ac:dyDescent="0.35">
      <c r="A304" s="5" t="s">
        <v>458</v>
      </c>
      <c r="B304" s="5" t="s">
        <v>100</v>
      </c>
      <c r="C304" s="7">
        <v>0.1</v>
      </c>
      <c r="D304" s="7">
        <f t="shared" si="22"/>
        <v>6.0000000000000005E-2</v>
      </c>
      <c r="E304" s="7">
        <f t="shared" si="23"/>
        <v>1.2000000000000001E-3</v>
      </c>
      <c r="F304" s="7">
        <f t="shared" si="24"/>
        <v>5.8800000000000005E-2</v>
      </c>
    </row>
    <row r="305" spans="1:6" x14ac:dyDescent="0.35">
      <c r="A305" s="5" t="s">
        <v>459</v>
      </c>
      <c r="B305" s="5" t="s">
        <v>100</v>
      </c>
      <c r="C305" s="7">
        <v>7.4999999999999997E-2</v>
      </c>
      <c r="D305" s="7">
        <f t="shared" si="22"/>
        <v>3.4999999999999996E-2</v>
      </c>
      <c r="E305" s="7">
        <f t="shared" si="23"/>
        <v>6.9999999999999999E-4</v>
      </c>
      <c r="F305" s="7">
        <f t="shared" si="24"/>
        <v>3.4299999999999997E-2</v>
      </c>
    </row>
    <row r="306" spans="1:6" x14ac:dyDescent="0.35">
      <c r="A306" s="5" t="s">
        <v>460</v>
      </c>
      <c r="B306" s="5" t="s">
        <v>100</v>
      </c>
      <c r="C306" s="7">
        <v>7.4999999999999997E-2</v>
      </c>
      <c r="D306" s="7">
        <f t="shared" si="22"/>
        <v>3.4999999999999996E-2</v>
      </c>
      <c r="E306" s="7">
        <f t="shared" si="23"/>
        <v>6.9999999999999999E-4</v>
      </c>
      <c r="F306" s="7">
        <f t="shared" si="24"/>
        <v>3.4299999999999997E-2</v>
      </c>
    </row>
    <row r="307" spans="1:6" ht="24" x14ac:dyDescent="0.35">
      <c r="A307" s="5" t="s">
        <v>180</v>
      </c>
      <c r="B307" s="5" t="s">
        <v>408</v>
      </c>
      <c r="C307" s="7">
        <v>0.11</v>
      </c>
      <c r="D307" s="7">
        <f t="shared" si="22"/>
        <v>7.0000000000000007E-2</v>
      </c>
      <c r="E307" s="7">
        <f t="shared" si="23"/>
        <v>1.4000000000000002E-3</v>
      </c>
      <c r="F307" s="7">
        <f t="shared" si="24"/>
        <v>6.8600000000000008E-2</v>
      </c>
    </row>
    <row r="308" spans="1:6" x14ac:dyDescent="0.35">
      <c r="A308" s="5" t="s">
        <v>461</v>
      </c>
      <c r="B308" s="5" t="s">
        <v>100</v>
      </c>
      <c r="C308" s="7">
        <v>0.2</v>
      </c>
      <c r="D308" s="7">
        <f t="shared" si="22"/>
        <v>0.16</v>
      </c>
      <c r="E308" s="7">
        <f t="shared" si="23"/>
        <v>3.2000000000000002E-3</v>
      </c>
      <c r="F308" s="7">
        <f t="shared" si="24"/>
        <v>0.15679999999999999</v>
      </c>
    </row>
    <row r="309" spans="1:6" x14ac:dyDescent="0.35">
      <c r="A309" s="2" t="s">
        <v>185</v>
      </c>
      <c r="B309" s="2" t="s">
        <v>1</v>
      </c>
      <c r="C309" s="3" t="s">
        <v>2</v>
      </c>
      <c r="D309" s="4" t="s">
        <v>4</v>
      </c>
      <c r="E309" s="4" t="s">
        <v>5</v>
      </c>
      <c r="F309" s="4" t="s">
        <v>6</v>
      </c>
    </row>
    <row r="310" spans="1:6" ht="24" x14ac:dyDescent="0.35">
      <c r="A310" s="5" t="s">
        <v>462</v>
      </c>
      <c r="B310" s="5" t="s">
        <v>463</v>
      </c>
      <c r="C310" s="7">
        <v>0.35</v>
      </c>
      <c r="D310" s="7">
        <f t="shared" si="22"/>
        <v>0.31</v>
      </c>
      <c r="E310" s="7">
        <f t="shared" si="23"/>
        <v>6.1999999999999998E-3</v>
      </c>
      <c r="F310" s="7">
        <f t="shared" si="24"/>
        <v>0.30380000000000001</v>
      </c>
    </row>
    <row r="311" spans="1:6" x14ac:dyDescent="0.35">
      <c r="A311" s="5" t="s">
        <v>464</v>
      </c>
      <c r="B311" s="5" t="s">
        <v>100</v>
      </c>
      <c r="C311" s="7">
        <v>0.35</v>
      </c>
      <c r="D311" s="7">
        <f t="shared" si="22"/>
        <v>0.31</v>
      </c>
      <c r="E311" s="7">
        <f t="shared" si="23"/>
        <v>6.1999999999999998E-3</v>
      </c>
      <c r="F311" s="7">
        <f t="shared" si="24"/>
        <v>0.30380000000000001</v>
      </c>
    </row>
    <row r="312" spans="1:6" x14ac:dyDescent="0.35">
      <c r="A312" s="5" t="s">
        <v>465</v>
      </c>
      <c r="B312" s="5" t="s">
        <v>8</v>
      </c>
      <c r="C312" s="7">
        <v>0.25</v>
      </c>
      <c r="D312" s="7">
        <f t="shared" si="22"/>
        <v>0.21</v>
      </c>
      <c r="E312" s="7">
        <f t="shared" si="23"/>
        <v>4.1999999999999997E-3</v>
      </c>
      <c r="F312" s="7">
        <f t="shared" si="24"/>
        <v>0.20579999999999998</v>
      </c>
    </row>
    <row r="313" spans="1:6" ht="24" x14ac:dyDescent="0.35">
      <c r="A313" s="5" t="s">
        <v>1443</v>
      </c>
      <c r="B313" s="5" t="s">
        <v>390</v>
      </c>
      <c r="C313" s="7">
        <v>0.39</v>
      </c>
      <c r="D313" s="7">
        <f t="shared" si="22"/>
        <v>0.35000000000000003</v>
      </c>
      <c r="E313" s="7">
        <f t="shared" si="23"/>
        <v>7.000000000000001E-3</v>
      </c>
      <c r="F313" s="7">
        <f t="shared" si="24"/>
        <v>0.34300000000000003</v>
      </c>
    </row>
    <row r="314" spans="1:6" ht="24" x14ac:dyDescent="0.35">
      <c r="A314" s="5" t="s">
        <v>1444</v>
      </c>
      <c r="B314" s="5" t="s">
        <v>390</v>
      </c>
      <c r="C314" s="7">
        <v>0.34</v>
      </c>
      <c r="D314" s="7">
        <f t="shared" si="22"/>
        <v>0.30000000000000004</v>
      </c>
      <c r="E314" s="7">
        <f t="shared" si="23"/>
        <v>6.000000000000001E-3</v>
      </c>
      <c r="F314" s="7">
        <f t="shared" si="24"/>
        <v>0.29400000000000004</v>
      </c>
    </row>
    <row r="315" spans="1:6" x14ac:dyDescent="0.35">
      <c r="A315" s="5" t="s">
        <v>466</v>
      </c>
      <c r="B315" s="5" t="s">
        <v>100</v>
      </c>
      <c r="C315" s="7">
        <v>0.39</v>
      </c>
      <c r="D315" s="7">
        <f t="shared" si="22"/>
        <v>0.35000000000000003</v>
      </c>
      <c r="E315" s="7">
        <f t="shared" si="23"/>
        <v>7.000000000000001E-3</v>
      </c>
      <c r="F315" s="7">
        <f t="shared" si="24"/>
        <v>0.34300000000000003</v>
      </c>
    </row>
    <row r="316" spans="1:6" x14ac:dyDescent="0.35">
      <c r="A316" s="41" t="s">
        <v>467</v>
      </c>
      <c r="B316" s="5" t="s">
        <v>397</v>
      </c>
      <c r="C316" s="7">
        <v>0.34</v>
      </c>
      <c r="D316" s="7">
        <f t="shared" si="22"/>
        <v>0.30000000000000004</v>
      </c>
      <c r="E316" s="7">
        <f t="shared" si="23"/>
        <v>6.000000000000001E-3</v>
      </c>
      <c r="F316" s="7">
        <f t="shared" si="24"/>
        <v>0.29400000000000004</v>
      </c>
    </row>
    <row r="317" spans="1:6" x14ac:dyDescent="0.35">
      <c r="A317" s="42"/>
      <c r="B317" s="5" t="s">
        <v>398</v>
      </c>
      <c r="C317" s="7">
        <v>0.34</v>
      </c>
      <c r="D317" s="7">
        <f t="shared" si="22"/>
        <v>0.30000000000000004</v>
      </c>
      <c r="E317" s="7">
        <f t="shared" si="23"/>
        <v>6.000000000000001E-3</v>
      </c>
      <c r="F317" s="7">
        <f t="shared" si="24"/>
        <v>0.29400000000000004</v>
      </c>
    </row>
    <row r="318" spans="1:6" x14ac:dyDescent="0.35">
      <c r="A318" s="43"/>
      <c r="B318" s="5" t="s">
        <v>380</v>
      </c>
      <c r="C318" s="7">
        <v>0.32</v>
      </c>
      <c r="D318" s="7">
        <f t="shared" si="22"/>
        <v>0.28000000000000003</v>
      </c>
      <c r="E318" s="7">
        <f t="shared" si="23"/>
        <v>5.6000000000000008E-3</v>
      </c>
      <c r="F318" s="7">
        <f t="shared" si="24"/>
        <v>0.27440000000000003</v>
      </c>
    </row>
    <row r="319" spans="1:6" x14ac:dyDescent="0.35">
      <c r="A319" s="41" t="s">
        <v>468</v>
      </c>
      <c r="B319" s="5" t="s">
        <v>397</v>
      </c>
      <c r="C319" s="7">
        <v>0.18</v>
      </c>
      <c r="D319" s="7">
        <f t="shared" si="22"/>
        <v>0.13999999999999999</v>
      </c>
      <c r="E319" s="7">
        <f t="shared" si="23"/>
        <v>2.8E-3</v>
      </c>
      <c r="F319" s="7">
        <f t="shared" si="24"/>
        <v>0.13719999999999999</v>
      </c>
    </row>
    <row r="320" spans="1:6" x14ac:dyDescent="0.35">
      <c r="A320" s="42"/>
      <c r="B320" s="5" t="s">
        <v>398</v>
      </c>
      <c r="C320" s="7">
        <v>0.15</v>
      </c>
      <c r="D320" s="7">
        <f t="shared" si="22"/>
        <v>0.10999999999999999</v>
      </c>
      <c r="E320" s="7">
        <f t="shared" si="23"/>
        <v>2.1999999999999997E-3</v>
      </c>
      <c r="F320" s="7">
        <f t="shared" si="24"/>
        <v>0.10779999999999999</v>
      </c>
    </row>
    <row r="321" spans="1:6" x14ac:dyDescent="0.35">
      <c r="A321" s="43"/>
      <c r="B321" s="5" t="s">
        <v>380</v>
      </c>
      <c r="C321" s="7">
        <v>0.15</v>
      </c>
      <c r="D321" s="7">
        <f t="shared" si="22"/>
        <v>0.10999999999999999</v>
      </c>
      <c r="E321" s="7">
        <f t="shared" si="23"/>
        <v>2.1999999999999997E-3</v>
      </c>
      <c r="F321" s="7">
        <f t="shared" si="24"/>
        <v>0.10779999999999999</v>
      </c>
    </row>
    <row r="322" spans="1:6" x14ac:dyDescent="0.35">
      <c r="A322" s="41" t="s">
        <v>192</v>
      </c>
      <c r="B322" s="5" t="s">
        <v>397</v>
      </c>
      <c r="C322" s="7">
        <v>0.19</v>
      </c>
      <c r="D322" s="7">
        <f t="shared" si="22"/>
        <v>0.15</v>
      </c>
      <c r="E322" s="7">
        <f t="shared" si="23"/>
        <v>3.0000000000000001E-3</v>
      </c>
      <c r="F322" s="7">
        <f t="shared" si="24"/>
        <v>0.14699999999999999</v>
      </c>
    </row>
    <row r="323" spans="1:6" x14ac:dyDescent="0.35">
      <c r="A323" s="42"/>
      <c r="B323" s="5" t="s">
        <v>398</v>
      </c>
      <c r="C323" s="7">
        <v>0.19</v>
      </c>
      <c r="D323" s="7">
        <f t="shared" si="22"/>
        <v>0.15</v>
      </c>
      <c r="E323" s="7">
        <f t="shared" si="23"/>
        <v>3.0000000000000001E-3</v>
      </c>
      <c r="F323" s="7">
        <f t="shared" si="24"/>
        <v>0.14699999999999999</v>
      </c>
    </row>
    <row r="324" spans="1:6" x14ac:dyDescent="0.35">
      <c r="A324" s="43"/>
      <c r="B324" s="5" t="s">
        <v>380</v>
      </c>
      <c r="C324" s="7">
        <v>0.23</v>
      </c>
      <c r="D324" s="7">
        <f t="shared" si="22"/>
        <v>0.19</v>
      </c>
      <c r="E324" s="7">
        <f t="shared" si="23"/>
        <v>3.8E-3</v>
      </c>
      <c r="F324" s="7">
        <f t="shared" si="24"/>
        <v>0.1862</v>
      </c>
    </row>
    <row r="325" spans="1:6" x14ac:dyDescent="0.35">
      <c r="A325" s="41" t="s">
        <v>469</v>
      </c>
      <c r="B325" s="5" t="s">
        <v>397</v>
      </c>
      <c r="C325" s="7">
        <v>0.21</v>
      </c>
      <c r="D325" s="7">
        <f t="shared" si="22"/>
        <v>0.16999999999999998</v>
      </c>
      <c r="E325" s="7">
        <f t="shared" si="23"/>
        <v>3.3999999999999998E-3</v>
      </c>
      <c r="F325" s="7">
        <f t="shared" si="24"/>
        <v>0.1666</v>
      </c>
    </row>
    <row r="326" spans="1:6" x14ac:dyDescent="0.35">
      <c r="A326" s="42"/>
      <c r="B326" s="5" t="s">
        <v>398</v>
      </c>
      <c r="C326" s="7">
        <v>0.21</v>
      </c>
      <c r="D326" s="7">
        <f t="shared" si="22"/>
        <v>0.16999999999999998</v>
      </c>
      <c r="E326" s="7">
        <f t="shared" si="23"/>
        <v>3.3999999999999998E-3</v>
      </c>
      <c r="F326" s="7">
        <f t="shared" si="24"/>
        <v>0.1666</v>
      </c>
    </row>
    <row r="327" spans="1:6" x14ac:dyDescent="0.35">
      <c r="A327" s="43"/>
      <c r="B327" s="5" t="s">
        <v>380</v>
      </c>
      <c r="C327" s="7">
        <v>0.21</v>
      </c>
      <c r="D327" s="7">
        <f t="shared" si="22"/>
        <v>0.16999999999999998</v>
      </c>
      <c r="E327" s="7">
        <f t="shared" si="23"/>
        <v>3.3999999999999998E-3</v>
      </c>
      <c r="F327" s="7">
        <f t="shared" si="24"/>
        <v>0.1666</v>
      </c>
    </row>
    <row r="328" spans="1:6" x14ac:dyDescent="0.35">
      <c r="A328" s="41" t="s">
        <v>194</v>
      </c>
      <c r="B328" s="5" t="s">
        <v>397</v>
      </c>
      <c r="C328" s="7">
        <v>0.21</v>
      </c>
      <c r="D328" s="7">
        <f t="shared" si="22"/>
        <v>0.16999999999999998</v>
      </c>
      <c r="E328" s="7">
        <f t="shared" si="23"/>
        <v>3.3999999999999998E-3</v>
      </c>
      <c r="F328" s="7">
        <f t="shared" si="24"/>
        <v>0.1666</v>
      </c>
    </row>
    <row r="329" spans="1:6" x14ac:dyDescent="0.35">
      <c r="A329" s="42"/>
      <c r="B329" s="5" t="s">
        <v>398</v>
      </c>
      <c r="C329" s="7">
        <v>0.21</v>
      </c>
      <c r="D329" s="7">
        <f t="shared" si="22"/>
        <v>0.16999999999999998</v>
      </c>
      <c r="E329" s="7">
        <f t="shared" si="23"/>
        <v>3.3999999999999998E-3</v>
      </c>
      <c r="F329" s="7">
        <f t="shared" si="24"/>
        <v>0.1666</v>
      </c>
    </row>
    <row r="330" spans="1:6" x14ac:dyDescent="0.35">
      <c r="A330" s="43"/>
      <c r="B330" s="5" t="s">
        <v>380</v>
      </c>
      <c r="C330" s="7">
        <v>0.21</v>
      </c>
      <c r="D330" s="7">
        <f t="shared" si="22"/>
        <v>0.16999999999999998</v>
      </c>
      <c r="E330" s="7">
        <f t="shared" si="23"/>
        <v>3.3999999999999998E-3</v>
      </c>
      <c r="F330" s="7">
        <f t="shared" si="24"/>
        <v>0.1666</v>
      </c>
    </row>
    <row r="331" spans="1:6" x14ac:dyDescent="0.35">
      <c r="A331" s="5" t="s">
        <v>195</v>
      </c>
      <c r="B331" s="5" t="s">
        <v>32</v>
      </c>
      <c r="C331" s="7">
        <v>0.375</v>
      </c>
      <c r="D331" s="7">
        <f t="shared" si="22"/>
        <v>0.33500000000000002</v>
      </c>
      <c r="E331" s="7">
        <f t="shared" si="23"/>
        <v>6.7000000000000002E-3</v>
      </c>
      <c r="F331" s="7">
        <f t="shared" si="24"/>
        <v>0.32830000000000004</v>
      </c>
    </row>
    <row r="332" spans="1:6" x14ac:dyDescent="0.35">
      <c r="A332" s="5" t="s">
        <v>196</v>
      </c>
      <c r="B332" s="5" t="s">
        <v>32</v>
      </c>
      <c r="C332" s="7">
        <v>0.375</v>
      </c>
      <c r="D332" s="7">
        <f t="shared" si="22"/>
        <v>0.33500000000000002</v>
      </c>
      <c r="E332" s="7">
        <f t="shared" si="23"/>
        <v>6.7000000000000002E-3</v>
      </c>
      <c r="F332" s="7">
        <f t="shared" si="24"/>
        <v>0.32830000000000004</v>
      </c>
    </row>
    <row r="333" spans="1:6" ht="36" x14ac:dyDescent="0.35">
      <c r="A333" s="5" t="s">
        <v>197</v>
      </c>
      <c r="B333" s="5" t="s">
        <v>32</v>
      </c>
      <c r="C333" s="7">
        <v>0.17499999999999999</v>
      </c>
      <c r="D333" s="7">
        <f t="shared" si="22"/>
        <v>0.13499999999999998</v>
      </c>
      <c r="E333" s="7">
        <f t="shared" si="23"/>
        <v>2.6999999999999997E-3</v>
      </c>
      <c r="F333" s="7">
        <f t="shared" si="24"/>
        <v>0.13229999999999997</v>
      </c>
    </row>
    <row r="334" spans="1:6" x14ac:dyDescent="0.35">
      <c r="A334" s="5" t="s">
        <v>199</v>
      </c>
      <c r="B334" s="5" t="s">
        <v>32</v>
      </c>
      <c r="C334" s="7">
        <v>0.3</v>
      </c>
      <c r="D334" s="7">
        <f t="shared" si="22"/>
        <v>0.26</v>
      </c>
      <c r="E334" s="7">
        <f t="shared" si="23"/>
        <v>5.2000000000000006E-3</v>
      </c>
      <c r="F334" s="7">
        <f t="shared" si="24"/>
        <v>0.25480000000000003</v>
      </c>
    </row>
    <row r="335" spans="1:6" x14ac:dyDescent="0.35">
      <c r="A335" s="44" t="s">
        <v>200</v>
      </c>
      <c r="B335" s="5" t="s">
        <v>92</v>
      </c>
      <c r="C335" s="6">
        <v>0.35</v>
      </c>
      <c r="D335" s="7">
        <f t="shared" si="22"/>
        <v>0.31</v>
      </c>
      <c r="E335" s="7">
        <f t="shared" si="23"/>
        <v>6.1999999999999998E-3</v>
      </c>
      <c r="F335" s="7">
        <f t="shared" si="24"/>
        <v>0.30380000000000001</v>
      </c>
    </row>
    <row r="336" spans="1:6" x14ac:dyDescent="0.35">
      <c r="A336" s="45"/>
      <c r="B336" s="5" t="s">
        <v>93</v>
      </c>
      <c r="C336" s="6">
        <v>0.35</v>
      </c>
      <c r="D336" s="7">
        <f t="shared" si="22"/>
        <v>0.31</v>
      </c>
      <c r="E336" s="7">
        <f t="shared" si="23"/>
        <v>6.1999999999999998E-3</v>
      </c>
      <c r="F336" s="7">
        <f t="shared" si="24"/>
        <v>0.30380000000000001</v>
      </c>
    </row>
    <row r="337" spans="1:6" ht="27.65" customHeight="1" x14ac:dyDescent="0.35">
      <c r="A337" s="44" t="s">
        <v>470</v>
      </c>
      <c r="B337" s="11" t="s">
        <v>380</v>
      </c>
      <c r="C337" s="7">
        <v>0</v>
      </c>
      <c r="D337" s="7" t="s">
        <v>20</v>
      </c>
      <c r="E337" s="7" t="s">
        <v>20</v>
      </c>
      <c r="F337" s="7" t="s">
        <v>20</v>
      </c>
    </row>
    <row r="338" spans="1:6" ht="27.65" customHeight="1" x14ac:dyDescent="0.35">
      <c r="A338" s="47"/>
      <c r="B338" s="11" t="s">
        <v>471</v>
      </c>
      <c r="C338" s="7">
        <v>0.35</v>
      </c>
      <c r="D338" s="7">
        <f t="shared" si="22"/>
        <v>0.31</v>
      </c>
      <c r="E338" s="7">
        <f t="shared" si="23"/>
        <v>6.1999999999999998E-3</v>
      </c>
      <c r="F338" s="7">
        <f t="shared" si="24"/>
        <v>0.30380000000000001</v>
      </c>
    </row>
    <row r="339" spans="1:6" ht="27.65" customHeight="1" x14ac:dyDescent="0.35">
      <c r="A339" s="47"/>
      <c r="B339" s="11" t="s">
        <v>378</v>
      </c>
      <c r="C339" s="7">
        <v>0.35</v>
      </c>
      <c r="D339" s="7">
        <f t="shared" si="22"/>
        <v>0.31</v>
      </c>
      <c r="E339" s="7">
        <f t="shared" si="23"/>
        <v>6.1999999999999998E-3</v>
      </c>
      <c r="F339" s="7">
        <f t="shared" si="24"/>
        <v>0.30380000000000001</v>
      </c>
    </row>
    <row r="340" spans="1:6" ht="27.65" customHeight="1" x14ac:dyDescent="0.35">
      <c r="A340" s="45"/>
      <c r="B340" s="11" t="s">
        <v>379</v>
      </c>
      <c r="C340" s="7">
        <v>0.35</v>
      </c>
      <c r="D340" s="7">
        <f t="shared" si="22"/>
        <v>0.31</v>
      </c>
      <c r="E340" s="7">
        <f t="shared" si="23"/>
        <v>6.1999999999999998E-3</v>
      </c>
      <c r="F340" s="7">
        <f t="shared" si="24"/>
        <v>0.30380000000000001</v>
      </c>
    </row>
    <row r="341" spans="1:6" ht="27.65" customHeight="1" x14ac:dyDescent="0.35">
      <c r="A341" s="44" t="s">
        <v>472</v>
      </c>
      <c r="B341" s="11" t="s">
        <v>380</v>
      </c>
      <c r="C341" s="7">
        <v>0</v>
      </c>
      <c r="D341" s="7" t="s">
        <v>20</v>
      </c>
      <c r="E341" s="7" t="s">
        <v>20</v>
      </c>
      <c r="F341" s="7" t="s">
        <v>20</v>
      </c>
    </row>
    <row r="342" spans="1:6" ht="27.65" customHeight="1" x14ac:dyDescent="0.35">
      <c r="A342" s="47"/>
      <c r="B342" s="11" t="s">
        <v>471</v>
      </c>
      <c r="C342" s="7">
        <v>0.35</v>
      </c>
      <c r="D342" s="7">
        <f t="shared" si="22"/>
        <v>0.31</v>
      </c>
      <c r="E342" s="7">
        <f t="shared" si="23"/>
        <v>6.1999999999999998E-3</v>
      </c>
      <c r="F342" s="7">
        <f t="shared" si="24"/>
        <v>0.30380000000000001</v>
      </c>
    </row>
    <row r="343" spans="1:6" ht="27.65" customHeight="1" x14ac:dyDescent="0.35">
      <c r="A343" s="47"/>
      <c r="B343" s="11" t="s">
        <v>378</v>
      </c>
      <c r="C343" s="7">
        <v>0.35</v>
      </c>
      <c r="D343" s="7">
        <f t="shared" si="22"/>
        <v>0.31</v>
      </c>
      <c r="E343" s="7">
        <f t="shared" si="23"/>
        <v>6.1999999999999998E-3</v>
      </c>
      <c r="F343" s="7">
        <f t="shared" si="24"/>
        <v>0.30380000000000001</v>
      </c>
    </row>
    <row r="344" spans="1:6" ht="27.65" customHeight="1" x14ac:dyDescent="0.35">
      <c r="A344" s="45"/>
      <c r="B344" s="11" t="s">
        <v>379</v>
      </c>
      <c r="C344" s="7">
        <v>0.35</v>
      </c>
      <c r="D344" s="7">
        <f t="shared" si="22"/>
        <v>0.31</v>
      </c>
      <c r="E344" s="7">
        <f t="shared" si="23"/>
        <v>6.1999999999999998E-3</v>
      </c>
      <c r="F344" s="7">
        <f t="shared" si="24"/>
        <v>0.30380000000000001</v>
      </c>
    </row>
    <row r="345" spans="1:6" ht="27.65" customHeight="1" x14ac:dyDescent="0.35">
      <c r="A345" s="41" t="s">
        <v>473</v>
      </c>
      <c r="B345" s="5" t="s">
        <v>398</v>
      </c>
      <c r="C345" s="7">
        <v>0.38</v>
      </c>
      <c r="D345" s="7">
        <f t="shared" si="22"/>
        <v>0.34</v>
      </c>
      <c r="E345" s="7">
        <f t="shared" si="23"/>
        <v>6.8000000000000005E-3</v>
      </c>
      <c r="F345" s="7">
        <f t="shared" si="24"/>
        <v>0.33320000000000005</v>
      </c>
    </row>
    <row r="346" spans="1:6" ht="27.65" customHeight="1" x14ac:dyDescent="0.35">
      <c r="A346" s="42"/>
      <c r="B346" s="5" t="s">
        <v>378</v>
      </c>
      <c r="C346" s="7">
        <v>0</v>
      </c>
      <c r="D346" s="7" t="s">
        <v>20</v>
      </c>
      <c r="E346" s="7" t="s">
        <v>20</v>
      </c>
      <c r="F346" s="7" t="s">
        <v>20</v>
      </c>
    </row>
    <row r="347" spans="1:6" ht="27.65" customHeight="1" x14ac:dyDescent="0.35">
      <c r="A347" s="42"/>
      <c r="B347" s="5" t="s">
        <v>379</v>
      </c>
      <c r="C347" s="7">
        <v>0</v>
      </c>
      <c r="D347" s="7" t="s">
        <v>20</v>
      </c>
      <c r="E347" s="7" t="s">
        <v>20</v>
      </c>
      <c r="F347" s="7" t="s">
        <v>20</v>
      </c>
    </row>
    <row r="348" spans="1:6" ht="27.65" customHeight="1" x14ac:dyDescent="0.35">
      <c r="A348" s="43"/>
      <c r="B348" s="11" t="s">
        <v>380</v>
      </c>
      <c r="C348" s="7">
        <v>0.35</v>
      </c>
      <c r="D348" s="7">
        <f t="shared" ref="D348:D413" si="25">C348-(4%)</f>
        <v>0.31</v>
      </c>
      <c r="E348" s="7">
        <f t="shared" ref="E348:E413" si="26">D348*2%</f>
        <v>6.1999999999999998E-3</v>
      </c>
      <c r="F348" s="7">
        <f t="shared" ref="F348:F413" si="27">D348-E348</f>
        <v>0.30380000000000001</v>
      </c>
    </row>
    <row r="349" spans="1:6" ht="27.65" customHeight="1" x14ac:dyDescent="0.35">
      <c r="A349" s="5" t="s">
        <v>474</v>
      </c>
      <c r="B349" s="5" t="s">
        <v>100</v>
      </c>
      <c r="C349" s="7">
        <v>0.32</v>
      </c>
      <c r="D349" s="7">
        <f t="shared" si="25"/>
        <v>0.28000000000000003</v>
      </c>
      <c r="E349" s="7">
        <f t="shared" si="26"/>
        <v>5.6000000000000008E-3</v>
      </c>
      <c r="F349" s="7">
        <f t="shared" si="27"/>
        <v>0.27440000000000003</v>
      </c>
    </row>
    <row r="350" spans="1:6" ht="27.65" customHeight="1" x14ac:dyDescent="0.35">
      <c r="A350" s="5" t="s">
        <v>475</v>
      </c>
      <c r="B350" s="5" t="s">
        <v>100</v>
      </c>
      <c r="C350" s="7">
        <v>0.3</v>
      </c>
      <c r="D350" s="7">
        <f t="shared" si="25"/>
        <v>0.26</v>
      </c>
      <c r="E350" s="7">
        <f t="shared" si="26"/>
        <v>5.2000000000000006E-3</v>
      </c>
      <c r="F350" s="7">
        <f t="shared" si="27"/>
        <v>0.25480000000000003</v>
      </c>
    </row>
    <row r="351" spans="1:6" ht="27.65" customHeight="1" x14ac:dyDescent="0.35">
      <c r="A351" s="5" t="s">
        <v>1311</v>
      </c>
      <c r="B351" s="5" t="s">
        <v>100</v>
      </c>
      <c r="C351" s="7">
        <v>0.4</v>
      </c>
      <c r="D351" s="7">
        <f t="shared" ref="D351" si="28">C351-(4%)</f>
        <v>0.36000000000000004</v>
      </c>
      <c r="E351" s="7">
        <f t="shared" ref="E351" si="29">D351*2%</f>
        <v>7.2000000000000007E-3</v>
      </c>
      <c r="F351" s="7">
        <f t="shared" ref="F351" si="30">D351-E351</f>
        <v>0.35280000000000006</v>
      </c>
    </row>
    <row r="352" spans="1:6" x14ac:dyDescent="0.35">
      <c r="A352" s="2" t="s">
        <v>206</v>
      </c>
      <c r="B352" s="2" t="s">
        <v>1</v>
      </c>
      <c r="C352" s="3" t="s">
        <v>2</v>
      </c>
      <c r="D352" s="4" t="s">
        <v>4</v>
      </c>
      <c r="E352" s="4" t="s">
        <v>5</v>
      </c>
      <c r="F352" s="4" t="s">
        <v>6</v>
      </c>
    </row>
    <row r="353" spans="1:6" x14ac:dyDescent="0.35">
      <c r="A353" s="5" t="s">
        <v>207</v>
      </c>
      <c r="B353" s="5" t="s">
        <v>100</v>
      </c>
      <c r="C353" s="7">
        <v>0.6</v>
      </c>
      <c r="D353" s="7">
        <f t="shared" si="25"/>
        <v>0.55999999999999994</v>
      </c>
      <c r="E353" s="7">
        <f t="shared" si="26"/>
        <v>1.12E-2</v>
      </c>
      <c r="F353" s="7">
        <f t="shared" si="27"/>
        <v>0.54879999999999995</v>
      </c>
    </row>
    <row r="354" spans="1:6" x14ac:dyDescent="0.35">
      <c r="A354" s="5" t="s">
        <v>208</v>
      </c>
      <c r="B354" s="5" t="s">
        <v>100</v>
      </c>
      <c r="C354" s="7">
        <v>0.6</v>
      </c>
      <c r="D354" s="7">
        <f t="shared" si="25"/>
        <v>0.55999999999999994</v>
      </c>
      <c r="E354" s="7">
        <f t="shared" si="26"/>
        <v>1.12E-2</v>
      </c>
      <c r="F354" s="7">
        <f t="shared" si="27"/>
        <v>0.54879999999999995</v>
      </c>
    </row>
    <row r="355" spans="1:6" x14ac:dyDescent="0.35">
      <c r="A355" s="5" t="s">
        <v>476</v>
      </c>
      <c r="B355" s="5" t="s">
        <v>100</v>
      </c>
      <c r="C355" s="7">
        <v>0.5</v>
      </c>
      <c r="D355" s="7">
        <f t="shared" si="25"/>
        <v>0.46</v>
      </c>
      <c r="E355" s="7">
        <f t="shared" si="26"/>
        <v>9.1999999999999998E-3</v>
      </c>
      <c r="F355" s="7">
        <f t="shared" si="27"/>
        <v>0.45080000000000003</v>
      </c>
    </row>
    <row r="356" spans="1:6" ht="24" x14ac:dyDescent="0.35">
      <c r="A356" s="5" t="s">
        <v>212</v>
      </c>
      <c r="B356" s="5" t="s">
        <v>100</v>
      </c>
      <c r="C356" s="7">
        <v>0.72499999999999998</v>
      </c>
      <c r="D356" s="7">
        <f t="shared" si="25"/>
        <v>0.68499999999999994</v>
      </c>
      <c r="E356" s="7">
        <f t="shared" si="26"/>
        <v>1.3699999999999999E-2</v>
      </c>
      <c r="F356" s="7">
        <f t="shared" si="27"/>
        <v>0.6712999999999999</v>
      </c>
    </row>
    <row r="357" spans="1:6" ht="24" x14ac:dyDescent="0.35">
      <c r="A357" s="5" t="s">
        <v>1173</v>
      </c>
      <c r="B357" s="5" t="s">
        <v>100</v>
      </c>
      <c r="C357" s="7">
        <v>0.75</v>
      </c>
      <c r="D357" s="7">
        <f t="shared" si="25"/>
        <v>0.71</v>
      </c>
      <c r="E357" s="7">
        <f t="shared" si="26"/>
        <v>1.4199999999999999E-2</v>
      </c>
      <c r="F357" s="7">
        <f t="shared" si="27"/>
        <v>0.69579999999999997</v>
      </c>
    </row>
    <row r="358" spans="1:6" ht="24" x14ac:dyDescent="0.35">
      <c r="A358" s="5" t="s">
        <v>1176</v>
      </c>
      <c r="B358" s="5" t="s">
        <v>100</v>
      </c>
      <c r="C358" s="7">
        <v>0.75</v>
      </c>
      <c r="D358" s="7">
        <f t="shared" si="25"/>
        <v>0.71</v>
      </c>
      <c r="E358" s="7">
        <f t="shared" si="26"/>
        <v>1.4199999999999999E-2</v>
      </c>
      <c r="F358" s="7">
        <f t="shared" si="27"/>
        <v>0.69579999999999997</v>
      </c>
    </row>
    <row r="359" spans="1:6" x14ac:dyDescent="0.35">
      <c r="A359" s="23" t="s">
        <v>210</v>
      </c>
      <c r="B359" s="5" t="s">
        <v>100</v>
      </c>
      <c r="C359" s="7">
        <v>0.28000000000000003</v>
      </c>
      <c r="D359" s="7">
        <f t="shared" si="25"/>
        <v>0.24000000000000002</v>
      </c>
      <c r="E359" s="7">
        <f t="shared" si="26"/>
        <v>4.8000000000000004E-3</v>
      </c>
      <c r="F359" s="7">
        <f t="shared" si="27"/>
        <v>0.23520000000000002</v>
      </c>
    </row>
    <row r="360" spans="1:6" ht="24" x14ac:dyDescent="0.35">
      <c r="A360" s="23" t="s">
        <v>477</v>
      </c>
      <c r="B360" s="5" t="s">
        <v>100</v>
      </c>
      <c r="C360" s="6">
        <v>0.74</v>
      </c>
      <c r="D360" s="7">
        <f t="shared" si="25"/>
        <v>0.7</v>
      </c>
      <c r="E360" s="7">
        <f t="shared" si="26"/>
        <v>1.3999999999999999E-2</v>
      </c>
      <c r="F360" s="7">
        <f t="shared" si="27"/>
        <v>0.68599999999999994</v>
      </c>
    </row>
    <row r="361" spans="1:6" ht="24" x14ac:dyDescent="0.35">
      <c r="A361" s="5" t="s">
        <v>1441</v>
      </c>
      <c r="B361" s="5" t="s">
        <v>100</v>
      </c>
      <c r="C361" s="6">
        <v>0.65</v>
      </c>
      <c r="D361" s="7">
        <f t="shared" si="25"/>
        <v>0.61</v>
      </c>
      <c r="E361" s="7">
        <f t="shared" si="26"/>
        <v>1.2200000000000001E-2</v>
      </c>
      <c r="F361" s="7">
        <f t="shared" si="27"/>
        <v>0.5978</v>
      </c>
    </row>
    <row r="362" spans="1:6" x14ac:dyDescent="0.35">
      <c r="A362" s="5" t="s">
        <v>1442</v>
      </c>
      <c r="B362" s="5" t="s">
        <v>100</v>
      </c>
      <c r="C362" s="6">
        <v>0.67</v>
      </c>
      <c r="D362" s="7">
        <f t="shared" si="25"/>
        <v>0.63</v>
      </c>
      <c r="E362" s="7">
        <f t="shared" si="26"/>
        <v>1.26E-2</v>
      </c>
      <c r="F362" s="7">
        <f t="shared" si="27"/>
        <v>0.61739999999999995</v>
      </c>
    </row>
    <row r="363" spans="1:6" ht="24" x14ac:dyDescent="0.35">
      <c r="A363" s="5" t="s">
        <v>1445</v>
      </c>
      <c r="B363" s="5" t="s">
        <v>100</v>
      </c>
      <c r="C363" s="6">
        <v>0.55000000000000004</v>
      </c>
      <c r="D363" s="7">
        <f t="shared" si="25"/>
        <v>0.51</v>
      </c>
      <c r="E363" s="7">
        <f t="shared" si="26"/>
        <v>1.0200000000000001E-2</v>
      </c>
      <c r="F363" s="7">
        <f t="shared" si="27"/>
        <v>0.49980000000000002</v>
      </c>
    </row>
    <row r="364" spans="1:6" x14ac:dyDescent="0.35">
      <c r="A364" s="5" t="s">
        <v>1446</v>
      </c>
      <c r="B364" s="5" t="s">
        <v>100</v>
      </c>
      <c r="C364" s="6">
        <v>0.56999999999999995</v>
      </c>
      <c r="D364" s="7">
        <f t="shared" si="25"/>
        <v>0.52999999999999992</v>
      </c>
      <c r="E364" s="7">
        <f t="shared" si="26"/>
        <v>1.0599999999999998E-2</v>
      </c>
      <c r="F364" s="7">
        <f t="shared" si="27"/>
        <v>0.51939999999999986</v>
      </c>
    </row>
    <row r="365" spans="1:6" x14ac:dyDescent="0.35">
      <c r="A365" s="41" t="s">
        <v>1149</v>
      </c>
      <c r="B365" s="5" t="s">
        <v>398</v>
      </c>
      <c r="C365" s="6">
        <v>0.6</v>
      </c>
      <c r="D365" s="7">
        <f t="shared" si="25"/>
        <v>0.55999999999999994</v>
      </c>
      <c r="E365" s="7">
        <f t="shared" si="26"/>
        <v>1.12E-2</v>
      </c>
      <c r="F365" s="7">
        <f t="shared" si="27"/>
        <v>0.54879999999999995</v>
      </c>
    </row>
    <row r="366" spans="1:6" x14ac:dyDescent="0.35">
      <c r="A366" s="42"/>
      <c r="B366" s="5" t="s">
        <v>380</v>
      </c>
      <c r="C366" s="6">
        <v>0.5</v>
      </c>
      <c r="D366" s="7">
        <f t="shared" si="25"/>
        <v>0.46</v>
      </c>
      <c r="E366" s="7">
        <f t="shared" si="26"/>
        <v>9.1999999999999998E-3</v>
      </c>
      <c r="F366" s="7">
        <f t="shared" si="27"/>
        <v>0.45080000000000003</v>
      </c>
    </row>
    <row r="367" spans="1:6" x14ac:dyDescent="0.35">
      <c r="A367" s="42"/>
      <c r="B367" s="5" t="s">
        <v>378</v>
      </c>
      <c r="C367" s="6">
        <v>0</v>
      </c>
      <c r="D367" s="7" t="s">
        <v>20</v>
      </c>
      <c r="E367" s="7" t="s">
        <v>20</v>
      </c>
      <c r="F367" s="7" t="s">
        <v>20</v>
      </c>
    </row>
    <row r="368" spans="1:6" x14ac:dyDescent="0.35">
      <c r="A368" s="43"/>
      <c r="B368" s="5" t="s">
        <v>379</v>
      </c>
      <c r="C368" s="6">
        <v>0</v>
      </c>
      <c r="D368" s="7" t="s">
        <v>20</v>
      </c>
      <c r="E368" s="7" t="s">
        <v>20</v>
      </c>
      <c r="F368" s="7" t="s">
        <v>20</v>
      </c>
    </row>
    <row r="369" spans="1:6" x14ac:dyDescent="0.35">
      <c r="A369" s="41" t="s">
        <v>1150</v>
      </c>
      <c r="B369" s="5" t="s">
        <v>398</v>
      </c>
      <c r="C369" s="6">
        <v>0.6</v>
      </c>
      <c r="D369" s="7">
        <f t="shared" si="25"/>
        <v>0.55999999999999994</v>
      </c>
      <c r="E369" s="7">
        <f t="shared" si="26"/>
        <v>1.12E-2</v>
      </c>
      <c r="F369" s="7">
        <f t="shared" si="27"/>
        <v>0.54879999999999995</v>
      </c>
    </row>
    <row r="370" spans="1:6" x14ac:dyDescent="0.35">
      <c r="A370" s="42"/>
      <c r="B370" s="5" t="s">
        <v>380</v>
      </c>
      <c r="C370" s="6">
        <v>0.6</v>
      </c>
      <c r="D370" s="7">
        <f t="shared" si="25"/>
        <v>0.55999999999999994</v>
      </c>
      <c r="E370" s="7">
        <f t="shared" si="26"/>
        <v>1.12E-2</v>
      </c>
      <c r="F370" s="7">
        <f t="shared" si="27"/>
        <v>0.54879999999999995</v>
      </c>
    </row>
    <row r="371" spans="1:6" x14ac:dyDescent="0.35">
      <c r="A371" s="42"/>
      <c r="B371" s="5" t="s">
        <v>378</v>
      </c>
      <c r="C371" s="6">
        <v>0</v>
      </c>
      <c r="D371" s="7" t="s">
        <v>20</v>
      </c>
      <c r="E371" s="7" t="s">
        <v>20</v>
      </c>
      <c r="F371" s="7" t="s">
        <v>20</v>
      </c>
    </row>
    <row r="372" spans="1:6" x14ac:dyDescent="0.35">
      <c r="A372" s="43"/>
      <c r="B372" s="5" t="s">
        <v>379</v>
      </c>
      <c r="C372" s="6">
        <v>0</v>
      </c>
      <c r="D372" s="7" t="s">
        <v>20</v>
      </c>
      <c r="E372" s="7" t="s">
        <v>20</v>
      </c>
      <c r="F372" s="7" t="s">
        <v>20</v>
      </c>
    </row>
    <row r="373" spans="1:6" x14ac:dyDescent="0.35">
      <c r="A373" s="2" t="s">
        <v>218</v>
      </c>
      <c r="B373" s="2" t="s">
        <v>1</v>
      </c>
      <c r="C373" s="3" t="s">
        <v>2</v>
      </c>
      <c r="D373" s="4" t="s">
        <v>4</v>
      </c>
      <c r="E373" s="4" t="s">
        <v>5</v>
      </c>
      <c r="F373" s="4" t="s">
        <v>6</v>
      </c>
    </row>
    <row r="374" spans="1:6" ht="24" x14ac:dyDescent="0.35">
      <c r="A374" s="5" t="s">
        <v>219</v>
      </c>
      <c r="B374" s="5" t="s">
        <v>478</v>
      </c>
      <c r="C374" s="6">
        <v>0.4</v>
      </c>
      <c r="D374" s="7">
        <f t="shared" si="25"/>
        <v>0.36000000000000004</v>
      </c>
      <c r="E374" s="7">
        <f t="shared" si="26"/>
        <v>7.2000000000000007E-3</v>
      </c>
      <c r="F374" s="7">
        <f t="shared" si="27"/>
        <v>0.35280000000000006</v>
      </c>
    </row>
    <row r="375" spans="1:6" x14ac:dyDescent="0.35">
      <c r="A375" s="5" t="s">
        <v>219</v>
      </c>
      <c r="B375" s="5" t="s">
        <v>479</v>
      </c>
      <c r="C375" s="6">
        <v>0.35</v>
      </c>
      <c r="D375" s="7">
        <f t="shared" si="25"/>
        <v>0.31</v>
      </c>
      <c r="E375" s="7">
        <f t="shared" si="26"/>
        <v>6.1999999999999998E-3</v>
      </c>
      <c r="F375" s="7">
        <f t="shared" si="27"/>
        <v>0.30380000000000001</v>
      </c>
    </row>
    <row r="376" spans="1:6" x14ac:dyDescent="0.35">
      <c r="A376" s="5" t="s">
        <v>209</v>
      </c>
      <c r="B376" s="5" t="s">
        <v>222</v>
      </c>
      <c r="C376" s="6">
        <v>0.47</v>
      </c>
      <c r="D376" s="7">
        <f t="shared" si="25"/>
        <v>0.43</v>
      </c>
      <c r="E376" s="7">
        <f t="shared" si="26"/>
        <v>8.6E-3</v>
      </c>
      <c r="F376" s="7">
        <f t="shared" si="27"/>
        <v>0.4214</v>
      </c>
    </row>
    <row r="377" spans="1:6" x14ac:dyDescent="0.35">
      <c r="A377" s="5" t="s">
        <v>480</v>
      </c>
      <c r="B377" s="5" t="s">
        <v>223</v>
      </c>
      <c r="C377" s="6">
        <v>0.45</v>
      </c>
      <c r="D377" s="7">
        <f t="shared" si="25"/>
        <v>0.41000000000000003</v>
      </c>
      <c r="E377" s="7">
        <f t="shared" si="26"/>
        <v>8.2000000000000007E-3</v>
      </c>
      <c r="F377" s="7">
        <f t="shared" si="27"/>
        <v>0.40180000000000005</v>
      </c>
    </row>
    <row r="378" spans="1:6" x14ac:dyDescent="0.35">
      <c r="A378" s="5" t="s">
        <v>224</v>
      </c>
      <c r="B378" s="5" t="s">
        <v>198</v>
      </c>
      <c r="C378" s="7">
        <v>0.42</v>
      </c>
      <c r="D378" s="7">
        <f t="shared" si="25"/>
        <v>0.38</v>
      </c>
      <c r="E378" s="7">
        <f t="shared" si="26"/>
        <v>7.6E-3</v>
      </c>
      <c r="F378" s="7">
        <f t="shared" si="27"/>
        <v>0.37240000000000001</v>
      </c>
    </row>
    <row r="379" spans="1:6" x14ac:dyDescent="0.35">
      <c r="A379" s="5" t="s">
        <v>481</v>
      </c>
      <c r="B379" s="5" t="s">
        <v>1199</v>
      </c>
      <c r="C379" s="7">
        <v>0.35</v>
      </c>
      <c r="D379" s="7">
        <f t="shared" si="25"/>
        <v>0.31</v>
      </c>
      <c r="E379" s="7">
        <f t="shared" si="26"/>
        <v>6.1999999999999998E-3</v>
      </c>
      <c r="F379" s="7">
        <f t="shared" si="27"/>
        <v>0.30380000000000001</v>
      </c>
    </row>
    <row r="380" spans="1:6" x14ac:dyDescent="0.35">
      <c r="A380" s="2" t="s">
        <v>225</v>
      </c>
      <c r="B380" s="2" t="s">
        <v>1</v>
      </c>
      <c r="C380" s="3" t="s">
        <v>2</v>
      </c>
      <c r="D380" s="4" t="s">
        <v>4</v>
      </c>
      <c r="E380" s="4" t="s">
        <v>5</v>
      </c>
      <c r="F380" s="4" t="s">
        <v>6</v>
      </c>
    </row>
    <row r="381" spans="1:6" ht="24" x14ac:dyDescent="0.35">
      <c r="A381" s="5" t="s">
        <v>482</v>
      </c>
      <c r="B381" s="5" t="s">
        <v>100</v>
      </c>
      <c r="C381" s="7">
        <v>0.36499999999999999</v>
      </c>
      <c r="D381" s="7">
        <f t="shared" si="25"/>
        <v>0.32500000000000001</v>
      </c>
      <c r="E381" s="7">
        <f t="shared" si="26"/>
        <v>6.5000000000000006E-3</v>
      </c>
      <c r="F381" s="7">
        <f t="shared" si="27"/>
        <v>0.31850000000000001</v>
      </c>
    </row>
    <row r="382" spans="1:6" ht="24" x14ac:dyDescent="0.35">
      <c r="A382" s="5" t="s">
        <v>483</v>
      </c>
      <c r="B382" s="5" t="s">
        <v>100</v>
      </c>
      <c r="C382" s="7">
        <v>0.41499999999999998</v>
      </c>
      <c r="D382" s="7">
        <f t="shared" si="25"/>
        <v>0.375</v>
      </c>
      <c r="E382" s="7">
        <f t="shared" si="26"/>
        <v>7.4999999999999997E-3</v>
      </c>
      <c r="F382" s="7">
        <f t="shared" si="27"/>
        <v>0.36749999999999999</v>
      </c>
    </row>
    <row r="383" spans="1:6" x14ac:dyDescent="0.35">
      <c r="A383" s="5" t="s">
        <v>484</v>
      </c>
      <c r="B383" s="5" t="s">
        <v>485</v>
      </c>
      <c r="C383" s="7">
        <v>0.61499999999999999</v>
      </c>
      <c r="D383" s="7">
        <f t="shared" si="25"/>
        <v>0.57499999999999996</v>
      </c>
      <c r="E383" s="7">
        <f t="shared" si="26"/>
        <v>1.15E-2</v>
      </c>
      <c r="F383" s="7">
        <f t="shared" si="27"/>
        <v>0.5635</v>
      </c>
    </row>
    <row r="384" spans="1:6" x14ac:dyDescent="0.35">
      <c r="A384" s="5" t="s">
        <v>486</v>
      </c>
      <c r="B384" s="5" t="s">
        <v>485</v>
      </c>
      <c r="C384" s="7">
        <v>0.61499999999999999</v>
      </c>
      <c r="D384" s="7">
        <f t="shared" si="25"/>
        <v>0.57499999999999996</v>
      </c>
      <c r="E384" s="7">
        <f t="shared" si="26"/>
        <v>1.15E-2</v>
      </c>
      <c r="F384" s="7">
        <f t="shared" si="27"/>
        <v>0.5635</v>
      </c>
    </row>
    <row r="385" spans="1:6" x14ac:dyDescent="0.35">
      <c r="A385" s="5" t="s">
        <v>484</v>
      </c>
      <c r="B385" s="5" t="s">
        <v>487</v>
      </c>
      <c r="C385" s="7">
        <v>0.48499999999999999</v>
      </c>
      <c r="D385" s="7">
        <f t="shared" si="25"/>
        <v>0.44500000000000001</v>
      </c>
      <c r="E385" s="7">
        <f t="shared" si="26"/>
        <v>8.8999999999999999E-3</v>
      </c>
      <c r="F385" s="7">
        <f t="shared" si="27"/>
        <v>0.43609999999999999</v>
      </c>
    </row>
    <row r="386" spans="1:6" x14ac:dyDescent="0.35">
      <c r="A386" s="5" t="s">
        <v>486</v>
      </c>
      <c r="B386" s="5" t="s">
        <v>487</v>
      </c>
      <c r="C386" s="7">
        <v>0.48499999999999999</v>
      </c>
      <c r="D386" s="7">
        <f t="shared" si="25"/>
        <v>0.44500000000000001</v>
      </c>
      <c r="E386" s="7">
        <f t="shared" si="26"/>
        <v>8.8999999999999999E-3</v>
      </c>
      <c r="F386" s="7">
        <f t="shared" si="27"/>
        <v>0.43609999999999999</v>
      </c>
    </row>
    <row r="387" spans="1:6" x14ac:dyDescent="0.35">
      <c r="A387" s="5" t="s">
        <v>484</v>
      </c>
      <c r="B387" s="5" t="s">
        <v>488</v>
      </c>
      <c r="C387" s="7">
        <v>0.51</v>
      </c>
      <c r="D387" s="7">
        <f t="shared" si="25"/>
        <v>0.47000000000000003</v>
      </c>
      <c r="E387" s="7">
        <f t="shared" si="26"/>
        <v>9.4000000000000004E-3</v>
      </c>
      <c r="F387" s="7">
        <f t="shared" si="27"/>
        <v>0.46060000000000001</v>
      </c>
    </row>
    <row r="388" spans="1:6" x14ac:dyDescent="0.35">
      <c r="A388" s="5" t="s">
        <v>486</v>
      </c>
      <c r="B388" s="5" t="s">
        <v>488</v>
      </c>
      <c r="C388" s="7">
        <v>0.51</v>
      </c>
      <c r="D388" s="7">
        <f t="shared" si="25"/>
        <v>0.47000000000000003</v>
      </c>
      <c r="E388" s="7">
        <f t="shared" si="26"/>
        <v>9.4000000000000004E-3</v>
      </c>
      <c r="F388" s="7">
        <f t="shared" si="27"/>
        <v>0.46060000000000001</v>
      </c>
    </row>
    <row r="389" spans="1:6" x14ac:dyDescent="0.35">
      <c r="A389" s="44" t="s">
        <v>481</v>
      </c>
      <c r="B389" s="11" t="s">
        <v>408</v>
      </c>
      <c r="C389" s="7">
        <v>0.38500000000000001</v>
      </c>
      <c r="D389" s="7">
        <f t="shared" si="25"/>
        <v>0.34500000000000003</v>
      </c>
      <c r="E389" s="7">
        <f t="shared" si="26"/>
        <v>6.9000000000000008E-3</v>
      </c>
      <c r="F389" s="7">
        <f t="shared" si="27"/>
        <v>0.33810000000000001</v>
      </c>
    </row>
    <row r="390" spans="1:6" x14ac:dyDescent="0.35">
      <c r="A390" s="47"/>
      <c r="B390" s="11" t="s">
        <v>489</v>
      </c>
      <c r="C390" s="7">
        <v>0</v>
      </c>
      <c r="D390" s="7" t="s">
        <v>20</v>
      </c>
      <c r="E390" s="7" t="s">
        <v>20</v>
      </c>
      <c r="F390" s="7" t="s">
        <v>20</v>
      </c>
    </row>
    <row r="391" spans="1:6" x14ac:dyDescent="0.35">
      <c r="A391" s="45"/>
      <c r="B391" s="11" t="s">
        <v>490</v>
      </c>
      <c r="C391" s="7">
        <v>0</v>
      </c>
      <c r="D391" s="7" t="s">
        <v>20</v>
      </c>
      <c r="E391" s="7" t="s">
        <v>20</v>
      </c>
      <c r="F391" s="7" t="s">
        <v>20</v>
      </c>
    </row>
    <row r="392" spans="1:6" x14ac:dyDescent="0.35">
      <c r="A392" s="44" t="s">
        <v>184</v>
      </c>
      <c r="B392" s="5" t="s">
        <v>92</v>
      </c>
      <c r="C392" s="6">
        <v>0.38</v>
      </c>
      <c r="D392" s="7">
        <f t="shared" si="25"/>
        <v>0.34</v>
      </c>
      <c r="E392" s="7">
        <f t="shared" si="26"/>
        <v>6.8000000000000005E-3</v>
      </c>
      <c r="F392" s="7">
        <f t="shared" si="27"/>
        <v>0.33320000000000005</v>
      </c>
    </row>
    <row r="393" spans="1:6" x14ac:dyDescent="0.35">
      <c r="A393" s="45"/>
      <c r="B393" s="5" t="s">
        <v>93</v>
      </c>
      <c r="C393" s="6">
        <v>0.43</v>
      </c>
      <c r="D393" s="7">
        <f t="shared" si="25"/>
        <v>0.39</v>
      </c>
      <c r="E393" s="7">
        <f t="shared" si="26"/>
        <v>7.8000000000000005E-3</v>
      </c>
      <c r="F393" s="7">
        <f t="shared" si="27"/>
        <v>0.38220000000000004</v>
      </c>
    </row>
    <row r="394" spans="1:6" x14ac:dyDescent="0.35">
      <c r="A394" s="5" t="s">
        <v>30</v>
      </c>
      <c r="B394" s="5" t="s">
        <v>491</v>
      </c>
      <c r="C394" s="7">
        <v>0.43</v>
      </c>
      <c r="D394" s="7">
        <f t="shared" si="25"/>
        <v>0.39</v>
      </c>
      <c r="E394" s="7">
        <f t="shared" si="26"/>
        <v>7.8000000000000005E-3</v>
      </c>
      <c r="F394" s="7">
        <f t="shared" si="27"/>
        <v>0.38220000000000004</v>
      </c>
    </row>
    <row r="395" spans="1:6" x14ac:dyDescent="0.35">
      <c r="A395" s="5" t="s">
        <v>12</v>
      </c>
      <c r="B395" s="5" t="s">
        <v>100</v>
      </c>
      <c r="C395" s="7">
        <v>0.42499999999999999</v>
      </c>
      <c r="D395" s="7">
        <f t="shared" si="25"/>
        <v>0.38500000000000001</v>
      </c>
      <c r="E395" s="7">
        <f t="shared" si="26"/>
        <v>7.7000000000000002E-3</v>
      </c>
      <c r="F395" s="7">
        <f t="shared" si="27"/>
        <v>0.37730000000000002</v>
      </c>
    </row>
    <row r="396" spans="1:6" x14ac:dyDescent="0.35">
      <c r="A396" s="5" t="s">
        <v>29</v>
      </c>
      <c r="B396" s="5" t="s">
        <v>491</v>
      </c>
      <c r="C396" s="7">
        <v>0.41</v>
      </c>
      <c r="D396" s="7">
        <f t="shared" si="25"/>
        <v>0.37</v>
      </c>
      <c r="E396" s="7">
        <f t="shared" si="26"/>
        <v>7.4000000000000003E-3</v>
      </c>
      <c r="F396" s="7">
        <f t="shared" si="27"/>
        <v>0.36259999999999998</v>
      </c>
    </row>
    <row r="397" spans="1:6" x14ac:dyDescent="0.35">
      <c r="A397" s="5" t="s">
        <v>28</v>
      </c>
      <c r="B397" s="5" t="s">
        <v>100</v>
      </c>
      <c r="C397" s="7">
        <v>0.59</v>
      </c>
      <c r="D397" s="7">
        <f t="shared" si="25"/>
        <v>0.54999999999999993</v>
      </c>
      <c r="E397" s="7">
        <f t="shared" si="26"/>
        <v>1.0999999999999999E-2</v>
      </c>
      <c r="F397" s="7">
        <f t="shared" si="27"/>
        <v>0.53899999999999992</v>
      </c>
    </row>
    <row r="398" spans="1:6" x14ac:dyDescent="0.35">
      <c r="A398" s="41" t="s">
        <v>1148</v>
      </c>
      <c r="B398" s="5" t="s">
        <v>398</v>
      </c>
      <c r="C398" s="7">
        <v>0.1</v>
      </c>
      <c r="D398" s="7">
        <f t="shared" si="25"/>
        <v>6.0000000000000005E-2</v>
      </c>
      <c r="E398" s="7">
        <f t="shared" si="26"/>
        <v>1.2000000000000001E-3</v>
      </c>
      <c r="F398" s="7">
        <f t="shared" si="27"/>
        <v>5.8800000000000005E-2</v>
      </c>
    </row>
    <row r="399" spans="1:6" x14ac:dyDescent="0.35">
      <c r="A399" s="42"/>
      <c r="B399" s="5" t="s">
        <v>378</v>
      </c>
      <c r="C399" s="7">
        <v>0</v>
      </c>
      <c r="D399" s="7" t="s">
        <v>20</v>
      </c>
      <c r="E399" s="7" t="s">
        <v>20</v>
      </c>
      <c r="F399" s="7" t="s">
        <v>20</v>
      </c>
    </row>
    <row r="400" spans="1:6" x14ac:dyDescent="0.35">
      <c r="A400" s="42"/>
      <c r="B400" s="5" t="s">
        <v>379</v>
      </c>
      <c r="C400" s="7">
        <v>0</v>
      </c>
      <c r="D400" s="7" t="s">
        <v>20</v>
      </c>
      <c r="E400" s="7" t="s">
        <v>20</v>
      </c>
      <c r="F400" s="7" t="s">
        <v>20</v>
      </c>
    </row>
    <row r="401" spans="1:6" x14ac:dyDescent="0.35">
      <c r="A401" s="43"/>
      <c r="B401" s="5" t="s">
        <v>380</v>
      </c>
      <c r="C401" s="7">
        <v>0.65</v>
      </c>
      <c r="D401" s="7">
        <f t="shared" si="25"/>
        <v>0.61</v>
      </c>
      <c r="E401" s="7">
        <f t="shared" si="26"/>
        <v>1.2200000000000001E-2</v>
      </c>
      <c r="F401" s="7">
        <f t="shared" si="27"/>
        <v>0.5978</v>
      </c>
    </row>
    <row r="402" spans="1:6" x14ac:dyDescent="0.35">
      <c r="A402" s="41" t="s">
        <v>492</v>
      </c>
      <c r="B402" s="5" t="s">
        <v>398</v>
      </c>
      <c r="C402" s="7">
        <v>0.65</v>
      </c>
      <c r="D402" s="7">
        <f t="shared" si="25"/>
        <v>0.61</v>
      </c>
      <c r="E402" s="7">
        <f t="shared" si="26"/>
        <v>1.2200000000000001E-2</v>
      </c>
      <c r="F402" s="7">
        <f t="shared" si="27"/>
        <v>0.5978</v>
      </c>
    </row>
    <row r="403" spans="1:6" x14ac:dyDescent="0.35">
      <c r="A403" s="42"/>
      <c r="B403" s="5" t="s">
        <v>378</v>
      </c>
      <c r="C403" s="7">
        <v>0</v>
      </c>
      <c r="D403" s="7" t="s">
        <v>20</v>
      </c>
      <c r="E403" s="7" t="s">
        <v>20</v>
      </c>
      <c r="F403" s="7" t="s">
        <v>20</v>
      </c>
    </row>
    <row r="404" spans="1:6" x14ac:dyDescent="0.35">
      <c r="A404" s="42"/>
      <c r="B404" s="5" t="s">
        <v>379</v>
      </c>
      <c r="C404" s="7">
        <v>0</v>
      </c>
      <c r="D404" s="7" t="s">
        <v>20</v>
      </c>
      <c r="E404" s="7" t="s">
        <v>20</v>
      </c>
      <c r="F404" s="7" t="s">
        <v>20</v>
      </c>
    </row>
    <row r="405" spans="1:6" x14ac:dyDescent="0.35">
      <c r="A405" s="42"/>
      <c r="B405" s="5" t="s">
        <v>380</v>
      </c>
      <c r="C405" s="7">
        <v>0</v>
      </c>
      <c r="D405" s="7" t="s">
        <v>20</v>
      </c>
      <c r="E405" s="7" t="s">
        <v>20</v>
      </c>
      <c r="F405" s="7" t="s">
        <v>20</v>
      </c>
    </row>
    <row r="406" spans="1:6" x14ac:dyDescent="0.35">
      <c r="A406" s="41" t="s">
        <v>36</v>
      </c>
      <c r="B406" s="5" t="s">
        <v>398</v>
      </c>
      <c r="C406" s="7">
        <v>0.3</v>
      </c>
      <c r="D406" s="7">
        <f t="shared" si="25"/>
        <v>0.26</v>
      </c>
      <c r="E406" s="7">
        <f t="shared" si="26"/>
        <v>5.2000000000000006E-3</v>
      </c>
      <c r="F406" s="7">
        <f t="shared" si="27"/>
        <v>0.25480000000000003</v>
      </c>
    </row>
    <row r="407" spans="1:6" x14ac:dyDescent="0.35">
      <c r="A407" s="42"/>
      <c r="B407" s="5" t="s">
        <v>378</v>
      </c>
      <c r="C407" s="7">
        <v>0</v>
      </c>
      <c r="D407" s="7" t="s">
        <v>20</v>
      </c>
      <c r="E407" s="7" t="s">
        <v>20</v>
      </c>
      <c r="F407" s="7" t="s">
        <v>20</v>
      </c>
    </row>
    <row r="408" spans="1:6" x14ac:dyDescent="0.35">
      <c r="A408" s="42"/>
      <c r="B408" s="5" t="s">
        <v>379</v>
      </c>
      <c r="C408" s="7">
        <v>0</v>
      </c>
      <c r="D408" s="7" t="s">
        <v>20</v>
      </c>
      <c r="E408" s="7" t="s">
        <v>20</v>
      </c>
      <c r="F408" s="7" t="s">
        <v>20</v>
      </c>
    </row>
    <row r="409" spans="1:6" x14ac:dyDescent="0.35">
      <c r="A409" s="43"/>
      <c r="B409" s="5" t="s">
        <v>380</v>
      </c>
      <c r="C409" s="7">
        <v>0.55000000000000004</v>
      </c>
      <c r="D409" s="7">
        <f t="shared" si="25"/>
        <v>0.51</v>
      </c>
      <c r="E409" s="7">
        <f t="shared" si="26"/>
        <v>1.0200000000000001E-2</v>
      </c>
      <c r="F409" s="7">
        <f t="shared" si="27"/>
        <v>0.49980000000000002</v>
      </c>
    </row>
    <row r="410" spans="1:6" x14ac:dyDescent="0.35">
      <c r="A410" s="23" t="s">
        <v>231</v>
      </c>
      <c r="B410" s="5" t="s">
        <v>380</v>
      </c>
      <c r="C410" s="6">
        <v>0.27</v>
      </c>
      <c r="D410" s="7">
        <f t="shared" si="25"/>
        <v>0.23</v>
      </c>
      <c r="E410" s="7">
        <f t="shared" si="26"/>
        <v>4.5999999999999999E-3</v>
      </c>
      <c r="F410" s="7">
        <f t="shared" si="27"/>
        <v>0.22540000000000002</v>
      </c>
    </row>
    <row r="411" spans="1:6" x14ac:dyDescent="0.35">
      <c r="A411" s="23" t="s">
        <v>493</v>
      </c>
      <c r="B411" s="5" t="s">
        <v>380</v>
      </c>
      <c r="C411" s="6">
        <v>0.27</v>
      </c>
      <c r="D411" s="7">
        <f t="shared" si="25"/>
        <v>0.23</v>
      </c>
      <c r="E411" s="7">
        <f t="shared" si="26"/>
        <v>4.5999999999999999E-3</v>
      </c>
      <c r="F411" s="7">
        <f t="shared" si="27"/>
        <v>0.22540000000000002</v>
      </c>
    </row>
    <row r="412" spans="1:6" x14ac:dyDescent="0.35">
      <c r="A412" s="23" t="s">
        <v>494</v>
      </c>
      <c r="B412" s="5" t="s">
        <v>380</v>
      </c>
      <c r="C412" s="6">
        <v>0.21</v>
      </c>
      <c r="D412" s="7">
        <f t="shared" si="25"/>
        <v>0.16999999999999998</v>
      </c>
      <c r="E412" s="7">
        <f t="shared" si="26"/>
        <v>3.3999999999999998E-3</v>
      </c>
      <c r="F412" s="7">
        <f t="shared" si="27"/>
        <v>0.1666</v>
      </c>
    </row>
    <row r="413" spans="1:6" ht="24" x14ac:dyDescent="0.35">
      <c r="A413" s="5" t="s">
        <v>1447</v>
      </c>
      <c r="B413" s="5" t="s">
        <v>390</v>
      </c>
      <c r="C413" s="7">
        <v>0.59</v>
      </c>
      <c r="D413" s="7">
        <f t="shared" si="25"/>
        <v>0.54999999999999993</v>
      </c>
      <c r="E413" s="7">
        <f t="shared" si="26"/>
        <v>1.0999999999999999E-2</v>
      </c>
      <c r="F413" s="7">
        <f t="shared" si="27"/>
        <v>0.53899999999999992</v>
      </c>
    </row>
    <row r="414" spans="1:6" ht="24" x14ac:dyDescent="0.35">
      <c r="A414" s="5" t="s">
        <v>1448</v>
      </c>
      <c r="B414" s="5" t="s">
        <v>390</v>
      </c>
      <c r="C414" s="7">
        <v>0.61</v>
      </c>
      <c r="D414" s="7">
        <f t="shared" ref="D414:D486" si="31">C414-(4%)</f>
        <v>0.56999999999999995</v>
      </c>
      <c r="E414" s="7">
        <f t="shared" ref="E414:E486" si="32">D414*2%</f>
        <v>1.1399999999999999E-2</v>
      </c>
      <c r="F414" s="7">
        <f t="shared" ref="F414:F486" si="33">D414-E414</f>
        <v>0.55859999999999999</v>
      </c>
    </row>
    <row r="415" spans="1:6" ht="24" x14ac:dyDescent="0.35">
      <c r="A415" s="14" t="s">
        <v>1449</v>
      </c>
      <c r="B415" s="5" t="s">
        <v>390</v>
      </c>
      <c r="C415" s="7">
        <v>0.62</v>
      </c>
      <c r="D415" s="7">
        <f t="shared" si="31"/>
        <v>0.57999999999999996</v>
      </c>
      <c r="E415" s="7">
        <f t="shared" si="32"/>
        <v>1.1599999999999999E-2</v>
      </c>
      <c r="F415" s="7">
        <f t="shared" si="33"/>
        <v>0.56840000000000002</v>
      </c>
    </row>
    <row r="416" spans="1:6" ht="24" x14ac:dyDescent="0.35">
      <c r="A416" s="5" t="s">
        <v>1450</v>
      </c>
      <c r="B416" s="5" t="s">
        <v>390</v>
      </c>
      <c r="C416" s="7">
        <v>0.63</v>
      </c>
      <c r="D416" s="7">
        <f t="shared" si="31"/>
        <v>0.59</v>
      </c>
      <c r="E416" s="7">
        <f t="shared" si="32"/>
        <v>1.18E-2</v>
      </c>
      <c r="F416" s="7">
        <f t="shared" si="33"/>
        <v>0.57819999999999994</v>
      </c>
    </row>
    <row r="417" spans="1:6" ht="24" x14ac:dyDescent="0.35">
      <c r="A417" s="5" t="s">
        <v>1451</v>
      </c>
      <c r="B417" s="5" t="s">
        <v>390</v>
      </c>
      <c r="C417" s="7">
        <v>0.49</v>
      </c>
      <c r="D417" s="7">
        <f t="shared" si="31"/>
        <v>0.45</v>
      </c>
      <c r="E417" s="7">
        <f t="shared" si="32"/>
        <v>9.0000000000000011E-3</v>
      </c>
      <c r="F417" s="7">
        <f t="shared" si="33"/>
        <v>0.441</v>
      </c>
    </row>
    <row r="418" spans="1:6" ht="24" x14ac:dyDescent="0.35">
      <c r="A418" s="5" t="s">
        <v>1452</v>
      </c>
      <c r="B418" s="5" t="s">
        <v>390</v>
      </c>
      <c r="C418" s="7">
        <v>0.51</v>
      </c>
      <c r="D418" s="7">
        <f t="shared" si="31"/>
        <v>0.47000000000000003</v>
      </c>
      <c r="E418" s="7">
        <f t="shared" si="32"/>
        <v>9.4000000000000004E-3</v>
      </c>
      <c r="F418" s="7">
        <f t="shared" si="33"/>
        <v>0.46060000000000001</v>
      </c>
    </row>
    <row r="419" spans="1:6" ht="24" x14ac:dyDescent="0.35">
      <c r="A419" s="14" t="s">
        <v>1453</v>
      </c>
      <c r="B419" s="5" t="s">
        <v>390</v>
      </c>
      <c r="C419" s="7">
        <v>0.52</v>
      </c>
      <c r="D419" s="7">
        <f t="shared" si="31"/>
        <v>0.48000000000000004</v>
      </c>
      <c r="E419" s="7">
        <f t="shared" si="32"/>
        <v>9.6000000000000009E-3</v>
      </c>
      <c r="F419" s="7">
        <f t="shared" si="33"/>
        <v>0.47040000000000004</v>
      </c>
    </row>
    <row r="420" spans="1:6" ht="24" x14ac:dyDescent="0.35">
      <c r="A420" s="5" t="s">
        <v>1454</v>
      </c>
      <c r="B420" s="5" t="s">
        <v>390</v>
      </c>
      <c r="C420" s="7">
        <v>0.53</v>
      </c>
      <c r="D420" s="7">
        <f t="shared" si="31"/>
        <v>0.49000000000000005</v>
      </c>
      <c r="E420" s="7">
        <f t="shared" si="32"/>
        <v>9.8000000000000014E-3</v>
      </c>
      <c r="F420" s="7">
        <f t="shared" si="33"/>
        <v>0.48020000000000007</v>
      </c>
    </row>
    <row r="421" spans="1:6" x14ac:dyDescent="0.35">
      <c r="A421" s="41" t="s">
        <v>495</v>
      </c>
      <c r="B421" s="5" t="s">
        <v>98</v>
      </c>
      <c r="C421" s="7">
        <v>0.19500000000000001</v>
      </c>
      <c r="D421" s="7">
        <f t="shared" si="31"/>
        <v>0.155</v>
      </c>
      <c r="E421" s="7">
        <f t="shared" si="32"/>
        <v>3.0999999999999999E-3</v>
      </c>
      <c r="F421" s="7">
        <f t="shared" si="33"/>
        <v>0.15190000000000001</v>
      </c>
    </row>
    <row r="422" spans="1:6" x14ac:dyDescent="0.35">
      <c r="A422" s="43"/>
      <c r="B422" s="5" t="s">
        <v>99</v>
      </c>
      <c r="C422" s="7">
        <v>0.25</v>
      </c>
      <c r="D422" s="7">
        <f t="shared" si="31"/>
        <v>0.21</v>
      </c>
      <c r="E422" s="7">
        <f t="shared" si="32"/>
        <v>4.1999999999999997E-3</v>
      </c>
      <c r="F422" s="7">
        <f t="shared" si="33"/>
        <v>0.20579999999999998</v>
      </c>
    </row>
    <row r="423" spans="1:6" x14ac:dyDescent="0.35">
      <c r="A423" s="2" t="s">
        <v>241</v>
      </c>
      <c r="B423" s="2" t="s">
        <v>1</v>
      </c>
      <c r="C423" s="3" t="s">
        <v>2</v>
      </c>
      <c r="D423" s="4" t="s">
        <v>4</v>
      </c>
      <c r="E423" s="4" t="s">
        <v>5</v>
      </c>
      <c r="F423" s="4" t="s">
        <v>6</v>
      </c>
    </row>
    <row r="424" spans="1:6" ht="24" x14ac:dyDescent="0.35">
      <c r="A424" s="5" t="s">
        <v>496</v>
      </c>
      <c r="B424" s="5" t="s">
        <v>485</v>
      </c>
      <c r="C424" s="7">
        <v>0.22500000000000001</v>
      </c>
      <c r="D424" s="7">
        <f t="shared" si="31"/>
        <v>0.185</v>
      </c>
      <c r="E424" s="7">
        <f t="shared" si="32"/>
        <v>3.7000000000000002E-3</v>
      </c>
      <c r="F424" s="7">
        <f t="shared" si="33"/>
        <v>0.18129999999999999</v>
      </c>
    </row>
    <row r="425" spans="1:6" ht="24" x14ac:dyDescent="0.35">
      <c r="A425" s="5" t="s">
        <v>496</v>
      </c>
      <c r="B425" s="5" t="s">
        <v>497</v>
      </c>
      <c r="C425" s="7">
        <v>0.15</v>
      </c>
      <c r="D425" s="7">
        <f t="shared" si="31"/>
        <v>0.10999999999999999</v>
      </c>
      <c r="E425" s="7">
        <f t="shared" si="32"/>
        <v>2.1999999999999997E-3</v>
      </c>
      <c r="F425" s="7">
        <f t="shared" si="33"/>
        <v>0.10779999999999999</v>
      </c>
    </row>
    <row r="426" spans="1:6" ht="24" x14ac:dyDescent="0.35">
      <c r="A426" s="5" t="s">
        <v>498</v>
      </c>
      <c r="B426" s="5" t="s">
        <v>499</v>
      </c>
      <c r="C426" s="7">
        <v>0.2</v>
      </c>
      <c r="D426" s="7">
        <f t="shared" si="31"/>
        <v>0.16</v>
      </c>
      <c r="E426" s="7">
        <f t="shared" si="32"/>
        <v>3.2000000000000002E-3</v>
      </c>
      <c r="F426" s="7">
        <f t="shared" si="33"/>
        <v>0.15679999999999999</v>
      </c>
    </row>
    <row r="427" spans="1:6" ht="24" x14ac:dyDescent="0.35">
      <c r="A427" s="41" t="s">
        <v>1455</v>
      </c>
      <c r="B427" s="5" t="s">
        <v>500</v>
      </c>
      <c r="C427" s="6">
        <v>0.24</v>
      </c>
      <c r="D427" s="7">
        <f t="shared" si="31"/>
        <v>0.19999999999999998</v>
      </c>
      <c r="E427" s="7">
        <f t="shared" si="32"/>
        <v>4.0000000000000001E-3</v>
      </c>
      <c r="F427" s="7">
        <f t="shared" si="33"/>
        <v>0.19599999999999998</v>
      </c>
    </row>
    <row r="428" spans="1:6" ht="24" x14ac:dyDescent="0.35">
      <c r="A428" s="42"/>
      <c r="B428" s="5" t="s">
        <v>501</v>
      </c>
      <c r="C428" s="6">
        <v>0.3</v>
      </c>
      <c r="D428" s="7">
        <f t="shared" si="31"/>
        <v>0.26</v>
      </c>
      <c r="E428" s="7">
        <f t="shared" si="32"/>
        <v>5.2000000000000006E-3</v>
      </c>
      <c r="F428" s="7">
        <f t="shared" si="33"/>
        <v>0.25480000000000003</v>
      </c>
    </row>
    <row r="429" spans="1:6" ht="24" x14ac:dyDescent="0.35">
      <c r="A429" s="43"/>
      <c r="B429" s="5" t="s">
        <v>502</v>
      </c>
      <c r="C429" s="6">
        <v>0.35</v>
      </c>
      <c r="D429" s="7">
        <f t="shared" si="31"/>
        <v>0.31</v>
      </c>
      <c r="E429" s="7">
        <f t="shared" si="32"/>
        <v>6.1999999999999998E-3</v>
      </c>
      <c r="F429" s="7">
        <f t="shared" si="33"/>
        <v>0.30380000000000001</v>
      </c>
    </row>
    <row r="430" spans="1:6" ht="24" x14ac:dyDescent="0.35">
      <c r="A430" s="41" t="s">
        <v>1456</v>
      </c>
      <c r="B430" s="5" t="s">
        <v>500</v>
      </c>
      <c r="C430" s="6">
        <v>0.14000000000000001</v>
      </c>
      <c r="D430" s="7">
        <f t="shared" si="31"/>
        <v>0.1</v>
      </c>
      <c r="E430" s="7">
        <f t="shared" si="32"/>
        <v>2E-3</v>
      </c>
      <c r="F430" s="7">
        <f t="shared" si="33"/>
        <v>9.8000000000000004E-2</v>
      </c>
    </row>
    <row r="431" spans="1:6" ht="24" x14ac:dyDescent="0.35">
      <c r="A431" s="42"/>
      <c r="B431" s="5" t="s">
        <v>501</v>
      </c>
      <c r="C431" s="6">
        <v>0.2</v>
      </c>
      <c r="D431" s="7">
        <f t="shared" si="31"/>
        <v>0.16</v>
      </c>
      <c r="E431" s="7">
        <f t="shared" si="32"/>
        <v>3.2000000000000002E-3</v>
      </c>
      <c r="F431" s="7">
        <f t="shared" si="33"/>
        <v>0.15679999999999999</v>
      </c>
    </row>
    <row r="432" spans="1:6" ht="24" x14ac:dyDescent="0.35">
      <c r="A432" s="43"/>
      <c r="B432" s="5" t="s">
        <v>502</v>
      </c>
      <c r="C432" s="6">
        <v>0.25</v>
      </c>
      <c r="D432" s="7">
        <f t="shared" si="31"/>
        <v>0.21</v>
      </c>
      <c r="E432" s="7">
        <f t="shared" si="32"/>
        <v>4.1999999999999997E-3</v>
      </c>
      <c r="F432" s="7">
        <f t="shared" si="33"/>
        <v>0.20579999999999998</v>
      </c>
    </row>
    <row r="433" spans="1:6" x14ac:dyDescent="0.35">
      <c r="A433" s="5" t="s">
        <v>210</v>
      </c>
      <c r="B433" s="5" t="s">
        <v>380</v>
      </c>
      <c r="C433" s="6">
        <v>0.23</v>
      </c>
      <c r="D433" s="7">
        <f t="shared" si="31"/>
        <v>0.19</v>
      </c>
      <c r="E433" s="7">
        <f t="shared" si="32"/>
        <v>3.8E-3</v>
      </c>
      <c r="F433" s="7">
        <f t="shared" si="33"/>
        <v>0.1862</v>
      </c>
    </row>
    <row r="434" spans="1:6" x14ac:dyDescent="0.35">
      <c r="A434" s="5" t="s">
        <v>249</v>
      </c>
      <c r="B434" s="5" t="s">
        <v>100</v>
      </c>
      <c r="C434" s="6">
        <v>0.2</v>
      </c>
      <c r="D434" s="7">
        <f t="shared" si="31"/>
        <v>0.16</v>
      </c>
      <c r="E434" s="7">
        <f t="shared" si="32"/>
        <v>3.2000000000000002E-3</v>
      </c>
      <c r="F434" s="7">
        <f t="shared" si="33"/>
        <v>0.15679999999999999</v>
      </c>
    </row>
    <row r="435" spans="1:6" x14ac:dyDescent="0.35">
      <c r="A435" s="5" t="s">
        <v>250</v>
      </c>
      <c r="B435" s="5" t="s">
        <v>100</v>
      </c>
      <c r="C435" s="6">
        <v>0.11</v>
      </c>
      <c r="D435" s="7">
        <f t="shared" si="31"/>
        <v>7.0000000000000007E-2</v>
      </c>
      <c r="E435" s="7">
        <f t="shared" si="32"/>
        <v>1.4000000000000002E-3</v>
      </c>
      <c r="F435" s="7">
        <f t="shared" si="33"/>
        <v>6.8600000000000008E-2</v>
      </c>
    </row>
    <row r="436" spans="1:6" x14ac:dyDescent="0.35">
      <c r="A436" s="5" t="s">
        <v>251</v>
      </c>
      <c r="B436" s="5" t="s">
        <v>100</v>
      </c>
      <c r="C436" s="6">
        <v>0.25</v>
      </c>
      <c r="D436" s="7">
        <f t="shared" si="31"/>
        <v>0.21</v>
      </c>
      <c r="E436" s="7">
        <f t="shared" si="32"/>
        <v>4.1999999999999997E-3</v>
      </c>
      <c r="F436" s="7">
        <f t="shared" si="33"/>
        <v>0.20579999999999998</v>
      </c>
    </row>
    <row r="437" spans="1:6" x14ac:dyDescent="0.35">
      <c r="A437" s="2" t="s">
        <v>252</v>
      </c>
      <c r="B437" s="2" t="s">
        <v>1</v>
      </c>
      <c r="C437" s="3" t="s">
        <v>2</v>
      </c>
      <c r="D437" s="4" t="s">
        <v>4</v>
      </c>
      <c r="E437" s="4" t="s">
        <v>5</v>
      </c>
      <c r="F437" s="4" t="s">
        <v>6</v>
      </c>
    </row>
    <row r="438" spans="1:6" x14ac:dyDescent="0.35">
      <c r="A438" s="5" t="s">
        <v>503</v>
      </c>
      <c r="B438" s="5" t="s">
        <v>419</v>
      </c>
      <c r="C438" s="7">
        <v>0.15</v>
      </c>
      <c r="D438" s="7">
        <f t="shared" si="31"/>
        <v>0.10999999999999999</v>
      </c>
      <c r="E438" s="7">
        <f t="shared" si="32"/>
        <v>2.1999999999999997E-3</v>
      </c>
      <c r="F438" s="7">
        <f t="shared" si="33"/>
        <v>0.10779999999999999</v>
      </c>
    </row>
    <row r="439" spans="1:6" x14ac:dyDescent="0.35">
      <c r="A439" s="5" t="s">
        <v>504</v>
      </c>
      <c r="B439" s="5" t="s">
        <v>419</v>
      </c>
      <c r="C439" s="7">
        <v>0.15</v>
      </c>
      <c r="D439" s="7">
        <f t="shared" si="31"/>
        <v>0.10999999999999999</v>
      </c>
      <c r="E439" s="7">
        <f t="shared" si="32"/>
        <v>2.1999999999999997E-3</v>
      </c>
      <c r="F439" s="7">
        <f t="shared" si="33"/>
        <v>0.10779999999999999</v>
      </c>
    </row>
    <row r="440" spans="1:6" x14ac:dyDescent="0.35">
      <c r="A440" s="5" t="s">
        <v>505</v>
      </c>
      <c r="B440" s="5" t="s">
        <v>419</v>
      </c>
      <c r="C440" s="7">
        <v>0.15</v>
      </c>
      <c r="D440" s="7">
        <f t="shared" si="31"/>
        <v>0.10999999999999999</v>
      </c>
      <c r="E440" s="7">
        <f t="shared" si="32"/>
        <v>2.1999999999999997E-3</v>
      </c>
      <c r="F440" s="7">
        <f t="shared" si="33"/>
        <v>0.10779999999999999</v>
      </c>
    </row>
    <row r="441" spans="1:6" ht="24" x14ac:dyDescent="0.35">
      <c r="A441" s="5" t="s">
        <v>506</v>
      </c>
      <c r="B441" s="5" t="s">
        <v>419</v>
      </c>
      <c r="C441" s="7">
        <v>0.27500000000000002</v>
      </c>
      <c r="D441" s="7">
        <f t="shared" si="31"/>
        <v>0.23500000000000001</v>
      </c>
      <c r="E441" s="7">
        <f t="shared" si="32"/>
        <v>4.7000000000000002E-3</v>
      </c>
      <c r="F441" s="7">
        <f t="shared" si="33"/>
        <v>0.2303</v>
      </c>
    </row>
    <row r="442" spans="1:6" x14ac:dyDescent="0.35">
      <c r="A442" s="41" t="s">
        <v>257</v>
      </c>
      <c r="B442" s="5" t="s">
        <v>380</v>
      </c>
      <c r="C442" s="7">
        <v>0.19500000000000001</v>
      </c>
      <c r="D442" s="7">
        <f t="shared" si="31"/>
        <v>0.155</v>
      </c>
      <c r="E442" s="7">
        <f t="shared" si="32"/>
        <v>3.0999999999999999E-3</v>
      </c>
      <c r="F442" s="7">
        <f t="shared" si="33"/>
        <v>0.15190000000000001</v>
      </c>
    </row>
    <row r="443" spans="1:6" x14ac:dyDescent="0.35">
      <c r="A443" s="43"/>
      <c r="B443" s="5" t="s">
        <v>372</v>
      </c>
      <c r="C443" s="7">
        <v>0.125</v>
      </c>
      <c r="D443" s="7">
        <f t="shared" si="31"/>
        <v>8.4999999999999992E-2</v>
      </c>
      <c r="E443" s="7">
        <f t="shared" si="32"/>
        <v>1.6999999999999999E-3</v>
      </c>
      <c r="F443" s="7">
        <f t="shared" si="33"/>
        <v>8.3299999999999999E-2</v>
      </c>
    </row>
    <row r="444" spans="1:6" x14ac:dyDescent="0.35">
      <c r="A444" s="5" t="s">
        <v>259</v>
      </c>
      <c r="B444" s="5" t="s">
        <v>100</v>
      </c>
      <c r="C444" s="7">
        <v>0.19500000000000001</v>
      </c>
      <c r="D444" s="7">
        <f t="shared" si="31"/>
        <v>0.155</v>
      </c>
      <c r="E444" s="7">
        <f t="shared" si="32"/>
        <v>3.0999999999999999E-3</v>
      </c>
      <c r="F444" s="7">
        <f t="shared" si="33"/>
        <v>0.15190000000000001</v>
      </c>
    </row>
    <row r="445" spans="1:6" x14ac:dyDescent="0.35">
      <c r="A445" s="14" t="s">
        <v>507</v>
      </c>
      <c r="B445" s="5" t="s">
        <v>485</v>
      </c>
      <c r="C445" s="7">
        <v>0.15</v>
      </c>
      <c r="D445" s="7">
        <f t="shared" si="31"/>
        <v>0.10999999999999999</v>
      </c>
      <c r="E445" s="7">
        <f t="shared" si="32"/>
        <v>2.1999999999999997E-3</v>
      </c>
      <c r="F445" s="7">
        <f t="shared" si="33"/>
        <v>0.10779999999999999</v>
      </c>
    </row>
    <row r="446" spans="1:6" x14ac:dyDescent="0.35">
      <c r="A446" s="41" t="s">
        <v>508</v>
      </c>
      <c r="B446" s="5" t="s">
        <v>509</v>
      </c>
      <c r="C446" s="7">
        <v>0.31</v>
      </c>
      <c r="D446" s="7">
        <f t="shared" si="31"/>
        <v>0.27</v>
      </c>
      <c r="E446" s="7">
        <f t="shared" si="32"/>
        <v>5.4000000000000003E-3</v>
      </c>
      <c r="F446" s="7">
        <f t="shared" si="33"/>
        <v>0.2646</v>
      </c>
    </row>
    <row r="447" spans="1:6" x14ac:dyDescent="0.35">
      <c r="A447" s="42"/>
      <c r="B447" s="5" t="s">
        <v>510</v>
      </c>
      <c r="C447" s="7">
        <v>0.24</v>
      </c>
      <c r="D447" s="7">
        <f t="shared" si="31"/>
        <v>0.19999999999999998</v>
      </c>
      <c r="E447" s="7">
        <f t="shared" si="32"/>
        <v>4.0000000000000001E-3</v>
      </c>
      <c r="F447" s="7">
        <f t="shared" si="33"/>
        <v>0.19599999999999998</v>
      </c>
    </row>
    <row r="448" spans="1:6" x14ac:dyDescent="0.35">
      <c r="A448" s="42"/>
      <c r="B448" s="5" t="s">
        <v>511</v>
      </c>
      <c r="C448" s="7">
        <v>0.23</v>
      </c>
      <c r="D448" s="7">
        <f t="shared" si="31"/>
        <v>0.19</v>
      </c>
      <c r="E448" s="7">
        <f t="shared" si="32"/>
        <v>3.8E-3</v>
      </c>
      <c r="F448" s="7">
        <f t="shared" si="33"/>
        <v>0.1862</v>
      </c>
    </row>
    <row r="449" spans="1:6" x14ac:dyDescent="0.35">
      <c r="A449" s="42"/>
      <c r="B449" s="5" t="s">
        <v>512</v>
      </c>
      <c r="C449" s="7">
        <v>0.21</v>
      </c>
      <c r="D449" s="7">
        <f t="shared" si="31"/>
        <v>0.16999999999999998</v>
      </c>
      <c r="E449" s="7">
        <f t="shared" si="32"/>
        <v>3.3999999999999998E-3</v>
      </c>
      <c r="F449" s="7">
        <f t="shared" si="33"/>
        <v>0.1666</v>
      </c>
    </row>
    <row r="450" spans="1:6" x14ac:dyDescent="0.35">
      <c r="A450" s="43"/>
      <c r="B450" s="5" t="s">
        <v>513</v>
      </c>
      <c r="C450" s="7">
        <v>0.05</v>
      </c>
      <c r="D450" s="7" t="s">
        <v>20</v>
      </c>
      <c r="E450" s="7" t="s">
        <v>20</v>
      </c>
      <c r="F450" s="7" t="s">
        <v>20</v>
      </c>
    </row>
    <row r="451" spans="1:6" x14ac:dyDescent="0.35">
      <c r="A451" s="41" t="s">
        <v>514</v>
      </c>
      <c r="B451" s="5" t="s">
        <v>509</v>
      </c>
      <c r="C451" s="7">
        <v>0.37</v>
      </c>
      <c r="D451" s="7">
        <f t="shared" si="31"/>
        <v>0.33</v>
      </c>
      <c r="E451" s="7">
        <f t="shared" si="32"/>
        <v>6.6000000000000008E-3</v>
      </c>
      <c r="F451" s="7">
        <f t="shared" si="33"/>
        <v>0.32340000000000002</v>
      </c>
    </row>
    <row r="452" spans="1:6" x14ac:dyDescent="0.35">
      <c r="A452" s="42"/>
      <c r="B452" s="5" t="s">
        <v>510</v>
      </c>
      <c r="C452" s="7">
        <v>0.18</v>
      </c>
      <c r="D452" s="7">
        <f t="shared" si="31"/>
        <v>0.13999999999999999</v>
      </c>
      <c r="E452" s="7">
        <f t="shared" si="32"/>
        <v>2.8E-3</v>
      </c>
      <c r="F452" s="7">
        <f t="shared" si="33"/>
        <v>0.13719999999999999</v>
      </c>
    </row>
    <row r="453" spans="1:6" x14ac:dyDescent="0.35">
      <c r="A453" s="42"/>
      <c r="B453" s="5" t="s">
        <v>511</v>
      </c>
      <c r="C453" s="7">
        <v>0.17</v>
      </c>
      <c r="D453" s="7">
        <f t="shared" si="31"/>
        <v>0.13</v>
      </c>
      <c r="E453" s="7">
        <f t="shared" si="32"/>
        <v>2.6000000000000003E-3</v>
      </c>
      <c r="F453" s="7">
        <f t="shared" si="33"/>
        <v>0.12740000000000001</v>
      </c>
    </row>
    <row r="454" spans="1:6" x14ac:dyDescent="0.35">
      <c r="A454" s="42"/>
      <c r="B454" s="5" t="s">
        <v>512</v>
      </c>
      <c r="C454" s="7">
        <v>0.14000000000000001</v>
      </c>
      <c r="D454" s="7">
        <f t="shared" si="31"/>
        <v>0.1</v>
      </c>
      <c r="E454" s="7">
        <f t="shared" si="32"/>
        <v>2E-3</v>
      </c>
      <c r="F454" s="7">
        <f t="shared" si="33"/>
        <v>9.8000000000000004E-2</v>
      </c>
    </row>
    <row r="455" spans="1:6" x14ac:dyDescent="0.35">
      <c r="A455" s="43"/>
      <c r="B455" s="5" t="s">
        <v>513</v>
      </c>
      <c r="C455" s="7">
        <v>0.14000000000000001</v>
      </c>
      <c r="D455" s="7">
        <f t="shared" si="31"/>
        <v>0.1</v>
      </c>
      <c r="E455" s="7">
        <f t="shared" si="32"/>
        <v>2E-3</v>
      </c>
      <c r="F455" s="7">
        <f t="shared" si="33"/>
        <v>9.8000000000000004E-2</v>
      </c>
    </row>
    <row r="456" spans="1:6" ht="24" x14ac:dyDescent="0.35">
      <c r="A456" s="5" t="s">
        <v>515</v>
      </c>
      <c r="B456" s="5" t="s">
        <v>516</v>
      </c>
      <c r="C456" s="7">
        <v>0.28000000000000003</v>
      </c>
      <c r="D456" s="7">
        <f t="shared" si="31"/>
        <v>0.24000000000000002</v>
      </c>
      <c r="E456" s="7">
        <f t="shared" si="32"/>
        <v>4.8000000000000004E-3</v>
      </c>
      <c r="F456" s="7">
        <f t="shared" si="33"/>
        <v>0.23520000000000002</v>
      </c>
    </row>
    <row r="457" spans="1:6" ht="24" x14ac:dyDescent="0.35">
      <c r="A457" s="5" t="s">
        <v>517</v>
      </c>
      <c r="B457" s="5" t="s">
        <v>518</v>
      </c>
      <c r="C457" s="7">
        <v>0.26</v>
      </c>
      <c r="D457" s="7">
        <f t="shared" si="31"/>
        <v>0.22</v>
      </c>
      <c r="E457" s="7">
        <f t="shared" si="32"/>
        <v>4.4000000000000003E-3</v>
      </c>
      <c r="F457" s="7">
        <f t="shared" si="33"/>
        <v>0.21560000000000001</v>
      </c>
    </row>
    <row r="458" spans="1:6" ht="24" x14ac:dyDescent="0.35">
      <c r="A458" s="5" t="s">
        <v>519</v>
      </c>
      <c r="B458" s="5" t="s">
        <v>518</v>
      </c>
      <c r="C458" s="7">
        <v>0.24</v>
      </c>
      <c r="D458" s="7">
        <f t="shared" si="31"/>
        <v>0.19999999999999998</v>
      </c>
      <c r="E458" s="7">
        <f t="shared" si="32"/>
        <v>4.0000000000000001E-3</v>
      </c>
      <c r="F458" s="7">
        <f t="shared" si="33"/>
        <v>0.19599999999999998</v>
      </c>
    </row>
    <row r="459" spans="1:6" ht="24" x14ac:dyDescent="0.35">
      <c r="A459" s="5" t="s">
        <v>520</v>
      </c>
      <c r="B459" s="5" t="s">
        <v>518</v>
      </c>
      <c r="C459" s="7">
        <v>0.19500000000000001</v>
      </c>
      <c r="D459" s="7">
        <f t="shared" si="31"/>
        <v>0.155</v>
      </c>
      <c r="E459" s="7">
        <f t="shared" si="32"/>
        <v>3.0999999999999999E-3</v>
      </c>
      <c r="F459" s="7">
        <f t="shared" si="33"/>
        <v>0.15190000000000001</v>
      </c>
    </row>
    <row r="460" spans="1:6" ht="24" x14ac:dyDescent="0.35">
      <c r="A460" s="5" t="s">
        <v>521</v>
      </c>
      <c r="B460" s="5" t="s">
        <v>518</v>
      </c>
      <c r="C460" s="7">
        <v>0.24</v>
      </c>
      <c r="D460" s="7">
        <f t="shared" si="31"/>
        <v>0.19999999999999998</v>
      </c>
      <c r="E460" s="7">
        <f t="shared" si="32"/>
        <v>4.0000000000000001E-3</v>
      </c>
      <c r="F460" s="7">
        <f t="shared" si="33"/>
        <v>0.19599999999999998</v>
      </c>
    </row>
    <row r="461" spans="1:6" x14ac:dyDescent="0.35">
      <c r="A461" s="41" t="s">
        <v>522</v>
      </c>
      <c r="B461" s="5" t="s">
        <v>523</v>
      </c>
      <c r="C461" s="7">
        <v>0.19500000000000001</v>
      </c>
      <c r="D461" s="7">
        <f t="shared" si="31"/>
        <v>0.155</v>
      </c>
      <c r="E461" s="7">
        <f t="shared" si="32"/>
        <v>3.0999999999999999E-3</v>
      </c>
      <c r="F461" s="7">
        <f t="shared" si="33"/>
        <v>0.15190000000000001</v>
      </c>
    </row>
    <row r="462" spans="1:6" x14ac:dyDescent="0.35">
      <c r="A462" s="42"/>
      <c r="B462" s="5" t="s">
        <v>398</v>
      </c>
      <c r="C462" s="7">
        <v>0.17499999999999999</v>
      </c>
      <c r="D462" s="7">
        <f t="shared" si="31"/>
        <v>0.13499999999999998</v>
      </c>
      <c r="E462" s="7">
        <f t="shared" si="32"/>
        <v>2.6999999999999997E-3</v>
      </c>
      <c r="F462" s="7">
        <f t="shared" si="33"/>
        <v>0.13229999999999997</v>
      </c>
    </row>
    <row r="463" spans="1:6" ht="24" x14ac:dyDescent="0.35">
      <c r="A463" s="43"/>
      <c r="B463" s="5" t="s">
        <v>518</v>
      </c>
      <c r="C463" s="7">
        <v>0.19</v>
      </c>
      <c r="D463" s="7">
        <f t="shared" si="31"/>
        <v>0.15</v>
      </c>
      <c r="E463" s="7">
        <f t="shared" si="32"/>
        <v>3.0000000000000001E-3</v>
      </c>
      <c r="F463" s="7">
        <f t="shared" si="33"/>
        <v>0.14699999999999999</v>
      </c>
    </row>
    <row r="464" spans="1:6" ht="24" x14ac:dyDescent="0.35">
      <c r="A464" s="5" t="s">
        <v>524</v>
      </c>
      <c r="B464" s="5" t="s">
        <v>518</v>
      </c>
      <c r="C464" s="7">
        <v>0.18</v>
      </c>
      <c r="D464" s="7">
        <f t="shared" si="31"/>
        <v>0.13999999999999999</v>
      </c>
      <c r="E464" s="7">
        <f t="shared" si="32"/>
        <v>2.8E-3</v>
      </c>
      <c r="F464" s="7">
        <f t="shared" si="33"/>
        <v>0.13719999999999999</v>
      </c>
    </row>
    <row r="465" spans="1:6" ht="24" x14ac:dyDescent="0.35">
      <c r="A465" s="5" t="s">
        <v>525</v>
      </c>
      <c r="B465" s="5" t="s">
        <v>518</v>
      </c>
      <c r="C465" s="7">
        <v>0.18</v>
      </c>
      <c r="D465" s="7">
        <f t="shared" si="31"/>
        <v>0.13999999999999999</v>
      </c>
      <c r="E465" s="7">
        <f t="shared" si="32"/>
        <v>2.8E-3</v>
      </c>
      <c r="F465" s="7">
        <f t="shared" si="33"/>
        <v>0.13719999999999999</v>
      </c>
    </row>
    <row r="466" spans="1:6" ht="24" x14ac:dyDescent="0.35">
      <c r="A466" s="5" t="s">
        <v>526</v>
      </c>
      <c r="B466" s="5" t="s">
        <v>518</v>
      </c>
      <c r="C466" s="7">
        <v>0.25</v>
      </c>
      <c r="D466" s="7">
        <f t="shared" si="31"/>
        <v>0.21</v>
      </c>
      <c r="E466" s="7">
        <f t="shared" si="32"/>
        <v>4.1999999999999997E-3</v>
      </c>
      <c r="F466" s="7">
        <f t="shared" si="33"/>
        <v>0.20579999999999998</v>
      </c>
    </row>
    <row r="467" spans="1:6" ht="24" x14ac:dyDescent="0.35">
      <c r="A467" s="5" t="s">
        <v>527</v>
      </c>
      <c r="B467" s="5" t="s">
        <v>518</v>
      </c>
      <c r="C467" s="7">
        <v>0.42</v>
      </c>
      <c r="D467" s="7">
        <f t="shared" si="31"/>
        <v>0.38</v>
      </c>
      <c r="E467" s="7">
        <f t="shared" si="32"/>
        <v>7.6E-3</v>
      </c>
      <c r="F467" s="7">
        <f t="shared" si="33"/>
        <v>0.37240000000000001</v>
      </c>
    </row>
    <row r="468" spans="1:6" ht="24" x14ac:dyDescent="0.35">
      <c r="A468" s="5" t="s">
        <v>528</v>
      </c>
      <c r="B468" s="5" t="s">
        <v>518</v>
      </c>
      <c r="C468" s="7">
        <v>0.33</v>
      </c>
      <c r="D468" s="7">
        <f t="shared" si="31"/>
        <v>0.29000000000000004</v>
      </c>
      <c r="E468" s="7">
        <f t="shared" si="32"/>
        <v>5.8000000000000005E-3</v>
      </c>
      <c r="F468" s="7">
        <f t="shared" si="33"/>
        <v>0.28420000000000001</v>
      </c>
    </row>
    <row r="469" spans="1:6" ht="24" x14ac:dyDescent="0.35">
      <c r="A469" s="5" t="s">
        <v>529</v>
      </c>
      <c r="B469" s="5" t="s">
        <v>518</v>
      </c>
      <c r="C469" s="7">
        <v>0.36</v>
      </c>
      <c r="D469" s="7">
        <f t="shared" si="31"/>
        <v>0.32</v>
      </c>
      <c r="E469" s="7">
        <f t="shared" si="32"/>
        <v>6.4000000000000003E-3</v>
      </c>
      <c r="F469" s="7">
        <f t="shared" si="33"/>
        <v>0.31359999999999999</v>
      </c>
    </row>
    <row r="470" spans="1:6" x14ac:dyDescent="0.35">
      <c r="A470" s="5" t="s">
        <v>1297</v>
      </c>
      <c r="B470" s="5" t="s">
        <v>100</v>
      </c>
      <c r="C470" s="6">
        <v>0.25</v>
      </c>
      <c r="D470" s="7">
        <f t="shared" ref="D470:D471" si="34">C470-(4%)</f>
        <v>0.21</v>
      </c>
      <c r="E470" s="7">
        <f t="shared" ref="E470:E471" si="35">D470*2%</f>
        <v>4.1999999999999997E-3</v>
      </c>
      <c r="F470" s="7">
        <f t="shared" ref="F470:F471" si="36">D470-E470</f>
        <v>0.20579999999999998</v>
      </c>
    </row>
    <row r="471" spans="1:6" x14ac:dyDescent="0.35">
      <c r="A471" s="5" t="s">
        <v>1298</v>
      </c>
      <c r="B471" s="5" t="s">
        <v>100</v>
      </c>
      <c r="C471" s="6">
        <v>0.245</v>
      </c>
      <c r="D471" s="7">
        <f t="shared" si="34"/>
        <v>0.20499999999999999</v>
      </c>
      <c r="E471" s="7">
        <f t="shared" si="35"/>
        <v>4.0999999999999995E-3</v>
      </c>
      <c r="F471" s="7">
        <f t="shared" si="36"/>
        <v>0.2009</v>
      </c>
    </row>
    <row r="472" spans="1:6" x14ac:dyDescent="0.35">
      <c r="A472" s="5" t="s">
        <v>272</v>
      </c>
      <c r="B472" s="5" t="s">
        <v>273</v>
      </c>
      <c r="C472" s="7">
        <v>0.3</v>
      </c>
      <c r="D472" s="7">
        <f t="shared" si="31"/>
        <v>0.26</v>
      </c>
      <c r="E472" s="7">
        <f t="shared" si="32"/>
        <v>5.2000000000000006E-3</v>
      </c>
      <c r="F472" s="7">
        <f t="shared" si="33"/>
        <v>0.25480000000000003</v>
      </c>
    </row>
    <row r="473" spans="1:6" x14ac:dyDescent="0.35">
      <c r="A473" s="5" t="s">
        <v>274</v>
      </c>
      <c r="B473" s="5" t="s">
        <v>273</v>
      </c>
      <c r="C473" s="7">
        <v>0.3</v>
      </c>
      <c r="D473" s="7">
        <f t="shared" si="31"/>
        <v>0.26</v>
      </c>
      <c r="E473" s="7">
        <f t="shared" si="32"/>
        <v>5.2000000000000006E-3</v>
      </c>
      <c r="F473" s="7">
        <f t="shared" si="33"/>
        <v>0.25480000000000003</v>
      </c>
    </row>
    <row r="474" spans="1:6" x14ac:dyDescent="0.35">
      <c r="A474" s="5" t="s">
        <v>275</v>
      </c>
      <c r="B474" s="5" t="s">
        <v>273</v>
      </c>
      <c r="C474" s="7">
        <v>0.3</v>
      </c>
      <c r="D474" s="7">
        <f t="shared" si="31"/>
        <v>0.26</v>
      </c>
      <c r="E474" s="7">
        <f t="shared" si="32"/>
        <v>5.2000000000000006E-3</v>
      </c>
      <c r="F474" s="7">
        <f t="shared" si="33"/>
        <v>0.25480000000000003</v>
      </c>
    </row>
    <row r="475" spans="1:6" x14ac:dyDescent="0.35">
      <c r="A475" s="5" t="s">
        <v>530</v>
      </c>
      <c r="B475" s="5" t="s">
        <v>273</v>
      </c>
      <c r="C475" s="7">
        <v>0.1</v>
      </c>
      <c r="D475" s="7">
        <f t="shared" si="31"/>
        <v>6.0000000000000005E-2</v>
      </c>
      <c r="E475" s="7">
        <f t="shared" si="32"/>
        <v>1.2000000000000001E-3</v>
      </c>
      <c r="F475" s="7">
        <f t="shared" si="33"/>
        <v>5.8800000000000005E-2</v>
      </c>
    </row>
    <row r="476" spans="1:6" x14ac:dyDescent="0.35">
      <c r="A476" s="5" t="s">
        <v>276</v>
      </c>
      <c r="B476" s="5" t="s">
        <v>273</v>
      </c>
      <c r="C476" s="7">
        <v>0.19</v>
      </c>
      <c r="D476" s="7">
        <f t="shared" si="31"/>
        <v>0.15</v>
      </c>
      <c r="E476" s="7">
        <f t="shared" si="32"/>
        <v>3.0000000000000001E-3</v>
      </c>
      <c r="F476" s="7">
        <f t="shared" si="33"/>
        <v>0.14699999999999999</v>
      </c>
    </row>
    <row r="477" spans="1:6" x14ac:dyDescent="0.35">
      <c r="A477" s="5" t="s">
        <v>277</v>
      </c>
      <c r="B477" s="5" t="s">
        <v>273</v>
      </c>
      <c r="C477" s="7">
        <v>0.19</v>
      </c>
      <c r="D477" s="7">
        <f t="shared" si="31"/>
        <v>0.15</v>
      </c>
      <c r="E477" s="7">
        <f t="shared" si="32"/>
        <v>3.0000000000000001E-3</v>
      </c>
      <c r="F477" s="7">
        <f t="shared" si="33"/>
        <v>0.14699999999999999</v>
      </c>
    </row>
    <row r="478" spans="1:6" x14ac:dyDescent="0.35">
      <c r="A478" s="5" t="s">
        <v>278</v>
      </c>
      <c r="B478" s="5" t="s">
        <v>273</v>
      </c>
      <c r="C478" s="7">
        <v>0.2</v>
      </c>
      <c r="D478" s="7">
        <f t="shared" si="31"/>
        <v>0.16</v>
      </c>
      <c r="E478" s="7">
        <f t="shared" si="32"/>
        <v>3.2000000000000002E-3</v>
      </c>
      <c r="F478" s="7">
        <f t="shared" si="33"/>
        <v>0.15679999999999999</v>
      </c>
    </row>
    <row r="479" spans="1:6" x14ac:dyDescent="0.35">
      <c r="A479" s="5" t="s">
        <v>279</v>
      </c>
      <c r="B479" s="5" t="s">
        <v>273</v>
      </c>
      <c r="C479" s="7">
        <v>0.1</v>
      </c>
      <c r="D479" s="7">
        <f t="shared" si="31"/>
        <v>6.0000000000000005E-2</v>
      </c>
      <c r="E479" s="7">
        <f t="shared" si="32"/>
        <v>1.2000000000000001E-3</v>
      </c>
      <c r="F479" s="7">
        <f t="shared" si="33"/>
        <v>5.8800000000000005E-2</v>
      </c>
    </row>
    <row r="480" spans="1:6" x14ac:dyDescent="0.35">
      <c r="A480" s="5" t="s">
        <v>280</v>
      </c>
      <c r="B480" s="5" t="s">
        <v>273</v>
      </c>
      <c r="C480" s="7">
        <v>0.1</v>
      </c>
      <c r="D480" s="7">
        <f t="shared" si="31"/>
        <v>6.0000000000000005E-2</v>
      </c>
      <c r="E480" s="7">
        <f t="shared" si="32"/>
        <v>1.2000000000000001E-3</v>
      </c>
      <c r="F480" s="7">
        <f t="shared" si="33"/>
        <v>5.8800000000000005E-2</v>
      </c>
    </row>
    <row r="481" spans="1:6" x14ac:dyDescent="0.35">
      <c r="A481" s="5" t="s">
        <v>281</v>
      </c>
      <c r="B481" s="5" t="s">
        <v>273</v>
      </c>
      <c r="C481" s="7">
        <v>0.15</v>
      </c>
      <c r="D481" s="7">
        <f t="shared" si="31"/>
        <v>0.10999999999999999</v>
      </c>
      <c r="E481" s="7">
        <f t="shared" si="32"/>
        <v>2.1999999999999997E-3</v>
      </c>
      <c r="F481" s="7">
        <f t="shared" si="33"/>
        <v>0.10779999999999999</v>
      </c>
    </row>
    <row r="482" spans="1:6" x14ac:dyDescent="0.35">
      <c r="A482" s="14" t="s">
        <v>282</v>
      </c>
      <c r="B482" s="5" t="s">
        <v>100</v>
      </c>
      <c r="C482" s="6">
        <v>0.3</v>
      </c>
      <c r="D482" s="7">
        <f t="shared" si="31"/>
        <v>0.26</v>
      </c>
      <c r="E482" s="7">
        <f t="shared" si="32"/>
        <v>5.2000000000000006E-3</v>
      </c>
      <c r="F482" s="7">
        <f t="shared" si="33"/>
        <v>0.25480000000000003</v>
      </c>
    </row>
    <row r="483" spans="1:6" x14ac:dyDescent="0.35">
      <c r="A483" s="14" t="s">
        <v>283</v>
      </c>
      <c r="B483" s="5" t="s">
        <v>100</v>
      </c>
      <c r="C483" s="6">
        <v>0.27</v>
      </c>
      <c r="D483" s="7">
        <f t="shared" si="31"/>
        <v>0.23</v>
      </c>
      <c r="E483" s="7">
        <f t="shared" si="32"/>
        <v>4.5999999999999999E-3</v>
      </c>
      <c r="F483" s="7">
        <f t="shared" si="33"/>
        <v>0.22540000000000002</v>
      </c>
    </row>
    <row r="484" spans="1:6" x14ac:dyDescent="0.35">
      <c r="A484" s="14" t="s">
        <v>284</v>
      </c>
      <c r="B484" s="5" t="s">
        <v>100</v>
      </c>
      <c r="C484" s="6">
        <v>0.22</v>
      </c>
      <c r="D484" s="7">
        <f t="shared" si="31"/>
        <v>0.18</v>
      </c>
      <c r="E484" s="7">
        <f t="shared" si="32"/>
        <v>3.5999999999999999E-3</v>
      </c>
      <c r="F484" s="7">
        <f t="shared" si="33"/>
        <v>0.1764</v>
      </c>
    </row>
    <row r="485" spans="1:6" x14ac:dyDescent="0.35">
      <c r="A485" s="14" t="s">
        <v>285</v>
      </c>
      <c r="B485" s="5" t="s">
        <v>100</v>
      </c>
      <c r="C485" s="6">
        <v>0.19500000000000001</v>
      </c>
      <c r="D485" s="7">
        <f t="shared" si="31"/>
        <v>0.155</v>
      </c>
      <c r="E485" s="7">
        <f t="shared" si="32"/>
        <v>3.0999999999999999E-3</v>
      </c>
      <c r="F485" s="7">
        <f t="shared" si="33"/>
        <v>0.15190000000000001</v>
      </c>
    </row>
    <row r="486" spans="1:6" x14ac:dyDescent="0.35">
      <c r="A486" s="14" t="s">
        <v>286</v>
      </c>
      <c r="B486" s="5" t="s">
        <v>100</v>
      </c>
      <c r="C486" s="6">
        <v>0.15</v>
      </c>
      <c r="D486" s="7">
        <f t="shared" si="31"/>
        <v>0.10999999999999999</v>
      </c>
      <c r="E486" s="7">
        <f t="shared" si="32"/>
        <v>2.1999999999999997E-3</v>
      </c>
      <c r="F486" s="7">
        <f t="shared" si="33"/>
        <v>0.10779999999999999</v>
      </c>
    </row>
    <row r="487" spans="1:6" x14ac:dyDescent="0.35">
      <c r="A487" s="41" t="s">
        <v>1159</v>
      </c>
      <c r="B487" s="5" t="s">
        <v>380</v>
      </c>
      <c r="C487" s="7">
        <v>0.22500000000000001</v>
      </c>
      <c r="D487" s="7">
        <f t="shared" ref="D487:D564" si="37">C487-(4%)</f>
        <v>0.185</v>
      </c>
      <c r="E487" s="7">
        <f t="shared" ref="E487:E564" si="38">D487*2%</f>
        <v>3.7000000000000002E-3</v>
      </c>
      <c r="F487" s="7">
        <f t="shared" ref="F487:F564" si="39">D487-E487</f>
        <v>0.18129999999999999</v>
      </c>
    </row>
    <row r="488" spans="1:6" x14ac:dyDescent="0.35">
      <c r="A488" s="43"/>
      <c r="B488" s="5" t="s">
        <v>398</v>
      </c>
      <c r="C488" s="7">
        <v>0.15</v>
      </c>
      <c r="D488" s="7">
        <f t="shared" si="37"/>
        <v>0.10999999999999999</v>
      </c>
      <c r="E488" s="7">
        <f t="shared" si="38"/>
        <v>2.1999999999999997E-3</v>
      </c>
      <c r="F488" s="7">
        <f t="shared" si="39"/>
        <v>0.10779999999999999</v>
      </c>
    </row>
    <row r="489" spans="1:6" x14ac:dyDescent="0.35">
      <c r="A489" s="41" t="s">
        <v>1160</v>
      </c>
      <c r="B489" s="5" t="s">
        <v>380</v>
      </c>
      <c r="C489" s="7">
        <v>0.1</v>
      </c>
      <c r="D489" s="7">
        <f t="shared" si="37"/>
        <v>6.0000000000000005E-2</v>
      </c>
      <c r="E489" s="7">
        <f t="shared" si="38"/>
        <v>1.2000000000000001E-3</v>
      </c>
      <c r="F489" s="7">
        <f t="shared" si="39"/>
        <v>5.8800000000000005E-2</v>
      </c>
    </row>
    <row r="490" spans="1:6" x14ac:dyDescent="0.35">
      <c r="A490" s="43"/>
      <c r="B490" s="5" t="s">
        <v>398</v>
      </c>
      <c r="C490" s="7">
        <v>0.05</v>
      </c>
      <c r="D490" s="7" t="s">
        <v>20</v>
      </c>
      <c r="E490" s="7" t="s">
        <v>20</v>
      </c>
      <c r="F490" s="7" t="s">
        <v>20</v>
      </c>
    </row>
    <row r="491" spans="1:6" x14ac:dyDescent="0.35">
      <c r="A491" s="5" t="s">
        <v>334</v>
      </c>
      <c r="B491" s="5" t="s">
        <v>100</v>
      </c>
      <c r="C491" s="7">
        <v>0.25</v>
      </c>
      <c r="D491" s="7">
        <f t="shared" si="37"/>
        <v>0.21</v>
      </c>
      <c r="E491" s="7">
        <f t="shared" si="38"/>
        <v>4.1999999999999997E-3</v>
      </c>
      <c r="F491" s="7">
        <f t="shared" si="39"/>
        <v>0.20579999999999998</v>
      </c>
    </row>
    <row r="492" spans="1:6" ht="48" customHeight="1" x14ac:dyDescent="0.35">
      <c r="A492" s="41" t="s">
        <v>287</v>
      </c>
      <c r="B492" s="5" t="s">
        <v>380</v>
      </c>
      <c r="C492" s="6">
        <v>0.3</v>
      </c>
      <c r="D492" s="7">
        <f t="shared" si="37"/>
        <v>0.26</v>
      </c>
      <c r="E492" s="7">
        <f t="shared" si="38"/>
        <v>5.2000000000000006E-3</v>
      </c>
      <c r="F492" s="7">
        <f t="shared" si="39"/>
        <v>0.25480000000000003</v>
      </c>
    </row>
    <row r="493" spans="1:6" x14ac:dyDescent="0.35">
      <c r="A493" s="43"/>
      <c r="B493" s="5" t="s">
        <v>377</v>
      </c>
      <c r="C493" s="6">
        <v>0.1</v>
      </c>
      <c r="D493" s="7">
        <f t="shared" si="37"/>
        <v>6.0000000000000005E-2</v>
      </c>
      <c r="E493" s="7">
        <f t="shared" si="38"/>
        <v>1.2000000000000001E-3</v>
      </c>
      <c r="F493" s="7">
        <f t="shared" si="39"/>
        <v>5.8800000000000005E-2</v>
      </c>
    </row>
    <row r="494" spans="1:6" ht="33" customHeight="1" x14ac:dyDescent="0.35">
      <c r="A494" s="41" t="s">
        <v>531</v>
      </c>
      <c r="B494" s="5" t="s">
        <v>380</v>
      </c>
      <c r="C494" s="6">
        <v>0.3</v>
      </c>
      <c r="D494" s="7">
        <f t="shared" si="37"/>
        <v>0.26</v>
      </c>
      <c r="E494" s="7">
        <f t="shared" si="38"/>
        <v>5.2000000000000006E-3</v>
      </c>
      <c r="F494" s="7">
        <f t="shared" si="39"/>
        <v>0.25480000000000003</v>
      </c>
    </row>
    <row r="495" spans="1:6" x14ac:dyDescent="0.35">
      <c r="A495" s="43"/>
      <c r="B495" s="5" t="s">
        <v>377</v>
      </c>
      <c r="C495" s="6">
        <v>0.1</v>
      </c>
      <c r="D495" s="7">
        <f t="shared" si="37"/>
        <v>6.0000000000000005E-2</v>
      </c>
      <c r="E495" s="7">
        <f t="shared" si="38"/>
        <v>1.2000000000000001E-3</v>
      </c>
      <c r="F495" s="7">
        <f t="shared" si="39"/>
        <v>5.8800000000000005E-2</v>
      </c>
    </row>
    <row r="496" spans="1:6" x14ac:dyDescent="0.35">
      <c r="A496" s="41" t="s">
        <v>532</v>
      </c>
      <c r="B496" s="5" t="s">
        <v>380</v>
      </c>
      <c r="C496" s="6">
        <v>0.22500000000000001</v>
      </c>
      <c r="D496" s="7">
        <f t="shared" si="37"/>
        <v>0.185</v>
      </c>
      <c r="E496" s="7">
        <f t="shared" si="38"/>
        <v>3.7000000000000002E-3</v>
      </c>
      <c r="F496" s="7">
        <f t="shared" si="39"/>
        <v>0.18129999999999999</v>
      </c>
    </row>
    <row r="497" spans="1:6" ht="22" customHeight="1" x14ac:dyDescent="0.35">
      <c r="A497" s="43"/>
      <c r="B497" s="5" t="s">
        <v>377</v>
      </c>
      <c r="C497" s="6">
        <v>0.1</v>
      </c>
      <c r="D497" s="7">
        <f t="shared" si="37"/>
        <v>6.0000000000000005E-2</v>
      </c>
      <c r="E497" s="7">
        <f t="shared" si="38"/>
        <v>1.2000000000000001E-3</v>
      </c>
      <c r="F497" s="7">
        <f t="shared" si="39"/>
        <v>5.8800000000000005E-2</v>
      </c>
    </row>
    <row r="498" spans="1:6" ht="25" customHeight="1" x14ac:dyDescent="0.35">
      <c r="A498" s="41" t="s">
        <v>291</v>
      </c>
      <c r="B498" s="5" t="s">
        <v>380</v>
      </c>
      <c r="C498" s="6">
        <v>0.25</v>
      </c>
      <c r="D498" s="7">
        <f t="shared" si="37"/>
        <v>0.21</v>
      </c>
      <c r="E498" s="7">
        <f t="shared" si="38"/>
        <v>4.1999999999999997E-3</v>
      </c>
      <c r="F498" s="7">
        <f t="shared" si="39"/>
        <v>0.20579999999999998</v>
      </c>
    </row>
    <row r="499" spans="1:6" ht="24" customHeight="1" x14ac:dyDescent="0.35">
      <c r="A499" s="43"/>
      <c r="B499" s="5" t="s">
        <v>377</v>
      </c>
      <c r="C499" s="6">
        <v>0.15</v>
      </c>
      <c r="D499" s="7">
        <f t="shared" si="37"/>
        <v>0.10999999999999999</v>
      </c>
      <c r="E499" s="7">
        <f t="shared" si="38"/>
        <v>2.1999999999999997E-3</v>
      </c>
      <c r="F499" s="7">
        <f t="shared" si="39"/>
        <v>0.10779999999999999</v>
      </c>
    </row>
    <row r="500" spans="1:6" ht="30" customHeight="1" x14ac:dyDescent="0.35">
      <c r="A500" s="41" t="s">
        <v>292</v>
      </c>
      <c r="B500" s="5" t="s">
        <v>380</v>
      </c>
      <c r="C500" s="6">
        <v>0.15</v>
      </c>
      <c r="D500" s="7">
        <f t="shared" si="37"/>
        <v>0.10999999999999999</v>
      </c>
      <c r="E500" s="7">
        <f t="shared" si="38"/>
        <v>2.1999999999999997E-3</v>
      </c>
      <c r="F500" s="7">
        <f t="shared" si="39"/>
        <v>0.10779999999999999</v>
      </c>
    </row>
    <row r="501" spans="1:6" ht="18.649999999999999" customHeight="1" x14ac:dyDescent="0.35">
      <c r="A501" s="43"/>
      <c r="B501" s="5" t="s">
        <v>377</v>
      </c>
      <c r="C501" s="6">
        <v>0.1</v>
      </c>
      <c r="D501" s="7">
        <f t="shared" si="37"/>
        <v>6.0000000000000005E-2</v>
      </c>
      <c r="E501" s="7">
        <f t="shared" si="38"/>
        <v>1.2000000000000001E-3</v>
      </c>
      <c r="F501" s="7">
        <f t="shared" si="39"/>
        <v>5.8800000000000005E-2</v>
      </c>
    </row>
    <row r="502" spans="1:6" x14ac:dyDescent="0.35">
      <c r="A502" s="41" t="s">
        <v>293</v>
      </c>
      <c r="B502" s="5" t="s">
        <v>380</v>
      </c>
      <c r="C502" s="6">
        <v>0.18</v>
      </c>
      <c r="D502" s="7">
        <f t="shared" si="37"/>
        <v>0.13999999999999999</v>
      </c>
      <c r="E502" s="7">
        <f t="shared" si="38"/>
        <v>2.8E-3</v>
      </c>
      <c r="F502" s="7">
        <f t="shared" si="39"/>
        <v>0.13719999999999999</v>
      </c>
    </row>
    <row r="503" spans="1:6" x14ac:dyDescent="0.35">
      <c r="A503" s="43"/>
      <c r="B503" s="5" t="s">
        <v>377</v>
      </c>
      <c r="C503" s="6">
        <v>0.185</v>
      </c>
      <c r="D503" s="7">
        <f t="shared" si="37"/>
        <v>0.14499999999999999</v>
      </c>
      <c r="E503" s="7">
        <f t="shared" si="38"/>
        <v>2.8999999999999998E-3</v>
      </c>
      <c r="F503" s="7">
        <f t="shared" si="39"/>
        <v>0.1421</v>
      </c>
    </row>
    <row r="504" spans="1:6" x14ac:dyDescent="0.35">
      <c r="A504" s="41" t="s">
        <v>294</v>
      </c>
      <c r="B504" s="5" t="s">
        <v>380</v>
      </c>
      <c r="C504" s="6">
        <v>0.18</v>
      </c>
      <c r="D504" s="7">
        <f t="shared" si="37"/>
        <v>0.13999999999999999</v>
      </c>
      <c r="E504" s="7">
        <f t="shared" si="38"/>
        <v>2.8E-3</v>
      </c>
      <c r="F504" s="7">
        <f t="shared" si="39"/>
        <v>0.13719999999999999</v>
      </c>
    </row>
    <row r="505" spans="1:6" x14ac:dyDescent="0.35">
      <c r="A505" s="43"/>
      <c r="B505" s="5" t="s">
        <v>377</v>
      </c>
      <c r="C505" s="6">
        <v>0.185</v>
      </c>
      <c r="D505" s="7">
        <f t="shared" si="37"/>
        <v>0.14499999999999999</v>
      </c>
      <c r="E505" s="7">
        <f t="shared" si="38"/>
        <v>2.8999999999999998E-3</v>
      </c>
      <c r="F505" s="7">
        <f t="shared" si="39"/>
        <v>0.1421</v>
      </c>
    </row>
    <row r="506" spans="1:6" x14ac:dyDescent="0.35">
      <c r="A506" s="5" t="s">
        <v>300</v>
      </c>
      <c r="B506" s="5" t="s">
        <v>301</v>
      </c>
      <c r="C506" s="7">
        <v>0.22500000000000001</v>
      </c>
      <c r="D506" s="7">
        <f t="shared" si="37"/>
        <v>0.185</v>
      </c>
      <c r="E506" s="7">
        <f t="shared" si="38"/>
        <v>3.7000000000000002E-3</v>
      </c>
      <c r="F506" s="7">
        <f t="shared" si="39"/>
        <v>0.18129999999999999</v>
      </c>
    </row>
    <row r="507" spans="1:6" x14ac:dyDescent="0.35">
      <c r="A507" s="5" t="s">
        <v>302</v>
      </c>
      <c r="B507" s="5" t="s">
        <v>301</v>
      </c>
      <c r="C507" s="7">
        <v>0.19500000000000001</v>
      </c>
      <c r="D507" s="7">
        <f t="shared" si="37"/>
        <v>0.155</v>
      </c>
      <c r="E507" s="7">
        <f t="shared" si="38"/>
        <v>3.0999999999999999E-3</v>
      </c>
      <c r="F507" s="7">
        <f t="shared" si="39"/>
        <v>0.15190000000000001</v>
      </c>
    </row>
    <row r="508" spans="1:6" x14ac:dyDescent="0.35">
      <c r="A508" s="5" t="s">
        <v>303</v>
      </c>
      <c r="B508" s="5" t="s">
        <v>301</v>
      </c>
      <c r="C508" s="7">
        <v>0.19500000000000001</v>
      </c>
      <c r="D508" s="7">
        <f t="shared" si="37"/>
        <v>0.155</v>
      </c>
      <c r="E508" s="7">
        <f t="shared" si="38"/>
        <v>3.0999999999999999E-3</v>
      </c>
      <c r="F508" s="7">
        <f t="shared" si="39"/>
        <v>0.15190000000000001</v>
      </c>
    </row>
    <row r="509" spans="1:6" x14ac:dyDescent="0.35">
      <c r="A509" s="5" t="s">
        <v>309</v>
      </c>
      <c r="B509" s="5" t="s">
        <v>533</v>
      </c>
      <c r="C509" s="7">
        <v>0.35</v>
      </c>
      <c r="D509" s="7">
        <f t="shared" si="37"/>
        <v>0.31</v>
      </c>
      <c r="E509" s="7">
        <f t="shared" si="38"/>
        <v>6.1999999999999998E-3</v>
      </c>
      <c r="F509" s="7">
        <f t="shared" si="39"/>
        <v>0.30380000000000001</v>
      </c>
    </row>
    <row r="510" spans="1:6" x14ac:dyDescent="0.35">
      <c r="A510" s="5" t="s">
        <v>311</v>
      </c>
      <c r="B510" s="5" t="s">
        <v>533</v>
      </c>
      <c r="C510" s="7">
        <v>0.3</v>
      </c>
      <c r="D510" s="7">
        <f t="shared" si="37"/>
        <v>0.26</v>
      </c>
      <c r="E510" s="7">
        <f t="shared" si="38"/>
        <v>5.2000000000000006E-3</v>
      </c>
      <c r="F510" s="7">
        <f t="shared" si="39"/>
        <v>0.25480000000000003</v>
      </c>
    </row>
    <row r="511" spans="1:6" x14ac:dyDescent="0.35">
      <c r="A511" s="5" t="s">
        <v>312</v>
      </c>
      <c r="B511" s="5" t="s">
        <v>533</v>
      </c>
      <c r="C511" s="7">
        <v>0.3</v>
      </c>
      <c r="D511" s="7">
        <f t="shared" si="37"/>
        <v>0.26</v>
      </c>
      <c r="E511" s="7">
        <f t="shared" si="38"/>
        <v>5.2000000000000006E-3</v>
      </c>
      <c r="F511" s="7">
        <f t="shared" si="39"/>
        <v>0.25480000000000003</v>
      </c>
    </row>
    <row r="512" spans="1:6" x14ac:dyDescent="0.35">
      <c r="A512" s="5" t="s">
        <v>534</v>
      </c>
      <c r="B512" s="5" t="s">
        <v>533</v>
      </c>
      <c r="C512" s="7">
        <v>0.15</v>
      </c>
      <c r="D512" s="7">
        <f t="shared" si="37"/>
        <v>0.10999999999999999</v>
      </c>
      <c r="E512" s="7">
        <f t="shared" si="38"/>
        <v>2.1999999999999997E-3</v>
      </c>
      <c r="F512" s="7">
        <f t="shared" si="39"/>
        <v>0.10779999999999999</v>
      </c>
    </row>
    <row r="513" spans="1:6" x14ac:dyDescent="0.35">
      <c r="A513" s="5" t="s">
        <v>314</v>
      </c>
      <c r="B513" s="5" t="s">
        <v>533</v>
      </c>
      <c r="C513" s="7">
        <v>0.22</v>
      </c>
      <c r="D513" s="7">
        <f t="shared" si="37"/>
        <v>0.18</v>
      </c>
      <c r="E513" s="7">
        <f t="shared" si="38"/>
        <v>3.5999999999999999E-3</v>
      </c>
      <c r="F513" s="7">
        <f t="shared" si="39"/>
        <v>0.1764</v>
      </c>
    </row>
    <row r="514" spans="1:6" ht="24" x14ac:dyDescent="0.35">
      <c r="A514" s="5" t="s">
        <v>315</v>
      </c>
      <c r="B514" s="5" t="s">
        <v>535</v>
      </c>
      <c r="C514" s="7">
        <v>0.18</v>
      </c>
      <c r="D514" s="7">
        <f t="shared" si="37"/>
        <v>0.13999999999999999</v>
      </c>
      <c r="E514" s="7">
        <f t="shared" si="38"/>
        <v>2.8E-3</v>
      </c>
      <c r="F514" s="7">
        <f t="shared" si="39"/>
        <v>0.13719999999999999</v>
      </c>
    </row>
    <row r="515" spans="1:6" ht="24" x14ac:dyDescent="0.35">
      <c r="A515" s="44" t="s">
        <v>1457</v>
      </c>
      <c r="B515" s="5" t="s">
        <v>390</v>
      </c>
      <c r="C515" s="7">
        <v>0.28000000000000003</v>
      </c>
      <c r="D515" s="7">
        <f t="shared" si="37"/>
        <v>0.24000000000000002</v>
      </c>
      <c r="E515" s="7">
        <f t="shared" si="38"/>
        <v>4.8000000000000004E-3</v>
      </c>
      <c r="F515" s="7">
        <f t="shared" si="39"/>
        <v>0.23520000000000002</v>
      </c>
    </row>
    <row r="516" spans="1:6" x14ac:dyDescent="0.35">
      <c r="A516" s="45"/>
      <c r="B516" s="5" t="s">
        <v>1426</v>
      </c>
      <c r="C516" s="7">
        <v>0.26</v>
      </c>
      <c r="D516" s="7">
        <f t="shared" si="37"/>
        <v>0.22</v>
      </c>
      <c r="E516" s="7">
        <f t="shared" si="38"/>
        <v>4.4000000000000003E-3</v>
      </c>
      <c r="F516" s="7">
        <f t="shared" si="39"/>
        <v>0.21560000000000001</v>
      </c>
    </row>
    <row r="517" spans="1:6" ht="24" x14ac:dyDescent="0.35">
      <c r="A517" s="44" t="s">
        <v>1458</v>
      </c>
      <c r="B517" s="5" t="s">
        <v>390</v>
      </c>
      <c r="C517" s="7">
        <v>0.25</v>
      </c>
      <c r="D517" s="7">
        <f t="shared" si="37"/>
        <v>0.21</v>
      </c>
      <c r="E517" s="7">
        <f t="shared" si="38"/>
        <v>4.1999999999999997E-3</v>
      </c>
      <c r="F517" s="7">
        <f t="shared" si="39"/>
        <v>0.20579999999999998</v>
      </c>
    </row>
    <row r="518" spans="1:6" x14ac:dyDescent="0.35">
      <c r="A518" s="45"/>
      <c r="B518" s="5" t="s">
        <v>1426</v>
      </c>
      <c r="C518" s="7">
        <v>0.23</v>
      </c>
      <c r="D518" s="7">
        <f t="shared" si="37"/>
        <v>0.19</v>
      </c>
      <c r="E518" s="7">
        <f t="shared" si="38"/>
        <v>3.8E-3</v>
      </c>
      <c r="F518" s="7">
        <f t="shared" si="39"/>
        <v>0.1862</v>
      </c>
    </row>
    <row r="519" spans="1:6" x14ac:dyDescent="0.35">
      <c r="A519" s="2" t="s">
        <v>318</v>
      </c>
      <c r="B519" s="2" t="s">
        <v>1</v>
      </c>
      <c r="C519" s="3" t="s">
        <v>2</v>
      </c>
      <c r="D519" s="4" t="s">
        <v>4</v>
      </c>
      <c r="E519" s="4" t="s">
        <v>5</v>
      </c>
      <c r="F519" s="4" t="s">
        <v>6</v>
      </c>
    </row>
    <row r="520" spans="1:6" x14ac:dyDescent="0.35">
      <c r="A520" s="5" t="s">
        <v>536</v>
      </c>
      <c r="B520" s="5" t="s">
        <v>254</v>
      </c>
      <c r="C520" s="7">
        <v>0.22500000000000001</v>
      </c>
      <c r="D520" s="7">
        <f t="shared" si="37"/>
        <v>0.185</v>
      </c>
      <c r="E520" s="7">
        <f t="shared" si="38"/>
        <v>3.7000000000000002E-3</v>
      </c>
      <c r="F520" s="7">
        <f t="shared" si="39"/>
        <v>0.18129999999999999</v>
      </c>
    </row>
    <row r="521" spans="1:6" x14ac:dyDescent="0.35">
      <c r="A521" s="5" t="s">
        <v>320</v>
      </c>
      <c r="B521" s="5" t="s">
        <v>100</v>
      </c>
      <c r="C521" s="7">
        <v>0.5</v>
      </c>
      <c r="D521" s="7">
        <f t="shared" si="37"/>
        <v>0.46</v>
      </c>
      <c r="E521" s="7">
        <f t="shared" si="38"/>
        <v>9.1999999999999998E-3</v>
      </c>
      <c r="F521" s="7">
        <f t="shared" si="39"/>
        <v>0.45080000000000003</v>
      </c>
    </row>
    <row r="522" spans="1:6" x14ac:dyDescent="0.35">
      <c r="A522" s="48" t="s">
        <v>537</v>
      </c>
      <c r="B522" s="5" t="s">
        <v>352</v>
      </c>
      <c r="C522" s="7">
        <v>8.5000000000000006E-2</v>
      </c>
      <c r="D522" s="7">
        <f t="shared" si="37"/>
        <v>4.5000000000000005E-2</v>
      </c>
      <c r="E522" s="7">
        <f t="shared" si="38"/>
        <v>9.0000000000000008E-4</v>
      </c>
      <c r="F522" s="7">
        <f t="shared" si="39"/>
        <v>4.4100000000000007E-2</v>
      </c>
    </row>
    <row r="523" spans="1:6" x14ac:dyDescent="0.35">
      <c r="A523" s="48"/>
      <c r="B523" s="5" t="s">
        <v>323</v>
      </c>
      <c r="C523" s="7">
        <v>0.08</v>
      </c>
      <c r="D523" s="7">
        <f t="shared" si="37"/>
        <v>0.04</v>
      </c>
      <c r="E523" s="7">
        <f t="shared" si="38"/>
        <v>8.0000000000000004E-4</v>
      </c>
      <c r="F523" s="7">
        <f t="shared" si="39"/>
        <v>3.9199999999999999E-2</v>
      </c>
    </row>
    <row r="524" spans="1:6" x14ac:dyDescent="0.35">
      <c r="A524" s="48"/>
      <c r="B524" s="5" t="s">
        <v>324</v>
      </c>
      <c r="C524" s="7">
        <v>0.4</v>
      </c>
      <c r="D524" s="7">
        <f t="shared" si="37"/>
        <v>0.36000000000000004</v>
      </c>
      <c r="E524" s="7">
        <f t="shared" si="38"/>
        <v>7.2000000000000007E-3</v>
      </c>
      <c r="F524" s="7">
        <f t="shared" si="39"/>
        <v>0.35280000000000006</v>
      </c>
    </row>
    <row r="525" spans="1:6" x14ac:dyDescent="0.35">
      <c r="A525" s="48"/>
      <c r="B525" s="5" t="s">
        <v>353</v>
      </c>
      <c r="C525" s="7">
        <v>0.06</v>
      </c>
      <c r="D525" s="7">
        <f t="shared" si="37"/>
        <v>1.9999999999999997E-2</v>
      </c>
      <c r="E525" s="7">
        <f t="shared" si="38"/>
        <v>3.9999999999999996E-4</v>
      </c>
      <c r="F525" s="7">
        <f t="shared" si="39"/>
        <v>1.9599999999999996E-2</v>
      </c>
    </row>
    <row r="526" spans="1:6" x14ac:dyDescent="0.35">
      <c r="A526" s="48"/>
      <c r="B526" s="5" t="s">
        <v>325</v>
      </c>
      <c r="C526" s="7">
        <v>0.03</v>
      </c>
      <c r="D526" s="7" t="s">
        <v>20</v>
      </c>
      <c r="E526" s="7" t="s">
        <v>20</v>
      </c>
      <c r="F526" s="7" t="s">
        <v>20</v>
      </c>
    </row>
    <row r="527" spans="1:6" x14ac:dyDescent="0.35">
      <c r="A527" s="48"/>
      <c r="B527" s="5" t="s">
        <v>538</v>
      </c>
      <c r="C527" s="7">
        <v>0.05</v>
      </c>
      <c r="D527" s="7" t="s">
        <v>20</v>
      </c>
      <c r="E527" s="7" t="s">
        <v>20</v>
      </c>
      <c r="F527" s="7" t="s">
        <v>20</v>
      </c>
    </row>
    <row r="528" spans="1:6" x14ac:dyDescent="0.35">
      <c r="A528" s="48" t="s">
        <v>539</v>
      </c>
      <c r="B528" s="5" t="s">
        <v>352</v>
      </c>
      <c r="C528" s="7">
        <v>8.5000000000000006E-2</v>
      </c>
      <c r="D528" s="7">
        <f t="shared" si="37"/>
        <v>4.5000000000000005E-2</v>
      </c>
      <c r="E528" s="7">
        <f t="shared" si="38"/>
        <v>9.0000000000000008E-4</v>
      </c>
      <c r="F528" s="7">
        <f t="shared" si="39"/>
        <v>4.4100000000000007E-2</v>
      </c>
    </row>
    <row r="529" spans="1:6" x14ac:dyDescent="0.35">
      <c r="A529" s="48"/>
      <c r="B529" s="5" t="s">
        <v>323</v>
      </c>
      <c r="C529" s="7">
        <v>0.08</v>
      </c>
      <c r="D529" s="7">
        <f t="shared" si="37"/>
        <v>0.04</v>
      </c>
      <c r="E529" s="7">
        <f t="shared" si="38"/>
        <v>8.0000000000000004E-4</v>
      </c>
      <c r="F529" s="7">
        <f t="shared" si="39"/>
        <v>3.9199999999999999E-2</v>
      </c>
    </row>
    <row r="530" spans="1:6" x14ac:dyDescent="0.35">
      <c r="A530" s="48"/>
      <c r="B530" s="5" t="s">
        <v>324</v>
      </c>
      <c r="C530" s="7">
        <v>0.4</v>
      </c>
      <c r="D530" s="7">
        <f t="shared" si="37"/>
        <v>0.36000000000000004</v>
      </c>
      <c r="E530" s="7">
        <f t="shared" si="38"/>
        <v>7.2000000000000007E-3</v>
      </c>
      <c r="F530" s="7">
        <f t="shared" si="39"/>
        <v>0.35280000000000006</v>
      </c>
    </row>
    <row r="531" spans="1:6" x14ac:dyDescent="0.35">
      <c r="A531" s="48"/>
      <c r="B531" s="5" t="s">
        <v>353</v>
      </c>
      <c r="C531" s="7">
        <v>0.06</v>
      </c>
      <c r="D531" s="7">
        <f t="shared" si="37"/>
        <v>1.9999999999999997E-2</v>
      </c>
      <c r="E531" s="7">
        <f t="shared" si="38"/>
        <v>3.9999999999999996E-4</v>
      </c>
      <c r="F531" s="7">
        <f t="shared" si="39"/>
        <v>1.9599999999999996E-2</v>
      </c>
    </row>
    <row r="532" spans="1:6" x14ac:dyDescent="0.35">
      <c r="A532" s="48"/>
      <c r="B532" s="5" t="s">
        <v>325</v>
      </c>
      <c r="C532" s="7">
        <v>0.03</v>
      </c>
      <c r="D532" s="7" t="s">
        <v>20</v>
      </c>
      <c r="E532" s="7" t="s">
        <v>20</v>
      </c>
      <c r="F532" s="7" t="s">
        <v>20</v>
      </c>
    </row>
    <row r="533" spans="1:6" x14ac:dyDescent="0.35">
      <c r="A533" s="48"/>
      <c r="B533" s="5" t="s">
        <v>327</v>
      </c>
      <c r="C533" s="7">
        <v>7.4999999999999997E-2</v>
      </c>
      <c r="D533" s="7">
        <f t="shared" si="37"/>
        <v>3.4999999999999996E-2</v>
      </c>
      <c r="E533" s="7">
        <f t="shared" si="38"/>
        <v>6.9999999999999999E-4</v>
      </c>
      <c r="F533" s="7">
        <f t="shared" si="39"/>
        <v>3.4299999999999997E-2</v>
      </c>
    </row>
    <row r="534" spans="1:6" x14ac:dyDescent="0.35">
      <c r="A534" s="48" t="s">
        <v>540</v>
      </c>
      <c r="B534" s="5" t="s">
        <v>329</v>
      </c>
      <c r="C534" s="7">
        <v>7.4999999999999997E-2</v>
      </c>
      <c r="D534" s="7">
        <f t="shared" si="37"/>
        <v>3.4999999999999996E-2</v>
      </c>
      <c r="E534" s="7">
        <f t="shared" si="38"/>
        <v>6.9999999999999999E-4</v>
      </c>
      <c r="F534" s="7">
        <f t="shared" si="39"/>
        <v>3.4299999999999997E-2</v>
      </c>
    </row>
    <row r="535" spans="1:6" x14ac:dyDescent="0.35">
      <c r="A535" s="48"/>
      <c r="B535" s="5" t="s">
        <v>325</v>
      </c>
      <c r="C535" s="7">
        <v>0.03</v>
      </c>
      <c r="D535" s="7" t="s">
        <v>20</v>
      </c>
      <c r="E535" s="7" t="s">
        <v>20</v>
      </c>
      <c r="F535" s="7" t="s">
        <v>20</v>
      </c>
    </row>
    <row r="536" spans="1:6" x14ac:dyDescent="0.35">
      <c r="A536" s="48"/>
      <c r="B536" s="5" t="s">
        <v>330</v>
      </c>
      <c r="C536" s="7">
        <v>2.5000000000000001E-2</v>
      </c>
      <c r="D536" s="7" t="s">
        <v>20</v>
      </c>
      <c r="E536" s="7" t="s">
        <v>20</v>
      </c>
      <c r="F536" s="7" t="s">
        <v>20</v>
      </c>
    </row>
    <row r="537" spans="1:6" x14ac:dyDescent="0.35">
      <c r="A537" s="48"/>
      <c r="B537" s="5" t="s">
        <v>324</v>
      </c>
      <c r="C537" s="7">
        <v>0.1</v>
      </c>
      <c r="D537" s="7">
        <f t="shared" si="37"/>
        <v>6.0000000000000005E-2</v>
      </c>
      <c r="E537" s="7">
        <f t="shared" si="38"/>
        <v>1.2000000000000001E-3</v>
      </c>
      <c r="F537" s="7">
        <f t="shared" si="39"/>
        <v>5.8800000000000005E-2</v>
      </c>
    </row>
    <row r="538" spans="1:6" x14ac:dyDescent="0.35">
      <c r="A538" s="48"/>
      <c r="B538" s="5" t="s">
        <v>331</v>
      </c>
      <c r="C538" s="7">
        <v>0.05</v>
      </c>
      <c r="D538" s="7" t="s">
        <v>20</v>
      </c>
      <c r="E538" s="7" t="s">
        <v>20</v>
      </c>
      <c r="F538" s="7" t="s">
        <v>20</v>
      </c>
    </row>
    <row r="539" spans="1:6" x14ac:dyDescent="0.35">
      <c r="A539" s="48" t="s">
        <v>541</v>
      </c>
      <c r="B539" s="5" t="s">
        <v>333</v>
      </c>
      <c r="C539" s="7">
        <v>7.4999999999999997E-2</v>
      </c>
      <c r="D539" s="7">
        <f t="shared" si="37"/>
        <v>3.4999999999999996E-2</v>
      </c>
      <c r="E539" s="7">
        <f t="shared" si="38"/>
        <v>6.9999999999999999E-4</v>
      </c>
      <c r="F539" s="7">
        <f t="shared" si="39"/>
        <v>3.4299999999999997E-2</v>
      </c>
    </row>
    <row r="540" spans="1:6" x14ac:dyDescent="0.35">
      <c r="A540" s="48"/>
      <c r="B540" s="5" t="s">
        <v>330</v>
      </c>
      <c r="C540" s="7">
        <v>2.5000000000000001E-2</v>
      </c>
      <c r="D540" s="7" t="s">
        <v>20</v>
      </c>
      <c r="E540" s="7" t="s">
        <v>20</v>
      </c>
      <c r="F540" s="7" t="s">
        <v>20</v>
      </c>
    </row>
    <row r="541" spans="1:6" x14ac:dyDescent="0.35">
      <c r="A541" s="48"/>
      <c r="B541" s="5" t="s">
        <v>324</v>
      </c>
      <c r="C541" s="7">
        <v>0.1</v>
      </c>
      <c r="D541" s="7">
        <f t="shared" si="37"/>
        <v>6.0000000000000005E-2</v>
      </c>
      <c r="E541" s="7">
        <f t="shared" si="38"/>
        <v>1.2000000000000001E-3</v>
      </c>
      <c r="F541" s="7">
        <f t="shared" si="39"/>
        <v>5.8800000000000005E-2</v>
      </c>
    </row>
    <row r="542" spans="1:6" x14ac:dyDescent="0.35">
      <c r="A542" s="48"/>
      <c r="B542" s="5" t="s">
        <v>325</v>
      </c>
      <c r="C542" s="7">
        <v>0.03</v>
      </c>
      <c r="D542" s="7" t="s">
        <v>20</v>
      </c>
      <c r="E542" s="7" t="s">
        <v>20</v>
      </c>
      <c r="F542" s="7" t="s">
        <v>20</v>
      </c>
    </row>
    <row r="543" spans="1:6" x14ac:dyDescent="0.35">
      <c r="A543" s="14" t="s">
        <v>334</v>
      </c>
      <c r="B543" s="5" t="s">
        <v>100</v>
      </c>
      <c r="C543" s="6">
        <v>0.47499999999999998</v>
      </c>
      <c r="D543" s="7">
        <f t="shared" si="37"/>
        <v>0.435</v>
      </c>
      <c r="E543" s="7">
        <f t="shared" si="38"/>
        <v>8.6999999999999994E-3</v>
      </c>
      <c r="F543" s="7">
        <f t="shared" si="39"/>
        <v>0.42630000000000001</v>
      </c>
    </row>
    <row r="544" spans="1:6" x14ac:dyDescent="0.35">
      <c r="A544" s="5" t="s">
        <v>335</v>
      </c>
      <c r="B544" s="5" t="s">
        <v>542</v>
      </c>
      <c r="C544" s="7">
        <v>0.17499999999999999</v>
      </c>
      <c r="D544" s="7">
        <f t="shared" si="37"/>
        <v>0.13499999999999998</v>
      </c>
      <c r="E544" s="7">
        <f t="shared" si="38"/>
        <v>2.6999999999999997E-3</v>
      </c>
      <c r="F544" s="7">
        <f t="shared" si="39"/>
        <v>0.13229999999999997</v>
      </c>
    </row>
    <row r="545" spans="1:6" x14ac:dyDescent="0.35">
      <c r="A545" s="5" t="s">
        <v>543</v>
      </c>
      <c r="B545" s="5" t="s">
        <v>542</v>
      </c>
      <c r="C545" s="7">
        <v>0.25</v>
      </c>
      <c r="D545" s="7">
        <f t="shared" si="37"/>
        <v>0.21</v>
      </c>
      <c r="E545" s="7">
        <f t="shared" si="38"/>
        <v>4.1999999999999997E-3</v>
      </c>
      <c r="F545" s="7">
        <f t="shared" si="39"/>
        <v>0.20579999999999998</v>
      </c>
    </row>
    <row r="546" spans="1:6" x14ac:dyDescent="0.35">
      <c r="A546" s="5" t="s">
        <v>1400</v>
      </c>
      <c r="B546" s="5" t="s">
        <v>542</v>
      </c>
      <c r="C546" s="7">
        <v>0.22</v>
      </c>
      <c r="D546" s="7">
        <f t="shared" ref="D546:D555" si="40">C546-(4%)</f>
        <v>0.18</v>
      </c>
      <c r="E546" s="7">
        <f t="shared" ref="E546:E555" si="41">D546*2%</f>
        <v>3.5999999999999999E-3</v>
      </c>
      <c r="F546" s="7">
        <f t="shared" ref="F546:F555" si="42">D546-E546</f>
        <v>0.1764</v>
      </c>
    </row>
    <row r="547" spans="1:6" x14ac:dyDescent="0.35">
      <c r="A547" s="41" t="s">
        <v>1401</v>
      </c>
      <c r="B547" s="5" t="s">
        <v>398</v>
      </c>
      <c r="C547" s="7">
        <v>0.5</v>
      </c>
      <c r="D547" s="7">
        <f t="shared" si="40"/>
        <v>0.46</v>
      </c>
      <c r="E547" s="7">
        <f t="shared" si="41"/>
        <v>9.1999999999999998E-3</v>
      </c>
      <c r="F547" s="7">
        <f t="shared" si="42"/>
        <v>0.45080000000000003</v>
      </c>
    </row>
    <row r="548" spans="1:6" x14ac:dyDescent="0.35">
      <c r="A548" s="42"/>
      <c r="B548" s="5" t="s">
        <v>485</v>
      </c>
      <c r="C548" s="7">
        <v>0.28000000000000003</v>
      </c>
      <c r="D548" s="7">
        <f t="shared" si="40"/>
        <v>0.24000000000000002</v>
      </c>
      <c r="E548" s="7">
        <f t="shared" si="41"/>
        <v>4.8000000000000004E-3</v>
      </c>
      <c r="F548" s="7">
        <f t="shared" si="42"/>
        <v>0.23520000000000002</v>
      </c>
    </row>
    <row r="549" spans="1:6" x14ac:dyDescent="0.35">
      <c r="A549" s="43"/>
      <c r="B549" s="5" t="s">
        <v>379</v>
      </c>
      <c r="C549" s="7">
        <v>0.5</v>
      </c>
      <c r="D549" s="7">
        <f t="shared" si="40"/>
        <v>0.46</v>
      </c>
      <c r="E549" s="7">
        <f t="shared" si="41"/>
        <v>9.1999999999999998E-3</v>
      </c>
      <c r="F549" s="7">
        <f t="shared" si="42"/>
        <v>0.45080000000000003</v>
      </c>
    </row>
    <row r="550" spans="1:6" x14ac:dyDescent="0.35">
      <c r="A550" s="41" t="s">
        <v>1402</v>
      </c>
      <c r="B550" s="5" t="s">
        <v>398</v>
      </c>
      <c r="C550" s="7">
        <v>0.35</v>
      </c>
      <c r="D550" s="7">
        <f t="shared" si="40"/>
        <v>0.31</v>
      </c>
      <c r="E550" s="7">
        <f t="shared" si="41"/>
        <v>6.1999999999999998E-3</v>
      </c>
      <c r="F550" s="7">
        <f t="shared" si="42"/>
        <v>0.30380000000000001</v>
      </c>
    </row>
    <row r="551" spans="1:6" x14ac:dyDescent="0.35">
      <c r="A551" s="42"/>
      <c r="B551" s="5" t="s">
        <v>485</v>
      </c>
      <c r="C551" s="7">
        <v>0.33</v>
      </c>
      <c r="D551" s="7">
        <f t="shared" si="40"/>
        <v>0.29000000000000004</v>
      </c>
      <c r="E551" s="7">
        <f t="shared" si="41"/>
        <v>5.8000000000000005E-3</v>
      </c>
      <c r="F551" s="7">
        <f t="shared" si="42"/>
        <v>0.28420000000000001</v>
      </c>
    </row>
    <row r="552" spans="1:6" x14ac:dyDescent="0.35">
      <c r="A552" s="43"/>
      <c r="B552" s="5" t="s">
        <v>379</v>
      </c>
      <c r="C552" s="7">
        <v>0</v>
      </c>
      <c r="D552" s="7" t="s">
        <v>20</v>
      </c>
      <c r="E552" s="7" t="s">
        <v>20</v>
      </c>
      <c r="F552" s="7" t="s">
        <v>20</v>
      </c>
    </row>
    <row r="553" spans="1:6" x14ac:dyDescent="0.35">
      <c r="A553" s="41" t="s">
        <v>1403</v>
      </c>
      <c r="B553" s="5" t="s">
        <v>398</v>
      </c>
      <c r="C553" s="7">
        <v>0</v>
      </c>
      <c r="D553" s="7" t="s">
        <v>20</v>
      </c>
      <c r="E553" s="7" t="s">
        <v>20</v>
      </c>
      <c r="F553" s="7" t="s">
        <v>20</v>
      </c>
    </row>
    <row r="554" spans="1:6" x14ac:dyDescent="0.35">
      <c r="A554" s="42"/>
      <c r="B554" s="5" t="s">
        <v>485</v>
      </c>
      <c r="C554" s="7">
        <v>0.33</v>
      </c>
      <c r="D554" s="7">
        <f t="shared" si="40"/>
        <v>0.29000000000000004</v>
      </c>
      <c r="E554" s="7">
        <f t="shared" si="41"/>
        <v>5.8000000000000005E-3</v>
      </c>
      <c r="F554" s="7">
        <f t="shared" si="42"/>
        <v>0.28420000000000001</v>
      </c>
    </row>
    <row r="555" spans="1:6" x14ac:dyDescent="0.35">
      <c r="A555" s="43"/>
      <c r="B555" s="5" t="s">
        <v>379</v>
      </c>
      <c r="C555" s="7">
        <v>0.35</v>
      </c>
      <c r="D555" s="7">
        <f t="shared" si="40"/>
        <v>0.31</v>
      </c>
      <c r="E555" s="7">
        <f t="shared" si="41"/>
        <v>6.1999999999999998E-3</v>
      </c>
      <c r="F555" s="7">
        <f t="shared" si="42"/>
        <v>0.30380000000000001</v>
      </c>
    </row>
    <row r="556" spans="1:6" x14ac:dyDescent="0.35">
      <c r="A556" s="2" t="s">
        <v>340</v>
      </c>
      <c r="B556" s="2" t="s">
        <v>1</v>
      </c>
      <c r="C556" s="3" t="s">
        <v>2</v>
      </c>
      <c r="D556" s="4" t="s">
        <v>4</v>
      </c>
      <c r="E556" s="4" t="s">
        <v>5</v>
      </c>
      <c r="F556" s="4" t="s">
        <v>6</v>
      </c>
    </row>
    <row r="557" spans="1:6" x14ac:dyDescent="0.35">
      <c r="A557" s="48" t="s">
        <v>544</v>
      </c>
      <c r="B557" s="5" t="s">
        <v>380</v>
      </c>
      <c r="C557" s="7">
        <v>0.2</v>
      </c>
      <c r="D557" s="7">
        <f t="shared" si="37"/>
        <v>0.16</v>
      </c>
      <c r="E557" s="7">
        <f t="shared" si="38"/>
        <v>3.2000000000000002E-3</v>
      </c>
      <c r="F557" s="7">
        <f t="shared" si="39"/>
        <v>0.15679999999999999</v>
      </c>
    </row>
    <row r="558" spans="1:6" x14ac:dyDescent="0.35">
      <c r="A558" s="48"/>
      <c r="B558" s="5" t="s">
        <v>372</v>
      </c>
      <c r="C558" s="7">
        <v>0.22</v>
      </c>
      <c r="D558" s="7">
        <f t="shared" si="37"/>
        <v>0.18</v>
      </c>
      <c r="E558" s="7">
        <f t="shared" si="38"/>
        <v>3.5999999999999999E-3</v>
      </c>
      <c r="F558" s="7">
        <f t="shared" si="39"/>
        <v>0.1764</v>
      </c>
    </row>
    <row r="559" spans="1:6" x14ac:dyDescent="0.35">
      <c r="A559" s="48" t="s">
        <v>545</v>
      </c>
      <c r="B559" s="5" t="s">
        <v>380</v>
      </c>
      <c r="C559" s="7">
        <v>0.25</v>
      </c>
      <c r="D559" s="7">
        <f t="shared" si="37"/>
        <v>0.21</v>
      </c>
      <c r="E559" s="7">
        <f t="shared" si="38"/>
        <v>4.1999999999999997E-3</v>
      </c>
      <c r="F559" s="7">
        <f t="shared" si="39"/>
        <v>0.20579999999999998</v>
      </c>
    </row>
    <row r="560" spans="1:6" x14ac:dyDescent="0.35">
      <c r="A560" s="48"/>
      <c r="B560" s="5" t="s">
        <v>372</v>
      </c>
      <c r="C560" s="7">
        <v>0.3</v>
      </c>
      <c r="D560" s="7">
        <f t="shared" si="37"/>
        <v>0.26</v>
      </c>
      <c r="E560" s="7">
        <f t="shared" si="38"/>
        <v>5.2000000000000006E-3</v>
      </c>
      <c r="F560" s="7">
        <f t="shared" si="39"/>
        <v>0.25480000000000003</v>
      </c>
    </row>
    <row r="561" spans="1:6" x14ac:dyDescent="0.35">
      <c r="A561" s="5" t="s">
        <v>320</v>
      </c>
      <c r="B561" s="5" t="s">
        <v>100</v>
      </c>
      <c r="C561" s="7">
        <v>0.5</v>
      </c>
      <c r="D561" s="7">
        <f t="shared" si="37"/>
        <v>0.46</v>
      </c>
      <c r="E561" s="7">
        <f t="shared" si="38"/>
        <v>9.1999999999999998E-3</v>
      </c>
      <c r="F561" s="7">
        <f t="shared" si="39"/>
        <v>0.45080000000000003</v>
      </c>
    </row>
    <row r="562" spans="1:6" x14ac:dyDescent="0.35">
      <c r="A562" s="48" t="s">
        <v>546</v>
      </c>
      <c r="B562" s="5" t="s">
        <v>352</v>
      </c>
      <c r="C562" s="7">
        <v>8.5000000000000006E-2</v>
      </c>
      <c r="D562" s="7">
        <f t="shared" si="37"/>
        <v>4.5000000000000005E-2</v>
      </c>
      <c r="E562" s="7">
        <f t="shared" si="38"/>
        <v>9.0000000000000008E-4</v>
      </c>
      <c r="F562" s="7">
        <f t="shared" si="39"/>
        <v>4.4100000000000007E-2</v>
      </c>
    </row>
    <row r="563" spans="1:6" x14ac:dyDescent="0.35">
      <c r="A563" s="48"/>
      <c r="B563" s="5" t="s">
        <v>323</v>
      </c>
      <c r="C563" s="7">
        <v>0.32500000000000001</v>
      </c>
      <c r="D563" s="7">
        <f t="shared" si="37"/>
        <v>0.28500000000000003</v>
      </c>
      <c r="E563" s="7">
        <f t="shared" si="38"/>
        <v>5.7000000000000011E-3</v>
      </c>
      <c r="F563" s="7">
        <f t="shared" si="39"/>
        <v>0.27930000000000005</v>
      </c>
    </row>
    <row r="564" spans="1:6" x14ac:dyDescent="0.35">
      <c r="A564" s="48"/>
      <c r="B564" s="5" t="s">
        <v>324</v>
      </c>
      <c r="C564" s="7">
        <v>0.4</v>
      </c>
      <c r="D564" s="7">
        <f t="shared" si="37"/>
        <v>0.36000000000000004</v>
      </c>
      <c r="E564" s="7">
        <f t="shared" si="38"/>
        <v>7.2000000000000007E-3</v>
      </c>
      <c r="F564" s="7">
        <f t="shared" si="39"/>
        <v>0.35280000000000006</v>
      </c>
    </row>
    <row r="565" spans="1:6" x14ac:dyDescent="0.35">
      <c r="A565" s="48"/>
      <c r="B565" s="5" t="s">
        <v>353</v>
      </c>
      <c r="C565" s="7">
        <v>0.28000000000000003</v>
      </c>
      <c r="D565" s="7">
        <f t="shared" ref="D565:D585" si="43">C565-(4%)</f>
        <v>0.24000000000000002</v>
      </c>
      <c r="E565" s="7">
        <f t="shared" ref="E565:E585" si="44">D565*2%</f>
        <v>4.8000000000000004E-3</v>
      </c>
      <c r="F565" s="7">
        <f t="shared" ref="F565:F585" si="45">D565-E565</f>
        <v>0.23520000000000002</v>
      </c>
    </row>
    <row r="566" spans="1:6" x14ac:dyDescent="0.35">
      <c r="A566" s="48"/>
      <c r="B566" s="5" t="s">
        <v>325</v>
      </c>
      <c r="C566" s="7">
        <v>0.29499999999999998</v>
      </c>
      <c r="D566" s="7">
        <f t="shared" si="43"/>
        <v>0.255</v>
      </c>
      <c r="E566" s="7">
        <f t="shared" si="44"/>
        <v>5.1000000000000004E-3</v>
      </c>
      <c r="F566" s="7">
        <f t="shared" si="45"/>
        <v>0.24990000000000001</v>
      </c>
    </row>
    <row r="567" spans="1:6" x14ac:dyDescent="0.35">
      <c r="A567" s="48"/>
      <c r="B567" s="5" t="s">
        <v>330</v>
      </c>
      <c r="C567" s="7">
        <v>0.255</v>
      </c>
      <c r="D567" s="7">
        <f t="shared" si="43"/>
        <v>0.215</v>
      </c>
      <c r="E567" s="7">
        <f t="shared" si="44"/>
        <v>4.3E-3</v>
      </c>
      <c r="F567" s="7">
        <f t="shared" si="45"/>
        <v>0.2107</v>
      </c>
    </row>
    <row r="568" spans="1:6" x14ac:dyDescent="0.35">
      <c r="A568" s="48"/>
      <c r="B568" s="5" t="s">
        <v>538</v>
      </c>
      <c r="C568" s="7">
        <v>0.39500000000000002</v>
      </c>
      <c r="D568" s="7">
        <f t="shared" si="43"/>
        <v>0.35500000000000004</v>
      </c>
      <c r="E568" s="7">
        <f t="shared" si="44"/>
        <v>7.1000000000000013E-3</v>
      </c>
      <c r="F568" s="7">
        <f t="shared" si="45"/>
        <v>0.34790000000000004</v>
      </c>
    </row>
    <row r="569" spans="1:6" x14ac:dyDescent="0.35">
      <c r="A569" s="41" t="s">
        <v>547</v>
      </c>
      <c r="B569" s="5" t="s">
        <v>355</v>
      </c>
      <c r="C569" s="7">
        <v>0.4</v>
      </c>
      <c r="D569" s="7">
        <f t="shared" si="43"/>
        <v>0.36000000000000004</v>
      </c>
      <c r="E569" s="7">
        <f t="shared" si="44"/>
        <v>7.2000000000000007E-3</v>
      </c>
      <c r="F569" s="7">
        <f t="shared" si="45"/>
        <v>0.35280000000000006</v>
      </c>
    </row>
    <row r="570" spans="1:6" x14ac:dyDescent="0.35">
      <c r="A570" s="43"/>
      <c r="B570" s="5" t="s">
        <v>548</v>
      </c>
      <c r="C570" s="7">
        <v>0.375</v>
      </c>
      <c r="D570" s="7">
        <f t="shared" si="43"/>
        <v>0.33500000000000002</v>
      </c>
      <c r="E570" s="7">
        <f t="shared" si="44"/>
        <v>6.7000000000000002E-3</v>
      </c>
      <c r="F570" s="7">
        <f t="shared" si="45"/>
        <v>0.32830000000000004</v>
      </c>
    </row>
    <row r="571" spans="1:6" x14ac:dyDescent="0.35">
      <c r="A571" s="41" t="s">
        <v>549</v>
      </c>
      <c r="B571" s="5" t="s">
        <v>355</v>
      </c>
      <c r="C571" s="7">
        <v>7.4999999999999997E-2</v>
      </c>
      <c r="D571" s="7">
        <f t="shared" si="43"/>
        <v>3.4999999999999996E-2</v>
      </c>
      <c r="E571" s="7">
        <f t="shared" si="44"/>
        <v>6.9999999999999999E-4</v>
      </c>
      <c r="F571" s="7">
        <f t="shared" si="45"/>
        <v>3.4299999999999997E-2</v>
      </c>
    </row>
    <row r="572" spans="1:6" x14ac:dyDescent="0.35">
      <c r="A572" s="43"/>
      <c r="B572" s="5" t="s">
        <v>548</v>
      </c>
      <c r="C572" s="7">
        <v>0.05</v>
      </c>
      <c r="D572" s="7" t="s">
        <v>20</v>
      </c>
      <c r="E572" s="7" t="s">
        <v>20</v>
      </c>
      <c r="F572" s="7" t="s">
        <v>20</v>
      </c>
    </row>
    <row r="573" spans="1:6" ht="24" x14ac:dyDescent="0.35">
      <c r="A573" s="5" t="s">
        <v>550</v>
      </c>
      <c r="B573" s="5" t="s">
        <v>100</v>
      </c>
      <c r="C573" s="7">
        <v>0.27</v>
      </c>
      <c r="D573" s="7">
        <f t="shared" si="43"/>
        <v>0.23</v>
      </c>
      <c r="E573" s="7">
        <f t="shared" si="44"/>
        <v>4.5999999999999999E-3</v>
      </c>
      <c r="F573" s="7">
        <f t="shared" si="45"/>
        <v>0.22540000000000002</v>
      </c>
    </row>
    <row r="574" spans="1:6" x14ac:dyDescent="0.35">
      <c r="A574" s="5" t="s">
        <v>349</v>
      </c>
      <c r="B574" s="5" t="s">
        <v>542</v>
      </c>
      <c r="C574" s="7">
        <v>0.17</v>
      </c>
      <c r="D574" s="7">
        <f t="shared" si="43"/>
        <v>0.13</v>
      </c>
      <c r="E574" s="7">
        <f t="shared" si="44"/>
        <v>2.6000000000000003E-3</v>
      </c>
      <c r="F574" s="7">
        <f t="shared" si="45"/>
        <v>0.12740000000000001</v>
      </c>
    </row>
    <row r="575" spans="1:6" x14ac:dyDescent="0.35">
      <c r="A575" s="5" t="s">
        <v>350</v>
      </c>
      <c r="B575" s="5" t="s">
        <v>542</v>
      </c>
      <c r="C575" s="7">
        <v>0.28000000000000003</v>
      </c>
      <c r="D575" s="7">
        <f t="shared" si="43"/>
        <v>0.24000000000000002</v>
      </c>
      <c r="E575" s="7">
        <f t="shared" si="44"/>
        <v>4.8000000000000004E-3</v>
      </c>
      <c r="F575" s="7">
        <f t="shared" si="45"/>
        <v>0.23520000000000002</v>
      </c>
    </row>
    <row r="576" spans="1:6" x14ac:dyDescent="0.35">
      <c r="A576" s="5" t="s">
        <v>359</v>
      </c>
      <c r="B576" s="5" t="s">
        <v>551</v>
      </c>
      <c r="C576" s="7">
        <v>0.375</v>
      </c>
      <c r="D576" s="7">
        <f t="shared" si="43"/>
        <v>0.33500000000000002</v>
      </c>
      <c r="E576" s="7">
        <f t="shared" si="44"/>
        <v>6.7000000000000002E-3</v>
      </c>
      <c r="F576" s="7">
        <f t="shared" si="45"/>
        <v>0.32830000000000004</v>
      </c>
    </row>
    <row r="577" spans="1:6" ht="36" x14ac:dyDescent="0.35">
      <c r="A577" s="5" t="s">
        <v>1164</v>
      </c>
      <c r="B577" s="5" t="s">
        <v>100</v>
      </c>
      <c r="C577" s="6">
        <v>0.2</v>
      </c>
      <c r="D577" s="7">
        <f t="shared" si="43"/>
        <v>0.16</v>
      </c>
      <c r="E577" s="7">
        <f t="shared" si="44"/>
        <v>3.2000000000000002E-3</v>
      </c>
      <c r="F577" s="7">
        <f t="shared" si="45"/>
        <v>0.15679999999999999</v>
      </c>
    </row>
    <row r="578" spans="1:6" ht="36" x14ac:dyDescent="0.35">
      <c r="A578" s="5" t="s">
        <v>1165</v>
      </c>
      <c r="B578" s="5" t="s">
        <v>100</v>
      </c>
      <c r="C578" s="6">
        <v>0.125</v>
      </c>
      <c r="D578" s="7">
        <f t="shared" si="43"/>
        <v>8.4999999999999992E-2</v>
      </c>
      <c r="E578" s="7">
        <f t="shared" si="44"/>
        <v>1.6999999999999999E-3</v>
      </c>
      <c r="F578" s="7">
        <f t="shared" si="45"/>
        <v>8.3299999999999999E-2</v>
      </c>
    </row>
    <row r="579" spans="1:6" ht="36" x14ac:dyDescent="0.35">
      <c r="A579" s="5" t="s">
        <v>1166</v>
      </c>
      <c r="B579" s="5" t="s">
        <v>100</v>
      </c>
      <c r="C579" s="6">
        <v>0.1875</v>
      </c>
      <c r="D579" s="7">
        <f t="shared" si="43"/>
        <v>0.14749999999999999</v>
      </c>
      <c r="E579" s="7">
        <f t="shared" si="44"/>
        <v>2.9499999999999999E-3</v>
      </c>
      <c r="F579" s="7">
        <f t="shared" si="45"/>
        <v>0.14454999999999998</v>
      </c>
    </row>
    <row r="580" spans="1:6" ht="36" x14ac:dyDescent="0.35">
      <c r="A580" s="5" t="s">
        <v>1167</v>
      </c>
      <c r="B580" s="5" t="s">
        <v>100</v>
      </c>
      <c r="C580" s="6">
        <v>0.17499999999999999</v>
      </c>
      <c r="D580" s="7">
        <f t="shared" si="43"/>
        <v>0.13499999999999998</v>
      </c>
      <c r="E580" s="7">
        <f t="shared" si="44"/>
        <v>2.6999999999999997E-3</v>
      </c>
      <c r="F580" s="7">
        <f t="shared" si="45"/>
        <v>0.13229999999999997</v>
      </c>
    </row>
    <row r="581" spans="1:6" ht="36" x14ac:dyDescent="0.35">
      <c r="A581" s="5" t="s">
        <v>1168</v>
      </c>
      <c r="B581" s="5" t="s">
        <v>100</v>
      </c>
      <c r="C581" s="6">
        <v>0.125</v>
      </c>
      <c r="D581" s="7">
        <f t="shared" si="43"/>
        <v>8.4999999999999992E-2</v>
      </c>
      <c r="E581" s="7">
        <f t="shared" si="44"/>
        <v>1.6999999999999999E-3</v>
      </c>
      <c r="F581" s="7">
        <f t="shared" si="45"/>
        <v>8.3299999999999999E-2</v>
      </c>
    </row>
    <row r="582" spans="1:6" ht="36" x14ac:dyDescent="0.35">
      <c r="A582" s="5" t="s">
        <v>1169</v>
      </c>
      <c r="B582" s="5" t="s">
        <v>100</v>
      </c>
      <c r="C582" s="6">
        <v>0.16250000000000001</v>
      </c>
      <c r="D582" s="7">
        <f t="shared" si="43"/>
        <v>0.1225</v>
      </c>
      <c r="E582" s="7">
        <f t="shared" si="44"/>
        <v>2.4499999999999999E-3</v>
      </c>
      <c r="F582" s="7">
        <f t="shared" si="45"/>
        <v>0.12005</v>
      </c>
    </row>
    <row r="583" spans="1:6" x14ac:dyDescent="0.35">
      <c r="A583" s="5" t="s">
        <v>1161</v>
      </c>
      <c r="B583" s="5" t="s">
        <v>100</v>
      </c>
      <c r="C583" s="6">
        <v>0.45</v>
      </c>
      <c r="D583" s="7">
        <f t="shared" si="43"/>
        <v>0.41000000000000003</v>
      </c>
      <c r="E583" s="7">
        <f t="shared" si="44"/>
        <v>8.2000000000000007E-3</v>
      </c>
      <c r="F583" s="7">
        <f t="shared" si="45"/>
        <v>0.40180000000000005</v>
      </c>
    </row>
    <row r="584" spans="1:6" x14ac:dyDescent="0.35">
      <c r="A584" s="5" t="s">
        <v>1162</v>
      </c>
      <c r="B584" s="5" t="s">
        <v>100</v>
      </c>
      <c r="C584" s="6">
        <v>0.47499999999999998</v>
      </c>
      <c r="D584" s="7">
        <f t="shared" si="43"/>
        <v>0.435</v>
      </c>
      <c r="E584" s="7">
        <f t="shared" si="44"/>
        <v>8.6999999999999994E-3</v>
      </c>
      <c r="F584" s="7">
        <f t="shared" si="45"/>
        <v>0.42630000000000001</v>
      </c>
    </row>
    <row r="585" spans="1:6" x14ac:dyDescent="0.35">
      <c r="A585" s="5" t="s">
        <v>1163</v>
      </c>
      <c r="B585" s="5" t="s">
        <v>100</v>
      </c>
      <c r="C585" s="6">
        <v>0.3</v>
      </c>
      <c r="D585" s="7">
        <f t="shared" si="43"/>
        <v>0.26</v>
      </c>
      <c r="E585" s="7">
        <f t="shared" si="44"/>
        <v>5.2000000000000006E-3</v>
      </c>
      <c r="F585" s="7">
        <f t="shared" si="45"/>
        <v>0.25480000000000003</v>
      </c>
    </row>
    <row r="586" spans="1:6" ht="24" x14ac:dyDescent="0.35">
      <c r="A586" s="5" t="s">
        <v>1312</v>
      </c>
      <c r="B586" s="5" t="s">
        <v>1313</v>
      </c>
      <c r="C586" s="6">
        <v>0.42499999999999999</v>
      </c>
      <c r="D586" s="7">
        <f t="shared" ref="D586" si="46">C586-(4%)</f>
        <v>0.38500000000000001</v>
      </c>
      <c r="E586" s="7">
        <f t="shared" ref="E586" si="47">D586*2%</f>
        <v>7.7000000000000002E-3</v>
      </c>
      <c r="F586" s="7">
        <f t="shared" ref="F586" si="48">D586-E586</f>
        <v>0.37730000000000002</v>
      </c>
    </row>
    <row r="587" spans="1:6" x14ac:dyDescent="0.35">
      <c r="A587" s="41" t="s">
        <v>1404</v>
      </c>
      <c r="B587" s="5" t="s">
        <v>398</v>
      </c>
      <c r="C587" s="7">
        <v>0.32</v>
      </c>
      <c r="D587" s="7">
        <f t="shared" ref="D587:D603" si="49">C587-(4%)</f>
        <v>0.28000000000000003</v>
      </c>
      <c r="E587" s="7">
        <f t="shared" ref="E587:E603" si="50">D587*2%</f>
        <v>5.6000000000000008E-3</v>
      </c>
      <c r="F587" s="7">
        <f t="shared" ref="F587:F603" si="51">D587-E587</f>
        <v>0.27440000000000003</v>
      </c>
    </row>
    <row r="588" spans="1:6" x14ac:dyDescent="0.35">
      <c r="A588" s="42"/>
      <c r="B588" s="5" t="s">
        <v>485</v>
      </c>
      <c r="C588" s="7">
        <v>0.08</v>
      </c>
      <c r="D588" s="7">
        <f t="shared" si="49"/>
        <v>0.04</v>
      </c>
      <c r="E588" s="7">
        <f t="shared" si="50"/>
        <v>8.0000000000000004E-4</v>
      </c>
      <c r="F588" s="7">
        <f t="shared" si="51"/>
        <v>3.9199999999999999E-2</v>
      </c>
    </row>
    <row r="589" spans="1:6" x14ac:dyDescent="0.35">
      <c r="A589" s="43"/>
      <c r="B589" s="5" t="s">
        <v>1405</v>
      </c>
      <c r="C589" s="7">
        <v>0.32</v>
      </c>
      <c r="D589" s="7">
        <f t="shared" si="49"/>
        <v>0.28000000000000003</v>
      </c>
      <c r="E589" s="7">
        <f t="shared" si="50"/>
        <v>5.6000000000000008E-3</v>
      </c>
      <c r="F589" s="7">
        <f t="shared" si="51"/>
        <v>0.27440000000000003</v>
      </c>
    </row>
    <row r="590" spans="1:6" x14ac:dyDescent="0.35">
      <c r="A590" s="5" t="s">
        <v>1406</v>
      </c>
      <c r="B590" s="5" t="s">
        <v>485</v>
      </c>
      <c r="C590" s="7">
        <v>0.23</v>
      </c>
      <c r="D590" s="7">
        <f t="shared" si="49"/>
        <v>0.19</v>
      </c>
      <c r="E590" s="7">
        <f t="shared" si="50"/>
        <v>3.8E-3</v>
      </c>
      <c r="F590" s="7">
        <f t="shared" si="51"/>
        <v>0.1862</v>
      </c>
    </row>
    <row r="591" spans="1:6" x14ac:dyDescent="0.35">
      <c r="A591" s="5" t="s">
        <v>1407</v>
      </c>
      <c r="B591" s="5" t="s">
        <v>485</v>
      </c>
      <c r="C591" s="7">
        <v>0.11</v>
      </c>
      <c r="D591" s="7">
        <f t="shared" si="49"/>
        <v>7.0000000000000007E-2</v>
      </c>
      <c r="E591" s="7">
        <f t="shared" si="50"/>
        <v>1.4000000000000002E-3</v>
      </c>
      <c r="F591" s="7">
        <f t="shared" si="51"/>
        <v>6.8600000000000008E-2</v>
      </c>
    </row>
    <row r="592" spans="1:6" x14ac:dyDescent="0.35">
      <c r="A592" s="48" t="s">
        <v>1408</v>
      </c>
      <c r="B592" s="5" t="s">
        <v>398</v>
      </c>
      <c r="C592" s="7">
        <v>0.1</v>
      </c>
      <c r="D592" s="7">
        <f t="shared" si="49"/>
        <v>6.0000000000000005E-2</v>
      </c>
      <c r="E592" s="7">
        <f t="shared" si="50"/>
        <v>1.2000000000000001E-3</v>
      </c>
      <c r="F592" s="7">
        <f t="shared" si="51"/>
        <v>5.8800000000000005E-2</v>
      </c>
    </row>
    <row r="593" spans="1:6" x14ac:dyDescent="0.35">
      <c r="A593" s="48"/>
      <c r="B593" s="5" t="s">
        <v>485</v>
      </c>
      <c r="C593" s="7">
        <v>0.34</v>
      </c>
      <c r="D593" s="7">
        <f t="shared" si="49"/>
        <v>0.30000000000000004</v>
      </c>
      <c r="E593" s="7">
        <f t="shared" si="50"/>
        <v>6.000000000000001E-3</v>
      </c>
      <c r="F593" s="7">
        <f t="shared" si="51"/>
        <v>0.29400000000000004</v>
      </c>
    </row>
    <row r="594" spans="1:6" x14ac:dyDescent="0.35">
      <c r="A594" s="48"/>
      <c r="B594" s="5" t="s">
        <v>1405</v>
      </c>
      <c r="C594" s="7">
        <v>0.1</v>
      </c>
      <c r="D594" s="7">
        <f t="shared" si="49"/>
        <v>6.0000000000000005E-2</v>
      </c>
      <c r="E594" s="7">
        <f t="shared" si="50"/>
        <v>1.2000000000000001E-3</v>
      </c>
      <c r="F594" s="7">
        <f t="shared" si="51"/>
        <v>5.8800000000000005E-2</v>
      </c>
    </row>
    <row r="595" spans="1:6" x14ac:dyDescent="0.35">
      <c r="A595" s="5" t="s">
        <v>1409</v>
      </c>
      <c r="B595" s="5" t="s">
        <v>485</v>
      </c>
      <c r="C595" s="7">
        <v>0.4</v>
      </c>
      <c r="D595" s="7">
        <f t="shared" si="49"/>
        <v>0.36000000000000004</v>
      </c>
      <c r="E595" s="7">
        <f t="shared" si="50"/>
        <v>7.2000000000000007E-3</v>
      </c>
      <c r="F595" s="7">
        <f t="shared" si="51"/>
        <v>0.35280000000000006</v>
      </c>
    </row>
    <row r="596" spans="1:6" x14ac:dyDescent="0.35">
      <c r="A596" s="48" t="s">
        <v>1395</v>
      </c>
      <c r="B596" s="5" t="s">
        <v>398</v>
      </c>
      <c r="C596" s="7">
        <v>0.15</v>
      </c>
      <c r="D596" s="7">
        <f t="shared" si="49"/>
        <v>0.10999999999999999</v>
      </c>
      <c r="E596" s="7">
        <f t="shared" si="50"/>
        <v>2.1999999999999997E-3</v>
      </c>
      <c r="F596" s="7">
        <f t="shared" si="51"/>
        <v>0.10779999999999999</v>
      </c>
    </row>
    <row r="597" spans="1:6" x14ac:dyDescent="0.35">
      <c r="A597" s="48"/>
      <c r="B597" s="5" t="s">
        <v>485</v>
      </c>
      <c r="C597" s="7">
        <v>0.43</v>
      </c>
      <c r="D597" s="7">
        <f t="shared" si="49"/>
        <v>0.39</v>
      </c>
      <c r="E597" s="7">
        <f t="shared" si="50"/>
        <v>7.8000000000000005E-3</v>
      </c>
      <c r="F597" s="7">
        <f t="shared" si="51"/>
        <v>0.38220000000000004</v>
      </c>
    </row>
    <row r="598" spans="1:6" x14ac:dyDescent="0.35">
      <c r="A598" s="48"/>
      <c r="B598" s="5" t="s">
        <v>1405</v>
      </c>
      <c r="C598" s="7">
        <v>0.05</v>
      </c>
      <c r="D598" s="7" t="s">
        <v>20</v>
      </c>
      <c r="E598" s="7" t="s">
        <v>20</v>
      </c>
      <c r="F598" s="7" t="s">
        <v>20</v>
      </c>
    </row>
    <row r="599" spans="1:6" x14ac:dyDescent="0.35">
      <c r="A599" s="48" t="s">
        <v>1396</v>
      </c>
      <c r="B599" s="5" t="s">
        <v>398</v>
      </c>
      <c r="C599" s="7">
        <v>0.38</v>
      </c>
      <c r="D599" s="7">
        <f t="shared" si="49"/>
        <v>0.34</v>
      </c>
      <c r="E599" s="7">
        <f t="shared" si="50"/>
        <v>6.8000000000000005E-3</v>
      </c>
      <c r="F599" s="7">
        <f t="shared" si="51"/>
        <v>0.33320000000000005</v>
      </c>
    </row>
    <row r="600" spans="1:6" x14ac:dyDescent="0.35">
      <c r="A600" s="48"/>
      <c r="B600" s="5" t="s">
        <v>485</v>
      </c>
      <c r="C600" s="7">
        <v>0.33</v>
      </c>
      <c r="D600" s="7">
        <f t="shared" si="49"/>
        <v>0.29000000000000004</v>
      </c>
      <c r="E600" s="7">
        <f t="shared" si="50"/>
        <v>5.8000000000000005E-3</v>
      </c>
      <c r="F600" s="7">
        <f t="shared" si="51"/>
        <v>0.28420000000000001</v>
      </c>
    </row>
    <row r="601" spans="1:6" x14ac:dyDescent="0.35">
      <c r="A601" s="48"/>
      <c r="B601" s="5" t="s">
        <v>1405</v>
      </c>
      <c r="C601" s="7">
        <v>0.35</v>
      </c>
      <c r="D601" s="7">
        <f t="shared" si="49"/>
        <v>0.31</v>
      </c>
      <c r="E601" s="7">
        <f t="shared" si="50"/>
        <v>6.1999999999999998E-3</v>
      </c>
      <c r="F601" s="7">
        <f t="shared" si="51"/>
        <v>0.30380000000000001</v>
      </c>
    </row>
    <row r="602" spans="1:6" x14ac:dyDescent="0.35">
      <c r="A602" s="5" t="s">
        <v>1397</v>
      </c>
      <c r="B602" s="5" t="s">
        <v>485</v>
      </c>
      <c r="C602" s="7">
        <v>0.38</v>
      </c>
      <c r="D602" s="7">
        <f t="shared" si="49"/>
        <v>0.34</v>
      </c>
      <c r="E602" s="7">
        <f t="shared" si="50"/>
        <v>6.8000000000000005E-3</v>
      </c>
      <c r="F602" s="7">
        <f t="shared" si="51"/>
        <v>0.33320000000000005</v>
      </c>
    </row>
    <row r="603" spans="1:6" x14ac:dyDescent="0.35">
      <c r="A603" s="5" t="s">
        <v>1410</v>
      </c>
      <c r="B603" s="5" t="s">
        <v>485</v>
      </c>
      <c r="C603" s="7">
        <v>0.28000000000000003</v>
      </c>
      <c r="D603" s="7">
        <f t="shared" si="49"/>
        <v>0.24000000000000002</v>
      </c>
      <c r="E603" s="7">
        <f t="shared" si="50"/>
        <v>4.8000000000000004E-3</v>
      </c>
      <c r="F603" s="7">
        <f t="shared" si="51"/>
        <v>0.23520000000000002</v>
      </c>
    </row>
  </sheetData>
  <mergeCells count="115">
    <mergeCell ref="A587:A589"/>
    <mergeCell ref="A592:A594"/>
    <mergeCell ref="A596:A598"/>
    <mergeCell ref="A599:A601"/>
    <mergeCell ref="A32:A34"/>
    <mergeCell ref="A35:A37"/>
    <mergeCell ref="A38:A40"/>
    <mergeCell ref="A128:A130"/>
    <mergeCell ref="A41:A43"/>
    <mergeCell ref="A278:A283"/>
    <mergeCell ref="A297:A299"/>
    <mergeCell ref="A487:A488"/>
    <mergeCell ref="A489:A490"/>
    <mergeCell ref="A461:A463"/>
    <mergeCell ref="A345:A348"/>
    <mergeCell ref="A337:A340"/>
    <mergeCell ref="A389:A391"/>
    <mergeCell ref="A421:A422"/>
    <mergeCell ref="A341:A344"/>
    <mergeCell ref="A365:A368"/>
    <mergeCell ref="A369:A372"/>
    <mergeCell ref="A328:A330"/>
    <mergeCell ref="A335:A336"/>
    <mergeCell ref="A406:A409"/>
    <mergeCell ref="A557:A558"/>
    <mergeCell ref="A569:A570"/>
    <mergeCell ref="A562:A568"/>
    <mergeCell ref="A559:A560"/>
    <mergeCell ref="A427:A429"/>
    <mergeCell ref="A492:A493"/>
    <mergeCell ref="A494:A495"/>
    <mergeCell ref="A504:A505"/>
    <mergeCell ref="A534:A538"/>
    <mergeCell ref="A539:A542"/>
    <mergeCell ref="A502:A503"/>
    <mergeCell ref="A500:A501"/>
    <mergeCell ref="A547:A549"/>
    <mergeCell ref="A451:A455"/>
    <mergeCell ref="A430:A432"/>
    <mergeCell ref="A515:A516"/>
    <mergeCell ref="A517:A518"/>
    <mergeCell ref="A550:A552"/>
    <mergeCell ref="A553:A555"/>
    <mergeCell ref="A149:A151"/>
    <mergeCell ref="A135:A140"/>
    <mergeCell ref="A152:A153"/>
    <mergeCell ref="A131:A132"/>
    <mergeCell ref="A110:A112"/>
    <mergeCell ref="A113:A116"/>
    <mergeCell ref="A571:A572"/>
    <mergeCell ref="A235:A240"/>
    <mergeCell ref="A241:A246"/>
    <mergeCell ref="A247:A252"/>
    <mergeCell ref="A253:A258"/>
    <mergeCell ref="A528:A533"/>
    <mergeCell ref="A522:A527"/>
    <mergeCell ref="A402:A405"/>
    <mergeCell ref="A496:A497"/>
    <mergeCell ref="A442:A443"/>
    <mergeCell ref="A498:A499"/>
    <mergeCell ref="A322:A324"/>
    <mergeCell ref="A316:A318"/>
    <mergeCell ref="A319:A321"/>
    <mergeCell ref="A392:A393"/>
    <mergeCell ref="A325:A327"/>
    <mergeCell ref="A446:A450"/>
    <mergeCell ref="A398:A401"/>
    <mergeCell ref="A102:A103"/>
    <mergeCell ref="A211:A216"/>
    <mergeCell ref="A223:A228"/>
    <mergeCell ref="A2:A3"/>
    <mergeCell ref="A19:A24"/>
    <mergeCell ref="A7:A12"/>
    <mergeCell ref="A54:A59"/>
    <mergeCell ref="A122:A124"/>
    <mergeCell ref="A125:A127"/>
    <mergeCell ref="A193:A196"/>
    <mergeCell ref="A92:A93"/>
    <mergeCell ref="A94:A95"/>
    <mergeCell ref="A141:A146"/>
    <mergeCell ref="A167:A172"/>
    <mergeCell ref="A161:A166"/>
    <mergeCell ref="A104:A106"/>
    <mergeCell ref="A117:A118"/>
    <mergeCell ref="A189:A191"/>
    <mergeCell ref="A155:A156"/>
    <mergeCell ref="A119:A121"/>
    <mergeCell ref="A86:A87"/>
    <mergeCell ref="A88:A89"/>
    <mergeCell ref="A90:A91"/>
    <mergeCell ref="A107:A109"/>
    <mergeCell ref="A290:A295"/>
    <mergeCell ref="A13:A18"/>
    <mergeCell ref="A25:A30"/>
    <mergeCell ref="A186:A188"/>
    <mergeCell ref="A260:A262"/>
    <mergeCell ref="A263:A265"/>
    <mergeCell ref="A180:A185"/>
    <mergeCell ref="A266:A268"/>
    <mergeCell ref="A269:A271"/>
    <mergeCell ref="A205:A210"/>
    <mergeCell ref="A217:A222"/>
    <mergeCell ref="A284:A289"/>
    <mergeCell ref="A96:A97"/>
    <mergeCell ref="A65:A66"/>
    <mergeCell ref="A67:A68"/>
    <mergeCell ref="A69:A70"/>
    <mergeCell ref="A77:A78"/>
    <mergeCell ref="A79:A80"/>
    <mergeCell ref="A81:A82"/>
    <mergeCell ref="A48:A53"/>
    <mergeCell ref="A174:A175"/>
    <mergeCell ref="A229:A234"/>
    <mergeCell ref="A98:A99"/>
    <mergeCell ref="A100:A101"/>
  </mergeCells>
  <printOptions horizontalCentered="1" verticalCentered="1"/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3CDA-7CA8-4163-8990-44DD2E41EE46}">
  <dimension ref="A2:H1330"/>
  <sheetViews>
    <sheetView showGridLines="0" workbookViewId="0">
      <selection activeCell="A2" sqref="A2:A3"/>
    </sheetView>
  </sheetViews>
  <sheetFormatPr defaultRowHeight="15" customHeight="1" x14ac:dyDescent="0.35"/>
  <cols>
    <col min="1" max="1" width="37.54296875" style="13" customWidth="1"/>
    <col min="2" max="2" width="30" style="13" bestFit="1" customWidth="1"/>
    <col min="3" max="3" width="5.7265625" bestFit="1" customWidth="1"/>
    <col min="4" max="4" width="9.81640625" bestFit="1" customWidth="1"/>
    <col min="5" max="5" width="6.36328125" bestFit="1" customWidth="1"/>
    <col min="6" max="6" width="9.26953125" bestFit="1" customWidth="1"/>
  </cols>
  <sheetData>
    <row r="2" spans="1:6" ht="36.65" customHeight="1" x14ac:dyDescent="0.35">
      <c r="A2" s="46" t="s">
        <v>1287</v>
      </c>
      <c r="B2" s="1"/>
      <c r="C2" s="8"/>
      <c r="D2" s="8"/>
      <c r="E2" s="8"/>
      <c r="F2" s="8"/>
    </row>
    <row r="3" spans="1:6" ht="34.5" customHeight="1" x14ac:dyDescent="0.35">
      <c r="A3" s="46"/>
      <c r="B3" s="1"/>
      <c r="C3" s="8"/>
      <c r="D3" s="8"/>
      <c r="E3" s="8"/>
      <c r="F3" s="8"/>
    </row>
    <row r="4" spans="1:6" ht="14.5" x14ac:dyDescent="0.35">
      <c r="A4" s="9"/>
      <c r="B4" s="9"/>
      <c r="C4" s="10"/>
      <c r="D4" s="10"/>
      <c r="E4" s="10"/>
      <c r="F4" s="10"/>
    </row>
    <row r="5" spans="1:6" ht="14.5" x14ac:dyDescent="0.35">
      <c r="A5" s="2" t="s">
        <v>0</v>
      </c>
      <c r="B5" s="2" t="s">
        <v>1</v>
      </c>
      <c r="C5" s="3" t="s">
        <v>2</v>
      </c>
      <c r="D5" s="4" t="s">
        <v>4</v>
      </c>
      <c r="E5" s="4" t="s">
        <v>5</v>
      </c>
      <c r="F5" s="4" t="s">
        <v>6</v>
      </c>
    </row>
    <row r="6" spans="1:6" ht="14.5" x14ac:dyDescent="0.35">
      <c r="A6" s="5" t="s">
        <v>659</v>
      </c>
      <c r="B6" s="5" t="s">
        <v>660</v>
      </c>
      <c r="C6" s="6">
        <v>0.15</v>
      </c>
      <c r="D6" s="7">
        <f>C6-(4%)</f>
        <v>0.10999999999999999</v>
      </c>
      <c r="E6" s="7">
        <f>D6*2%</f>
        <v>2.1999999999999997E-3</v>
      </c>
      <c r="F6" s="7">
        <f t="shared" ref="F6" si="0">D6-E6</f>
        <v>0.10779999999999999</v>
      </c>
    </row>
    <row r="7" spans="1:6" ht="24" x14ac:dyDescent="0.35">
      <c r="A7" s="5" t="s">
        <v>661</v>
      </c>
      <c r="B7" s="5" t="s">
        <v>662</v>
      </c>
      <c r="C7" s="6">
        <v>0.41499999999999998</v>
      </c>
      <c r="D7" s="7">
        <f t="shared" ref="D7:D70" si="1">C7-(4%)</f>
        <v>0.375</v>
      </c>
      <c r="E7" s="7">
        <f t="shared" ref="E7:E70" si="2">D7*2%</f>
        <v>7.4999999999999997E-3</v>
      </c>
      <c r="F7" s="7">
        <f t="shared" ref="F7:F70" si="3">D7-E7</f>
        <v>0.36749999999999999</v>
      </c>
    </row>
    <row r="8" spans="1:6" ht="24" x14ac:dyDescent="0.35">
      <c r="A8" s="5" t="s">
        <v>661</v>
      </c>
      <c r="B8" s="5" t="s">
        <v>663</v>
      </c>
      <c r="C8" s="6">
        <v>0.41499999999999998</v>
      </c>
      <c r="D8" s="7">
        <f t="shared" si="1"/>
        <v>0.375</v>
      </c>
      <c r="E8" s="7">
        <f t="shared" si="2"/>
        <v>7.4999999999999997E-3</v>
      </c>
      <c r="F8" s="7">
        <f t="shared" si="3"/>
        <v>0.36749999999999999</v>
      </c>
    </row>
    <row r="9" spans="1:6" ht="24" x14ac:dyDescent="0.35">
      <c r="A9" s="5" t="s">
        <v>664</v>
      </c>
      <c r="B9" s="5" t="s">
        <v>662</v>
      </c>
      <c r="C9" s="6">
        <v>0.41499999999999998</v>
      </c>
      <c r="D9" s="7">
        <f t="shared" si="1"/>
        <v>0.375</v>
      </c>
      <c r="E9" s="7">
        <f t="shared" si="2"/>
        <v>7.4999999999999997E-3</v>
      </c>
      <c r="F9" s="7">
        <f t="shared" si="3"/>
        <v>0.36749999999999999</v>
      </c>
    </row>
    <row r="10" spans="1:6" ht="14.5" x14ac:dyDescent="0.35">
      <c r="A10" s="48" t="s">
        <v>367</v>
      </c>
      <c r="B10" s="5" t="s">
        <v>665</v>
      </c>
      <c r="C10" s="6">
        <v>0.03</v>
      </c>
      <c r="D10" s="7" t="s">
        <v>20</v>
      </c>
      <c r="E10" s="7" t="s">
        <v>20</v>
      </c>
      <c r="F10" s="7" t="s">
        <v>20</v>
      </c>
    </row>
    <row r="11" spans="1:6" ht="14.5" x14ac:dyDescent="0.35">
      <c r="A11" s="48"/>
      <c r="B11" s="5" t="s">
        <v>666</v>
      </c>
      <c r="C11" s="6">
        <v>0.14000000000000001</v>
      </c>
      <c r="D11" s="7">
        <f t="shared" si="1"/>
        <v>0.1</v>
      </c>
      <c r="E11" s="7">
        <f t="shared" si="2"/>
        <v>2E-3</v>
      </c>
      <c r="F11" s="7">
        <f t="shared" si="3"/>
        <v>9.8000000000000004E-2</v>
      </c>
    </row>
    <row r="12" spans="1:6" ht="14.5" x14ac:dyDescent="0.35">
      <c r="A12" s="48"/>
      <c r="B12" s="5" t="s">
        <v>667</v>
      </c>
      <c r="C12" s="6">
        <v>0.37</v>
      </c>
      <c r="D12" s="7">
        <f t="shared" si="1"/>
        <v>0.33</v>
      </c>
      <c r="E12" s="7">
        <f t="shared" si="2"/>
        <v>6.6000000000000008E-3</v>
      </c>
      <c r="F12" s="7">
        <f t="shared" si="3"/>
        <v>0.32340000000000002</v>
      </c>
    </row>
    <row r="13" spans="1:6" ht="14.5" x14ac:dyDescent="0.35">
      <c r="A13" s="48"/>
      <c r="B13" s="5" t="s">
        <v>668</v>
      </c>
      <c r="C13" s="6">
        <v>0.3</v>
      </c>
      <c r="D13" s="7">
        <f t="shared" si="1"/>
        <v>0.26</v>
      </c>
      <c r="E13" s="7">
        <f t="shared" si="2"/>
        <v>5.2000000000000006E-3</v>
      </c>
      <c r="F13" s="7">
        <f t="shared" si="3"/>
        <v>0.25480000000000003</v>
      </c>
    </row>
    <row r="14" spans="1:6" ht="14.5" x14ac:dyDescent="0.35">
      <c r="A14" s="48"/>
      <c r="B14" s="5" t="s">
        <v>669</v>
      </c>
      <c r="C14" s="6">
        <v>0.03</v>
      </c>
      <c r="D14" s="7" t="s">
        <v>20</v>
      </c>
      <c r="E14" s="7" t="s">
        <v>20</v>
      </c>
      <c r="F14" s="7" t="s">
        <v>20</v>
      </c>
    </row>
    <row r="15" spans="1:6" ht="14.5" x14ac:dyDescent="0.35">
      <c r="A15" s="48"/>
      <c r="B15" s="5" t="s">
        <v>670</v>
      </c>
      <c r="C15" s="6">
        <v>0.43</v>
      </c>
      <c r="D15" s="7">
        <f t="shared" si="1"/>
        <v>0.39</v>
      </c>
      <c r="E15" s="7">
        <f t="shared" si="2"/>
        <v>7.8000000000000005E-3</v>
      </c>
      <c r="F15" s="7">
        <f t="shared" si="3"/>
        <v>0.38220000000000004</v>
      </c>
    </row>
    <row r="16" spans="1:6" ht="14.5" x14ac:dyDescent="0.35">
      <c r="A16" s="48"/>
      <c r="B16" s="5" t="s">
        <v>671</v>
      </c>
      <c r="C16" s="6">
        <v>0.36</v>
      </c>
      <c r="D16" s="7">
        <f t="shared" si="1"/>
        <v>0.32</v>
      </c>
      <c r="E16" s="7">
        <f t="shared" si="2"/>
        <v>6.4000000000000003E-3</v>
      </c>
      <c r="F16" s="7">
        <f t="shared" si="3"/>
        <v>0.31359999999999999</v>
      </c>
    </row>
    <row r="17" spans="1:6" ht="14.5" x14ac:dyDescent="0.35">
      <c r="A17" s="48"/>
      <c r="B17" s="5" t="s">
        <v>672</v>
      </c>
      <c r="C17" s="6">
        <v>0.27</v>
      </c>
      <c r="D17" s="7">
        <f t="shared" si="1"/>
        <v>0.23</v>
      </c>
      <c r="E17" s="7">
        <f t="shared" si="2"/>
        <v>4.5999999999999999E-3</v>
      </c>
      <c r="F17" s="7">
        <f t="shared" si="3"/>
        <v>0.22540000000000002</v>
      </c>
    </row>
    <row r="18" spans="1:6" ht="14.5" x14ac:dyDescent="0.35">
      <c r="A18" s="48"/>
      <c r="B18" s="5" t="s">
        <v>673</v>
      </c>
      <c r="C18" s="6">
        <v>0.44</v>
      </c>
      <c r="D18" s="7">
        <f t="shared" si="1"/>
        <v>0.4</v>
      </c>
      <c r="E18" s="7">
        <f t="shared" si="2"/>
        <v>8.0000000000000002E-3</v>
      </c>
      <c r="F18" s="7">
        <f t="shared" si="3"/>
        <v>0.39200000000000002</v>
      </c>
    </row>
    <row r="19" spans="1:6" ht="14.5" x14ac:dyDescent="0.35">
      <c r="A19" s="48"/>
      <c r="B19" s="5" t="s">
        <v>674</v>
      </c>
      <c r="C19" s="6">
        <v>0.45</v>
      </c>
      <c r="D19" s="7">
        <f t="shared" si="1"/>
        <v>0.41000000000000003</v>
      </c>
      <c r="E19" s="7">
        <f t="shared" si="2"/>
        <v>8.2000000000000007E-3</v>
      </c>
      <c r="F19" s="7">
        <f t="shared" si="3"/>
        <v>0.40180000000000005</v>
      </c>
    </row>
    <row r="20" spans="1:6" ht="14.5" x14ac:dyDescent="0.35">
      <c r="A20" s="48"/>
      <c r="B20" s="5" t="s">
        <v>675</v>
      </c>
      <c r="C20" s="6">
        <v>0.44</v>
      </c>
      <c r="D20" s="7">
        <f t="shared" si="1"/>
        <v>0.4</v>
      </c>
      <c r="E20" s="7">
        <f t="shared" si="2"/>
        <v>8.0000000000000002E-3</v>
      </c>
      <c r="F20" s="7">
        <f t="shared" si="3"/>
        <v>0.39200000000000002</v>
      </c>
    </row>
    <row r="21" spans="1:6" ht="14.5" x14ac:dyDescent="0.35">
      <c r="A21" s="48"/>
      <c r="B21" s="5" t="s">
        <v>676</v>
      </c>
      <c r="C21" s="6">
        <v>0.02</v>
      </c>
      <c r="D21" s="7" t="s">
        <v>20</v>
      </c>
      <c r="E21" s="7" t="s">
        <v>20</v>
      </c>
      <c r="F21" s="7" t="s">
        <v>20</v>
      </c>
    </row>
    <row r="22" spans="1:6" ht="14.5" x14ac:dyDescent="0.35">
      <c r="A22" s="48"/>
      <c r="B22" s="5" t="s">
        <v>677</v>
      </c>
      <c r="C22" s="6">
        <v>0.34</v>
      </c>
      <c r="D22" s="7">
        <f t="shared" si="1"/>
        <v>0.30000000000000004</v>
      </c>
      <c r="E22" s="7">
        <f t="shared" si="2"/>
        <v>6.000000000000001E-3</v>
      </c>
      <c r="F22" s="7">
        <f t="shared" si="3"/>
        <v>0.29400000000000004</v>
      </c>
    </row>
    <row r="23" spans="1:6" ht="14.5" x14ac:dyDescent="0.35">
      <c r="A23" s="48"/>
      <c r="B23" s="5" t="s">
        <v>678</v>
      </c>
      <c r="C23" s="6">
        <v>0.05</v>
      </c>
      <c r="D23" s="7" t="s">
        <v>20</v>
      </c>
      <c r="E23" s="7" t="s">
        <v>20</v>
      </c>
      <c r="F23" s="7" t="s">
        <v>20</v>
      </c>
    </row>
    <row r="24" spans="1:6" ht="14.5" x14ac:dyDescent="0.35">
      <c r="A24" s="48"/>
      <c r="B24" s="5" t="s">
        <v>679</v>
      </c>
      <c r="C24" s="6">
        <v>7.0000000000000007E-2</v>
      </c>
      <c r="D24" s="7">
        <f t="shared" si="1"/>
        <v>3.0000000000000006E-2</v>
      </c>
      <c r="E24" s="7">
        <f t="shared" si="2"/>
        <v>6.0000000000000016E-4</v>
      </c>
      <c r="F24" s="7">
        <f t="shared" si="3"/>
        <v>2.9400000000000006E-2</v>
      </c>
    </row>
    <row r="25" spans="1:6" ht="14.5" x14ac:dyDescent="0.35">
      <c r="A25" s="48" t="s">
        <v>374</v>
      </c>
      <c r="B25" s="5" t="s">
        <v>665</v>
      </c>
      <c r="C25" s="7">
        <v>0.09</v>
      </c>
      <c r="D25" s="7">
        <f t="shared" si="1"/>
        <v>4.9999999999999996E-2</v>
      </c>
      <c r="E25" s="7">
        <f t="shared" si="2"/>
        <v>1E-3</v>
      </c>
      <c r="F25" s="7">
        <f t="shared" si="3"/>
        <v>4.8999999999999995E-2</v>
      </c>
    </row>
    <row r="26" spans="1:6" ht="14.5" x14ac:dyDescent="0.35">
      <c r="A26" s="48"/>
      <c r="B26" s="5" t="s">
        <v>666</v>
      </c>
      <c r="C26" s="7">
        <v>0.19</v>
      </c>
      <c r="D26" s="7">
        <f t="shared" si="1"/>
        <v>0.15</v>
      </c>
      <c r="E26" s="7">
        <f t="shared" si="2"/>
        <v>3.0000000000000001E-3</v>
      </c>
      <c r="F26" s="7">
        <f t="shared" si="3"/>
        <v>0.14699999999999999</v>
      </c>
    </row>
    <row r="27" spans="1:6" ht="14.5" x14ac:dyDescent="0.35">
      <c r="A27" s="48"/>
      <c r="B27" s="5" t="s">
        <v>667</v>
      </c>
      <c r="C27" s="7">
        <v>0.43</v>
      </c>
      <c r="D27" s="7">
        <f t="shared" si="1"/>
        <v>0.39</v>
      </c>
      <c r="E27" s="7">
        <f t="shared" si="2"/>
        <v>7.8000000000000005E-3</v>
      </c>
      <c r="F27" s="7">
        <f t="shared" si="3"/>
        <v>0.38220000000000004</v>
      </c>
    </row>
    <row r="28" spans="1:6" ht="14.5" x14ac:dyDescent="0.35">
      <c r="A28" s="48"/>
      <c r="B28" s="5" t="s">
        <v>668</v>
      </c>
      <c r="C28" s="7">
        <v>0.36</v>
      </c>
      <c r="D28" s="7">
        <f t="shared" si="1"/>
        <v>0.32</v>
      </c>
      <c r="E28" s="7">
        <f t="shared" si="2"/>
        <v>6.4000000000000003E-3</v>
      </c>
      <c r="F28" s="7">
        <f t="shared" si="3"/>
        <v>0.31359999999999999</v>
      </c>
    </row>
    <row r="29" spans="1:6" ht="14.5" x14ac:dyDescent="0.35">
      <c r="A29" s="48"/>
      <c r="B29" s="5" t="s">
        <v>669</v>
      </c>
      <c r="C29" s="7">
        <v>0.09</v>
      </c>
      <c r="D29" s="7">
        <f t="shared" si="1"/>
        <v>4.9999999999999996E-2</v>
      </c>
      <c r="E29" s="7">
        <f t="shared" si="2"/>
        <v>1E-3</v>
      </c>
      <c r="F29" s="7">
        <f t="shared" si="3"/>
        <v>4.8999999999999995E-2</v>
      </c>
    </row>
    <row r="30" spans="1:6" ht="14.5" x14ac:dyDescent="0.35">
      <c r="A30" s="48"/>
      <c r="B30" s="5" t="s">
        <v>670</v>
      </c>
      <c r="C30" s="7">
        <v>0.49</v>
      </c>
      <c r="D30" s="7">
        <f t="shared" si="1"/>
        <v>0.45</v>
      </c>
      <c r="E30" s="7">
        <f t="shared" si="2"/>
        <v>9.0000000000000011E-3</v>
      </c>
      <c r="F30" s="7">
        <f t="shared" si="3"/>
        <v>0.441</v>
      </c>
    </row>
    <row r="31" spans="1:6" ht="14.5" x14ac:dyDescent="0.35">
      <c r="A31" s="48"/>
      <c r="B31" s="5" t="s">
        <v>671</v>
      </c>
      <c r="C31" s="7">
        <v>0.42</v>
      </c>
      <c r="D31" s="7">
        <f t="shared" si="1"/>
        <v>0.38</v>
      </c>
      <c r="E31" s="7">
        <f t="shared" si="2"/>
        <v>7.6E-3</v>
      </c>
      <c r="F31" s="7">
        <f t="shared" si="3"/>
        <v>0.37240000000000001</v>
      </c>
    </row>
    <row r="32" spans="1:6" ht="14.5" x14ac:dyDescent="0.35">
      <c r="A32" s="48"/>
      <c r="B32" s="5" t="s">
        <v>672</v>
      </c>
      <c r="C32" s="7">
        <v>0.33</v>
      </c>
      <c r="D32" s="7">
        <f t="shared" si="1"/>
        <v>0.29000000000000004</v>
      </c>
      <c r="E32" s="7">
        <f t="shared" si="2"/>
        <v>5.8000000000000005E-3</v>
      </c>
      <c r="F32" s="7">
        <f t="shared" si="3"/>
        <v>0.28420000000000001</v>
      </c>
    </row>
    <row r="33" spans="1:6" ht="14.5" x14ac:dyDescent="0.35">
      <c r="A33" s="48"/>
      <c r="B33" s="5" t="s">
        <v>673</v>
      </c>
      <c r="C33" s="7">
        <v>0.5</v>
      </c>
      <c r="D33" s="7">
        <f t="shared" si="1"/>
        <v>0.46</v>
      </c>
      <c r="E33" s="7">
        <f t="shared" si="2"/>
        <v>9.1999999999999998E-3</v>
      </c>
      <c r="F33" s="7">
        <f t="shared" si="3"/>
        <v>0.45080000000000003</v>
      </c>
    </row>
    <row r="34" spans="1:6" ht="14.5" x14ac:dyDescent="0.35">
      <c r="A34" s="48"/>
      <c r="B34" s="5" t="s">
        <v>674</v>
      </c>
      <c r="C34" s="7">
        <v>0.51</v>
      </c>
      <c r="D34" s="7">
        <f t="shared" si="1"/>
        <v>0.47000000000000003</v>
      </c>
      <c r="E34" s="7">
        <f t="shared" si="2"/>
        <v>9.4000000000000004E-3</v>
      </c>
      <c r="F34" s="7">
        <f t="shared" si="3"/>
        <v>0.46060000000000001</v>
      </c>
    </row>
    <row r="35" spans="1:6" ht="14.5" x14ac:dyDescent="0.35">
      <c r="A35" s="48"/>
      <c r="B35" s="5" t="s">
        <v>675</v>
      </c>
      <c r="C35" s="7">
        <v>0.45</v>
      </c>
      <c r="D35" s="7">
        <f t="shared" si="1"/>
        <v>0.41000000000000003</v>
      </c>
      <c r="E35" s="7">
        <f t="shared" si="2"/>
        <v>8.2000000000000007E-3</v>
      </c>
      <c r="F35" s="7">
        <f t="shared" si="3"/>
        <v>0.40180000000000005</v>
      </c>
    </row>
    <row r="36" spans="1:6" ht="14.5" x14ac:dyDescent="0.35">
      <c r="A36" s="48"/>
      <c r="B36" s="5" t="s">
        <v>676</v>
      </c>
      <c r="C36" s="7">
        <v>0.08</v>
      </c>
      <c r="D36" s="7">
        <f t="shared" si="1"/>
        <v>0.04</v>
      </c>
      <c r="E36" s="7">
        <f t="shared" si="2"/>
        <v>8.0000000000000004E-4</v>
      </c>
      <c r="F36" s="7">
        <f t="shared" si="3"/>
        <v>3.9199999999999999E-2</v>
      </c>
    </row>
    <row r="37" spans="1:6" ht="14.5" x14ac:dyDescent="0.35">
      <c r="A37" s="48"/>
      <c r="B37" s="5" t="s">
        <v>677</v>
      </c>
      <c r="C37" s="7">
        <v>0.4</v>
      </c>
      <c r="D37" s="7">
        <f t="shared" si="1"/>
        <v>0.36000000000000004</v>
      </c>
      <c r="E37" s="7">
        <f t="shared" si="2"/>
        <v>7.2000000000000007E-3</v>
      </c>
      <c r="F37" s="7">
        <f t="shared" si="3"/>
        <v>0.35280000000000006</v>
      </c>
    </row>
    <row r="38" spans="1:6" ht="14.5" x14ac:dyDescent="0.35">
      <c r="A38" s="48"/>
      <c r="B38" s="5" t="s">
        <v>678</v>
      </c>
      <c r="C38" s="7">
        <v>0.11</v>
      </c>
      <c r="D38" s="7">
        <f t="shared" si="1"/>
        <v>7.0000000000000007E-2</v>
      </c>
      <c r="E38" s="7">
        <f t="shared" si="2"/>
        <v>1.4000000000000002E-3</v>
      </c>
      <c r="F38" s="7">
        <f t="shared" si="3"/>
        <v>6.8600000000000008E-2</v>
      </c>
    </row>
    <row r="39" spans="1:6" ht="14.5" x14ac:dyDescent="0.35">
      <c r="A39" s="48"/>
      <c r="B39" s="5" t="s">
        <v>679</v>
      </c>
      <c r="C39" s="7">
        <v>0.12000000000000001</v>
      </c>
      <c r="D39" s="7">
        <f t="shared" si="1"/>
        <v>8.0000000000000016E-2</v>
      </c>
      <c r="E39" s="7">
        <f t="shared" si="2"/>
        <v>1.6000000000000003E-3</v>
      </c>
      <c r="F39" s="7">
        <f t="shared" si="3"/>
        <v>7.8400000000000011E-2</v>
      </c>
    </row>
    <row r="40" spans="1:6" ht="14.5" x14ac:dyDescent="0.35">
      <c r="A40" s="48" t="s">
        <v>375</v>
      </c>
      <c r="B40" s="5" t="s">
        <v>674</v>
      </c>
      <c r="C40" s="6">
        <v>0.5</v>
      </c>
      <c r="D40" s="7">
        <f t="shared" si="1"/>
        <v>0.46</v>
      </c>
      <c r="E40" s="7">
        <f t="shared" si="2"/>
        <v>9.1999999999999998E-3</v>
      </c>
      <c r="F40" s="7">
        <f t="shared" si="3"/>
        <v>0.45080000000000003</v>
      </c>
    </row>
    <row r="41" spans="1:6" ht="14.5" x14ac:dyDescent="0.35">
      <c r="A41" s="48"/>
      <c r="B41" s="5" t="s">
        <v>670</v>
      </c>
      <c r="C41" s="6">
        <v>0.51</v>
      </c>
      <c r="D41" s="7">
        <f t="shared" si="1"/>
        <v>0.47000000000000003</v>
      </c>
      <c r="E41" s="7">
        <f t="shared" si="2"/>
        <v>9.4000000000000004E-3</v>
      </c>
      <c r="F41" s="7">
        <f t="shared" si="3"/>
        <v>0.46060000000000001</v>
      </c>
    </row>
    <row r="42" spans="1:6" ht="14.5" x14ac:dyDescent="0.35">
      <c r="A42" s="48"/>
      <c r="B42" s="5" t="s">
        <v>673</v>
      </c>
      <c r="C42" s="6">
        <v>0.52</v>
      </c>
      <c r="D42" s="7">
        <f t="shared" si="1"/>
        <v>0.48000000000000004</v>
      </c>
      <c r="E42" s="7">
        <f t="shared" si="2"/>
        <v>9.6000000000000009E-3</v>
      </c>
      <c r="F42" s="7">
        <f t="shared" si="3"/>
        <v>0.47040000000000004</v>
      </c>
    </row>
    <row r="43" spans="1:6" ht="14.5" x14ac:dyDescent="0.35">
      <c r="A43" s="48"/>
      <c r="B43" s="5" t="s">
        <v>665</v>
      </c>
      <c r="C43" s="6">
        <v>0.24</v>
      </c>
      <c r="D43" s="7">
        <f t="shared" si="1"/>
        <v>0.19999999999999998</v>
      </c>
      <c r="E43" s="7">
        <f t="shared" si="2"/>
        <v>4.0000000000000001E-3</v>
      </c>
      <c r="F43" s="7">
        <f t="shared" si="3"/>
        <v>0.19599999999999998</v>
      </c>
    </row>
    <row r="44" spans="1:6" ht="14.5" x14ac:dyDescent="0.35">
      <c r="A44" s="48"/>
      <c r="B44" s="5" t="s">
        <v>666</v>
      </c>
      <c r="C44" s="6">
        <v>0.28999999999999998</v>
      </c>
      <c r="D44" s="7">
        <f t="shared" si="1"/>
        <v>0.24999999999999997</v>
      </c>
      <c r="E44" s="7">
        <f t="shared" si="2"/>
        <v>4.9999999999999992E-3</v>
      </c>
      <c r="F44" s="7">
        <f t="shared" si="3"/>
        <v>0.24499999999999997</v>
      </c>
    </row>
    <row r="45" spans="1:6" ht="14.5" x14ac:dyDescent="0.35">
      <c r="A45" s="48"/>
      <c r="B45" s="5" t="s">
        <v>667</v>
      </c>
      <c r="C45" s="6">
        <v>0.42000000000000015</v>
      </c>
      <c r="D45" s="7">
        <f t="shared" si="1"/>
        <v>0.38000000000000017</v>
      </c>
      <c r="E45" s="7">
        <f t="shared" si="2"/>
        <v>7.6000000000000035E-3</v>
      </c>
      <c r="F45" s="7">
        <f t="shared" si="3"/>
        <v>0.37240000000000018</v>
      </c>
    </row>
    <row r="46" spans="1:6" ht="14.5" x14ac:dyDescent="0.35">
      <c r="A46" s="48"/>
      <c r="B46" s="5" t="s">
        <v>668</v>
      </c>
      <c r="C46" s="6">
        <v>0.38</v>
      </c>
      <c r="D46" s="7">
        <f t="shared" si="1"/>
        <v>0.34</v>
      </c>
      <c r="E46" s="7">
        <f t="shared" si="2"/>
        <v>6.8000000000000005E-3</v>
      </c>
      <c r="F46" s="7">
        <f t="shared" si="3"/>
        <v>0.33320000000000005</v>
      </c>
    </row>
    <row r="47" spans="1:6" ht="14.5" x14ac:dyDescent="0.35">
      <c r="A47" s="48"/>
      <c r="B47" s="5" t="s">
        <v>669</v>
      </c>
      <c r="C47" s="6">
        <v>0.24</v>
      </c>
      <c r="D47" s="7">
        <f t="shared" si="1"/>
        <v>0.19999999999999998</v>
      </c>
      <c r="E47" s="7">
        <f t="shared" si="2"/>
        <v>4.0000000000000001E-3</v>
      </c>
      <c r="F47" s="7">
        <f t="shared" si="3"/>
        <v>0.19599999999999998</v>
      </c>
    </row>
    <row r="48" spans="1:6" ht="14.5" x14ac:dyDescent="0.35">
      <c r="A48" s="48"/>
      <c r="B48" s="5" t="s">
        <v>671</v>
      </c>
      <c r="C48" s="6">
        <v>0.42</v>
      </c>
      <c r="D48" s="7">
        <f t="shared" si="1"/>
        <v>0.38</v>
      </c>
      <c r="E48" s="7">
        <f t="shared" si="2"/>
        <v>7.6E-3</v>
      </c>
      <c r="F48" s="7">
        <f t="shared" si="3"/>
        <v>0.37240000000000001</v>
      </c>
    </row>
    <row r="49" spans="1:6" ht="14.5" x14ac:dyDescent="0.35">
      <c r="A49" s="48"/>
      <c r="B49" s="5" t="s">
        <v>672</v>
      </c>
      <c r="C49" s="6">
        <v>0.36</v>
      </c>
      <c r="D49" s="7">
        <f t="shared" si="1"/>
        <v>0.32</v>
      </c>
      <c r="E49" s="7">
        <f t="shared" si="2"/>
        <v>6.4000000000000003E-3</v>
      </c>
      <c r="F49" s="7">
        <f t="shared" si="3"/>
        <v>0.31359999999999999</v>
      </c>
    </row>
    <row r="50" spans="1:6" ht="14.5" x14ac:dyDescent="0.35">
      <c r="A50" s="48"/>
      <c r="B50" s="5" t="s">
        <v>675</v>
      </c>
      <c r="C50" s="6">
        <v>0.43</v>
      </c>
      <c r="D50" s="7">
        <f t="shared" si="1"/>
        <v>0.39</v>
      </c>
      <c r="E50" s="7">
        <f t="shared" si="2"/>
        <v>7.8000000000000005E-3</v>
      </c>
      <c r="F50" s="7">
        <f t="shared" si="3"/>
        <v>0.38220000000000004</v>
      </c>
    </row>
    <row r="51" spans="1:6" ht="14.5" x14ac:dyDescent="0.35">
      <c r="A51" s="48"/>
      <c r="B51" s="5" t="s">
        <v>676</v>
      </c>
      <c r="C51" s="6">
        <v>0.23</v>
      </c>
      <c r="D51" s="7">
        <f t="shared" si="1"/>
        <v>0.19</v>
      </c>
      <c r="E51" s="7">
        <f t="shared" si="2"/>
        <v>3.8E-3</v>
      </c>
      <c r="F51" s="7">
        <f t="shared" si="3"/>
        <v>0.1862</v>
      </c>
    </row>
    <row r="52" spans="1:6" ht="14.5" x14ac:dyDescent="0.35">
      <c r="A52" s="48"/>
      <c r="B52" s="5" t="s">
        <v>677</v>
      </c>
      <c r="C52" s="6">
        <v>0.4</v>
      </c>
      <c r="D52" s="7">
        <f t="shared" si="1"/>
        <v>0.36000000000000004</v>
      </c>
      <c r="E52" s="7">
        <f t="shared" si="2"/>
        <v>7.2000000000000007E-3</v>
      </c>
      <c r="F52" s="7">
        <f t="shared" si="3"/>
        <v>0.35280000000000006</v>
      </c>
    </row>
    <row r="53" spans="1:6" ht="14.5" x14ac:dyDescent="0.35">
      <c r="A53" s="48"/>
      <c r="B53" s="5" t="s">
        <v>678</v>
      </c>
      <c r="C53" s="6">
        <v>0.25</v>
      </c>
      <c r="D53" s="7">
        <f t="shared" si="1"/>
        <v>0.21</v>
      </c>
      <c r="E53" s="7">
        <f t="shared" si="2"/>
        <v>4.1999999999999997E-3</v>
      </c>
      <c r="F53" s="7">
        <f t="shared" si="3"/>
        <v>0.20579999999999998</v>
      </c>
    </row>
    <row r="54" spans="1:6" ht="14.5" x14ac:dyDescent="0.35">
      <c r="A54" s="48"/>
      <c r="B54" s="5" t="s">
        <v>679</v>
      </c>
      <c r="C54" s="6">
        <v>0.26</v>
      </c>
      <c r="D54" s="7">
        <f t="shared" si="1"/>
        <v>0.22</v>
      </c>
      <c r="E54" s="7">
        <f t="shared" si="2"/>
        <v>4.4000000000000003E-3</v>
      </c>
      <c r="F54" s="7">
        <f t="shared" si="3"/>
        <v>0.21560000000000001</v>
      </c>
    </row>
    <row r="55" spans="1:6" ht="14.5" x14ac:dyDescent="0.35">
      <c r="A55" s="48" t="s">
        <v>28</v>
      </c>
      <c r="B55" s="5" t="s">
        <v>665</v>
      </c>
      <c r="C55" s="7">
        <v>0.28000000000000003</v>
      </c>
      <c r="D55" s="7">
        <f t="shared" si="1"/>
        <v>0.24000000000000002</v>
      </c>
      <c r="E55" s="7">
        <f t="shared" si="2"/>
        <v>4.8000000000000004E-3</v>
      </c>
      <c r="F55" s="7">
        <f t="shared" si="3"/>
        <v>0.23520000000000002</v>
      </c>
    </row>
    <row r="56" spans="1:6" ht="14.5" x14ac:dyDescent="0.35">
      <c r="A56" s="48"/>
      <c r="B56" s="5" t="s">
        <v>666</v>
      </c>
      <c r="C56" s="7">
        <v>0.36</v>
      </c>
      <c r="D56" s="7">
        <f t="shared" si="1"/>
        <v>0.32</v>
      </c>
      <c r="E56" s="7">
        <f t="shared" si="2"/>
        <v>6.4000000000000003E-3</v>
      </c>
      <c r="F56" s="7">
        <f t="shared" si="3"/>
        <v>0.31359999999999999</v>
      </c>
    </row>
    <row r="57" spans="1:6" ht="14.5" x14ac:dyDescent="0.35">
      <c r="A57" s="48"/>
      <c r="B57" s="5" t="s">
        <v>667</v>
      </c>
      <c r="C57" s="7">
        <v>0.55000000000000004</v>
      </c>
      <c r="D57" s="7">
        <f t="shared" si="1"/>
        <v>0.51</v>
      </c>
      <c r="E57" s="7">
        <f t="shared" si="2"/>
        <v>1.0200000000000001E-2</v>
      </c>
      <c r="F57" s="7">
        <f t="shared" si="3"/>
        <v>0.49980000000000002</v>
      </c>
    </row>
    <row r="58" spans="1:6" ht="14.5" x14ac:dyDescent="0.35">
      <c r="A58" s="48"/>
      <c r="B58" s="5" t="s">
        <v>668</v>
      </c>
      <c r="C58" s="7">
        <v>0.5</v>
      </c>
      <c r="D58" s="7">
        <f t="shared" si="1"/>
        <v>0.46</v>
      </c>
      <c r="E58" s="7">
        <f t="shared" si="2"/>
        <v>9.1999999999999998E-3</v>
      </c>
      <c r="F58" s="7">
        <f t="shared" si="3"/>
        <v>0.45080000000000003</v>
      </c>
    </row>
    <row r="59" spans="1:6" ht="14.5" x14ac:dyDescent="0.35">
      <c r="A59" s="48"/>
      <c r="B59" s="5" t="s">
        <v>669</v>
      </c>
      <c r="C59" s="7">
        <v>0.28000000000000003</v>
      </c>
      <c r="D59" s="7">
        <f t="shared" si="1"/>
        <v>0.24000000000000002</v>
      </c>
      <c r="E59" s="7">
        <f t="shared" si="2"/>
        <v>4.8000000000000004E-3</v>
      </c>
      <c r="F59" s="7">
        <f t="shared" si="3"/>
        <v>0.23520000000000002</v>
      </c>
    </row>
    <row r="60" spans="1:6" ht="14.5" x14ac:dyDescent="0.35">
      <c r="A60" s="48"/>
      <c r="B60" s="5" t="s">
        <v>670</v>
      </c>
      <c r="C60" s="7">
        <v>0.59</v>
      </c>
      <c r="D60" s="7">
        <f t="shared" si="1"/>
        <v>0.54999999999999993</v>
      </c>
      <c r="E60" s="7">
        <f t="shared" si="2"/>
        <v>1.0999999999999999E-2</v>
      </c>
      <c r="F60" s="7">
        <f t="shared" si="3"/>
        <v>0.53899999999999992</v>
      </c>
    </row>
    <row r="61" spans="1:6" ht="14.5" x14ac:dyDescent="0.35">
      <c r="A61" s="48"/>
      <c r="B61" s="5" t="s">
        <v>671</v>
      </c>
      <c r="C61" s="7">
        <v>0.55000000000000004</v>
      </c>
      <c r="D61" s="7">
        <f t="shared" si="1"/>
        <v>0.51</v>
      </c>
      <c r="E61" s="7">
        <f t="shared" si="2"/>
        <v>1.0200000000000001E-2</v>
      </c>
      <c r="F61" s="7">
        <f t="shared" si="3"/>
        <v>0.49980000000000002</v>
      </c>
    </row>
    <row r="62" spans="1:6" ht="14.5" x14ac:dyDescent="0.35">
      <c r="A62" s="48"/>
      <c r="B62" s="5" t="s">
        <v>672</v>
      </c>
      <c r="C62" s="7">
        <v>0.47</v>
      </c>
      <c r="D62" s="7">
        <f t="shared" si="1"/>
        <v>0.43</v>
      </c>
      <c r="E62" s="7">
        <f t="shared" si="2"/>
        <v>8.6E-3</v>
      </c>
      <c r="F62" s="7">
        <f t="shared" si="3"/>
        <v>0.4214</v>
      </c>
    </row>
    <row r="63" spans="1:6" ht="14.5" x14ac:dyDescent="0.35">
      <c r="A63" s="48"/>
      <c r="B63" s="5" t="s">
        <v>673</v>
      </c>
      <c r="C63" s="7">
        <v>0.6</v>
      </c>
      <c r="D63" s="7">
        <f t="shared" si="1"/>
        <v>0.55999999999999994</v>
      </c>
      <c r="E63" s="7">
        <f t="shared" si="2"/>
        <v>1.12E-2</v>
      </c>
      <c r="F63" s="7">
        <f t="shared" si="3"/>
        <v>0.54879999999999995</v>
      </c>
    </row>
    <row r="64" spans="1:6" ht="14.5" x14ac:dyDescent="0.35">
      <c r="A64" s="48"/>
      <c r="B64" s="5" t="s">
        <v>674</v>
      </c>
      <c r="C64" s="7">
        <v>0.6</v>
      </c>
      <c r="D64" s="7">
        <f t="shared" si="1"/>
        <v>0.55999999999999994</v>
      </c>
      <c r="E64" s="7">
        <f t="shared" si="2"/>
        <v>1.12E-2</v>
      </c>
      <c r="F64" s="7">
        <f t="shared" si="3"/>
        <v>0.54879999999999995</v>
      </c>
    </row>
    <row r="65" spans="1:6" ht="14.5" x14ac:dyDescent="0.35">
      <c r="A65" s="48"/>
      <c r="B65" s="5" t="s">
        <v>675</v>
      </c>
      <c r="C65" s="7">
        <v>0.56000000000000005</v>
      </c>
      <c r="D65" s="7">
        <f t="shared" si="1"/>
        <v>0.52</v>
      </c>
      <c r="E65" s="7">
        <f t="shared" si="2"/>
        <v>1.0400000000000001E-2</v>
      </c>
      <c r="F65" s="7">
        <f t="shared" si="3"/>
        <v>0.50960000000000005</v>
      </c>
    </row>
    <row r="66" spans="1:6" ht="14.5" x14ac:dyDescent="0.35">
      <c r="A66" s="48"/>
      <c r="B66" s="5" t="s">
        <v>676</v>
      </c>
      <c r="C66" s="7">
        <v>0.27</v>
      </c>
      <c r="D66" s="7">
        <f t="shared" si="1"/>
        <v>0.23</v>
      </c>
      <c r="E66" s="7">
        <f t="shared" si="2"/>
        <v>4.5999999999999999E-3</v>
      </c>
      <c r="F66" s="7">
        <f t="shared" si="3"/>
        <v>0.22540000000000002</v>
      </c>
    </row>
    <row r="67" spans="1:6" ht="14.5" x14ac:dyDescent="0.35">
      <c r="A67" s="48"/>
      <c r="B67" s="5" t="s">
        <v>677</v>
      </c>
      <c r="C67" s="7">
        <v>0.53</v>
      </c>
      <c r="D67" s="7">
        <f t="shared" si="1"/>
        <v>0.49000000000000005</v>
      </c>
      <c r="E67" s="7">
        <f t="shared" si="2"/>
        <v>9.8000000000000014E-3</v>
      </c>
      <c r="F67" s="7">
        <f t="shared" si="3"/>
        <v>0.48020000000000007</v>
      </c>
    </row>
    <row r="68" spans="1:6" ht="14.5" x14ac:dyDescent="0.35">
      <c r="A68" s="48"/>
      <c r="B68" s="5" t="s">
        <v>678</v>
      </c>
      <c r="C68" s="7">
        <v>0.28999999999999998</v>
      </c>
      <c r="D68" s="7">
        <f t="shared" si="1"/>
        <v>0.24999999999999997</v>
      </c>
      <c r="E68" s="7">
        <f t="shared" si="2"/>
        <v>4.9999999999999992E-3</v>
      </c>
      <c r="F68" s="7">
        <f t="shared" si="3"/>
        <v>0.24499999999999997</v>
      </c>
    </row>
    <row r="69" spans="1:6" ht="14.5" x14ac:dyDescent="0.35">
      <c r="A69" s="48"/>
      <c r="B69" s="5" t="s">
        <v>679</v>
      </c>
      <c r="C69" s="7">
        <v>0.31</v>
      </c>
      <c r="D69" s="7">
        <f t="shared" si="1"/>
        <v>0.27</v>
      </c>
      <c r="E69" s="7">
        <f t="shared" si="2"/>
        <v>5.4000000000000003E-3</v>
      </c>
      <c r="F69" s="7">
        <f t="shared" si="3"/>
        <v>0.2646</v>
      </c>
    </row>
    <row r="70" spans="1:6" ht="14.5" x14ac:dyDescent="0.35">
      <c r="A70" s="5" t="s">
        <v>680</v>
      </c>
      <c r="B70" s="5" t="s">
        <v>681</v>
      </c>
      <c r="C70" s="7">
        <v>0.375</v>
      </c>
      <c r="D70" s="7">
        <f t="shared" si="1"/>
        <v>0.33500000000000002</v>
      </c>
      <c r="E70" s="7">
        <f t="shared" si="2"/>
        <v>6.7000000000000002E-3</v>
      </c>
      <c r="F70" s="7">
        <f t="shared" si="3"/>
        <v>0.32830000000000004</v>
      </c>
    </row>
    <row r="71" spans="1:6" ht="14.5" x14ac:dyDescent="0.35">
      <c r="A71" s="5" t="s">
        <v>682</v>
      </c>
      <c r="B71" s="5" t="s">
        <v>681</v>
      </c>
      <c r="C71" s="7">
        <v>0.32500000000000001</v>
      </c>
      <c r="D71" s="7">
        <f t="shared" ref="D71:D134" si="4">C71-(4%)</f>
        <v>0.28500000000000003</v>
      </c>
      <c r="E71" s="7">
        <f t="shared" ref="E71:E134" si="5">D71*2%</f>
        <v>5.7000000000000011E-3</v>
      </c>
      <c r="F71" s="7">
        <f t="shared" ref="F71:F134" si="6">D71-E71</f>
        <v>0.27930000000000005</v>
      </c>
    </row>
    <row r="72" spans="1:6" ht="14.5" x14ac:dyDescent="0.35">
      <c r="A72" s="48" t="s">
        <v>210</v>
      </c>
      <c r="B72" s="5" t="s">
        <v>662</v>
      </c>
      <c r="C72" s="7">
        <v>0.27</v>
      </c>
      <c r="D72" s="7">
        <f t="shared" si="4"/>
        <v>0.23</v>
      </c>
      <c r="E72" s="7">
        <f t="shared" si="5"/>
        <v>4.5999999999999999E-3</v>
      </c>
      <c r="F72" s="7">
        <f t="shared" si="6"/>
        <v>0.22540000000000002</v>
      </c>
    </row>
    <row r="73" spans="1:6" ht="14.5" x14ac:dyDescent="0.35">
      <c r="A73" s="48"/>
      <c r="B73" s="5" t="s">
        <v>683</v>
      </c>
      <c r="C73" s="7">
        <v>0.27</v>
      </c>
      <c r="D73" s="7">
        <f t="shared" si="4"/>
        <v>0.23</v>
      </c>
      <c r="E73" s="7">
        <f t="shared" si="5"/>
        <v>4.5999999999999999E-3</v>
      </c>
      <c r="F73" s="7">
        <f t="shared" si="6"/>
        <v>0.22540000000000002</v>
      </c>
    </row>
    <row r="74" spans="1:6" ht="14.5" x14ac:dyDescent="0.35">
      <c r="A74" s="48"/>
      <c r="B74" s="5" t="s">
        <v>684</v>
      </c>
      <c r="C74" s="7">
        <v>0.18</v>
      </c>
      <c r="D74" s="7">
        <f t="shared" si="4"/>
        <v>0.13999999999999999</v>
      </c>
      <c r="E74" s="7">
        <f t="shared" si="5"/>
        <v>2.8E-3</v>
      </c>
      <c r="F74" s="7">
        <f t="shared" si="6"/>
        <v>0.13719999999999999</v>
      </c>
    </row>
    <row r="75" spans="1:6" ht="14.5" x14ac:dyDescent="0.35">
      <c r="A75" s="48"/>
      <c r="B75" s="5" t="s">
        <v>685</v>
      </c>
      <c r="C75" s="7">
        <v>0</v>
      </c>
      <c r="D75" s="7" t="s">
        <v>20</v>
      </c>
      <c r="E75" s="7" t="s">
        <v>20</v>
      </c>
      <c r="F75" s="7" t="s">
        <v>20</v>
      </c>
    </row>
    <row r="76" spans="1:6" ht="14.5" x14ac:dyDescent="0.35">
      <c r="A76" s="48" t="s">
        <v>376</v>
      </c>
      <c r="B76" s="5" t="s">
        <v>686</v>
      </c>
      <c r="C76" s="7">
        <v>0.35</v>
      </c>
      <c r="D76" s="7">
        <f t="shared" si="4"/>
        <v>0.31</v>
      </c>
      <c r="E76" s="7">
        <f t="shared" si="5"/>
        <v>6.1999999999999998E-3</v>
      </c>
      <c r="F76" s="7">
        <f t="shared" si="6"/>
        <v>0.30380000000000001</v>
      </c>
    </row>
    <row r="77" spans="1:6" ht="14.5" x14ac:dyDescent="0.35">
      <c r="A77" s="48"/>
      <c r="B77" s="5" t="s">
        <v>684</v>
      </c>
      <c r="C77" s="7">
        <v>0</v>
      </c>
      <c r="D77" s="7" t="s">
        <v>20</v>
      </c>
      <c r="E77" s="7" t="s">
        <v>20</v>
      </c>
      <c r="F77" s="7" t="s">
        <v>20</v>
      </c>
    </row>
    <row r="78" spans="1:6" ht="14.5" x14ac:dyDescent="0.35">
      <c r="A78" s="48"/>
      <c r="B78" s="5" t="s">
        <v>683</v>
      </c>
      <c r="C78" s="7">
        <v>0.55000000000000004</v>
      </c>
      <c r="D78" s="7">
        <f t="shared" si="4"/>
        <v>0.51</v>
      </c>
      <c r="E78" s="7">
        <f t="shared" si="5"/>
        <v>1.0200000000000001E-2</v>
      </c>
      <c r="F78" s="7">
        <f t="shared" si="6"/>
        <v>0.49980000000000002</v>
      </c>
    </row>
    <row r="79" spans="1:6" ht="14.5" x14ac:dyDescent="0.35">
      <c r="A79" s="48"/>
      <c r="B79" s="5" t="s">
        <v>687</v>
      </c>
      <c r="C79" s="7">
        <v>0.55000000000000004</v>
      </c>
      <c r="D79" s="7">
        <f t="shared" si="4"/>
        <v>0.51</v>
      </c>
      <c r="E79" s="7">
        <f t="shared" si="5"/>
        <v>1.0200000000000001E-2</v>
      </c>
      <c r="F79" s="7">
        <f t="shared" si="6"/>
        <v>0.49980000000000002</v>
      </c>
    </row>
    <row r="80" spans="1:6" ht="14.5" x14ac:dyDescent="0.35">
      <c r="A80" s="48"/>
      <c r="B80" s="5" t="s">
        <v>688</v>
      </c>
      <c r="C80" s="7">
        <v>0.55000000000000004</v>
      </c>
      <c r="D80" s="7">
        <f t="shared" si="4"/>
        <v>0.51</v>
      </c>
      <c r="E80" s="7">
        <f t="shared" si="5"/>
        <v>1.0200000000000001E-2</v>
      </c>
      <c r="F80" s="7">
        <f t="shared" si="6"/>
        <v>0.49980000000000002</v>
      </c>
    </row>
    <row r="81" spans="1:6" ht="14.5" x14ac:dyDescent="0.35">
      <c r="A81" s="48" t="s">
        <v>689</v>
      </c>
      <c r="B81" s="5" t="s">
        <v>686</v>
      </c>
      <c r="C81" s="7">
        <v>0.25</v>
      </c>
      <c r="D81" s="7">
        <f t="shared" si="4"/>
        <v>0.21</v>
      </c>
      <c r="E81" s="7">
        <f t="shared" si="5"/>
        <v>4.1999999999999997E-3</v>
      </c>
      <c r="F81" s="7">
        <f t="shared" si="6"/>
        <v>0.20579999999999998</v>
      </c>
    </row>
    <row r="82" spans="1:6" ht="14.5" x14ac:dyDescent="0.35">
      <c r="A82" s="48"/>
      <c r="B82" s="5" t="s">
        <v>684</v>
      </c>
      <c r="C82" s="7">
        <v>0</v>
      </c>
      <c r="D82" s="7" t="s">
        <v>20</v>
      </c>
      <c r="E82" s="7" t="s">
        <v>20</v>
      </c>
      <c r="F82" s="7" t="s">
        <v>20</v>
      </c>
    </row>
    <row r="83" spans="1:6" ht="14.5" x14ac:dyDescent="0.35">
      <c r="A83" s="48"/>
      <c r="B83" s="5" t="s">
        <v>683</v>
      </c>
      <c r="C83" s="7">
        <v>0</v>
      </c>
      <c r="D83" s="7" t="s">
        <v>20</v>
      </c>
      <c r="E83" s="7" t="s">
        <v>20</v>
      </c>
      <c r="F83" s="7" t="s">
        <v>20</v>
      </c>
    </row>
    <row r="84" spans="1:6" ht="14.5" x14ac:dyDescent="0.35">
      <c r="A84" s="48"/>
      <c r="B84" s="5" t="s">
        <v>687</v>
      </c>
      <c r="C84" s="7">
        <v>0.3</v>
      </c>
      <c r="D84" s="7">
        <f t="shared" si="4"/>
        <v>0.26</v>
      </c>
      <c r="E84" s="7">
        <f t="shared" si="5"/>
        <v>5.2000000000000006E-3</v>
      </c>
      <c r="F84" s="7">
        <f t="shared" si="6"/>
        <v>0.25480000000000003</v>
      </c>
    </row>
    <row r="85" spans="1:6" ht="14.5" x14ac:dyDescent="0.35">
      <c r="A85" s="48"/>
      <c r="B85" s="5" t="s">
        <v>688</v>
      </c>
      <c r="C85" s="7">
        <v>0.4</v>
      </c>
      <c r="D85" s="7">
        <f t="shared" si="4"/>
        <v>0.36000000000000004</v>
      </c>
      <c r="E85" s="7">
        <f t="shared" si="5"/>
        <v>7.2000000000000007E-3</v>
      </c>
      <c r="F85" s="7">
        <f t="shared" si="6"/>
        <v>0.35280000000000006</v>
      </c>
    </row>
    <row r="86" spans="1:6" ht="14.5" x14ac:dyDescent="0.35">
      <c r="A86" s="48" t="s">
        <v>36</v>
      </c>
      <c r="B86" s="5" t="s">
        <v>686</v>
      </c>
      <c r="C86" s="7">
        <v>0.5</v>
      </c>
      <c r="D86" s="7">
        <f t="shared" si="4"/>
        <v>0.46</v>
      </c>
      <c r="E86" s="7">
        <f t="shared" si="5"/>
        <v>9.1999999999999998E-3</v>
      </c>
      <c r="F86" s="7">
        <f t="shared" si="6"/>
        <v>0.45080000000000003</v>
      </c>
    </row>
    <row r="87" spans="1:6" ht="14.5" x14ac:dyDescent="0.35">
      <c r="A87" s="48"/>
      <c r="B87" s="5" t="s">
        <v>684</v>
      </c>
      <c r="C87" s="7">
        <v>0</v>
      </c>
      <c r="D87" s="7" t="s">
        <v>20</v>
      </c>
      <c r="E87" s="7" t="s">
        <v>20</v>
      </c>
      <c r="F87" s="7" t="s">
        <v>20</v>
      </c>
    </row>
    <row r="88" spans="1:6" ht="14.5" x14ac:dyDescent="0.35">
      <c r="A88" s="48"/>
      <c r="B88" s="5" t="s">
        <v>683</v>
      </c>
      <c r="C88" s="7">
        <v>0</v>
      </c>
      <c r="D88" s="7" t="s">
        <v>20</v>
      </c>
      <c r="E88" s="7" t="s">
        <v>20</v>
      </c>
      <c r="F88" s="7" t="s">
        <v>20</v>
      </c>
    </row>
    <row r="89" spans="1:6" ht="14.5" x14ac:dyDescent="0.35">
      <c r="A89" s="48"/>
      <c r="B89" s="5" t="s">
        <v>687</v>
      </c>
      <c r="C89" s="7">
        <v>0.55000000000000004</v>
      </c>
      <c r="D89" s="7">
        <f t="shared" si="4"/>
        <v>0.51</v>
      </c>
      <c r="E89" s="7">
        <f t="shared" si="5"/>
        <v>1.0200000000000001E-2</v>
      </c>
      <c r="F89" s="7">
        <f t="shared" si="6"/>
        <v>0.49980000000000002</v>
      </c>
    </row>
    <row r="90" spans="1:6" ht="14.5" x14ac:dyDescent="0.35">
      <c r="A90" s="48"/>
      <c r="B90" s="5" t="s">
        <v>688</v>
      </c>
      <c r="C90" s="7">
        <v>0.5</v>
      </c>
      <c r="D90" s="7">
        <f t="shared" si="4"/>
        <v>0.46</v>
      </c>
      <c r="E90" s="7">
        <f t="shared" si="5"/>
        <v>9.1999999999999998E-3</v>
      </c>
      <c r="F90" s="7">
        <f t="shared" si="6"/>
        <v>0.45080000000000003</v>
      </c>
    </row>
    <row r="91" spans="1:6" ht="14.5" x14ac:dyDescent="0.35">
      <c r="A91" s="41" t="s">
        <v>481</v>
      </c>
      <c r="B91" s="5" t="s">
        <v>687</v>
      </c>
      <c r="C91" s="6">
        <v>0.41</v>
      </c>
      <c r="D91" s="7">
        <f t="shared" si="4"/>
        <v>0.37</v>
      </c>
      <c r="E91" s="7">
        <f t="shared" si="5"/>
        <v>7.4000000000000003E-3</v>
      </c>
      <c r="F91" s="7">
        <f t="shared" si="6"/>
        <v>0.36259999999999998</v>
      </c>
    </row>
    <row r="92" spans="1:6" ht="14.5" x14ac:dyDescent="0.35">
      <c r="A92" s="42"/>
      <c r="B92" s="5" t="s">
        <v>688</v>
      </c>
      <c r="C92" s="6">
        <v>0.41</v>
      </c>
      <c r="D92" s="7">
        <f t="shared" si="4"/>
        <v>0.37</v>
      </c>
      <c r="E92" s="7">
        <f t="shared" si="5"/>
        <v>7.4000000000000003E-3</v>
      </c>
      <c r="F92" s="7">
        <f t="shared" si="6"/>
        <v>0.36259999999999998</v>
      </c>
    </row>
    <row r="93" spans="1:6" ht="14.5" x14ac:dyDescent="0.35">
      <c r="A93" s="42"/>
      <c r="B93" s="5" t="s">
        <v>686</v>
      </c>
      <c r="C93" s="6">
        <v>0.41</v>
      </c>
      <c r="D93" s="7">
        <f t="shared" si="4"/>
        <v>0.37</v>
      </c>
      <c r="E93" s="7">
        <f t="shared" si="5"/>
        <v>7.4000000000000003E-3</v>
      </c>
      <c r="F93" s="7">
        <f t="shared" si="6"/>
        <v>0.36259999999999998</v>
      </c>
    </row>
    <row r="94" spans="1:6" ht="14.5" x14ac:dyDescent="0.35">
      <c r="A94" s="42"/>
      <c r="B94" s="5" t="s">
        <v>684</v>
      </c>
      <c r="C94" s="6">
        <v>0.41</v>
      </c>
      <c r="D94" s="7">
        <f t="shared" si="4"/>
        <v>0.37</v>
      </c>
      <c r="E94" s="7">
        <f t="shared" si="5"/>
        <v>7.4000000000000003E-3</v>
      </c>
      <c r="F94" s="7">
        <f t="shared" si="6"/>
        <v>0.36259999999999998</v>
      </c>
    </row>
    <row r="95" spans="1:6" ht="14.5" x14ac:dyDescent="0.35">
      <c r="A95" s="43"/>
      <c r="B95" s="5" t="s">
        <v>683</v>
      </c>
      <c r="C95" s="6">
        <v>0.38500000000000001</v>
      </c>
      <c r="D95" s="7">
        <f t="shared" si="4"/>
        <v>0.34500000000000003</v>
      </c>
      <c r="E95" s="7">
        <f t="shared" si="5"/>
        <v>6.9000000000000008E-3</v>
      </c>
      <c r="F95" s="7">
        <f t="shared" si="6"/>
        <v>0.33810000000000001</v>
      </c>
    </row>
    <row r="96" spans="1:6" ht="14.5" x14ac:dyDescent="0.35">
      <c r="A96" s="5" t="s">
        <v>38</v>
      </c>
      <c r="B96" s="5" t="s">
        <v>100</v>
      </c>
      <c r="C96" s="7">
        <v>0.35</v>
      </c>
      <c r="D96" s="7">
        <f t="shared" si="4"/>
        <v>0.31</v>
      </c>
      <c r="E96" s="7">
        <f t="shared" si="5"/>
        <v>6.1999999999999998E-3</v>
      </c>
      <c r="F96" s="7">
        <f t="shared" si="6"/>
        <v>0.30380000000000001</v>
      </c>
    </row>
    <row r="97" spans="1:6" ht="14.5" x14ac:dyDescent="0.35">
      <c r="A97" s="41" t="s">
        <v>690</v>
      </c>
      <c r="B97" s="5" t="s">
        <v>691</v>
      </c>
      <c r="C97" s="7">
        <v>0.19500000000000001</v>
      </c>
      <c r="D97" s="7">
        <f t="shared" si="4"/>
        <v>0.155</v>
      </c>
      <c r="E97" s="7">
        <f t="shared" si="5"/>
        <v>3.0999999999999999E-3</v>
      </c>
      <c r="F97" s="7">
        <f t="shared" si="6"/>
        <v>0.15190000000000001</v>
      </c>
    </row>
    <row r="98" spans="1:6" ht="14.5" x14ac:dyDescent="0.35">
      <c r="A98" s="43"/>
      <c r="B98" s="5" t="s">
        <v>692</v>
      </c>
      <c r="C98" s="7">
        <v>0.55000000000000004</v>
      </c>
      <c r="D98" s="7">
        <f t="shared" si="4"/>
        <v>0.51</v>
      </c>
      <c r="E98" s="7">
        <f t="shared" si="5"/>
        <v>1.0200000000000001E-2</v>
      </c>
      <c r="F98" s="7">
        <f t="shared" si="6"/>
        <v>0.49980000000000002</v>
      </c>
    </row>
    <row r="99" spans="1:6" ht="14.5" x14ac:dyDescent="0.35">
      <c r="A99" s="41" t="s">
        <v>693</v>
      </c>
      <c r="B99" s="5" t="s">
        <v>691</v>
      </c>
      <c r="C99" s="7">
        <v>0.19500000000000001</v>
      </c>
      <c r="D99" s="7">
        <f t="shared" si="4"/>
        <v>0.155</v>
      </c>
      <c r="E99" s="7">
        <f t="shared" si="5"/>
        <v>3.0999999999999999E-3</v>
      </c>
      <c r="F99" s="7">
        <f t="shared" si="6"/>
        <v>0.15190000000000001</v>
      </c>
    </row>
    <row r="100" spans="1:6" ht="14.5" x14ac:dyDescent="0.35">
      <c r="A100" s="43"/>
      <c r="B100" s="5" t="s">
        <v>692</v>
      </c>
      <c r="C100" s="7">
        <v>0.5</v>
      </c>
      <c r="D100" s="7">
        <f t="shared" si="4"/>
        <v>0.46</v>
      </c>
      <c r="E100" s="7">
        <f t="shared" si="5"/>
        <v>9.1999999999999998E-3</v>
      </c>
      <c r="F100" s="7">
        <f t="shared" si="6"/>
        <v>0.45080000000000003</v>
      </c>
    </row>
    <row r="101" spans="1:6" ht="14.5" x14ac:dyDescent="0.35">
      <c r="A101" s="2" t="s">
        <v>41</v>
      </c>
      <c r="B101" s="2" t="s">
        <v>1</v>
      </c>
      <c r="C101" s="3" t="s">
        <v>2</v>
      </c>
      <c r="D101" s="4" t="s">
        <v>4</v>
      </c>
      <c r="E101" s="4" t="s">
        <v>5</v>
      </c>
      <c r="F101" s="4" t="s">
        <v>6</v>
      </c>
    </row>
    <row r="102" spans="1:6" ht="14.5" x14ac:dyDescent="0.35">
      <c r="A102" s="55" t="s">
        <v>694</v>
      </c>
      <c r="B102" s="11" t="s">
        <v>665</v>
      </c>
      <c r="C102" s="7">
        <v>0.45</v>
      </c>
      <c r="D102" s="7">
        <f t="shared" si="4"/>
        <v>0.41000000000000003</v>
      </c>
      <c r="E102" s="7">
        <f t="shared" si="5"/>
        <v>8.2000000000000007E-3</v>
      </c>
      <c r="F102" s="7">
        <f t="shared" si="6"/>
        <v>0.40180000000000005</v>
      </c>
    </row>
    <row r="103" spans="1:6" ht="14.5" x14ac:dyDescent="0.35">
      <c r="A103" s="56"/>
      <c r="B103" s="11" t="s">
        <v>666</v>
      </c>
      <c r="C103" s="7">
        <v>0.45</v>
      </c>
      <c r="D103" s="7">
        <f t="shared" si="4"/>
        <v>0.41000000000000003</v>
      </c>
      <c r="E103" s="7">
        <f t="shared" si="5"/>
        <v>8.2000000000000007E-3</v>
      </c>
      <c r="F103" s="7">
        <f t="shared" si="6"/>
        <v>0.40180000000000005</v>
      </c>
    </row>
    <row r="104" spans="1:6" ht="14.5" x14ac:dyDescent="0.35">
      <c r="A104" s="56"/>
      <c r="B104" s="11" t="s">
        <v>667</v>
      </c>
      <c r="C104" s="7">
        <v>0.45</v>
      </c>
      <c r="D104" s="7">
        <f t="shared" si="4"/>
        <v>0.41000000000000003</v>
      </c>
      <c r="E104" s="7">
        <f t="shared" si="5"/>
        <v>8.2000000000000007E-3</v>
      </c>
      <c r="F104" s="7">
        <f t="shared" si="6"/>
        <v>0.40180000000000005</v>
      </c>
    </row>
    <row r="105" spans="1:6" ht="14.5" x14ac:dyDescent="0.35">
      <c r="A105" s="56"/>
      <c r="B105" s="11" t="s">
        <v>668</v>
      </c>
      <c r="C105" s="7">
        <v>0.45</v>
      </c>
      <c r="D105" s="7">
        <f t="shared" si="4"/>
        <v>0.41000000000000003</v>
      </c>
      <c r="E105" s="7">
        <f t="shared" si="5"/>
        <v>8.2000000000000007E-3</v>
      </c>
      <c r="F105" s="7">
        <f t="shared" si="6"/>
        <v>0.40180000000000005</v>
      </c>
    </row>
    <row r="106" spans="1:6" ht="14.5" x14ac:dyDescent="0.35">
      <c r="A106" s="56"/>
      <c r="B106" s="11" t="s">
        <v>669</v>
      </c>
      <c r="C106" s="7">
        <v>0.45</v>
      </c>
      <c r="D106" s="7">
        <f t="shared" si="4"/>
        <v>0.41000000000000003</v>
      </c>
      <c r="E106" s="7">
        <f t="shared" si="5"/>
        <v>8.2000000000000007E-3</v>
      </c>
      <c r="F106" s="7">
        <f t="shared" si="6"/>
        <v>0.40180000000000005</v>
      </c>
    </row>
    <row r="107" spans="1:6" ht="14.5" x14ac:dyDescent="0.35">
      <c r="A107" s="56"/>
      <c r="B107" s="11" t="s">
        <v>670</v>
      </c>
      <c r="C107" s="7">
        <v>0.45</v>
      </c>
      <c r="D107" s="7">
        <f t="shared" si="4"/>
        <v>0.41000000000000003</v>
      </c>
      <c r="E107" s="7">
        <f t="shared" si="5"/>
        <v>8.2000000000000007E-3</v>
      </c>
      <c r="F107" s="7">
        <f t="shared" si="6"/>
        <v>0.40180000000000005</v>
      </c>
    </row>
    <row r="108" spans="1:6" ht="14.5" x14ac:dyDescent="0.35">
      <c r="A108" s="56"/>
      <c r="B108" s="11" t="s">
        <v>671</v>
      </c>
      <c r="C108" s="7">
        <v>0.45</v>
      </c>
      <c r="D108" s="7">
        <f t="shared" si="4"/>
        <v>0.41000000000000003</v>
      </c>
      <c r="E108" s="7">
        <f t="shared" si="5"/>
        <v>8.2000000000000007E-3</v>
      </c>
      <c r="F108" s="7">
        <f t="shared" si="6"/>
        <v>0.40180000000000005</v>
      </c>
    </row>
    <row r="109" spans="1:6" ht="14.5" x14ac:dyDescent="0.35">
      <c r="A109" s="56"/>
      <c r="B109" s="11" t="s">
        <v>673</v>
      </c>
      <c r="C109" s="7">
        <v>0.45</v>
      </c>
      <c r="D109" s="7">
        <f t="shared" si="4"/>
        <v>0.41000000000000003</v>
      </c>
      <c r="E109" s="7">
        <f t="shared" si="5"/>
        <v>8.2000000000000007E-3</v>
      </c>
      <c r="F109" s="7">
        <f t="shared" si="6"/>
        <v>0.40180000000000005</v>
      </c>
    </row>
    <row r="110" spans="1:6" ht="14.5" x14ac:dyDescent="0.35">
      <c r="A110" s="56"/>
      <c r="B110" s="11" t="s">
        <v>674</v>
      </c>
      <c r="C110" s="7">
        <v>0.45</v>
      </c>
      <c r="D110" s="7">
        <f t="shared" si="4"/>
        <v>0.41000000000000003</v>
      </c>
      <c r="E110" s="7">
        <f t="shared" si="5"/>
        <v>8.2000000000000007E-3</v>
      </c>
      <c r="F110" s="7">
        <f t="shared" si="6"/>
        <v>0.40180000000000005</v>
      </c>
    </row>
    <row r="111" spans="1:6" ht="14.5" x14ac:dyDescent="0.35">
      <c r="A111" s="56"/>
      <c r="B111" s="11" t="s">
        <v>687</v>
      </c>
      <c r="C111" s="7">
        <v>0.45</v>
      </c>
      <c r="D111" s="7">
        <f t="shared" si="4"/>
        <v>0.41000000000000003</v>
      </c>
      <c r="E111" s="7">
        <f t="shared" si="5"/>
        <v>8.2000000000000007E-3</v>
      </c>
      <c r="F111" s="7">
        <f t="shared" si="6"/>
        <v>0.40180000000000005</v>
      </c>
    </row>
    <row r="112" spans="1:6" ht="14.5" x14ac:dyDescent="0.35">
      <c r="A112" s="56"/>
      <c r="B112" s="11" t="s">
        <v>672</v>
      </c>
      <c r="C112" s="7">
        <v>0.45</v>
      </c>
      <c r="D112" s="7">
        <f t="shared" si="4"/>
        <v>0.41000000000000003</v>
      </c>
      <c r="E112" s="7">
        <f t="shared" si="5"/>
        <v>8.2000000000000007E-3</v>
      </c>
      <c r="F112" s="7">
        <f t="shared" si="6"/>
        <v>0.40180000000000005</v>
      </c>
    </row>
    <row r="113" spans="1:6" ht="14.5" x14ac:dyDescent="0.35">
      <c r="A113" s="56"/>
      <c r="B113" s="11" t="s">
        <v>678</v>
      </c>
      <c r="C113" s="7">
        <v>0.45</v>
      </c>
      <c r="D113" s="7">
        <f t="shared" si="4"/>
        <v>0.41000000000000003</v>
      </c>
      <c r="E113" s="7">
        <f t="shared" si="5"/>
        <v>8.2000000000000007E-3</v>
      </c>
      <c r="F113" s="7">
        <f t="shared" si="6"/>
        <v>0.40180000000000005</v>
      </c>
    </row>
    <row r="114" spans="1:6" ht="14.5" x14ac:dyDescent="0.35">
      <c r="A114" s="56"/>
      <c r="B114" s="11" t="s">
        <v>677</v>
      </c>
      <c r="C114" s="7">
        <v>0.45</v>
      </c>
      <c r="D114" s="7">
        <f t="shared" si="4"/>
        <v>0.41000000000000003</v>
      </c>
      <c r="E114" s="7">
        <f t="shared" si="5"/>
        <v>8.2000000000000007E-3</v>
      </c>
      <c r="F114" s="7">
        <f t="shared" si="6"/>
        <v>0.40180000000000005</v>
      </c>
    </row>
    <row r="115" spans="1:6" ht="14.5" x14ac:dyDescent="0.35">
      <c r="A115" s="56"/>
      <c r="B115" s="11" t="s">
        <v>675</v>
      </c>
      <c r="C115" s="7">
        <v>0.45</v>
      </c>
      <c r="D115" s="7">
        <f t="shared" si="4"/>
        <v>0.41000000000000003</v>
      </c>
      <c r="E115" s="7">
        <f t="shared" si="5"/>
        <v>8.2000000000000007E-3</v>
      </c>
      <c r="F115" s="7">
        <f t="shared" si="6"/>
        <v>0.40180000000000005</v>
      </c>
    </row>
    <row r="116" spans="1:6" ht="14.5" x14ac:dyDescent="0.35">
      <c r="A116" s="56"/>
      <c r="B116" s="11" t="s">
        <v>676</v>
      </c>
      <c r="C116" s="7">
        <v>0.45</v>
      </c>
      <c r="D116" s="7">
        <f t="shared" si="4"/>
        <v>0.41000000000000003</v>
      </c>
      <c r="E116" s="7">
        <f t="shared" si="5"/>
        <v>8.2000000000000007E-3</v>
      </c>
      <c r="F116" s="7">
        <f t="shared" si="6"/>
        <v>0.40180000000000005</v>
      </c>
    </row>
    <row r="117" spans="1:6" ht="14.5" x14ac:dyDescent="0.35">
      <c r="A117" s="57"/>
      <c r="B117" s="11" t="s">
        <v>679</v>
      </c>
      <c r="C117" s="7">
        <v>0.45</v>
      </c>
      <c r="D117" s="7">
        <f t="shared" si="4"/>
        <v>0.41000000000000003</v>
      </c>
      <c r="E117" s="7">
        <f t="shared" si="5"/>
        <v>8.2000000000000007E-3</v>
      </c>
      <c r="F117" s="7">
        <f t="shared" si="6"/>
        <v>0.40180000000000005</v>
      </c>
    </row>
    <row r="118" spans="1:6" ht="14.5" x14ac:dyDescent="0.35">
      <c r="A118" s="40" t="s">
        <v>386</v>
      </c>
      <c r="B118" s="11" t="s">
        <v>665</v>
      </c>
      <c r="C118" s="7">
        <v>0.32</v>
      </c>
      <c r="D118" s="7">
        <f t="shared" si="4"/>
        <v>0.28000000000000003</v>
      </c>
      <c r="E118" s="7">
        <f t="shared" si="5"/>
        <v>5.6000000000000008E-3</v>
      </c>
      <c r="F118" s="7">
        <f t="shared" si="6"/>
        <v>0.27440000000000003</v>
      </c>
    </row>
    <row r="119" spans="1:6" ht="14.5" x14ac:dyDescent="0.35">
      <c r="A119" s="40"/>
      <c r="B119" s="11" t="s">
        <v>666</v>
      </c>
      <c r="C119" s="7">
        <v>0.39</v>
      </c>
      <c r="D119" s="7">
        <f t="shared" si="4"/>
        <v>0.35000000000000003</v>
      </c>
      <c r="E119" s="7">
        <f t="shared" si="5"/>
        <v>7.000000000000001E-3</v>
      </c>
      <c r="F119" s="7">
        <f t="shared" si="6"/>
        <v>0.34300000000000003</v>
      </c>
    </row>
    <row r="120" spans="1:6" ht="14.5" x14ac:dyDescent="0.35">
      <c r="A120" s="40"/>
      <c r="B120" s="11" t="s">
        <v>667</v>
      </c>
      <c r="C120" s="7">
        <v>0.45</v>
      </c>
      <c r="D120" s="7">
        <f t="shared" si="4"/>
        <v>0.41000000000000003</v>
      </c>
      <c r="E120" s="7">
        <f t="shared" si="5"/>
        <v>8.2000000000000007E-3</v>
      </c>
      <c r="F120" s="7">
        <f t="shared" si="6"/>
        <v>0.40180000000000005</v>
      </c>
    </row>
    <row r="121" spans="1:6" ht="14.5" x14ac:dyDescent="0.35">
      <c r="A121" s="40"/>
      <c r="B121" s="11" t="s">
        <v>668</v>
      </c>
      <c r="C121" s="7">
        <v>0.45</v>
      </c>
      <c r="D121" s="7">
        <f t="shared" si="4"/>
        <v>0.41000000000000003</v>
      </c>
      <c r="E121" s="7">
        <f t="shared" si="5"/>
        <v>8.2000000000000007E-3</v>
      </c>
      <c r="F121" s="7">
        <f t="shared" si="6"/>
        <v>0.40180000000000005</v>
      </c>
    </row>
    <row r="122" spans="1:6" ht="14.5" x14ac:dyDescent="0.35">
      <c r="A122" s="40"/>
      <c r="B122" s="11" t="s">
        <v>669</v>
      </c>
      <c r="C122" s="7">
        <v>0.33</v>
      </c>
      <c r="D122" s="7">
        <f t="shared" si="4"/>
        <v>0.29000000000000004</v>
      </c>
      <c r="E122" s="7">
        <f t="shared" si="5"/>
        <v>5.8000000000000005E-3</v>
      </c>
      <c r="F122" s="7">
        <f t="shared" si="6"/>
        <v>0.28420000000000001</v>
      </c>
    </row>
    <row r="123" spans="1:6" ht="14.5" x14ac:dyDescent="0.35">
      <c r="A123" s="40"/>
      <c r="B123" s="11" t="s">
        <v>670</v>
      </c>
      <c r="C123" s="7">
        <v>0.45</v>
      </c>
      <c r="D123" s="7">
        <f t="shared" si="4"/>
        <v>0.41000000000000003</v>
      </c>
      <c r="E123" s="7">
        <f t="shared" si="5"/>
        <v>8.2000000000000007E-3</v>
      </c>
      <c r="F123" s="7">
        <f t="shared" si="6"/>
        <v>0.40180000000000005</v>
      </c>
    </row>
    <row r="124" spans="1:6" ht="14.5" x14ac:dyDescent="0.35">
      <c r="A124" s="40"/>
      <c r="B124" s="11" t="s">
        <v>671</v>
      </c>
      <c r="C124" s="7">
        <v>0.45</v>
      </c>
      <c r="D124" s="7">
        <f t="shared" si="4"/>
        <v>0.41000000000000003</v>
      </c>
      <c r="E124" s="7">
        <f t="shared" si="5"/>
        <v>8.2000000000000007E-3</v>
      </c>
      <c r="F124" s="7">
        <f t="shared" si="6"/>
        <v>0.40180000000000005</v>
      </c>
    </row>
    <row r="125" spans="1:6" ht="14.5" x14ac:dyDescent="0.35">
      <c r="A125" s="40"/>
      <c r="B125" s="11" t="s">
        <v>672</v>
      </c>
      <c r="C125" s="7">
        <v>0.45</v>
      </c>
      <c r="D125" s="7">
        <f t="shared" si="4"/>
        <v>0.41000000000000003</v>
      </c>
      <c r="E125" s="7">
        <f t="shared" si="5"/>
        <v>8.2000000000000007E-3</v>
      </c>
      <c r="F125" s="7">
        <f t="shared" si="6"/>
        <v>0.40180000000000005</v>
      </c>
    </row>
    <row r="126" spans="1:6" ht="14.5" x14ac:dyDescent="0.35">
      <c r="A126" s="40"/>
      <c r="B126" s="11" t="s">
        <v>673</v>
      </c>
      <c r="C126" s="7">
        <v>0.45</v>
      </c>
      <c r="D126" s="7">
        <f t="shared" si="4"/>
        <v>0.41000000000000003</v>
      </c>
      <c r="E126" s="7">
        <f t="shared" si="5"/>
        <v>8.2000000000000007E-3</v>
      </c>
      <c r="F126" s="7">
        <f t="shared" si="6"/>
        <v>0.40180000000000005</v>
      </c>
    </row>
    <row r="127" spans="1:6" ht="14.5" x14ac:dyDescent="0.35">
      <c r="A127" s="40"/>
      <c r="B127" s="11" t="s">
        <v>674</v>
      </c>
      <c r="C127" s="7">
        <v>0.45</v>
      </c>
      <c r="D127" s="7">
        <f t="shared" si="4"/>
        <v>0.41000000000000003</v>
      </c>
      <c r="E127" s="7">
        <f t="shared" si="5"/>
        <v>8.2000000000000007E-3</v>
      </c>
      <c r="F127" s="7">
        <f t="shared" si="6"/>
        <v>0.40180000000000005</v>
      </c>
    </row>
    <row r="128" spans="1:6" ht="14.5" x14ac:dyDescent="0.35">
      <c r="A128" s="40"/>
      <c r="B128" s="11" t="s">
        <v>675</v>
      </c>
      <c r="C128" s="7">
        <v>0.45</v>
      </c>
      <c r="D128" s="7">
        <f t="shared" si="4"/>
        <v>0.41000000000000003</v>
      </c>
      <c r="E128" s="7">
        <f t="shared" si="5"/>
        <v>8.2000000000000007E-3</v>
      </c>
      <c r="F128" s="7">
        <f t="shared" si="6"/>
        <v>0.40180000000000005</v>
      </c>
    </row>
    <row r="129" spans="1:6" ht="14.5" x14ac:dyDescent="0.35">
      <c r="A129" s="40"/>
      <c r="B129" s="11" t="s">
        <v>676</v>
      </c>
      <c r="C129" s="7">
        <v>0.33</v>
      </c>
      <c r="D129" s="7">
        <f t="shared" si="4"/>
        <v>0.29000000000000004</v>
      </c>
      <c r="E129" s="7">
        <f t="shared" si="5"/>
        <v>5.8000000000000005E-3</v>
      </c>
      <c r="F129" s="7">
        <f t="shared" si="6"/>
        <v>0.28420000000000001</v>
      </c>
    </row>
    <row r="130" spans="1:6" ht="14.5" x14ac:dyDescent="0.35">
      <c r="A130" s="40"/>
      <c r="B130" s="11" t="s">
        <v>677</v>
      </c>
      <c r="C130" s="7">
        <v>0.45</v>
      </c>
      <c r="D130" s="7">
        <f t="shared" si="4"/>
        <v>0.41000000000000003</v>
      </c>
      <c r="E130" s="7">
        <f t="shared" si="5"/>
        <v>8.2000000000000007E-3</v>
      </c>
      <c r="F130" s="7">
        <f t="shared" si="6"/>
        <v>0.40180000000000005</v>
      </c>
    </row>
    <row r="131" spans="1:6" ht="14.5" x14ac:dyDescent="0.35">
      <c r="A131" s="40"/>
      <c r="B131" s="11" t="s">
        <v>678</v>
      </c>
      <c r="C131" s="7">
        <v>0.35</v>
      </c>
      <c r="D131" s="7">
        <f t="shared" si="4"/>
        <v>0.31</v>
      </c>
      <c r="E131" s="7">
        <f t="shared" si="5"/>
        <v>6.1999999999999998E-3</v>
      </c>
      <c r="F131" s="7">
        <f t="shared" si="6"/>
        <v>0.30380000000000001</v>
      </c>
    </row>
    <row r="132" spans="1:6" ht="14.5" x14ac:dyDescent="0.35">
      <c r="A132" s="40"/>
      <c r="B132" s="11" t="s">
        <v>679</v>
      </c>
      <c r="C132" s="7">
        <v>0.36</v>
      </c>
      <c r="D132" s="7">
        <f t="shared" si="4"/>
        <v>0.32</v>
      </c>
      <c r="E132" s="7">
        <f t="shared" si="5"/>
        <v>6.4000000000000003E-3</v>
      </c>
      <c r="F132" s="7">
        <f t="shared" si="6"/>
        <v>0.31359999999999999</v>
      </c>
    </row>
    <row r="133" spans="1:6" ht="24" x14ac:dyDescent="0.35">
      <c r="A133" s="11" t="s">
        <v>60</v>
      </c>
      <c r="B133" s="5" t="s">
        <v>100</v>
      </c>
      <c r="C133" s="7">
        <v>0.57999999999999996</v>
      </c>
      <c r="D133" s="7">
        <f t="shared" si="4"/>
        <v>0.53999999999999992</v>
      </c>
      <c r="E133" s="7">
        <f t="shared" si="5"/>
        <v>1.0799999999999999E-2</v>
      </c>
      <c r="F133" s="7">
        <f t="shared" si="6"/>
        <v>0.52919999999999989</v>
      </c>
    </row>
    <row r="134" spans="1:6" ht="24" x14ac:dyDescent="0.35">
      <c r="A134" s="11" t="s">
        <v>65</v>
      </c>
      <c r="B134" s="5" t="s">
        <v>100</v>
      </c>
      <c r="C134" s="7">
        <v>0.62</v>
      </c>
      <c r="D134" s="7">
        <f t="shared" si="4"/>
        <v>0.57999999999999996</v>
      </c>
      <c r="E134" s="7">
        <f t="shared" si="5"/>
        <v>1.1599999999999999E-2</v>
      </c>
      <c r="F134" s="7">
        <f t="shared" si="6"/>
        <v>0.56840000000000002</v>
      </c>
    </row>
    <row r="135" spans="1:6" ht="14.5" x14ac:dyDescent="0.35">
      <c r="A135" s="11" t="s">
        <v>66</v>
      </c>
      <c r="B135" s="5" t="s">
        <v>100</v>
      </c>
      <c r="C135" s="7">
        <v>0.62</v>
      </c>
      <c r="D135" s="7">
        <f t="shared" ref="D135:D199" si="7">C135-(4%)</f>
        <v>0.57999999999999996</v>
      </c>
      <c r="E135" s="7">
        <f t="shared" ref="E135:E199" si="8">D135*2%</f>
        <v>1.1599999999999999E-2</v>
      </c>
      <c r="F135" s="7">
        <f t="shared" ref="F135:F199" si="9">D135-E135</f>
        <v>0.56840000000000002</v>
      </c>
    </row>
    <row r="136" spans="1:6" ht="14.5" x14ac:dyDescent="0.35">
      <c r="A136" s="2" t="s">
        <v>67</v>
      </c>
      <c r="B136" s="2" t="s">
        <v>1</v>
      </c>
      <c r="C136" s="3" t="s">
        <v>2</v>
      </c>
      <c r="D136" s="4" t="s">
        <v>4</v>
      </c>
      <c r="E136" s="4" t="s">
        <v>5</v>
      </c>
      <c r="F136" s="4" t="s">
        <v>6</v>
      </c>
    </row>
    <row r="137" spans="1:6" ht="24" x14ac:dyDescent="0.35">
      <c r="A137" s="11" t="s">
        <v>695</v>
      </c>
      <c r="B137" s="5" t="s">
        <v>696</v>
      </c>
      <c r="C137" s="6">
        <v>0.53500000000000003</v>
      </c>
      <c r="D137" s="7">
        <f t="shared" si="7"/>
        <v>0.49500000000000005</v>
      </c>
      <c r="E137" s="7">
        <f t="shared" si="8"/>
        <v>9.9000000000000008E-3</v>
      </c>
      <c r="F137" s="7">
        <f t="shared" si="9"/>
        <v>0.48510000000000003</v>
      </c>
    </row>
    <row r="138" spans="1:6" ht="24" x14ac:dyDescent="0.35">
      <c r="A138" s="11" t="s">
        <v>697</v>
      </c>
      <c r="B138" s="5" t="s">
        <v>696</v>
      </c>
      <c r="C138" s="6">
        <v>0.53500000000000003</v>
      </c>
      <c r="D138" s="7">
        <f t="shared" si="7"/>
        <v>0.49500000000000005</v>
      </c>
      <c r="E138" s="7">
        <f t="shared" si="8"/>
        <v>9.9000000000000008E-3</v>
      </c>
      <c r="F138" s="7">
        <f t="shared" si="9"/>
        <v>0.48510000000000003</v>
      </c>
    </row>
    <row r="139" spans="1:6" ht="24" x14ac:dyDescent="0.35">
      <c r="A139" s="11" t="s">
        <v>698</v>
      </c>
      <c r="B139" s="5" t="s">
        <v>696</v>
      </c>
      <c r="C139" s="6">
        <v>0.48499999999999999</v>
      </c>
      <c r="D139" s="7">
        <f t="shared" si="7"/>
        <v>0.44500000000000001</v>
      </c>
      <c r="E139" s="7">
        <f t="shared" si="8"/>
        <v>8.8999999999999999E-3</v>
      </c>
      <c r="F139" s="7">
        <f t="shared" si="9"/>
        <v>0.43609999999999999</v>
      </c>
    </row>
    <row r="140" spans="1:6" ht="24" x14ac:dyDescent="0.35">
      <c r="A140" s="11" t="s">
        <v>699</v>
      </c>
      <c r="B140" s="5" t="s">
        <v>696</v>
      </c>
      <c r="C140" s="6">
        <v>0.48499999999999999</v>
      </c>
      <c r="D140" s="7">
        <f t="shared" si="7"/>
        <v>0.44500000000000001</v>
      </c>
      <c r="E140" s="7">
        <f t="shared" si="8"/>
        <v>8.8999999999999999E-3</v>
      </c>
      <c r="F140" s="7">
        <f t="shared" si="9"/>
        <v>0.43609999999999999</v>
      </c>
    </row>
    <row r="141" spans="1:6" ht="24" x14ac:dyDescent="0.35">
      <c r="A141" s="11" t="s">
        <v>701</v>
      </c>
      <c r="B141" s="5" t="s">
        <v>696</v>
      </c>
      <c r="C141" s="6">
        <v>0.45</v>
      </c>
      <c r="D141" s="7">
        <f t="shared" si="7"/>
        <v>0.41000000000000003</v>
      </c>
      <c r="E141" s="7">
        <f t="shared" si="8"/>
        <v>8.2000000000000007E-3</v>
      </c>
      <c r="F141" s="7">
        <f t="shared" si="9"/>
        <v>0.40180000000000005</v>
      </c>
    </row>
    <row r="142" spans="1:6" ht="14.5" x14ac:dyDescent="0.35">
      <c r="A142" s="5" t="s">
        <v>700</v>
      </c>
      <c r="B142" s="5" t="s">
        <v>663</v>
      </c>
      <c r="C142" s="6">
        <v>0.48499999999999999</v>
      </c>
      <c r="D142" s="7">
        <f t="shared" si="7"/>
        <v>0.44500000000000001</v>
      </c>
      <c r="E142" s="7">
        <f t="shared" si="8"/>
        <v>8.8999999999999999E-3</v>
      </c>
      <c r="F142" s="7">
        <f t="shared" si="9"/>
        <v>0.43609999999999999</v>
      </c>
    </row>
    <row r="143" spans="1:6" ht="24" x14ac:dyDescent="0.35">
      <c r="A143" s="11" t="s">
        <v>393</v>
      </c>
      <c r="B143" s="5" t="s">
        <v>100</v>
      </c>
      <c r="C143" s="7">
        <v>0.57999999999999996</v>
      </c>
      <c r="D143" s="7">
        <f t="shared" si="7"/>
        <v>0.53999999999999992</v>
      </c>
      <c r="E143" s="7">
        <f t="shared" si="8"/>
        <v>1.0799999999999999E-2</v>
      </c>
      <c r="F143" s="7">
        <f t="shared" si="9"/>
        <v>0.52919999999999989</v>
      </c>
    </row>
    <row r="144" spans="1:6" ht="24" x14ac:dyDescent="0.35">
      <c r="A144" s="11" t="s">
        <v>394</v>
      </c>
      <c r="B144" s="5" t="s">
        <v>100</v>
      </c>
      <c r="C144" s="7">
        <v>0.62</v>
      </c>
      <c r="D144" s="7">
        <f t="shared" si="7"/>
        <v>0.57999999999999996</v>
      </c>
      <c r="E144" s="7">
        <f t="shared" si="8"/>
        <v>1.1599999999999999E-2</v>
      </c>
      <c r="F144" s="7">
        <f t="shared" si="9"/>
        <v>0.56840000000000002</v>
      </c>
    </row>
    <row r="145" spans="1:6" ht="14.5" x14ac:dyDescent="0.35">
      <c r="A145" s="11" t="s">
        <v>395</v>
      </c>
      <c r="B145" s="5" t="s">
        <v>100</v>
      </c>
      <c r="C145" s="7">
        <v>0.62</v>
      </c>
      <c r="D145" s="7">
        <f t="shared" si="7"/>
        <v>0.57999999999999996</v>
      </c>
      <c r="E145" s="7">
        <f t="shared" si="8"/>
        <v>1.1599999999999999E-2</v>
      </c>
      <c r="F145" s="7">
        <f t="shared" si="9"/>
        <v>0.56840000000000002</v>
      </c>
    </row>
    <row r="146" spans="1:6" ht="24" x14ac:dyDescent="0.35">
      <c r="A146" s="11" t="s">
        <v>702</v>
      </c>
      <c r="B146" s="5" t="s">
        <v>100</v>
      </c>
      <c r="C146" s="7">
        <v>0.47499999999999998</v>
      </c>
      <c r="D146" s="7">
        <f t="shared" si="7"/>
        <v>0.435</v>
      </c>
      <c r="E146" s="7">
        <f t="shared" si="8"/>
        <v>8.6999999999999994E-3</v>
      </c>
      <c r="F146" s="7">
        <f t="shared" si="9"/>
        <v>0.42630000000000001</v>
      </c>
    </row>
    <row r="147" spans="1:6" ht="24" x14ac:dyDescent="0.35">
      <c r="A147" s="11" t="s">
        <v>703</v>
      </c>
      <c r="B147" s="5" t="s">
        <v>100</v>
      </c>
      <c r="C147" s="7">
        <v>0.495</v>
      </c>
      <c r="D147" s="7">
        <f t="shared" si="7"/>
        <v>0.45500000000000002</v>
      </c>
      <c r="E147" s="7">
        <f t="shared" si="8"/>
        <v>9.1000000000000004E-3</v>
      </c>
      <c r="F147" s="7">
        <f t="shared" si="9"/>
        <v>0.44590000000000002</v>
      </c>
    </row>
    <row r="148" spans="1:6" ht="24" x14ac:dyDescent="0.35">
      <c r="A148" s="11" t="s">
        <v>704</v>
      </c>
      <c r="B148" s="5" t="s">
        <v>100</v>
      </c>
      <c r="C148" s="7">
        <v>0.495</v>
      </c>
      <c r="D148" s="7">
        <f t="shared" si="7"/>
        <v>0.45500000000000002</v>
      </c>
      <c r="E148" s="7">
        <f t="shared" si="8"/>
        <v>9.1000000000000004E-3</v>
      </c>
      <c r="F148" s="7">
        <f t="shared" si="9"/>
        <v>0.44590000000000002</v>
      </c>
    </row>
    <row r="149" spans="1:6" ht="14.5" x14ac:dyDescent="0.35">
      <c r="A149" s="48" t="s">
        <v>705</v>
      </c>
      <c r="B149" s="5" t="s">
        <v>662</v>
      </c>
      <c r="C149" s="6">
        <v>0.5</v>
      </c>
      <c r="D149" s="7">
        <f t="shared" si="7"/>
        <v>0.46</v>
      </c>
      <c r="E149" s="7">
        <f t="shared" si="8"/>
        <v>9.1999999999999998E-3</v>
      </c>
      <c r="F149" s="7">
        <f t="shared" si="9"/>
        <v>0.45080000000000003</v>
      </c>
    </row>
    <row r="150" spans="1:6" ht="14.5" x14ac:dyDescent="0.35">
      <c r="A150" s="48"/>
      <c r="B150" s="5" t="s">
        <v>663</v>
      </c>
      <c r="C150" s="6">
        <v>0.44</v>
      </c>
      <c r="D150" s="7">
        <f t="shared" si="7"/>
        <v>0.4</v>
      </c>
      <c r="E150" s="7">
        <f t="shared" si="8"/>
        <v>8.0000000000000002E-3</v>
      </c>
      <c r="F150" s="7">
        <f t="shared" si="9"/>
        <v>0.39200000000000002</v>
      </c>
    </row>
    <row r="151" spans="1:6" ht="14.5" x14ac:dyDescent="0.35">
      <c r="A151" s="48" t="s">
        <v>388</v>
      </c>
      <c r="B151" s="5" t="s">
        <v>662</v>
      </c>
      <c r="C151" s="7">
        <v>0.56000000000000005</v>
      </c>
      <c r="D151" s="7">
        <f t="shared" si="7"/>
        <v>0.52</v>
      </c>
      <c r="E151" s="7">
        <f t="shared" si="8"/>
        <v>1.0400000000000001E-2</v>
      </c>
      <c r="F151" s="7">
        <f t="shared" si="9"/>
        <v>0.50960000000000005</v>
      </c>
    </row>
    <row r="152" spans="1:6" ht="14.5" x14ac:dyDescent="0.35">
      <c r="A152" s="48"/>
      <c r="B152" s="5" t="s">
        <v>663</v>
      </c>
      <c r="C152" s="7">
        <v>0.53</v>
      </c>
      <c r="D152" s="7">
        <f t="shared" si="7"/>
        <v>0.49000000000000005</v>
      </c>
      <c r="E152" s="7">
        <f t="shared" si="8"/>
        <v>9.8000000000000014E-3</v>
      </c>
      <c r="F152" s="7">
        <f t="shared" si="9"/>
        <v>0.48020000000000007</v>
      </c>
    </row>
    <row r="153" spans="1:6" ht="24" customHeight="1" x14ac:dyDescent="0.35">
      <c r="A153" s="55" t="s">
        <v>1170</v>
      </c>
      <c r="B153" s="5" t="s">
        <v>662</v>
      </c>
      <c r="C153" s="7">
        <v>0.27500000000000002</v>
      </c>
      <c r="D153" s="7">
        <f t="shared" si="7"/>
        <v>0.23500000000000001</v>
      </c>
      <c r="E153" s="7">
        <f t="shared" si="8"/>
        <v>4.7000000000000002E-3</v>
      </c>
      <c r="F153" s="7">
        <f t="shared" si="9"/>
        <v>0.2303</v>
      </c>
    </row>
    <row r="154" spans="1:6" ht="14.5" x14ac:dyDescent="0.35">
      <c r="A154" s="57"/>
      <c r="B154" s="5" t="s">
        <v>683</v>
      </c>
      <c r="C154" s="7">
        <v>0.4</v>
      </c>
      <c r="D154" s="7">
        <f t="shared" si="7"/>
        <v>0.36000000000000004</v>
      </c>
      <c r="E154" s="7">
        <f t="shared" si="8"/>
        <v>7.2000000000000007E-3</v>
      </c>
      <c r="F154" s="7">
        <f t="shared" si="9"/>
        <v>0.35280000000000006</v>
      </c>
    </row>
    <row r="155" spans="1:6" ht="24" customHeight="1" x14ac:dyDescent="0.35">
      <c r="A155" s="55" t="s">
        <v>1171</v>
      </c>
      <c r="B155" s="5" t="s">
        <v>662</v>
      </c>
      <c r="C155" s="7">
        <v>0.25</v>
      </c>
      <c r="D155" s="7">
        <f t="shared" si="7"/>
        <v>0.21</v>
      </c>
      <c r="E155" s="7">
        <f t="shared" si="8"/>
        <v>4.1999999999999997E-3</v>
      </c>
      <c r="F155" s="7">
        <f t="shared" si="9"/>
        <v>0.20579999999999998</v>
      </c>
    </row>
    <row r="156" spans="1:6" ht="14.5" x14ac:dyDescent="0.35">
      <c r="A156" s="57"/>
      <c r="B156" s="5" t="s">
        <v>683</v>
      </c>
      <c r="C156" s="7">
        <v>0.375</v>
      </c>
      <c r="D156" s="7">
        <f t="shared" si="7"/>
        <v>0.33500000000000002</v>
      </c>
      <c r="E156" s="7">
        <f t="shared" si="8"/>
        <v>6.7000000000000002E-3</v>
      </c>
      <c r="F156" s="7">
        <f t="shared" si="9"/>
        <v>0.32830000000000004</v>
      </c>
    </row>
    <row r="157" spans="1:6" ht="24" customHeight="1" x14ac:dyDescent="0.35">
      <c r="A157" s="55" t="s">
        <v>82</v>
      </c>
      <c r="B157" s="5" t="s">
        <v>662</v>
      </c>
      <c r="C157" s="7">
        <v>0.17499999999999999</v>
      </c>
      <c r="D157" s="7">
        <f t="shared" si="7"/>
        <v>0.13499999999999998</v>
      </c>
      <c r="E157" s="7">
        <f t="shared" si="8"/>
        <v>2.6999999999999997E-3</v>
      </c>
      <c r="F157" s="7">
        <f t="shared" si="9"/>
        <v>0.13229999999999997</v>
      </c>
    </row>
    <row r="158" spans="1:6" ht="14.5" x14ac:dyDescent="0.35">
      <c r="A158" s="57"/>
      <c r="B158" s="5" t="s">
        <v>683</v>
      </c>
      <c r="C158" s="7">
        <v>0.3</v>
      </c>
      <c r="D158" s="7">
        <f t="shared" si="7"/>
        <v>0.26</v>
      </c>
      <c r="E158" s="7">
        <f t="shared" si="8"/>
        <v>5.2000000000000006E-3</v>
      </c>
      <c r="F158" s="7">
        <f t="shared" si="9"/>
        <v>0.25480000000000003</v>
      </c>
    </row>
    <row r="159" spans="1:6" ht="24" customHeight="1" x14ac:dyDescent="0.35">
      <c r="A159" s="55" t="s">
        <v>83</v>
      </c>
      <c r="B159" s="5" t="s">
        <v>662</v>
      </c>
      <c r="C159" s="7">
        <v>0.125</v>
      </c>
      <c r="D159" s="7">
        <f t="shared" si="7"/>
        <v>8.4999999999999992E-2</v>
      </c>
      <c r="E159" s="7">
        <f t="shared" si="8"/>
        <v>1.6999999999999999E-3</v>
      </c>
      <c r="F159" s="7">
        <f t="shared" si="9"/>
        <v>8.3299999999999999E-2</v>
      </c>
    </row>
    <row r="160" spans="1:6" ht="14.5" x14ac:dyDescent="0.35">
      <c r="A160" s="57"/>
      <c r="B160" s="5" t="s">
        <v>683</v>
      </c>
      <c r="C160" s="7">
        <v>0.25</v>
      </c>
      <c r="D160" s="7">
        <f t="shared" si="7"/>
        <v>0.21</v>
      </c>
      <c r="E160" s="7">
        <f t="shared" si="8"/>
        <v>4.1999999999999997E-3</v>
      </c>
      <c r="F160" s="7">
        <f t="shared" si="9"/>
        <v>0.20579999999999998</v>
      </c>
    </row>
    <row r="161" spans="1:6" ht="24" customHeight="1" x14ac:dyDescent="0.35">
      <c r="A161" s="55" t="s">
        <v>84</v>
      </c>
      <c r="B161" s="5" t="s">
        <v>662</v>
      </c>
      <c r="C161" s="7">
        <v>0.17499999999999999</v>
      </c>
      <c r="D161" s="7">
        <f t="shared" si="7"/>
        <v>0.13499999999999998</v>
      </c>
      <c r="E161" s="7">
        <f t="shared" si="8"/>
        <v>2.6999999999999997E-3</v>
      </c>
      <c r="F161" s="7">
        <f t="shared" si="9"/>
        <v>0.13229999999999997</v>
      </c>
    </row>
    <row r="162" spans="1:6" ht="14.5" x14ac:dyDescent="0.35">
      <c r="A162" s="57"/>
      <c r="B162" s="5" t="s">
        <v>683</v>
      </c>
      <c r="C162" s="7">
        <v>0.3</v>
      </c>
      <c r="D162" s="7">
        <f t="shared" si="7"/>
        <v>0.26</v>
      </c>
      <c r="E162" s="7">
        <f t="shared" si="8"/>
        <v>5.2000000000000006E-3</v>
      </c>
      <c r="F162" s="7">
        <f t="shared" si="9"/>
        <v>0.25480000000000003</v>
      </c>
    </row>
    <row r="163" spans="1:6" ht="24" customHeight="1" x14ac:dyDescent="0.35">
      <c r="A163" s="55" t="s">
        <v>85</v>
      </c>
      <c r="B163" s="5" t="s">
        <v>662</v>
      </c>
      <c r="C163" s="7">
        <v>0.125</v>
      </c>
      <c r="D163" s="7">
        <f t="shared" si="7"/>
        <v>8.4999999999999992E-2</v>
      </c>
      <c r="E163" s="7">
        <f t="shared" si="8"/>
        <v>1.6999999999999999E-3</v>
      </c>
      <c r="F163" s="7">
        <f t="shared" si="9"/>
        <v>8.3299999999999999E-2</v>
      </c>
    </row>
    <row r="164" spans="1:6" ht="14.5" x14ac:dyDescent="0.35">
      <c r="A164" s="57"/>
      <c r="B164" s="5" t="s">
        <v>683</v>
      </c>
      <c r="C164" s="7">
        <v>0.25</v>
      </c>
      <c r="D164" s="7">
        <f t="shared" si="7"/>
        <v>0.21</v>
      </c>
      <c r="E164" s="7">
        <f t="shared" si="8"/>
        <v>4.1999999999999997E-3</v>
      </c>
      <c r="F164" s="7">
        <f t="shared" si="9"/>
        <v>0.20579999999999998</v>
      </c>
    </row>
    <row r="165" spans="1:6" ht="14.5" x14ac:dyDescent="0.35">
      <c r="A165" s="44" t="s">
        <v>91</v>
      </c>
      <c r="B165" s="5" t="s">
        <v>92</v>
      </c>
      <c r="C165" s="6">
        <v>0.5</v>
      </c>
      <c r="D165" s="7">
        <f t="shared" si="7"/>
        <v>0.46</v>
      </c>
      <c r="E165" s="7">
        <f t="shared" si="8"/>
        <v>9.1999999999999998E-3</v>
      </c>
      <c r="F165" s="7">
        <f t="shared" si="9"/>
        <v>0.45080000000000003</v>
      </c>
    </row>
    <row r="166" spans="1:6" ht="14.5" x14ac:dyDescent="0.35">
      <c r="A166" s="45"/>
      <c r="B166" s="5" t="s">
        <v>93</v>
      </c>
      <c r="C166" s="6">
        <v>0.5</v>
      </c>
      <c r="D166" s="7">
        <f t="shared" si="7"/>
        <v>0.46</v>
      </c>
      <c r="E166" s="7">
        <f t="shared" si="8"/>
        <v>9.1999999999999998E-3</v>
      </c>
      <c r="F166" s="7">
        <f t="shared" si="9"/>
        <v>0.45080000000000003</v>
      </c>
    </row>
    <row r="167" spans="1:6" ht="14.5" x14ac:dyDescent="0.35">
      <c r="A167" s="40" t="s">
        <v>706</v>
      </c>
      <c r="B167" s="5" t="s">
        <v>662</v>
      </c>
      <c r="C167" s="7">
        <v>0.57999999999999996</v>
      </c>
      <c r="D167" s="7">
        <f t="shared" si="7"/>
        <v>0.53999999999999992</v>
      </c>
      <c r="E167" s="7">
        <f t="shared" si="8"/>
        <v>1.0799999999999999E-2</v>
      </c>
      <c r="F167" s="7">
        <f t="shared" si="9"/>
        <v>0.52919999999999989</v>
      </c>
    </row>
    <row r="168" spans="1:6" ht="14.5" x14ac:dyDescent="0.35">
      <c r="A168" s="40"/>
      <c r="B168" s="5" t="s">
        <v>683</v>
      </c>
      <c r="C168" s="7">
        <v>0.57999999999999996</v>
      </c>
      <c r="D168" s="7">
        <f t="shared" si="7"/>
        <v>0.53999999999999992</v>
      </c>
      <c r="E168" s="7">
        <f t="shared" si="8"/>
        <v>1.0799999999999999E-2</v>
      </c>
      <c r="F168" s="7">
        <f t="shared" si="9"/>
        <v>0.52919999999999989</v>
      </c>
    </row>
    <row r="169" spans="1:6" ht="14.5" x14ac:dyDescent="0.35">
      <c r="A169" s="40"/>
      <c r="B169" s="5" t="s">
        <v>684</v>
      </c>
      <c r="C169" s="7">
        <v>0.56999999999999995</v>
      </c>
      <c r="D169" s="7">
        <f t="shared" si="7"/>
        <v>0.52999999999999992</v>
      </c>
      <c r="E169" s="7">
        <f t="shared" si="8"/>
        <v>1.0599999999999998E-2</v>
      </c>
      <c r="F169" s="7">
        <f t="shared" si="9"/>
        <v>0.51939999999999986</v>
      </c>
    </row>
    <row r="170" spans="1:6" ht="14.5" x14ac:dyDescent="0.35">
      <c r="A170" s="40"/>
      <c r="B170" s="5" t="s">
        <v>685</v>
      </c>
      <c r="C170" s="7">
        <v>0</v>
      </c>
      <c r="D170" s="7" t="s">
        <v>20</v>
      </c>
      <c r="E170" s="7" t="s">
        <v>20</v>
      </c>
      <c r="F170" s="7" t="s">
        <v>20</v>
      </c>
    </row>
    <row r="171" spans="1:6" ht="14.5" x14ac:dyDescent="0.35">
      <c r="A171" s="40" t="s">
        <v>707</v>
      </c>
      <c r="B171" s="5" t="s">
        <v>662</v>
      </c>
      <c r="C171" s="7">
        <v>0.28999999999999998</v>
      </c>
      <c r="D171" s="7">
        <f t="shared" si="7"/>
        <v>0.24999999999999997</v>
      </c>
      <c r="E171" s="7">
        <f t="shared" si="8"/>
        <v>4.9999999999999992E-3</v>
      </c>
      <c r="F171" s="7">
        <f t="shared" si="9"/>
        <v>0.24499999999999997</v>
      </c>
    </row>
    <row r="172" spans="1:6" ht="14.5" x14ac:dyDescent="0.35">
      <c r="A172" s="40"/>
      <c r="B172" s="5" t="s">
        <v>683</v>
      </c>
      <c r="C172" s="7">
        <v>0.28999999999999998</v>
      </c>
      <c r="D172" s="7">
        <f t="shared" si="7"/>
        <v>0.24999999999999997</v>
      </c>
      <c r="E172" s="7">
        <f t="shared" si="8"/>
        <v>4.9999999999999992E-3</v>
      </c>
      <c r="F172" s="7">
        <f t="shared" si="9"/>
        <v>0.24499999999999997</v>
      </c>
    </row>
    <row r="173" spans="1:6" ht="14.5" x14ac:dyDescent="0.35">
      <c r="A173" s="40"/>
      <c r="B173" s="5" t="s">
        <v>684</v>
      </c>
      <c r="C173" s="7">
        <v>0.28999999999999998</v>
      </c>
      <c r="D173" s="7">
        <f t="shared" si="7"/>
        <v>0.24999999999999997</v>
      </c>
      <c r="E173" s="7">
        <f t="shared" si="8"/>
        <v>4.9999999999999992E-3</v>
      </c>
      <c r="F173" s="7">
        <f t="shared" si="9"/>
        <v>0.24499999999999997</v>
      </c>
    </row>
    <row r="174" spans="1:6" ht="14.5" x14ac:dyDescent="0.35">
      <c r="A174" s="40"/>
      <c r="B174" s="5" t="s">
        <v>685</v>
      </c>
      <c r="C174" s="7">
        <v>0.18</v>
      </c>
      <c r="D174" s="7">
        <f t="shared" si="7"/>
        <v>0.13999999999999999</v>
      </c>
      <c r="E174" s="7">
        <f t="shared" si="8"/>
        <v>2.8E-3</v>
      </c>
      <c r="F174" s="7">
        <f t="shared" si="9"/>
        <v>0.13719999999999999</v>
      </c>
    </row>
    <row r="175" spans="1:6" ht="14.5" x14ac:dyDescent="0.35">
      <c r="A175" s="48" t="s">
        <v>94</v>
      </c>
      <c r="B175" s="5" t="s">
        <v>686</v>
      </c>
      <c r="C175" s="6">
        <v>0</v>
      </c>
      <c r="D175" s="7" t="s">
        <v>20</v>
      </c>
      <c r="E175" s="7" t="s">
        <v>20</v>
      </c>
      <c r="F175" s="7" t="s">
        <v>20</v>
      </c>
    </row>
    <row r="176" spans="1:6" ht="14.5" x14ac:dyDescent="0.35">
      <c r="A176" s="48"/>
      <c r="B176" s="5" t="s">
        <v>684</v>
      </c>
      <c r="C176" s="6">
        <v>0.35</v>
      </c>
      <c r="D176" s="7">
        <f t="shared" si="7"/>
        <v>0.31</v>
      </c>
      <c r="E176" s="7">
        <f t="shared" si="8"/>
        <v>6.1999999999999998E-3</v>
      </c>
      <c r="F176" s="7">
        <f t="shared" si="9"/>
        <v>0.30380000000000001</v>
      </c>
    </row>
    <row r="177" spans="1:6" ht="14.5" x14ac:dyDescent="0.35">
      <c r="A177" s="48"/>
      <c r="B177" s="5" t="s">
        <v>683</v>
      </c>
      <c r="C177" s="6">
        <v>0.2</v>
      </c>
      <c r="D177" s="7">
        <f t="shared" si="7"/>
        <v>0.16</v>
      </c>
      <c r="E177" s="7">
        <f t="shared" si="8"/>
        <v>3.2000000000000002E-3</v>
      </c>
      <c r="F177" s="7">
        <f t="shared" si="9"/>
        <v>0.15679999999999999</v>
      </c>
    </row>
    <row r="178" spans="1:6" ht="14.5" x14ac:dyDescent="0.35">
      <c r="A178" s="48"/>
      <c r="B178" s="5" t="s">
        <v>687</v>
      </c>
      <c r="C178" s="6">
        <v>0</v>
      </c>
      <c r="D178" s="7" t="s">
        <v>20</v>
      </c>
      <c r="E178" s="7" t="s">
        <v>20</v>
      </c>
      <c r="F178" s="7" t="s">
        <v>20</v>
      </c>
    </row>
    <row r="179" spans="1:6" ht="14.5" x14ac:dyDescent="0.35">
      <c r="A179" s="48"/>
      <c r="B179" s="5" t="s">
        <v>688</v>
      </c>
      <c r="C179" s="6">
        <v>0.55000000000000004</v>
      </c>
      <c r="D179" s="7">
        <f t="shared" si="7"/>
        <v>0.51</v>
      </c>
      <c r="E179" s="7">
        <f t="shared" si="8"/>
        <v>1.0200000000000001E-2</v>
      </c>
      <c r="F179" s="7">
        <f t="shared" si="9"/>
        <v>0.49980000000000002</v>
      </c>
    </row>
    <row r="180" spans="1:6" ht="14.5" x14ac:dyDescent="0.35">
      <c r="A180" s="48" t="s">
        <v>399</v>
      </c>
      <c r="B180" s="5" t="s">
        <v>686</v>
      </c>
      <c r="C180" s="6">
        <v>0.5</v>
      </c>
      <c r="D180" s="7">
        <f t="shared" si="7"/>
        <v>0.46</v>
      </c>
      <c r="E180" s="7">
        <f t="shared" si="8"/>
        <v>9.1999999999999998E-3</v>
      </c>
      <c r="F180" s="7">
        <f t="shared" si="9"/>
        <v>0.45080000000000003</v>
      </c>
    </row>
    <row r="181" spans="1:6" ht="14.5" x14ac:dyDescent="0.35">
      <c r="A181" s="48"/>
      <c r="B181" s="5" t="s">
        <v>684</v>
      </c>
      <c r="C181" s="6">
        <v>0.55000000000000004</v>
      </c>
      <c r="D181" s="7">
        <f t="shared" si="7"/>
        <v>0.51</v>
      </c>
      <c r="E181" s="7">
        <f t="shared" si="8"/>
        <v>1.0200000000000001E-2</v>
      </c>
      <c r="F181" s="7">
        <f t="shared" si="9"/>
        <v>0.49980000000000002</v>
      </c>
    </row>
    <row r="182" spans="1:6" ht="14.5" x14ac:dyDescent="0.35">
      <c r="A182" s="48"/>
      <c r="B182" s="5" t="s">
        <v>683</v>
      </c>
      <c r="C182" s="6">
        <v>0.6</v>
      </c>
      <c r="D182" s="7">
        <f t="shared" si="7"/>
        <v>0.55999999999999994</v>
      </c>
      <c r="E182" s="7">
        <f t="shared" si="8"/>
        <v>1.12E-2</v>
      </c>
      <c r="F182" s="7">
        <f t="shared" si="9"/>
        <v>0.54879999999999995</v>
      </c>
    </row>
    <row r="183" spans="1:6" ht="14.5" x14ac:dyDescent="0.35">
      <c r="A183" s="48"/>
      <c r="B183" s="5" t="s">
        <v>687</v>
      </c>
      <c r="C183" s="6">
        <v>0.2</v>
      </c>
      <c r="D183" s="7">
        <f t="shared" si="7"/>
        <v>0.16</v>
      </c>
      <c r="E183" s="7">
        <f t="shared" si="8"/>
        <v>3.2000000000000002E-3</v>
      </c>
      <c r="F183" s="7">
        <f t="shared" si="9"/>
        <v>0.15679999999999999</v>
      </c>
    </row>
    <row r="184" spans="1:6" ht="14.5" x14ac:dyDescent="0.35">
      <c r="A184" s="48"/>
      <c r="B184" s="5" t="s">
        <v>688</v>
      </c>
      <c r="C184" s="6">
        <v>0.6</v>
      </c>
      <c r="D184" s="7">
        <f t="shared" si="7"/>
        <v>0.55999999999999994</v>
      </c>
      <c r="E184" s="7">
        <f t="shared" si="8"/>
        <v>1.12E-2</v>
      </c>
      <c r="F184" s="7">
        <f t="shared" si="9"/>
        <v>0.54879999999999995</v>
      </c>
    </row>
    <row r="185" spans="1:6" ht="14.5" x14ac:dyDescent="0.35">
      <c r="A185" s="52" t="s">
        <v>708</v>
      </c>
      <c r="B185" s="5" t="s">
        <v>687</v>
      </c>
      <c r="C185" s="7">
        <v>0.51</v>
      </c>
      <c r="D185" s="7">
        <f t="shared" si="7"/>
        <v>0.47000000000000003</v>
      </c>
      <c r="E185" s="7">
        <f t="shared" si="8"/>
        <v>9.4000000000000004E-3</v>
      </c>
      <c r="F185" s="7">
        <f t="shared" si="9"/>
        <v>0.46060000000000001</v>
      </c>
    </row>
    <row r="186" spans="1:6" ht="14.5" x14ac:dyDescent="0.35">
      <c r="A186" s="53"/>
      <c r="B186" s="5" t="s">
        <v>688</v>
      </c>
      <c r="C186" s="7">
        <v>0.51</v>
      </c>
      <c r="D186" s="7">
        <f t="shared" si="7"/>
        <v>0.47000000000000003</v>
      </c>
      <c r="E186" s="7">
        <f t="shared" si="8"/>
        <v>9.4000000000000004E-3</v>
      </c>
      <c r="F186" s="7">
        <f t="shared" si="9"/>
        <v>0.46060000000000001</v>
      </c>
    </row>
    <row r="187" spans="1:6" ht="14.5" x14ac:dyDescent="0.35">
      <c r="A187" s="53"/>
      <c r="B187" s="5" t="s">
        <v>686</v>
      </c>
      <c r="C187" s="7">
        <v>0.49</v>
      </c>
      <c r="D187" s="7">
        <f t="shared" si="7"/>
        <v>0.45</v>
      </c>
      <c r="E187" s="7">
        <f t="shared" si="8"/>
        <v>9.0000000000000011E-3</v>
      </c>
      <c r="F187" s="7">
        <f t="shared" si="9"/>
        <v>0.441</v>
      </c>
    </row>
    <row r="188" spans="1:6" ht="14.5" x14ac:dyDescent="0.35">
      <c r="A188" s="53"/>
      <c r="B188" s="5" t="s">
        <v>684</v>
      </c>
      <c r="C188" s="7">
        <v>0.49</v>
      </c>
      <c r="D188" s="7">
        <f t="shared" si="7"/>
        <v>0.45</v>
      </c>
      <c r="E188" s="7">
        <f t="shared" si="8"/>
        <v>9.0000000000000011E-3</v>
      </c>
      <c r="F188" s="7">
        <f t="shared" si="9"/>
        <v>0.441</v>
      </c>
    </row>
    <row r="189" spans="1:6" ht="14.5" x14ac:dyDescent="0.35">
      <c r="A189" s="54"/>
      <c r="B189" s="5" t="s">
        <v>683</v>
      </c>
      <c r="C189" s="7">
        <v>0.48</v>
      </c>
      <c r="D189" s="7">
        <f t="shared" si="7"/>
        <v>0.44</v>
      </c>
      <c r="E189" s="7">
        <f t="shared" si="8"/>
        <v>8.8000000000000005E-3</v>
      </c>
      <c r="F189" s="7">
        <f t="shared" si="9"/>
        <v>0.43120000000000003</v>
      </c>
    </row>
    <row r="190" spans="1:6" ht="14.5" x14ac:dyDescent="0.35">
      <c r="A190" s="41" t="s">
        <v>709</v>
      </c>
      <c r="B190" s="5" t="s">
        <v>691</v>
      </c>
      <c r="C190" s="7">
        <v>0.19500000000000001</v>
      </c>
      <c r="D190" s="7">
        <f t="shared" si="7"/>
        <v>0.155</v>
      </c>
      <c r="E190" s="7">
        <f t="shared" si="8"/>
        <v>3.0999999999999999E-3</v>
      </c>
      <c r="F190" s="7">
        <f t="shared" si="9"/>
        <v>0.15190000000000001</v>
      </c>
    </row>
    <row r="191" spans="1:6" ht="14.5" x14ac:dyDescent="0.35">
      <c r="A191" s="43"/>
      <c r="B191" s="5" t="s">
        <v>692</v>
      </c>
      <c r="C191" s="7">
        <v>0.55000000000000004</v>
      </c>
      <c r="D191" s="7">
        <f t="shared" si="7"/>
        <v>0.51</v>
      </c>
      <c r="E191" s="7">
        <f t="shared" si="8"/>
        <v>1.0200000000000001E-2</v>
      </c>
      <c r="F191" s="7">
        <f t="shared" si="9"/>
        <v>0.49980000000000002</v>
      </c>
    </row>
    <row r="192" spans="1:6" ht="14.5" x14ac:dyDescent="0.35">
      <c r="A192" s="41" t="s">
        <v>710</v>
      </c>
      <c r="B192" s="5" t="s">
        <v>691</v>
      </c>
      <c r="C192" s="7">
        <v>0.19500000000000001</v>
      </c>
      <c r="D192" s="7">
        <f t="shared" si="7"/>
        <v>0.155</v>
      </c>
      <c r="E192" s="7">
        <f t="shared" si="8"/>
        <v>3.0999999999999999E-3</v>
      </c>
      <c r="F192" s="7">
        <f t="shared" si="9"/>
        <v>0.15190000000000001</v>
      </c>
    </row>
    <row r="193" spans="1:6" ht="14.5" x14ac:dyDescent="0.35">
      <c r="A193" s="43"/>
      <c r="B193" s="5" t="s">
        <v>692</v>
      </c>
      <c r="C193" s="7">
        <v>0.4</v>
      </c>
      <c r="D193" s="7">
        <f t="shared" si="7"/>
        <v>0.36000000000000004</v>
      </c>
      <c r="E193" s="7">
        <f t="shared" si="8"/>
        <v>7.2000000000000007E-3</v>
      </c>
      <c r="F193" s="7">
        <f t="shared" si="9"/>
        <v>0.35280000000000006</v>
      </c>
    </row>
    <row r="194" spans="1:6" ht="14.5" x14ac:dyDescent="0.35">
      <c r="A194" s="23" t="s">
        <v>1309</v>
      </c>
      <c r="B194" s="5" t="s">
        <v>100</v>
      </c>
      <c r="C194" s="6">
        <v>0.55000000000000004</v>
      </c>
      <c r="D194" s="7">
        <f t="shared" ref="D194" si="10">C194-(4%)</f>
        <v>0.51</v>
      </c>
      <c r="E194" s="7">
        <f t="shared" ref="E194" si="11">D194*2%</f>
        <v>1.0200000000000001E-2</v>
      </c>
      <c r="F194" s="7">
        <f t="shared" ref="F194" si="12">D194-E194</f>
        <v>0.49980000000000002</v>
      </c>
    </row>
    <row r="195" spans="1:6" ht="14.5" x14ac:dyDescent="0.35">
      <c r="A195" s="2" t="s">
        <v>104</v>
      </c>
      <c r="B195" s="2" t="s">
        <v>1</v>
      </c>
      <c r="C195" s="3" t="s">
        <v>2</v>
      </c>
      <c r="D195" s="4" t="s">
        <v>4</v>
      </c>
      <c r="E195" s="4" t="s">
        <v>5</v>
      </c>
      <c r="F195" s="4" t="s">
        <v>6</v>
      </c>
    </row>
    <row r="196" spans="1:6" ht="14.5" x14ac:dyDescent="0.35">
      <c r="A196" s="5" t="s">
        <v>711</v>
      </c>
      <c r="B196" s="5" t="s">
        <v>712</v>
      </c>
      <c r="C196" s="7">
        <v>0.48499999999999999</v>
      </c>
      <c r="D196" s="7">
        <f t="shared" si="7"/>
        <v>0.44500000000000001</v>
      </c>
      <c r="E196" s="7">
        <f t="shared" si="8"/>
        <v>8.8999999999999999E-3</v>
      </c>
      <c r="F196" s="7">
        <f t="shared" si="9"/>
        <v>0.43609999999999999</v>
      </c>
    </row>
    <row r="197" spans="1:6" ht="14.5" x14ac:dyDescent="0.35">
      <c r="A197" s="5" t="s">
        <v>713</v>
      </c>
      <c r="B197" s="5" t="s">
        <v>714</v>
      </c>
      <c r="C197" s="7">
        <v>0.48499999999999999</v>
      </c>
      <c r="D197" s="7">
        <f t="shared" si="7"/>
        <v>0.44500000000000001</v>
      </c>
      <c r="E197" s="7">
        <f t="shared" si="8"/>
        <v>8.8999999999999999E-3</v>
      </c>
      <c r="F197" s="7">
        <f t="shared" si="9"/>
        <v>0.43609999999999999</v>
      </c>
    </row>
    <row r="198" spans="1:6" ht="24" x14ac:dyDescent="0.35">
      <c r="A198" s="5" t="s">
        <v>715</v>
      </c>
      <c r="B198" s="5" t="s">
        <v>716</v>
      </c>
      <c r="C198" s="7">
        <v>0.1</v>
      </c>
      <c r="D198" s="7">
        <f t="shared" si="7"/>
        <v>6.0000000000000005E-2</v>
      </c>
      <c r="E198" s="7">
        <f t="shared" si="8"/>
        <v>1.2000000000000001E-3</v>
      </c>
      <c r="F198" s="7">
        <f t="shared" si="9"/>
        <v>5.8800000000000005E-2</v>
      </c>
    </row>
    <row r="199" spans="1:6" ht="24" x14ac:dyDescent="0.35">
      <c r="A199" s="5" t="s">
        <v>713</v>
      </c>
      <c r="B199" s="5" t="s">
        <v>717</v>
      </c>
      <c r="C199" s="7">
        <v>0.1</v>
      </c>
      <c r="D199" s="7">
        <f t="shared" si="7"/>
        <v>6.0000000000000005E-2</v>
      </c>
      <c r="E199" s="7">
        <f t="shared" si="8"/>
        <v>1.2000000000000001E-3</v>
      </c>
      <c r="F199" s="7">
        <f t="shared" si="9"/>
        <v>5.8800000000000005E-2</v>
      </c>
    </row>
    <row r="200" spans="1:6" ht="14.5" x14ac:dyDescent="0.35">
      <c r="A200" s="41" t="s">
        <v>718</v>
      </c>
      <c r="B200" s="5" t="s">
        <v>691</v>
      </c>
      <c r="C200" s="7">
        <v>0.19500000000000001</v>
      </c>
      <c r="D200" s="7">
        <f t="shared" ref="D200:D267" si="13">C200-(4%)</f>
        <v>0.155</v>
      </c>
      <c r="E200" s="7">
        <f t="shared" ref="E200:E267" si="14">D200*2%</f>
        <v>3.0999999999999999E-3</v>
      </c>
      <c r="F200" s="7">
        <f t="shared" ref="F200:F267" si="15">D200-E200</f>
        <v>0.15190000000000001</v>
      </c>
    </row>
    <row r="201" spans="1:6" ht="14.5" x14ac:dyDescent="0.35">
      <c r="A201" s="43"/>
      <c r="B201" s="5" t="s">
        <v>692</v>
      </c>
      <c r="C201" s="7">
        <v>0.55000000000000004</v>
      </c>
      <c r="D201" s="7">
        <f t="shared" si="13"/>
        <v>0.51</v>
      </c>
      <c r="E201" s="7">
        <f t="shared" si="14"/>
        <v>1.0200000000000001E-2</v>
      </c>
      <c r="F201" s="7">
        <f t="shared" si="15"/>
        <v>0.49980000000000002</v>
      </c>
    </row>
    <row r="202" spans="1:6" ht="14.5" x14ac:dyDescent="0.35">
      <c r="A202" s="41" t="s">
        <v>719</v>
      </c>
      <c r="B202" s="5" t="s">
        <v>691</v>
      </c>
      <c r="C202" s="7">
        <v>0.19500000000000001</v>
      </c>
      <c r="D202" s="7">
        <f t="shared" si="13"/>
        <v>0.155</v>
      </c>
      <c r="E202" s="7">
        <f t="shared" si="14"/>
        <v>3.0999999999999999E-3</v>
      </c>
      <c r="F202" s="7">
        <f t="shared" si="15"/>
        <v>0.15190000000000001</v>
      </c>
    </row>
    <row r="203" spans="1:6" ht="14.5" x14ac:dyDescent="0.35">
      <c r="A203" s="43"/>
      <c r="B203" s="5" t="s">
        <v>692</v>
      </c>
      <c r="C203" s="7">
        <v>0.27500000000000002</v>
      </c>
      <c r="D203" s="7">
        <f t="shared" si="13"/>
        <v>0.23500000000000001</v>
      </c>
      <c r="E203" s="7">
        <f t="shared" si="14"/>
        <v>4.7000000000000002E-3</v>
      </c>
      <c r="F203" s="7">
        <f t="shared" si="15"/>
        <v>0.2303</v>
      </c>
    </row>
    <row r="204" spans="1:6" ht="14.5" x14ac:dyDescent="0.35">
      <c r="A204" s="55" t="s">
        <v>720</v>
      </c>
      <c r="B204" s="5" t="s">
        <v>665</v>
      </c>
      <c r="C204" s="7">
        <v>0.06</v>
      </c>
      <c r="D204" s="7">
        <f t="shared" si="13"/>
        <v>1.9999999999999997E-2</v>
      </c>
      <c r="E204" s="7">
        <f t="shared" si="14"/>
        <v>3.9999999999999996E-4</v>
      </c>
      <c r="F204" s="7">
        <f t="shared" si="15"/>
        <v>1.9599999999999996E-2</v>
      </c>
    </row>
    <row r="205" spans="1:6" ht="14.5" x14ac:dyDescent="0.35">
      <c r="A205" s="56"/>
      <c r="B205" s="5" t="s">
        <v>666</v>
      </c>
      <c r="C205" s="7">
        <v>0.13</v>
      </c>
      <c r="D205" s="7">
        <f t="shared" si="13"/>
        <v>0.09</v>
      </c>
      <c r="E205" s="7">
        <f t="shared" si="14"/>
        <v>1.8E-3</v>
      </c>
      <c r="F205" s="7">
        <f t="shared" si="15"/>
        <v>8.8200000000000001E-2</v>
      </c>
    </row>
    <row r="206" spans="1:6" ht="14.5" x14ac:dyDescent="0.35">
      <c r="A206" s="56"/>
      <c r="B206" s="5" t="s">
        <v>667</v>
      </c>
      <c r="C206" s="7">
        <v>0.32</v>
      </c>
      <c r="D206" s="7">
        <f t="shared" si="13"/>
        <v>0.28000000000000003</v>
      </c>
      <c r="E206" s="7">
        <f t="shared" si="14"/>
        <v>5.6000000000000008E-3</v>
      </c>
      <c r="F206" s="7">
        <f t="shared" si="15"/>
        <v>0.27440000000000003</v>
      </c>
    </row>
    <row r="207" spans="1:6" ht="14.5" x14ac:dyDescent="0.35">
      <c r="A207" s="56"/>
      <c r="B207" s="5" t="s">
        <v>668</v>
      </c>
      <c r="C207" s="7">
        <v>0.27</v>
      </c>
      <c r="D207" s="7">
        <f t="shared" si="13"/>
        <v>0.23</v>
      </c>
      <c r="E207" s="7">
        <f t="shared" si="14"/>
        <v>4.5999999999999999E-3</v>
      </c>
      <c r="F207" s="7">
        <f t="shared" si="15"/>
        <v>0.22540000000000002</v>
      </c>
    </row>
    <row r="208" spans="1:6" ht="14.5" x14ac:dyDescent="0.35">
      <c r="A208" s="56"/>
      <c r="B208" s="5" t="s">
        <v>669</v>
      </c>
      <c r="C208" s="7">
        <v>0.06</v>
      </c>
      <c r="D208" s="7">
        <f t="shared" si="13"/>
        <v>1.9999999999999997E-2</v>
      </c>
      <c r="E208" s="7">
        <f t="shared" si="14"/>
        <v>3.9999999999999996E-4</v>
      </c>
      <c r="F208" s="7">
        <f t="shared" si="15"/>
        <v>1.9599999999999996E-2</v>
      </c>
    </row>
    <row r="209" spans="1:6" ht="14.5" x14ac:dyDescent="0.35">
      <c r="A209" s="56"/>
      <c r="B209" s="5" t="s">
        <v>670</v>
      </c>
      <c r="C209" s="7">
        <v>0.36</v>
      </c>
      <c r="D209" s="7">
        <f t="shared" si="13"/>
        <v>0.32</v>
      </c>
      <c r="E209" s="7">
        <f t="shared" si="14"/>
        <v>6.4000000000000003E-3</v>
      </c>
      <c r="F209" s="7">
        <f t="shared" si="15"/>
        <v>0.31359999999999999</v>
      </c>
    </row>
    <row r="210" spans="1:6" ht="14.5" x14ac:dyDescent="0.35">
      <c r="A210" s="56"/>
      <c r="B210" s="5" t="s">
        <v>671</v>
      </c>
      <c r="C210" s="7">
        <v>0.32</v>
      </c>
      <c r="D210" s="7">
        <f t="shared" si="13"/>
        <v>0.28000000000000003</v>
      </c>
      <c r="E210" s="7">
        <f t="shared" si="14"/>
        <v>5.6000000000000008E-3</v>
      </c>
      <c r="F210" s="7">
        <f t="shared" si="15"/>
        <v>0.27440000000000003</v>
      </c>
    </row>
    <row r="211" spans="1:6" ht="14.5" x14ac:dyDescent="0.35">
      <c r="A211" s="56"/>
      <c r="B211" s="5" t="s">
        <v>673</v>
      </c>
      <c r="C211" s="7">
        <v>0.36</v>
      </c>
      <c r="D211" s="7">
        <f t="shared" si="13"/>
        <v>0.32</v>
      </c>
      <c r="E211" s="7">
        <f t="shared" si="14"/>
        <v>6.4000000000000003E-3</v>
      </c>
      <c r="F211" s="7">
        <f t="shared" si="15"/>
        <v>0.31359999999999999</v>
      </c>
    </row>
    <row r="212" spans="1:6" ht="14.5" x14ac:dyDescent="0.35">
      <c r="A212" s="56"/>
      <c r="B212" s="5" t="s">
        <v>674</v>
      </c>
      <c r="C212" s="7">
        <v>0.36</v>
      </c>
      <c r="D212" s="7">
        <f t="shared" si="13"/>
        <v>0.32</v>
      </c>
      <c r="E212" s="7">
        <f t="shared" si="14"/>
        <v>6.4000000000000003E-3</v>
      </c>
      <c r="F212" s="7">
        <f t="shared" si="15"/>
        <v>0.31359999999999999</v>
      </c>
    </row>
    <row r="213" spans="1:6" ht="14.5" x14ac:dyDescent="0.35">
      <c r="A213" s="56"/>
      <c r="B213" s="5" t="s">
        <v>687</v>
      </c>
      <c r="C213" s="7">
        <v>0.23</v>
      </c>
      <c r="D213" s="7">
        <f t="shared" si="13"/>
        <v>0.19</v>
      </c>
      <c r="E213" s="7">
        <f t="shared" si="14"/>
        <v>3.8E-3</v>
      </c>
      <c r="F213" s="7">
        <f t="shared" si="15"/>
        <v>0.1862</v>
      </c>
    </row>
    <row r="214" spans="1:6" ht="14.5" x14ac:dyDescent="0.35">
      <c r="A214" s="56"/>
      <c r="B214" s="5" t="s">
        <v>672</v>
      </c>
      <c r="C214" s="7">
        <v>0.23000000000000004</v>
      </c>
      <c r="D214" s="7">
        <f t="shared" si="13"/>
        <v>0.19000000000000003</v>
      </c>
      <c r="E214" s="7">
        <f t="shared" si="14"/>
        <v>3.8000000000000009E-3</v>
      </c>
      <c r="F214" s="7">
        <f t="shared" si="15"/>
        <v>0.18620000000000003</v>
      </c>
    </row>
    <row r="215" spans="1:6" ht="14.5" x14ac:dyDescent="0.35">
      <c r="A215" s="56"/>
      <c r="B215" s="5" t="s">
        <v>678</v>
      </c>
      <c r="C215" s="7">
        <v>0.06</v>
      </c>
      <c r="D215" s="7">
        <f t="shared" si="13"/>
        <v>1.9999999999999997E-2</v>
      </c>
      <c r="E215" s="7">
        <f t="shared" si="14"/>
        <v>3.9999999999999996E-4</v>
      </c>
      <c r="F215" s="7">
        <f t="shared" si="15"/>
        <v>1.9599999999999996E-2</v>
      </c>
    </row>
    <row r="216" spans="1:6" ht="14.5" x14ac:dyDescent="0.35">
      <c r="A216" s="56"/>
      <c r="B216" s="5" t="s">
        <v>677</v>
      </c>
      <c r="C216" s="7">
        <v>0.27</v>
      </c>
      <c r="D216" s="7">
        <f t="shared" si="13"/>
        <v>0.23</v>
      </c>
      <c r="E216" s="7">
        <f t="shared" si="14"/>
        <v>4.5999999999999999E-3</v>
      </c>
      <c r="F216" s="7">
        <f t="shared" si="15"/>
        <v>0.22540000000000002</v>
      </c>
    </row>
    <row r="217" spans="1:6" ht="14.5" x14ac:dyDescent="0.35">
      <c r="A217" s="56"/>
      <c r="B217" s="5" t="s">
        <v>675</v>
      </c>
      <c r="C217" s="7">
        <v>0.32</v>
      </c>
      <c r="D217" s="7">
        <f t="shared" si="13"/>
        <v>0.28000000000000003</v>
      </c>
      <c r="E217" s="7">
        <f t="shared" si="14"/>
        <v>5.6000000000000008E-3</v>
      </c>
      <c r="F217" s="7">
        <f t="shared" si="15"/>
        <v>0.27440000000000003</v>
      </c>
    </row>
    <row r="218" spans="1:6" ht="14.5" x14ac:dyDescent="0.35">
      <c r="A218" s="56"/>
      <c r="B218" s="5" t="s">
        <v>676</v>
      </c>
      <c r="C218" s="7">
        <v>0.06</v>
      </c>
      <c r="D218" s="7">
        <f t="shared" si="13"/>
        <v>1.9999999999999997E-2</v>
      </c>
      <c r="E218" s="7">
        <f t="shared" si="14"/>
        <v>3.9999999999999996E-4</v>
      </c>
      <c r="F218" s="7">
        <f t="shared" si="15"/>
        <v>1.9599999999999996E-2</v>
      </c>
    </row>
    <row r="219" spans="1:6" ht="14.5" x14ac:dyDescent="0.35">
      <c r="A219" s="57"/>
      <c r="B219" s="5" t="s">
        <v>679</v>
      </c>
      <c r="C219" s="7">
        <v>0.06</v>
      </c>
      <c r="D219" s="7">
        <f t="shared" si="13"/>
        <v>1.9999999999999997E-2</v>
      </c>
      <c r="E219" s="7">
        <f t="shared" si="14"/>
        <v>3.9999999999999996E-4</v>
      </c>
      <c r="F219" s="7">
        <f t="shared" si="15"/>
        <v>1.9599999999999996E-2</v>
      </c>
    </row>
    <row r="220" spans="1:6" ht="14.5" x14ac:dyDescent="0.35">
      <c r="A220" s="40" t="s">
        <v>405</v>
      </c>
      <c r="B220" s="5" t="s">
        <v>665</v>
      </c>
      <c r="C220" s="7">
        <v>0.13</v>
      </c>
      <c r="D220" s="7">
        <f t="shared" si="13"/>
        <v>0.09</v>
      </c>
      <c r="E220" s="7">
        <f t="shared" si="14"/>
        <v>1.8E-3</v>
      </c>
      <c r="F220" s="7">
        <f t="shared" si="15"/>
        <v>8.8200000000000001E-2</v>
      </c>
    </row>
    <row r="221" spans="1:6" ht="14.5" x14ac:dyDescent="0.35">
      <c r="A221" s="40"/>
      <c r="B221" s="5" t="s">
        <v>666</v>
      </c>
      <c r="C221" s="7">
        <v>0.22000000000000003</v>
      </c>
      <c r="D221" s="7">
        <f t="shared" si="13"/>
        <v>0.18000000000000002</v>
      </c>
      <c r="E221" s="7">
        <f t="shared" si="14"/>
        <v>3.6000000000000003E-3</v>
      </c>
      <c r="F221" s="7">
        <f t="shared" si="15"/>
        <v>0.17640000000000003</v>
      </c>
    </row>
    <row r="222" spans="1:6" ht="14.5" x14ac:dyDescent="0.35">
      <c r="A222" s="40"/>
      <c r="B222" s="5" t="s">
        <v>667</v>
      </c>
      <c r="C222" s="7">
        <v>0.35</v>
      </c>
      <c r="D222" s="7">
        <f t="shared" si="13"/>
        <v>0.31</v>
      </c>
      <c r="E222" s="7">
        <f t="shared" si="14"/>
        <v>6.1999999999999998E-3</v>
      </c>
      <c r="F222" s="7">
        <f t="shared" si="15"/>
        <v>0.30380000000000001</v>
      </c>
    </row>
    <row r="223" spans="1:6" ht="14.5" x14ac:dyDescent="0.35">
      <c r="A223" s="40"/>
      <c r="B223" s="5" t="s">
        <v>668</v>
      </c>
      <c r="C223" s="7">
        <v>0.35000000000000003</v>
      </c>
      <c r="D223" s="7">
        <f t="shared" si="13"/>
        <v>0.31000000000000005</v>
      </c>
      <c r="E223" s="7">
        <f t="shared" si="14"/>
        <v>6.2000000000000015E-3</v>
      </c>
      <c r="F223" s="7">
        <f t="shared" si="15"/>
        <v>0.30380000000000007</v>
      </c>
    </row>
    <row r="224" spans="1:6" ht="14.5" x14ac:dyDescent="0.35">
      <c r="A224" s="40"/>
      <c r="B224" s="5" t="s">
        <v>669</v>
      </c>
      <c r="C224" s="7">
        <v>0.13</v>
      </c>
      <c r="D224" s="7">
        <f t="shared" si="13"/>
        <v>0.09</v>
      </c>
      <c r="E224" s="7">
        <f t="shared" si="14"/>
        <v>1.8E-3</v>
      </c>
      <c r="F224" s="7">
        <f t="shared" si="15"/>
        <v>8.8200000000000001E-2</v>
      </c>
    </row>
    <row r="225" spans="1:6" ht="14.5" x14ac:dyDescent="0.35">
      <c r="A225" s="40"/>
      <c r="B225" s="5" t="s">
        <v>670</v>
      </c>
      <c r="C225" s="7">
        <v>0.35</v>
      </c>
      <c r="D225" s="7">
        <f t="shared" si="13"/>
        <v>0.31</v>
      </c>
      <c r="E225" s="7">
        <f t="shared" si="14"/>
        <v>6.1999999999999998E-3</v>
      </c>
      <c r="F225" s="7">
        <f t="shared" si="15"/>
        <v>0.30380000000000001</v>
      </c>
    </row>
    <row r="226" spans="1:6" ht="14.5" x14ac:dyDescent="0.35">
      <c r="A226" s="40"/>
      <c r="B226" s="5" t="s">
        <v>671</v>
      </c>
      <c r="C226" s="7">
        <v>0.35</v>
      </c>
      <c r="D226" s="7">
        <f t="shared" si="13"/>
        <v>0.31</v>
      </c>
      <c r="E226" s="7">
        <f t="shared" si="14"/>
        <v>6.1999999999999998E-3</v>
      </c>
      <c r="F226" s="7">
        <f t="shared" si="15"/>
        <v>0.30380000000000001</v>
      </c>
    </row>
    <row r="227" spans="1:6" ht="14.5" x14ac:dyDescent="0.35">
      <c r="A227" s="40"/>
      <c r="B227" s="5" t="s">
        <v>672</v>
      </c>
      <c r="C227" s="7">
        <v>0.32</v>
      </c>
      <c r="D227" s="7">
        <f t="shared" si="13"/>
        <v>0.28000000000000003</v>
      </c>
      <c r="E227" s="7">
        <f t="shared" si="14"/>
        <v>5.6000000000000008E-3</v>
      </c>
      <c r="F227" s="7">
        <f t="shared" si="15"/>
        <v>0.27440000000000003</v>
      </c>
    </row>
    <row r="228" spans="1:6" ht="14.5" x14ac:dyDescent="0.35">
      <c r="A228" s="40"/>
      <c r="B228" s="5" t="s">
        <v>673</v>
      </c>
      <c r="C228" s="7">
        <v>0.35</v>
      </c>
      <c r="D228" s="7">
        <f t="shared" si="13"/>
        <v>0.31</v>
      </c>
      <c r="E228" s="7">
        <f t="shared" si="14"/>
        <v>6.1999999999999998E-3</v>
      </c>
      <c r="F228" s="7">
        <f t="shared" si="15"/>
        <v>0.30380000000000001</v>
      </c>
    </row>
    <row r="229" spans="1:6" ht="14.5" x14ac:dyDescent="0.35">
      <c r="A229" s="40"/>
      <c r="B229" s="5" t="s">
        <v>674</v>
      </c>
      <c r="C229" s="7">
        <v>0.35</v>
      </c>
      <c r="D229" s="7">
        <f t="shared" si="13"/>
        <v>0.31</v>
      </c>
      <c r="E229" s="7">
        <f t="shared" si="14"/>
        <v>6.1999999999999998E-3</v>
      </c>
      <c r="F229" s="7">
        <f t="shared" si="15"/>
        <v>0.30380000000000001</v>
      </c>
    </row>
    <row r="230" spans="1:6" ht="14.5" x14ac:dyDescent="0.35">
      <c r="A230" s="40"/>
      <c r="B230" s="5" t="s">
        <v>675</v>
      </c>
      <c r="C230" s="7">
        <v>0.35</v>
      </c>
      <c r="D230" s="7">
        <f t="shared" si="13"/>
        <v>0.31</v>
      </c>
      <c r="E230" s="7">
        <f t="shared" si="14"/>
        <v>6.1999999999999998E-3</v>
      </c>
      <c r="F230" s="7">
        <f t="shared" si="15"/>
        <v>0.30380000000000001</v>
      </c>
    </row>
    <row r="231" spans="1:6" ht="14.5" x14ac:dyDescent="0.35">
      <c r="A231" s="40"/>
      <c r="B231" s="5" t="s">
        <v>676</v>
      </c>
      <c r="C231" s="7">
        <v>9.9999999999999992E-2</v>
      </c>
      <c r="D231" s="7">
        <f t="shared" si="13"/>
        <v>5.9999999999999991E-2</v>
      </c>
      <c r="E231" s="7">
        <f t="shared" si="14"/>
        <v>1.1999999999999999E-3</v>
      </c>
      <c r="F231" s="7">
        <f t="shared" si="15"/>
        <v>5.8799999999999991E-2</v>
      </c>
    </row>
    <row r="232" spans="1:6" ht="14.5" x14ac:dyDescent="0.35">
      <c r="A232" s="40"/>
      <c r="B232" s="5" t="s">
        <v>677</v>
      </c>
      <c r="C232" s="7">
        <v>0.35</v>
      </c>
      <c r="D232" s="7">
        <f t="shared" si="13"/>
        <v>0.31</v>
      </c>
      <c r="E232" s="7">
        <f t="shared" si="14"/>
        <v>6.1999999999999998E-3</v>
      </c>
      <c r="F232" s="7">
        <f t="shared" si="15"/>
        <v>0.30380000000000001</v>
      </c>
    </row>
    <row r="233" spans="1:6" ht="14.5" x14ac:dyDescent="0.35">
      <c r="A233" s="40"/>
      <c r="B233" s="5" t="s">
        <v>678</v>
      </c>
      <c r="C233" s="7">
        <v>0.13</v>
      </c>
      <c r="D233" s="7">
        <f t="shared" si="13"/>
        <v>0.09</v>
      </c>
      <c r="E233" s="7">
        <f t="shared" si="14"/>
        <v>1.8E-3</v>
      </c>
      <c r="F233" s="7">
        <f t="shared" si="15"/>
        <v>8.8200000000000001E-2</v>
      </c>
    </row>
    <row r="234" spans="1:6" ht="14.5" x14ac:dyDescent="0.35">
      <c r="A234" s="40"/>
      <c r="B234" s="5" t="s">
        <v>679</v>
      </c>
      <c r="C234" s="7">
        <v>0.14000000000000001</v>
      </c>
      <c r="D234" s="7">
        <f t="shared" si="13"/>
        <v>0.1</v>
      </c>
      <c r="E234" s="7">
        <f t="shared" si="14"/>
        <v>2E-3</v>
      </c>
      <c r="F234" s="7">
        <f t="shared" si="15"/>
        <v>9.8000000000000004E-2</v>
      </c>
    </row>
    <row r="235" spans="1:6" ht="14.5" x14ac:dyDescent="0.35">
      <c r="A235" s="44" t="s">
        <v>1232</v>
      </c>
      <c r="B235" s="5" t="s">
        <v>92</v>
      </c>
      <c r="C235" s="6">
        <v>0.27</v>
      </c>
      <c r="D235" s="7">
        <f t="shared" si="13"/>
        <v>0.23</v>
      </c>
      <c r="E235" s="7">
        <f t="shared" si="14"/>
        <v>4.5999999999999999E-3</v>
      </c>
      <c r="F235" s="7">
        <f t="shared" si="15"/>
        <v>0.22540000000000002</v>
      </c>
    </row>
    <row r="236" spans="1:6" ht="14.5" x14ac:dyDescent="0.35">
      <c r="A236" s="45"/>
      <c r="B236" s="5" t="s">
        <v>93</v>
      </c>
      <c r="C236" s="6">
        <v>0.27</v>
      </c>
      <c r="D236" s="7">
        <f t="shared" si="13"/>
        <v>0.23</v>
      </c>
      <c r="E236" s="7">
        <f t="shared" si="14"/>
        <v>4.5999999999999999E-3</v>
      </c>
      <c r="F236" s="7">
        <f t="shared" si="15"/>
        <v>0.22540000000000002</v>
      </c>
    </row>
    <row r="237" spans="1:6" ht="14.5" x14ac:dyDescent="0.35">
      <c r="A237" s="48" t="s">
        <v>721</v>
      </c>
      <c r="B237" s="5" t="s">
        <v>662</v>
      </c>
      <c r="C237" s="7">
        <v>0.28999999999999998</v>
      </c>
      <c r="D237" s="7">
        <f t="shared" si="13"/>
        <v>0.24999999999999997</v>
      </c>
      <c r="E237" s="7">
        <f t="shared" si="14"/>
        <v>4.9999999999999992E-3</v>
      </c>
      <c r="F237" s="7">
        <f t="shared" si="15"/>
        <v>0.24499999999999997</v>
      </c>
    </row>
    <row r="238" spans="1:6" ht="14.5" x14ac:dyDescent="0.35">
      <c r="A238" s="48"/>
      <c r="B238" s="5" t="s">
        <v>683</v>
      </c>
      <c r="C238" s="7">
        <v>0.24</v>
      </c>
      <c r="D238" s="7">
        <f t="shared" si="13"/>
        <v>0.19999999999999998</v>
      </c>
      <c r="E238" s="7">
        <f t="shared" si="14"/>
        <v>4.0000000000000001E-3</v>
      </c>
      <c r="F238" s="7">
        <f t="shared" si="15"/>
        <v>0.19599999999999998</v>
      </c>
    </row>
    <row r="239" spans="1:6" ht="14.5" x14ac:dyDescent="0.35">
      <c r="A239" s="48"/>
      <c r="B239" s="5" t="s">
        <v>684</v>
      </c>
      <c r="C239" s="7">
        <v>0.24</v>
      </c>
      <c r="D239" s="7">
        <f t="shared" si="13"/>
        <v>0.19999999999999998</v>
      </c>
      <c r="E239" s="7">
        <f t="shared" si="14"/>
        <v>4.0000000000000001E-3</v>
      </c>
      <c r="F239" s="7">
        <f t="shared" si="15"/>
        <v>0.19599999999999998</v>
      </c>
    </row>
    <row r="240" spans="1:6" ht="14.5" x14ac:dyDescent="0.35">
      <c r="A240" s="48"/>
      <c r="B240" s="5" t="s">
        <v>685</v>
      </c>
      <c r="C240" s="7">
        <v>0</v>
      </c>
      <c r="D240" s="7" t="s">
        <v>20</v>
      </c>
      <c r="E240" s="7" t="s">
        <v>20</v>
      </c>
      <c r="F240" s="7" t="s">
        <v>20</v>
      </c>
    </row>
    <row r="241" spans="1:6" ht="14.5" x14ac:dyDescent="0.35">
      <c r="A241" s="48" t="s">
        <v>722</v>
      </c>
      <c r="B241" s="5" t="s">
        <v>662</v>
      </c>
      <c r="C241" s="7">
        <v>0.27</v>
      </c>
      <c r="D241" s="7">
        <f t="shared" si="13"/>
        <v>0.23</v>
      </c>
      <c r="E241" s="7">
        <f t="shared" si="14"/>
        <v>4.5999999999999999E-3</v>
      </c>
      <c r="F241" s="7">
        <f t="shared" si="15"/>
        <v>0.22540000000000002</v>
      </c>
    </row>
    <row r="242" spans="1:6" ht="14.5" x14ac:dyDescent="0.35">
      <c r="A242" s="48"/>
      <c r="B242" s="5" t="s">
        <v>683</v>
      </c>
      <c r="C242" s="7">
        <v>0.27</v>
      </c>
      <c r="D242" s="7">
        <f t="shared" si="13"/>
        <v>0.23</v>
      </c>
      <c r="E242" s="7">
        <f t="shared" si="14"/>
        <v>4.5999999999999999E-3</v>
      </c>
      <c r="F242" s="7">
        <f t="shared" si="15"/>
        <v>0.22540000000000002</v>
      </c>
    </row>
    <row r="243" spans="1:6" ht="14.5" x14ac:dyDescent="0.35">
      <c r="A243" s="48"/>
      <c r="B243" s="5" t="s">
        <v>684</v>
      </c>
      <c r="C243" s="7">
        <v>0.37</v>
      </c>
      <c r="D243" s="7">
        <f t="shared" si="13"/>
        <v>0.33</v>
      </c>
      <c r="E243" s="7">
        <f t="shared" si="14"/>
        <v>6.6000000000000008E-3</v>
      </c>
      <c r="F243" s="7">
        <f t="shared" si="15"/>
        <v>0.32340000000000002</v>
      </c>
    </row>
    <row r="244" spans="1:6" ht="14.5" x14ac:dyDescent="0.35">
      <c r="A244" s="48"/>
      <c r="B244" s="5" t="s">
        <v>685</v>
      </c>
      <c r="C244" s="7">
        <v>0</v>
      </c>
      <c r="D244" s="7" t="s">
        <v>20</v>
      </c>
      <c r="E244" s="7" t="s">
        <v>20</v>
      </c>
      <c r="F244" s="7" t="s">
        <v>20</v>
      </c>
    </row>
    <row r="245" spans="1:6" ht="14.5" x14ac:dyDescent="0.35">
      <c r="A245" s="48" t="s">
        <v>723</v>
      </c>
      <c r="B245" s="5" t="s">
        <v>662</v>
      </c>
      <c r="C245" s="7">
        <v>0.24</v>
      </c>
      <c r="D245" s="7">
        <f t="shared" si="13"/>
        <v>0.19999999999999998</v>
      </c>
      <c r="E245" s="7">
        <f t="shared" si="14"/>
        <v>4.0000000000000001E-3</v>
      </c>
      <c r="F245" s="7">
        <f t="shared" si="15"/>
        <v>0.19599999999999998</v>
      </c>
    </row>
    <row r="246" spans="1:6" ht="14.5" x14ac:dyDescent="0.35">
      <c r="A246" s="48"/>
      <c r="B246" s="5" t="s">
        <v>683</v>
      </c>
      <c r="C246" s="7">
        <v>0.35</v>
      </c>
      <c r="D246" s="7">
        <f t="shared" si="13"/>
        <v>0.31</v>
      </c>
      <c r="E246" s="7">
        <f t="shared" si="14"/>
        <v>6.1999999999999998E-3</v>
      </c>
      <c r="F246" s="7">
        <f t="shared" si="15"/>
        <v>0.30380000000000001</v>
      </c>
    </row>
    <row r="247" spans="1:6" ht="14.5" x14ac:dyDescent="0.35">
      <c r="A247" s="48"/>
      <c r="B247" s="5" t="s">
        <v>684</v>
      </c>
      <c r="C247" s="7">
        <v>0.35</v>
      </c>
      <c r="D247" s="7">
        <f t="shared" si="13"/>
        <v>0.31</v>
      </c>
      <c r="E247" s="7">
        <f t="shared" si="14"/>
        <v>6.1999999999999998E-3</v>
      </c>
      <c r="F247" s="7">
        <f t="shared" si="15"/>
        <v>0.30380000000000001</v>
      </c>
    </row>
    <row r="248" spans="1:6" ht="14.5" x14ac:dyDescent="0.35">
      <c r="A248" s="48"/>
      <c r="B248" s="5" t="s">
        <v>685</v>
      </c>
      <c r="C248" s="7">
        <v>0</v>
      </c>
      <c r="D248" s="7" t="s">
        <v>20</v>
      </c>
      <c r="E248" s="7" t="s">
        <v>20</v>
      </c>
      <c r="F248" s="7" t="s">
        <v>20</v>
      </c>
    </row>
    <row r="249" spans="1:6" ht="14.5" x14ac:dyDescent="0.35">
      <c r="A249" s="48" t="s">
        <v>724</v>
      </c>
      <c r="B249" s="5" t="s">
        <v>662</v>
      </c>
      <c r="C249" s="7">
        <v>0.1</v>
      </c>
      <c r="D249" s="7">
        <f t="shared" si="13"/>
        <v>6.0000000000000005E-2</v>
      </c>
      <c r="E249" s="7">
        <f t="shared" si="14"/>
        <v>1.2000000000000001E-3</v>
      </c>
      <c r="F249" s="7">
        <f t="shared" si="15"/>
        <v>5.8800000000000005E-2</v>
      </c>
    </row>
    <row r="250" spans="1:6" ht="14.5" x14ac:dyDescent="0.35">
      <c r="A250" s="48"/>
      <c r="B250" s="5" t="s">
        <v>683</v>
      </c>
      <c r="C250" s="7">
        <v>0.27</v>
      </c>
      <c r="D250" s="7">
        <f t="shared" si="13"/>
        <v>0.23</v>
      </c>
      <c r="E250" s="7">
        <f t="shared" si="14"/>
        <v>4.5999999999999999E-3</v>
      </c>
      <c r="F250" s="7">
        <f t="shared" si="15"/>
        <v>0.22540000000000002</v>
      </c>
    </row>
    <row r="251" spans="1:6" ht="14.5" x14ac:dyDescent="0.35">
      <c r="A251" s="48"/>
      <c r="B251" s="5" t="s">
        <v>684</v>
      </c>
      <c r="C251" s="7">
        <v>0.12</v>
      </c>
      <c r="D251" s="7">
        <f t="shared" si="13"/>
        <v>7.9999999999999988E-2</v>
      </c>
      <c r="E251" s="7">
        <f t="shared" si="14"/>
        <v>1.5999999999999999E-3</v>
      </c>
      <c r="F251" s="7">
        <f t="shared" si="15"/>
        <v>7.8399999999999984E-2</v>
      </c>
    </row>
    <row r="252" spans="1:6" ht="14.5" x14ac:dyDescent="0.35">
      <c r="A252" s="48"/>
      <c r="B252" s="5" t="s">
        <v>685</v>
      </c>
      <c r="C252" s="7">
        <v>0</v>
      </c>
      <c r="D252" s="7" t="s">
        <v>20</v>
      </c>
      <c r="E252" s="7" t="s">
        <v>20</v>
      </c>
      <c r="F252" s="7" t="s">
        <v>20</v>
      </c>
    </row>
    <row r="253" spans="1:6" ht="27" customHeight="1" x14ac:dyDescent="0.35">
      <c r="A253" s="48" t="s">
        <v>107</v>
      </c>
      <c r="B253" s="5" t="s">
        <v>32</v>
      </c>
      <c r="C253" s="7">
        <v>0.47499999999999998</v>
      </c>
      <c r="D253" s="7">
        <f t="shared" si="13"/>
        <v>0.435</v>
      </c>
      <c r="E253" s="7">
        <f t="shared" si="14"/>
        <v>8.6999999999999994E-3</v>
      </c>
      <c r="F253" s="7">
        <f t="shared" si="15"/>
        <v>0.42630000000000001</v>
      </c>
    </row>
    <row r="254" spans="1:6" ht="25.5" customHeight="1" x14ac:dyDescent="0.35">
      <c r="A254" s="48"/>
      <c r="B254" s="5" t="s">
        <v>108</v>
      </c>
      <c r="C254" s="7">
        <v>0.42499999999999999</v>
      </c>
      <c r="D254" s="7">
        <f t="shared" si="13"/>
        <v>0.38500000000000001</v>
      </c>
      <c r="E254" s="7">
        <f t="shared" si="14"/>
        <v>7.7000000000000002E-3</v>
      </c>
      <c r="F254" s="7">
        <f t="shared" si="15"/>
        <v>0.37730000000000002</v>
      </c>
    </row>
    <row r="255" spans="1:6" ht="14.5" x14ac:dyDescent="0.35">
      <c r="A255" s="48" t="s">
        <v>109</v>
      </c>
      <c r="B255" s="5" t="s">
        <v>32</v>
      </c>
      <c r="C255" s="7">
        <v>0.3</v>
      </c>
      <c r="D255" s="7">
        <f t="shared" si="13"/>
        <v>0.26</v>
      </c>
      <c r="E255" s="7">
        <f t="shared" si="14"/>
        <v>5.2000000000000006E-3</v>
      </c>
      <c r="F255" s="7">
        <f t="shared" si="15"/>
        <v>0.25480000000000003</v>
      </c>
    </row>
    <row r="256" spans="1:6" ht="14.5" x14ac:dyDescent="0.35">
      <c r="A256" s="48"/>
      <c r="B256" s="5" t="s">
        <v>108</v>
      </c>
      <c r="C256" s="7">
        <v>0.2</v>
      </c>
      <c r="D256" s="7">
        <f t="shared" si="13"/>
        <v>0.16</v>
      </c>
      <c r="E256" s="7">
        <f t="shared" si="14"/>
        <v>3.2000000000000002E-3</v>
      </c>
      <c r="F256" s="7">
        <f t="shared" si="15"/>
        <v>0.15679999999999999</v>
      </c>
    </row>
    <row r="257" spans="1:6" ht="36" x14ac:dyDescent="0.35">
      <c r="A257" s="40" t="s">
        <v>1459</v>
      </c>
      <c r="B257" s="5" t="s">
        <v>725</v>
      </c>
      <c r="C257" s="7">
        <v>0.48</v>
      </c>
      <c r="D257" s="7">
        <f t="shared" si="13"/>
        <v>0.44</v>
      </c>
      <c r="E257" s="7">
        <f t="shared" si="14"/>
        <v>8.8000000000000005E-3</v>
      </c>
      <c r="F257" s="7">
        <f t="shared" si="15"/>
        <v>0.43120000000000003</v>
      </c>
    </row>
    <row r="258" spans="1:6" ht="14.5" x14ac:dyDescent="0.35">
      <c r="A258" s="40"/>
      <c r="B258" s="5" t="s">
        <v>663</v>
      </c>
      <c r="C258" s="7">
        <v>0.43</v>
      </c>
      <c r="D258" s="7">
        <f t="shared" si="13"/>
        <v>0.39</v>
      </c>
      <c r="E258" s="7">
        <f t="shared" si="14"/>
        <v>7.8000000000000005E-3</v>
      </c>
      <c r="F258" s="7">
        <f t="shared" si="15"/>
        <v>0.38220000000000004</v>
      </c>
    </row>
    <row r="259" spans="1:6" ht="36" x14ac:dyDescent="0.35">
      <c r="A259" s="40" t="s">
        <v>1460</v>
      </c>
      <c r="B259" s="5" t="s">
        <v>725</v>
      </c>
      <c r="C259" s="7">
        <v>0.5</v>
      </c>
      <c r="D259" s="7">
        <f t="shared" si="13"/>
        <v>0.46</v>
      </c>
      <c r="E259" s="7">
        <f t="shared" si="14"/>
        <v>9.1999999999999998E-3</v>
      </c>
      <c r="F259" s="7">
        <f t="shared" si="15"/>
        <v>0.45080000000000003</v>
      </c>
    </row>
    <row r="260" spans="1:6" ht="14.5" x14ac:dyDescent="0.35">
      <c r="A260" s="40"/>
      <c r="B260" s="5" t="s">
        <v>663</v>
      </c>
      <c r="C260" s="7">
        <v>0.45</v>
      </c>
      <c r="D260" s="7">
        <f t="shared" si="13"/>
        <v>0.41000000000000003</v>
      </c>
      <c r="E260" s="7">
        <f t="shared" si="14"/>
        <v>8.2000000000000007E-3</v>
      </c>
      <c r="F260" s="7">
        <f t="shared" si="15"/>
        <v>0.40180000000000005</v>
      </c>
    </row>
    <row r="261" spans="1:6" ht="24" x14ac:dyDescent="0.35">
      <c r="A261" s="40" t="s">
        <v>1461</v>
      </c>
      <c r="B261" s="5" t="s">
        <v>1463</v>
      </c>
      <c r="C261" s="7">
        <v>0.45</v>
      </c>
      <c r="D261" s="7">
        <f t="shared" si="13"/>
        <v>0.41000000000000003</v>
      </c>
      <c r="E261" s="7">
        <f t="shared" si="14"/>
        <v>8.2000000000000007E-3</v>
      </c>
      <c r="F261" s="7">
        <f t="shared" si="15"/>
        <v>0.40180000000000005</v>
      </c>
    </row>
    <row r="262" spans="1:6" ht="14.5" x14ac:dyDescent="0.35">
      <c r="A262" s="40"/>
      <c r="B262" s="5" t="s">
        <v>663</v>
      </c>
      <c r="C262" s="7">
        <v>0.45</v>
      </c>
      <c r="D262" s="7">
        <f t="shared" si="13"/>
        <v>0.41000000000000003</v>
      </c>
      <c r="E262" s="7">
        <f t="shared" si="14"/>
        <v>8.2000000000000007E-3</v>
      </c>
      <c r="F262" s="7">
        <f t="shared" si="15"/>
        <v>0.40180000000000005</v>
      </c>
    </row>
    <row r="263" spans="1:6" ht="24" x14ac:dyDescent="0.35">
      <c r="A263" s="40" t="s">
        <v>1462</v>
      </c>
      <c r="B263" s="5" t="s">
        <v>1463</v>
      </c>
      <c r="C263" s="7">
        <v>0.45</v>
      </c>
      <c r="D263" s="7">
        <f t="shared" si="13"/>
        <v>0.41000000000000003</v>
      </c>
      <c r="E263" s="7">
        <f t="shared" si="14"/>
        <v>8.2000000000000007E-3</v>
      </c>
      <c r="F263" s="7">
        <f t="shared" si="15"/>
        <v>0.40180000000000005</v>
      </c>
    </row>
    <row r="264" spans="1:6" ht="14.5" x14ac:dyDescent="0.35">
      <c r="A264" s="40"/>
      <c r="B264" s="5" t="s">
        <v>663</v>
      </c>
      <c r="C264" s="7">
        <v>0.45</v>
      </c>
      <c r="D264" s="7">
        <f t="shared" si="13"/>
        <v>0.41000000000000003</v>
      </c>
      <c r="E264" s="7">
        <f t="shared" si="14"/>
        <v>8.2000000000000007E-3</v>
      </c>
      <c r="F264" s="7">
        <f t="shared" si="15"/>
        <v>0.40180000000000005</v>
      </c>
    </row>
    <row r="265" spans="1:6" ht="29.15" customHeight="1" x14ac:dyDescent="0.35">
      <c r="A265" s="48" t="s">
        <v>726</v>
      </c>
      <c r="B265" s="5" t="s">
        <v>686</v>
      </c>
      <c r="C265" s="6">
        <v>0</v>
      </c>
      <c r="D265" s="7" t="s">
        <v>20</v>
      </c>
      <c r="E265" s="7" t="s">
        <v>20</v>
      </c>
      <c r="F265" s="7" t="s">
        <v>20</v>
      </c>
    </row>
    <row r="266" spans="1:6" ht="29.15" customHeight="1" x14ac:dyDescent="0.35">
      <c r="A266" s="48"/>
      <c r="B266" s="5" t="s">
        <v>684</v>
      </c>
      <c r="C266" s="6">
        <v>0</v>
      </c>
      <c r="D266" s="7" t="s">
        <v>20</v>
      </c>
      <c r="E266" s="7" t="s">
        <v>20</v>
      </c>
      <c r="F266" s="7" t="s">
        <v>20</v>
      </c>
    </row>
    <row r="267" spans="1:6" ht="29.15" customHeight="1" x14ac:dyDescent="0.35">
      <c r="A267" s="48"/>
      <c r="B267" s="5" t="s">
        <v>683</v>
      </c>
      <c r="C267" s="6">
        <v>0.1</v>
      </c>
      <c r="D267" s="7">
        <f t="shared" si="13"/>
        <v>6.0000000000000005E-2</v>
      </c>
      <c r="E267" s="7">
        <f t="shared" si="14"/>
        <v>1.2000000000000001E-3</v>
      </c>
      <c r="F267" s="7">
        <f t="shared" si="15"/>
        <v>5.8800000000000005E-2</v>
      </c>
    </row>
    <row r="268" spans="1:6" ht="29.15" customHeight="1" x14ac:dyDescent="0.35">
      <c r="A268" s="48"/>
      <c r="B268" s="5" t="s">
        <v>687</v>
      </c>
      <c r="C268" s="6">
        <v>0.1</v>
      </c>
      <c r="D268" s="7">
        <f t="shared" ref="D268:D332" si="16">C268-(4%)</f>
        <v>6.0000000000000005E-2</v>
      </c>
      <c r="E268" s="7">
        <f t="shared" ref="E268:E332" si="17">D268*2%</f>
        <v>1.2000000000000001E-3</v>
      </c>
      <c r="F268" s="7">
        <f t="shared" ref="F268:F332" si="18">D268-E268</f>
        <v>5.8800000000000005E-2</v>
      </c>
    </row>
    <row r="269" spans="1:6" ht="29.15" customHeight="1" x14ac:dyDescent="0.35">
      <c r="A269" s="48"/>
      <c r="B269" s="5" t="s">
        <v>688</v>
      </c>
      <c r="C269" s="6">
        <v>0</v>
      </c>
      <c r="D269" s="7" t="s">
        <v>20</v>
      </c>
      <c r="E269" s="7" t="s">
        <v>20</v>
      </c>
      <c r="F269" s="7" t="s">
        <v>20</v>
      </c>
    </row>
    <row r="270" spans="1:6" ht="29.15" customHeight="1" x14ac:dyDescent="0.35">
      <c r="A270" s="48" t="s">
        <v>727</v>
      </c>
      <c r="B270" s="5" t="s">
        <v>686</v>
      </c>
      <c r="C270" s="6">
        <v>0.25</v>
      </c>
      <c r="D270" s="7">
        <f t="shared" si="16"/>
        <v>0.21</v>
      </c>
      <c r="E270" s="7">
        <f t="shared" si="17"/>
        <v>4.1999999999999997E-3</v>
      </c>
      <c r="F270" s="7">
        <f t="shared" si="18"/>
        <v>0.20579999999999998</v>
      </c>
    </row>
    <row r="271" spans="1:6" ht="29.15" customHeight="1" x14ac:dyDescent="0.35">
      <c r="A271" s="48"/>
      <c r="B271" s="5" t="s">
        <v>684</v>
      </c>
      <c r="C271" s="6">
        <v>0.1</v>
      </c>
      <c r="D271" s="7">
        <f t="shared" si="16"/>
        <v>6.0000000000000005E-2</v>
      </c>
      <c r="E271" s="7">
        <f t="shared" si="17"/>
        <v>1.2000000000000001E-3</v>
      </c>
      <c r="F271" s="7">
        <f t="shared" si="18"/>
        <v>5.8800000000000005E-2</v>
      </c>
    </row>
    <row r="272" spans="1:6" ht="29.15" customHeight="1" x14ac:dyDescent="0.35">
      <c r="A272" s="48"/>
      <c r="B272" s="5" t="s">
        <v>683</v>
      </c>
      <c r="C272" s="6">
        <v>0</v>
      </c>
      <c r="D272" s="7" t="s">
        <v>20</v>
      </c>
      <c r="E272" s="7" t="s">
        <v>20</v>
      </c>
      <c r="F272" s="7" t="s">
        <v>20</v>
      </c>
    </row>
    <row r="273" spans="1:6" ht="29.15" customHeight="1" x14ac:dyDescent="0.35">
      <c r="A273" s="48"/>
      <c r="B273" s="5" t="s">
        <v>687</v>
      </c>
      <c r="C273" s="6">
        <v>0.35</v>
      </c>
      <c r="D273" s="7">
        <f t="shared" si="16"/>
        <v>0.31</v>
      </c>
      <c r="E273" s="7">
        <f t="shared" si="17"/>
        <v>6.1999999999999998E-3</v>
      </c>
      <c r="F273" s="7">
        <f t="shared" si="18"/>
        <v>0.30380000000000001</v>
      </c>
    </row>
    <row r="274" spans="1:6" ht="29.15" customHeight="1" x14ac:dyDescent="0.35">
      <c r="A274" s="48"/>
      <c r="B274" s="5" t="s">
        <v>688</v>
      </c>
      <c r="C274" s="6">
        <v>0</v>
      </c>
      <c r="D274" s="7" t="s">
        <v>20</v>
      </c>
      <c r="E274" s="7" t="s">
        <v>20</v>
      </c>
      <c r="F274" s="7" t="s">
        <v>20</v>
      </c>
    </row>
    <row r="275" spans="1:6" ht="29.15" customHeight="1" x14ac:dyDescent="0.35">
      <c r="A275" s="41" t="s">
        <v>115</v>
      </c>
      <c r="B275" s="5" t="s">
        <v>687</v>
      </c>
      <c r="C275" s="7">
        <v>0.45500000000000002</v>
      </c>
      <c r="D275" s="7">
        <f t="shared" si="16"/>
        <v>0.41500000000000004</v>
      </c>
      <c r="E275" s="7">
        <f t="shared" si="17"/>
        <v>8.3000000000000001E-3</v>
      </c>
      <c r="F275" s="7">
        <f t="shared" si="18"/>
        <v>0.40670000000000006</v>
      </c>
    </row>
    <row r="276" spans="1:6" ht="29.15" customHeight="1" x14ac:dyDescent="0.35">
      <c r="A276" s="42"/>
      <c r="B276" s="5" t="s">
        <v>688</v>
      </c>
      <c r="C276" s="7">
        <v>0.45500000000000002</v>
      </c>
      <c r="D276" s="7">
        <f t="shared" si="16"/>
        <v>0.41500000000000004</v>
      </c>
      <c r="E276" s="7">
        <f t="shared" si="17"/>
        <v>8.3000000000000001E-3</v>
      </c>
      <c r="F276" s="7">
        <f t="shared" si="18"/>
        <v>0.40670000000000006</v>
      </c>
    </row>
    <row r="277" spans="1:6" ht="29.15" customHeight="1" x14ac:dyDescent="0.35">
      <c r="A277" s="42"/>
      <c r="B277" s="5" t="s">
        <v>686</v>
      </c>
      <c r="C277" s="7">
        <v>0.31</v>
      </c>
      <c r="D277" s="7">
        <f t="shared" si="16"/>
        <v>0.27</v>
      </c>
      <c r="E277" s="7">
        <f t="shared" si="17"/>
        <v>5.4000000000000003E-3</v>
      </c>
      <c r="F277" s="7">
        <f t="shared" si="18"/>
        <v>0.2646</v>
      </c>
    </row>
    <row r="278" spans="1:6" ht="29.15" customHeight="1" x14ac:dyDescent="0.35">
      <c r="A278" s="42"/>
      <c r="B278" s="5" t="s">
        <v>684</v>
      </c>
      <c r="C278" s="7">
        <v>0.29499999999999998</v>
      </c>
      <c r="D278" s="7">
        <f t="shared" si="16"/>
        <v>0.255</v>
      </c>
      <c r="E278" s="7">
        <f t="shared" si="17"/>
        <v>5.1000000000000004E-3</v>
      </c>
      <c r="F278" s="7">
        <f t="shared" si="18"/>
        <v>0.24990000000000001</v>
      </c>
    </row>
    <row r="279" spans="1:6" ht="29.15" customHeight="1" x14ac:dyDescent="0.35">
      <c r="A279" s="43"/>
      <c r="B279" s="5" t="s">
        <v>683</v>
      </c>
      <c r="C279" s="7">
        <v>0.38500000000000001</v>
      </c>
      <c r="D279" s="7">
        <f t="shared" si="16"/>
        <v>0.34500000000000003</v>
      </c>
      <c r="E279" s="7">
        <f t="shared" si="17"/>
        <v>6.9000000000000008E-3</v>
      </c>
      <c r="F279" s="7">
        <f t="shared" si="18"/>
        <v>0.33810000000000001</v>
      </c>
    </row>
    <row r="280" spans="1:6" ht="29.15" customHeight="1" x14ac:dyDescent="0.35">
      <c r="A280" s="5" t="s">
        <v>116</v>
      </c>
      <c r="B280" s="5" t="s">
        <v>100</v>
      </c>
      <c r="C280" s="7">
        <v>0.35</v>
      </c>
      <c r="D280" s="7">
        <f t="shared" si="16"/>
        <v>0.31</v>
      </c>
      <c r="E280" s="7">
        <f t="shared" si="17"/>
        <v>6.1999999999999998E-3</v>
      </c>
      <c r="F280" s="7">
        <f t="shared" si="18"/>
        <v>0.30380000000000001</v>
      </c>
    </row>
    <row r="281" spans="1:6" ht="29.15" customHeight="1" x14ac:dyDescent="0.35">
      <c r="A281" s="23" t="s">
        <v>1310</v>
      </c>
      <c r="B281" s="5" t="s">
        <v>100</v>
      </c>
      <c r="C281" s="6">
        <v>0.47499999999999998</v>
      </c>
      <c r="D281" s="7">
        <f t="shared" ref="D281" si="19">C281-(4%)</f>
        <v>0.435</v>
      </c>
      <c r="E281" s="7">
        <f t="shared" ref="E281" si="20">D281*2%</f>
        <v>8.6999999999999994E-3</v>
      </c>
      <c r="F281" s="7">
        <f t="shared" ref="F281" si="21">D281-E281</f>
        <v>0.42630000000000001</v>
      </c>
    </row>
    <row r="282" spans="1:6" ht="14.5" x14ac:dyDescent="0.35">
      <c r="A282" s="2" t="s">
        <v>117</v>
      </c>
      <c r="B282" s="2" t="s">
        <v>1</v>
      </c>
      <c r="C282" s="3" t="s">
        <v>2</v>
      </c>
      <c r="D282" s="4" t="s">
        <v>4</v>
      </c>
      <c r="E282" s="4" t="s">
        <v>5</v>
      </c>
      <c r="F282" s="4" t="s">
        <v>6</v>
      </c>
    </row>
    <row r="283" spans="1:6" ht="14.5" x14ac:dyDescent="0.35">
      <c r="A283" s="55" t="s">
        <v>728</v>
      </c>
      <c r="B283" s="5" t="s">
        <v>729</v>
      </c>
      <c r="C283" s="7">
        <v>0.19500000000000001</v>
      </c>
      <c r="D283" s="7">
        <f t="shared" si="16"/>
        <v>0.155</v>
      </c>
      <c r="E283" s="7">
        <f t="shared" si="17"/>
        <v>3.0999999999999999E-3</v>
      </c>
      <c r="F283" s="7">
        <f t="shared" si="18"/>
        <v>0.15190000000000001</v>
      </c>
    </row>
    <row r="284" spans="1:6" ht="14.5" x14ac:dyDescent="0.35">
      <c r="A284" s="56"/>
      <c r="B284" s="5" t="s">
        <v>730</v>
      </c>
      <c r="C284" s="7">
        <v>0.19500000000000001</v>
      </c>
      <c r="D284" s="7">
        <f t="shared" si="16"/>
        <v>0.155</v>
      </c>
      <c r="E284" s="7">
        <f t="shared" si="17"/>
        <v>3.0999999999999999E-3</v>
      </c>
      <c r="F284" s="7">
        <f t="shared" si="18"/>
        <v>0.15190000000000001</v>
      </c>
    </row>
    <row r="285" spans="1:6" ht="14.5" x14ac:dyDescent="0.35">
      <c r="A285" s="56"/>
      <c r="B285" s="5" t="s">
        <v>667</v>
      </c>
      <c r="C285" s="7">
        <v>0.2</v>
      </c>
      <c r="D285" s="7">
        <f t="shared" si="16"/>
        <v>0.16</v>
      </c>
      <c r="E285" s="7">
        <f t="shared" si="17"/>
        <v>3.2000000000000002E-3</v>
      </c>
      <c r="F285" s="7">
        <f t="shared" si="18"/>
        <v>0.15679999999999999</v>
      </c>
    </row>
    <row r="286" spans="1:6" ht="14.5" x14ac:dyDescent="0.35">
      <c r="A286" s="56"/>
      <c r="B286" s="5" t="s">
        <v>668</v>
      </c>
      <c r="C286" s="7">
        <v>0.15</v>
      </c>
      <c r="D286" s="7">
        <f t="shared" si="16"/>
        <v>0.10999999999999999</v>
      </c>
      <c r="E286" s="7">
        <f t="shared" si="17"/>
        <v>2.1999999999999997E-3</v>
      </c>
      <c r="F286" s="7">
        <f t="shared" si="18"/>
        <v>0.10779999999999999</v>
      </c>
    </row>
    <row r="287" spans="1:6" ht="14.5" x14ac:dyDescent="0.35">
      <c r="A287" s="56"/>
      <c r="B287" s="5" t="s">
        <v>669</v>
      </c>
      <c r="C287" s="7">
        <v>0.1</v>
      </c>
      <c r="D287" s="7">
        <f t="shared" si="16"/>
        <v>6.0000000000000005E-2</v>
      </c>
      <c r="E287" s="7">
        <f t="shared" si="17"/>
        <v>1.2000000000000001E-3</v>
      </c>
      <c r="F287" s="7">
        <f t="shared" si="18"/>
        <v>5.8800000000000005E-2</v>
      </c>
    </row>
    <row r="288" spans="1:6" ht="14.5" x14ac:dyDescent="0.35">
      <c r="A288" s="56"/>
      <c r="B288" s="5" t="s">
        <v>670</v>
      </c>
      <c r="C288" s="7">
        <v>0.25</v>
      </c>
      <c r="D288" s="7">
        <f t="shared" si="16"/>
        <v>0.21</v>
      </c>
      <c r="E288" s="7">
        <f t="shared" si="17"/>
        <v>4.1999999999999997E-3</v>
      </c>
      <c r="F288" s="7">
        <f t="shared" si="18"/>
        <v>0.20579999999999998</v>
      </c>
    </row>
    <row r="289" spans="1:6" ht="14.5" x14ac:dyDescent="0.35">
      <c r="A289" s="56"/>
      <c r="B289" s="5" t="s">
        <v>671</v>
      </c>
      <c r="C289" s="7">
        <v>0.15</v>
      </c>
      <c r="D289" s="7">
        <f t="shared" si="16"/>
        <v>0.10999999999999999</v>
      </c>
      <c r="E289" s="7">
        <f t="shared" si="17"/>
        <v>2.1999999999999997E-3</v>
      </c>
      <c r="F289" s="7">
        <f t="shared" si="18"/>
        <v>0.10779999999999999</v>
      </c>
    </row>
    <row r="290" spans="1:6" ht="14.5" x14ac:dyDescent="0.35">
      <c r="A290" s="56"/>
      <c r="B290" s="5" t="s">
        <v>673</v>
      </c>
      <c r="C290" s="7">
        <v>0.25</v>
      </c>
      <c r="D290" s="7">
        <f t="shared" si="16"/>
        <v>0.21</v>
      </c>
      <c r="E290" s="7">
        <f t="shared" si="17"/>
        <v>4.1999999999999997E-3</v>
      </c>
      <c r="F290" s="7">
        <f t="shared" si="18"/>
        <v>0.20579999999999998</v>
      </c>
    </row>
    <row r="291" spans="1:6" ht="14.5" x14ac:dyDescent="0.35">
      <c r="A291" s="56"/>
      <c r="B291" s="5" t="s">
        <v>674</v>
      </c>
      <c r="C291" s="7">
        <v>0.24998000000000001</v>
      </c>
      <c r="D291" s="7">
        <f t="shared" si="16"/>
        <v>0.20998</v>
      </c>
      <c r="E291" s="7">
        <f t="shared" si="17"/>
        <v>4.1996000000000004E-3</v>
      </c>
      <c r="F291" s="7">
        <f t="shared" si="18"/>
        <v>0.2057804</v>
      </c>
    </row>
    <row r="292" spans="1:6" ht="14.5" x14ac:dyDescent="0.35">
      <c r="A292" s="56"/>
      <c r="B292" s="5" t="s">
        <v>687</v>
      </c>
      <c r="C292" s="7">
        <v>0.1</v>
      </c>
      <c r="D292" s="7">
        <f t="shared" si="16"/>
        <v>6.0000000000000005E-2</v>
      </c>
      <c r="E292" s="7">
        <f t="shared" si="17"/>
        <v>1.2000000000000001E-3</v>
      </c>
      <c r="F292" s="7">
        <f t="shared" si="18"/>
        <v>5.8800000000000005E-2</v>
      </c>
    </row>
    <row r="293" spans="1:6" ht="14.5" x14ac:dyDescent="0.35">
      <c r="A293" s="56"/>
      <c r="B293" s="5" t="s">
        <v>672</v>
      </c>
      <c r="C293" s="7">
        <v>0.1</v>
      </c>
      <c r="D293" s="7">
        <f t="shared" si="16"/>
        <v>6.0000000000000005E-2</v>
      </c>
      <c r="E293" s="7">
        <f t="shared" si="17"/>
        <v>1.2000000000000001E-3</v>
      </c>
      <c r="F293" s="7">
        <f t="shared" si="18"/>
        <v>5.8800000000000005E-2</v>
      </c>
    </row>
    <row r="294" spans="1:6" ht="14.5" x14ac:dyDescent="0.35">
      <c r="A294" s="56"/>
      <c r="B294" s="5" t="s">
        <v>731</v>
      </c>
      <c r="C294" s="7">
        <v>0.19500000000000001</v>
      </c>
      <c r="D294" s="7">
        <f t="shared" si="16"/>
        <v>0.155</v>
      </c>
      <c r="E294" s="7">
        <f t="shared" si="17"/>
        <v>3.0999999999999999E-3</v>
      </c>
      <c r="F294" s="7">
        <f t="shared" si="18"/>
        <v>0.15190000000000001</v>
      </c>
    </row>
    <row r="295" spans="1:6" ht="14.5" x14ac:dyDescent="0.35">
      <c r="A295" s="56"/>
      <c r="B295" s="5" t="s">
        <v>677</v>
      </c>
      <c r="C295" s="7">
        <v>0.15</v>
      </c>
      <c r="D295" s="7">
        <f t="shared" si="16"/>
        <v>0.10999999999999999</v>
      </c>
      <c r="E295" s="7">
        <f t="shared" si="17"/>
        <v>2.1999999999999997E-3</v>
      </c>
      <c r="F295" s="7">
        <f t="shared" si="18"/>
        <v>0.10779999999999999</v>
      </c>
    </row>
    <row r="296" spans="1:6" ht="14.5" x14ac:dyDescent="0.35">
      <c r="A296" s="56"/>
      <c r="B296" s="5" t="s">
        <v>675</v>
      </c>
      <c r="C296" s="7">
        <v>0.2</v>
      </c>
      <c r="D296" s="7">
        <f t="shared" si="16"/>
        <v>0.16</v>
      </c>
      <c r="E296" s="7">
        <f t="shared" si="17"/>
        <v>3.2000000000000002E-3</v>
      </c>
      <c r="F296" s="7">
        <f t="shared" si="18"/>
        <v>0.15679999999999999</v>
      </c>
    </row>
    <row r="297" spans="1:6" ht="14.5" x14ac:dyDescent="0.35">
      <c r="A297" s="56"/>
      <c r="B297" s="5" t="s">
        <v>732</v>
      </c>
      <c r="C297" s="7">
        <v>0.19500000000000001</v>
      </c>
      <c r="D297" s="7">
        <f t="shared" si="16"/>
        <v>0.155</v>
      </c>
      <c r="E297" s="7">
        <f t="shared" si="17"/>
        <v>3.0999999999999999E-3</v>
      </c>
      <c r="F297" s="7">
        <f t="shared" si="18"/>
        <v>0.15190000000000001</v>
      </c>
    </row>
    <row r="298" spans="1:6" ht="14.5" x14ac:dyDescent="0.35">
      <c r="A298" s="57"/>
      <c r="B298" s="5" t="s">
        <v>733</v>
      </c>
      <c r="C298" s="7">
        <v>0.19500000000000001</v>
      </c>
      <c r="D298" s="7">
        <f t="shared" si="16"/>
        <v>0.155</v>
      </c>
      <c r="E298" s="7">
        <f t="shared" si="17"/>
        <v>3.0999999999999999E-3</v>
      </c>
      <c r="F298" s="7">
        <f t="shared" si="18"/>
        <v>0.15190000000000001</v>
      </c>
    </row>
    <row r="299" spans="1:6" ht="14.5" x14ac:dyDescent="0.35">
      <c r="A299" s="40" t="s">
        <v>415</v>
      </c>
      <c r="B299" s="5" t="s">
        <v>665</v>
      </c>
      <c r="C299" s="7">
        <v>0.03</v>
      </c>
      <c r="D299" s="7" t="s">
        <v>20</v>
      </c>
      <c r="E299" s="7" t="s">
        <v>20</v>
      </c>
      <c r="F299" s="7" t="s">
        <v>20</v>
      </c>
    </row>
    <row r="300" spans="1:6" ht="14.5" x14ac:dyDescent="0.35">
      <c r="A300" s="40"/>
      <c r="B300" s="5" t="s">
        <v>666</v>
      </c>
      <c r="C300" s="7">
        <v>0.13</v>
      </c>
      <c r="D300" s="7">
        <f t="shared" si="16"/>
        <v>0.09</v>
      </c>
      <c r="E300" s="7">
        <f t="shared" si="17"/>
        <v>1.8E-3</v>
      </c>
      <c r="F300" s="7">
        <f t="shared" si="18"/>
        <v>8.8200000000000001E-2</v>
      </c>
    </row>
    <row r="301" spans="1:6" ht="14.5" x14ac:dyDescent="0.35">
      <c r="A301" s="40"/>
      <c r="B301" s="5" t="s">
        <v>667</v>
      </c>
      <c r="C301" s="7">
        <v>0.36</v>
      </c>
      <c r="D301" s="7">
        <f t="shared" si="16"/>
        <v>0.32</v>
      </c>
      <c r="E301" s="7">
        <f t="shared" si="17"/>
        <v>6.4000000000000003E-3</v>
      </c>
      <c r="F301" s="7">
        <f t="shared" si="18"/>
        <v>0.31359999999999999</v>
      </c>
    </row>
    <row r="302" spans="1:6" ht="14.5" x14ac:dyDescent="0.35">
      <c r="A302" s="40"/>
      <c r="B302" s="5" t="s">
        <v>668</v>
      </c>
      <c r="C302" s="7">
        <v>0.28999999999999998</v>
      </c>
      <c r="D302" s="7">
        <f t="shared" si="16"/>
        <v>0.24999999999999997</v>
      </c>
      <c r="E302" s="7">
        <f t="shared" si="17"/>
        <v>4.9999999999999992E-3</v>
      </c>
      <c r="F302" s="7">
        <f t="shared" si="18"/>
        <v>0.24499999999999997</v>
      </c>
    </row>
    <row r="303" spans="1:6" ht="14.5" x14ac:dyDescent="0.35">
      <c r="A303" s="40"/>
      <c r="B303" s="5" t="s">
        <v>669</v>
      </c>
      <c r="C303" s="7">
        <v>0.03</v>
      </c>
      <c r="D303" s="7" t="s">
        <v>20</v>
      </c>
      <c r="E303" s="7" t="s">
        <v>20</v>
      </c>
      <c r="F303" s="7" t="s">
        <v>20</v>
      </c>
    </row>
    <row r="304" spans="1:6" ht="14.5" x14ac:dyDescent="0.35">
      <c r="A304" s="40"/>
      <c r="B304" s="5" t="s">
        <v>670</v>
      </c>
      <c r="C304" s="7">
        <v>0.38</v>
      </c>
      <c r="D304" s="7">
        <f t="shared" si="16"/>
        <v>0.34</v>
      </c>
      <c r="E304" s="7">
        <f t="shared" si="17"/>
        <v>6.8000000000000005E-3</v>
      </c>
      <c r="F304" s="7">
        <f t="shared" si="18"/>
        <v>0.33320000000000005</v>
      </c>
    </row>
    <row r="305" spans="1:6" ht="14.5" x14ac:dyDescent="0.35">
      <c r="A305" s="40"/>
      <c r="B305" s="5" t="s">
        <v>671</v>
      </c>
      <c r="C305" s="7">
        <v>0.35</v>
      </c>
      <c r="D305" s="7">
        <f t="shared" si="16"/>
        <v>0.31</v>
      </c>
      <c r="E305" s="7">
        <f t="shared" si="17"/>
        <v>6.1999999999999998E-3</v>
      </c>
      <c r="F305" s="7">
        <f t="shared" si="18"/>
        <v>0.30380000000000001</v>
      </c>
    </row>
    <row r="306" spans="1:6" ht="14.5" x14ac:dyDescent="0.35">
      <c r="A306" s="40"/>
      <c r="B306" s="5" t="s">
        <v>672</v>
      </c>
      <c r="C306" s="7">
        <v>0.26</v>
      </c>
      <c r="D306" s="7">
        <f t="shared" si="16"/>
        <v>0.22</v>
      </c>
      <c r="E306" s="7">
        <f t="shared" si="17"/>
        <v>4.4000000000000003E-3</v>
      </c>
      <c r="F306" s="7">
        <f t="shared" si="18"/>
        <v>0.21560000000000001</v>
      </c>
    </row>
    <row r="307" spans="1:6" ht="14.5" x14ac:dyDescent="0.35">
      <c r="A307" s="40"/>
      <c r="B307" s="5" t="s">
        <v>673</v>
      </c>
      <c r="C307" s="7">
        <v>0.38</v>
      </c>
      <c r="D307" s="7">
        <f t="shared" si="16"/>
        <v>0.34</v>
      </c>
      <c r="E307" s="7">
        <f t="shared" si="17"/>
        <v>6.8000000000000005E-3</v>
      </c>
      <c r="F307" s="7">
        <f t="shared" si="18"/>
        <v>0.33320000000000005</v>
      </c>
    </row>
    <row r="308" spans="1:6" ht="14.5" x14ac:dyDescent="0.35">
      <c r="A308" s="40"/>
      <c r="B308" s="5" t="s">
        <v>674</v>
      </c>
      <c r="C308" s="7">
        <v>0.38</v>
      </c>
      <c r="D308" s="7">
        <f t="shared" si="16"/>
        <v>0.34</v>
      </c>
      <c r="E308" s="7">
        <f t="shared" si="17"/>
        <v>6.8000000000000005E-3</v>
      </c>
      <c r="F308" s="7">
        <f t="shared" si="18"/>
        <v>0.33320000000000005</v>
      </c>
    </row>
    <row r="309" spans="1:6" ht="14.5" x14ac:dyDescent="0.35">
      <c r="A309" s="40"/>
      <c r="B309" s="5" t="s">
        <v>675</v>
      </c>
      <c r="C309" s="7">
        <v>0.4</v>
      </c>
      <c r="D309" s="7">
        <f t="shared" si="16"/>
        <v>0.36000000000000004</v>
      </c>
      <c r="E309" s="7">
        <f t="shared" si="17"/>
        <v>7.2000000000000007E-3</v>
      </c>
      <c r="F309" s="7">
        <f t="shared" si="18"/>
        <v>0.35280000000000006</v>
      </c>
    </row>
    <row r="310" spans="1:6" ht="14.5" x14ac:dyDescent="0.35">
      <c r="A310" s="40"/>
      <c r="B310" s="5" t="s">
        <v>676</v>
      </c>
      <c r="C310" s="7">
        <v>0.04</v>
      </c>
      <c r="D310" s="7" t="s">
        <v>20</v>
      </c>
      <c r="E310" s="7" t="s">
        <v>20</v>
      </c>
      <c r="F310" s="7" t="s">
        <v>20</v>
      </c>
    </row>
    <row r="311" spans="1:6" ht="14.5" x14ac:dyDescent="0.35">
      <c r="A311" s="40"/>
      <c r="B311" s="5" t="s">
        <v>677</v>
      </c>
      <c r="C311" s="7">
        <v>0.34</v>
      </c>
      <c r="D311" s="7">
        <f t="shared" si="16"/>
        <v>0.30000000000000004</v>
      </c>
      <c r="E311" s="7">
        <f t="shared" si="17"/>
        <v>6.000000000000001E-3</v>
      </c>
      <c r="F311" s="7">
        <f t="shared" si="18"/>
        <v>0.29400000000000004</v>
      </c>
    </row>
    <row r="312" spans="1:6" ht="14.5" x14ac:dyDescent="0.35">
      <c r="A312" s="40"/>
      <c r="B312" s="5" t="s">
        <v>678</v>
      </c>
      <c r="C312" s="7">
        <v>7.0000000000000007E-2</v>
      </c>
      <c r="D312" s="7">
        <f t="shared" si="16"/>
        <v>3.0000000000000006E-2</v>
      </c>
      <c r="E312" s="7">
        <f t="shared" si="17"/>
        <v>6.0000000000000016E-4</v>
      </c>
      <c r="F312" s="7">
        <f t="shared" si="18"/>
        <v>2.9400000000000006E-2</v>
      </c>
    </row>
    <row r="313" spans="1:6" ht="14.5" x14ac:dyDescent="0.35">
      <c r="A313" s="40"/>
      <c r="B313" s="5" t="s">
        <v>679</v>
      </c>
      <c r="C313" s="7">
        <v>0.08</v>
      </c>
      <c r="D313" s="7">
        <f t="shared" si="16"/>
        <v>0.04</v>
      </c>
      <c r="E313" s="7">
        <f t="shared" si="17"/>
        <v>8.0000000000000004E-4</v>
      </c>
      <c r="F313" s="7">
        <f t="shared" si="18"/>
        <v>3.9199999999999999E-2</v>
      </c>
    </row>
    <row r="314" spans="1:6" ht="14.5" x14ac:dyDescent="0.35">
      <c r="A314" s="48" t="s">
        <v>416</v>
      </c>
      <c r="B314" s="5" t="s">
        <v>32</v>
      </c>
      <c r="C314" s="7">
        <v>0.17499999999999999</v>
      </c>
      <c r="D314" s="7">
        <f t="shared" si="16"/>
        <v>0.13499999999999998</v>
      </c>
      <c r="E314" s="7">
        <f t="shared" si="17"/>
        <v>2.6999999999999997E-3</v>
      </c>
      <c r="F314" s="7">
        <f t="shared" si="18"/>
        <v>0.13229999999999997</v>
      </c>
    </row>
    <row r="315" spans="1:6" ht="14.5" x14ac:dyDescent="0.35">
      <c r="A315" s="48"/>
      <c r="B315" s="5" t="s">
        <v>108</v>
      </c>
      <c r="C315" s="7">
        <v>0.1</v>
      </c>
      <c r="D315" s="7">
        <f t="shared" si="16"/>
        <v>6.0000000000000005E-2</v>
      </c>
      <c r="E315" s="7">
        <f t="shared" si="17"/>
        <v>1.2000000000000001E-3</v>
      </c>
      <c r="F315" s="7">
        <f t="shared" si="18"/>
        <v>5.8800000000000005E-2</v>
      </c>
    </row>
    <row r="316" spans="1:6" ht="14.5" x14ac:dyDescent="0.35">
      <c r="A316" s="5" t="s">
        <v>734</v>
      </c>
      <c r="B316" s="5" t="s">
        <v>683</v>
      </c>
      <c r="C316" s="7">
        <v>0.16</v>
      </c>
      <c r="D316" s="7">
        <f t="shared" si="16"/>
        <v>0.12</v>
      </c>
      <c r="E316" s="7">
        <f t="shared" si="17"/>
        <v>2.3999999999999998E-3</v>
      </c>
      <c r="F316" s="7">
        <f t="shared" si="18"/>
        <v>0.1176</v>
      </c>
    </row>
    <row r="317" spans="1:6" ht="14.5" x14ac:dyDescent="0.35">
      <c r="A317" s="44" t="s">
        <v>128</v>
      </c>
      <c r="B317" s="5" t="s">
        <v>92</v>
      </c>
      <c r="C317" s="6">
        <v>0.27</v>
      </c>
      <c r="D317" s="7">
        <f t="shared" si="16"/>
        <v>0.23</v>
      </c>
      <c r="E317" s="7">
        <f t="shared" si="17"/>
        <v>4.5999999999999999E-3</v>
      </c>
      <c r="F317" s="7">
        <f t="shared" si="18"/>
        <v>0.22540000000000002</v>
      </c>
    </row>
    <row r="318" spans="1:6" ht="14.5" x14ac:dyDescent="0.35">
      <c r="A318" s="45"/>
      <c r="B318" s="5" t="s">
        <v>93</v>
      </c>
      <c r="C318" s="6">
        <v>0.27</v>
      </c>
      <c r="D318" s="7">
        <f t="shared" si="16"/>
        <v>0.23</v>
      </c>
      <c r="E318" s="7">
        <f t="shared" si="17"/>
        <v>4.5999999999999999E-3</v>
      </c>
      <c r="F318" s="7">
        <f t="shared" si="18"/>
        <v>0.22540000000000002</v>
      </c>
    </row>
    <row r="319" spans="1:6" ht="14.5" customHeight="1" x14ac:dyDescent="0.35">
      <c r="A319" s="52" t="s">
        <v>1205</v>
      </c>
      <c r="B319" s="5" t="s">
        <v>687</v>
      </c>
      <c r="C319" s="7">
        <v>0.26500000000000001</v>
      </c>
      <c r="D319" s="7">
        <f t="shared" si="16"/>
        <v>0.22500000000000001</v>
      </c>
      <c r="E319" s="7">
        <f t="shared" si="17"/>
        <v>4.5000000000000005E-3</v>
      </c>
      <c r="F319" s="7">
        <f t="shared" si="18"/>
        <v>0.2205</v>
      </c>
    </row>
    <row r="320" spans="1:6" ht="14.5" x14ac:dyDescent="0.35">
      <c r="A320" s="53"/>
      <c r="B320" s="5" t="s">
        <v>688</v>
      </c>
      <c r="C320" s="7">
        <v>0.255</v>
      </c>
      <c r="D320" s="7">
        <f t="shared" si="16"/>
        <v>0.215</v>
      </c>
      <c r="E320" s="7">
        <f t="shared" si="17"/>
        <v>4.3E-3</v>
      </c>
      <c r="F320" s="7">
        <f t="shared" si="18"/>
        <v>0.2107</v>
      </c>
    </row>
    <row r="321" spans="1:6" ht="14.5" x14ac:dyDescent="0.35">
      <c r="A321" s="53"/>
      <c r="B321" s="5" t="s">
        <v>686</v>
      </c>
      <c r="C321" s="7">
        <v>0.215</v>
      </c>
      <c r="D321" s="7">
        <f t="shared" si="16"/>
        <v>0.17499999999999999</v>
      </c>
      <c r="E321" s="7">
        <f t="shared" si="17"/>
        <v>3.4999999999999996E-3</v>
      </c>
      <c r="F321" s="7">
        <f t="shared" si="18"/>
        <v>0.17149999999999999</v>
      </c>
    </row>
    <row r="322" spans="1:6" ht="14.5" x14ac:dyDescent="0.35">
      <c r="A322" s="53"/>
      <c r="B322" s="5" t="s">
        <v>684</v>
      </c>
      <c r="C322" s="7">
        <v>0.215</v>
      </c>
      <c r="D322" s="7">
        <f t="shared" si="16"/>
        <v>0.17499999999999999</v>
      </c>
      <c r="E322" s="7">
        <f t="shared" si="17"/>
        <v>3.4999999999999996E-3</v>
      </c>
      <c r="F322" s="7">
        <f t="shared" si="18"/>
        <v>0.17149999999999999</v>
      </c>
    </row>
    <row r="323" spans="1:6" ht="14.5" x14ac:dyDescent="0.35">
      <c r="A323" s="54"/>
      <c r="B323" s="5" t="s">
        <v>683</v>
      </c>
      <c r="C323" s="7">
        <v>0.215</v>
      </c>
      <c r="D323" s="7">
        <f t="shared" si="16"/>
        <v>0.17499999999999999</v>
      </c>
      <c r="E323" s="7">
        <f t="shared" si="17"/>
        <v>3.4999999999999996E-3</v>
      </c>
      <c r="F323" s="7">
        <f t="shared" si="18"/>
        <v>0.17149999999999999</v>
      </c>
    </row>
    <row r="324" spans="1:6" ht="14.5" x14ac:dyDescent="0.35">
      <c r="A324" s="52" t="s">
        <v>1206</v>
      </c>
      <c r="B324" s="5" t="s">
        <v>687</v>
      </c>
      <c r="C324" s="7">
        <v>0.36499999999999999</v>
      </c>
      <c r="D324" s="7">
        <f t="shared" si="16"/>
        <v>0.32500000000000001</v>
      </c>
      <c r="E324" s="7">
        <f t="shared" si="17"/>
        <v>6.5000000000000006E-3</v>
      </c>
      <c r="F324" s="7">
        <f t="shared" si="18"/>
        <v>0.31850000000000001</v>
      </c>
    </row>
    <row r="325" spans="1:6" ht="14.5" x14ac:dyDescent="0.35">
      <c r="A325" s="53"/>
      <c r="B325" s="5" t="s">
        <v>688</v>
      </c>
      <c r="C325" s="7">
        <v>0.34499999999999997</v>
      </c>
      <c r="D325" s="7">
        <f t="shared" si="16"/>
        <v>0.30499999999999999</v>
      </c>
      <c r="E325" s="7">
        <f t="shared" si="17"/>
        <v>6.1000000000000004E-3</v>
      </c>
      <c r="F325" s="7">
        <f t="shared" si="18"/>
        <v>0.2989</v>
      </c>
    </row>
    <row r="326" spans="1:6" ht="14.5" x14ac:dyDescent="0.35">
      <c r="A326" s="53"/>
      <c r="B326" s="5" t="s">
        <v>686</v>
      </c>
      <c r="C326" s="7">
        <v>0.35499999999999998</v>
      </c>
      <c r="D326" s="7">
        <f t="shared" si="16"/>
        <v>0.315</v>
      </c>
      <c r="E326" s="7">
        <f t="shared" si="17"/>
        <v>6.3E-3</v>
      </c>
      <c r="F326" s="7">
        <f t="shared" si="18"/>
        <v>0.30869999999999997</v>
      </c>
    </row>
    <row r="327" spans="1:6" ht="14.5" x14ac:dyDescent="0.35">
      <c r="A327" s="53"/>
      <c r="B327" s="5" t="s">
        <v>684</v>
      </c>
      <c r="C327" s="7">
        <v>0.35499999999999998</v>
      </c>
      <c r="D327" s="7">
        <f t="shared" si="16"/>
        <v>0.315</v>
      </c>
      <c r="E327" s="7">
        <f t="shared" si="17"/>
        <v>6.3E-3</v>
      </c>
      <c r="F327" s="7">
        <f t="shared" si="18"/>
        <v>0.30869999999999997</v>
      </c>
    </row>
    <row r="328" spans="1:6" ht="14.5" x14ac:dyDescent="0.35">
      <c r="A328" s="54"/>
      <c r="B328" s="5" t="s">
        <v>683</v>
      </c>
      <c r="C328" s="7">
        <v>0.34</v>
      </c>
      <c r="D328" s="7">
        <f t="shared" si="16"/>
        <v>0.30000000000000004</v>
      </c>
      <c r="E328" s="7">
        <f t="shared" si="17"/>
        <v>6.000000000000001E-3</v>
      </c>
      <c r="F328" s="7">
        <f t="shared" si="18"/>
        <v>0.29400000000000004</v>
      </c>
    </row>
    <row r="329" spans="1:6" ht="14.5" x14ac:dyDescent="0.35">
      <c r="A329" s="48" t="s">
        <v>736</v>
      </c>
      <c r="B329" s="5" t="s">
        <v>662</v>
      </c>
      <c r="C329" s="7">
        <v>0.25</v>
      </c>
      <c r="D329" s="7">
        <f t="shared" si="16"/>
        <v>0.21</v>
      </c>
      <c r="E329" s="7">
        <f t="shared" si="17"/>
        <v>4.1999999999999997E-3</v>
      </c>
      <c r="F329" s="7">
        <f t="shared" si="18"/>
        <v>0.20579999999999998</v>
      </c>
    </row>
    <row r="330" spans="1:6" ht="14.5" x14ac:dyDescent="0.35">
      <c r="A330" s="48"/>
      <c r="B330" s="5" t="s">
        <v>663</v>
      </c>
      <c r="C330" s="7">
        <v>0.25</v>
      </c>
      <c r="D330" s="7">
        <f t="shared" si="16"/>
        <v>0.21</v>
      </c>
      <c r="E330" s="7">
        <f t="shared" si="17"/>
        <v>4.1999999999999997E-3</v>
      </c>
      <c r="F330" s="7">
        <f t="shared" si="18"/>
        <v>0.20579999999999998</v>
      </c>
    </row>
    <row r="331" spans="1:6" ht="14.5" x14ac:dyDescent="0.35">
      <c r="A331" s="48" t="s">
        <v>737</v>
      </c>
      <c r="B331" s="5" t="s">
        <v>662</v>
      </c>
      <c r="C331" s="7">
        <v>0.25</v>
      </c>
      <c r="D331" s="7">
        <f t="shared" si="16"/>
        <v>0.21</v>
      </c>
      <c r="E331" s="7">
        <f t="shared" si="17"/>
        <v>4.1999999999999997E-3</v>
      </c>
      <c r="F331" s="7">
        <f t="shared" si="18"/>
        <v>0.20579999999999998</v>
      </c>
    </row>
    <row r="332" spans="1:6" ht="14.5" x14ac:dyDescent="0.35">
      <c r="A332" s="48"/>
      <c r="B332" s="5" t="s">
        <v>663</v>
      </c>
      <c r="C332" s="7">
        <v>0.25</v>
      </c>
      <c r="D332" s="7">
        <f t="shared" si="16"/>
        <v>0.21</v>
      </c>
      <c r="E332" s="7">
        <f t="shared" si="17"/>
        <v>4.1999999999999997E-3</v>
      </c>
      <c r="F332" s="7">
        <f t="shared" si="18"/>
        <v>0.20579999999999998</v>
      </c>
    </row>
    <row r="333" spans="1:6" ht="24" x14ac:dyDescent="0.35">
      <c r="A333" s="48" t="s">
        <v>1465</v>
      </c>
      <c r="B333" s="5" t="s">
        <v>738</v>
      </c>
      <c r="C333" s="7">
        <v>0.23</v>
      </c>
      <c r="D333" s="7">
        <f t="shared" ref="D333:D400" si="22">C333-(4%)</f>
        <v>0.19</v>
      </c>
      <c r="E333" s="7">
        <f t="shared" ref="E333:E400" si="23">D333*2%</f>
        <v>3.8E-3</v>
      </c>
      <c r="F333" s="7">
        <f t="shared" ref="F333:F400" si="24">D333-E333</f>
        <v>0.1862</v>
      </c>
    </row>
    <row r="334" spans="1:6" ht="14.5" x14ac:dyDescent="0.35">
      <c r="A334" s="48"/>
      <c r="B334" s="5" t="s">
        <v>663</v>
      </c>
      <c r="C334" s="7">
        <v>0.23</v>
      </c>
      <c r="D334" s="7">
        <f t="shared" si="22"/>
        <v>0.19</v>
      </c>
      <c r="E334" s="7">
        <f t="shared" si="23"/>
        <v>3.8E-3</v>
      </c>
      <c r="F334" s="7">
        <f t="shared" si="24"/>
        <v>0.1862</v>
      </c>
    </row>
    <row r="335" spans="1:6" ht="24" x14ac:dyDescent="0.35">
      <c r="A335" s="48" t="s">
        <v>1466</v>
      </c>
      <c r="B335" s="5" t="s">
        <v>738</v>
      </c>
      <c r="C335" s="7">
        <v>0.23</v>
      </c>
      <c r="D335" s="7">
        <f t="shared" si="22"/>
        <v>0.19</v>
      </c>
      <c r="E335" s="7">
        <f t="shared" si="23"/>
        <v>3.8E-3</v>
      </c>
      <c r="F335" s="7">
        <f t="shared" si="24"/>
        <v>0.1862</v>
      </c>
    </row>
    <row r="336" spans="1:6" ht="14.5" x14ac:dyDescent="0.35">
      <c r="A336" s="48"/>
      <c r="B336" s="5" t="s">
        <v>663</v>
      </c>
      <c r="C336" s="7">
        <v>0.23</v>
      </c>
      <c r="D336" s="7">
        <f t="shared" si="22"/>
        <v>0.19</v>
      </c>
      <c r="E336" s="7">
        <f t="shared" si="23"/>
        <v>3.8E-3</v>
      </c>
      <c r="F336" s="7">
        <f t="shared" si="24"/>
        <v>0.1862</v>
      </c>
    </row>
    <row r="337" spans="1:6" ht="14.5" x14ac:dyDescent="0.35">
      <c r="A337" s="48" t="s">
        <v>1467</v>
      </c>
      <c r="B337" s="5" t="s">
        <v>1464</v>
      </c>
      <c r="C337" s="7">
        <v>0.23</v>
      </c>
      <c r="D337" s="7">
        <f t="shared" ref="D337:D340" si="25">C337-(4%)</f>
        <v>0.19</v>
      </c>
      <c r="E337" s="7">
        <f t="shared" ref="E337:E340" si="26">D337*2%</f>
        <v>3.8E-3</v>
      </c>
      <c r="F337" s="7">
        <f t="shared" ref="F337:F340" si="27">D337-E337</f>
        <v>0.1862</v>
      </c>
    </row>
    <row r="338" spans="1:6" ht="14.5" x14ac:dyDescent="0.35">
      <c r="A338" s="48"/>
      <c r="B338" s="5" t="s">
        <v>663</v>
      </c>
      <c r="C338" s="7">
        <v>0.23</v>
      </c>
      <c r="D338" s="7">
        <f t="shared" si="25"/>
        <v>0.19</v>
      </c>
      <c r="E338" s="7">
        <f t="shared" si="26"/>
        <v>3.8E-3</v>
      </c>
      <c r="F338" s="7">
        <f t="shared" si="27"/>
        <v>0.1862</v>
      </c>
    </row>
    <row r="339" spans="1:6" ht="14.5" x14ac:dyDescent="0.35">
      <c r="A339" s="48" t="s">
        <v>1468</v>
      </c>
      <c r="B339" s="5" t="s">
        <v>1464</v>
      </c>
      <c r="C339" s="7">
        <v>0.23</v>
      </c>
      <c r="D339" s="7">
        <f t="shared" si="25"/>
        <v>0.19</v>
      </c>
      <c r="E339" s="7">
        <f t="shared" si="26"/>
        <v>3.8E-3</v>
      </c>
      <c r="F339" s="7">
        <f t="shared" si="27"/>
        <v>0.1862</v>
      </c>
    </row>
    <row r="340" spans="1:6" ht="14.5" x14ac:dyDescent="0.35">
      <c r="A340" s="48"/>
      <c r="B340" s="5" t="s">
        <v>663</v>
      </c>
      <c r="C340" s="7">
        <v>0.23</v>
      </c>
      <c r="D340" s="7">
        <f t="shared" si="25"/>
        <v>0.19</v>
      </c>
      <c r="E340" s="7">
        <f t="shared" si="26"/>
        <v>3.8E-3</v>
      </c>
      <c r="F340" s="7">
        <f t="shared" si="27"/>
        <v>0.1862</v>
      </c>
    </row>
    <row r="341" spans="1:6" ht="14.5" x14ac:dyDescent="0.35">
      <c r="A341" s="5" t="s">
        <v>739</v>
      </c>
      <c r="B341" s="5" t="s">
        <v>100</v>
      </c>
      <c r="C341" s="7">
        <v>0.25</v>
      </c>
      <c r="D341" s="7">
        <f t="shared" si="22"/>
        <v>0.21</v>
      </c>
      <c r="E341" s="7">
        <f t="shared" si="23"/>
        <v>4.1999999999999997E-3</v>
      </c>
      <c r="F341" s="7">
        <f t="shared" si="24"/>
        <v>0.20579999999999998</v>
      </c>
    </row>
    <row r="342" spans="1:6" ht="14.5" x14ac:dyDescent="0.35">
      <c r="A342" s="41" t="s">
        <v>740</v>
      </c>
      <c r="B342" s="5" t="s">
        <v>691</v>
      </c>
      <c r="C342" s="7">
        <v>0.19500000000000001</v>
      </c>
      <c r="D342" s="7">
        <f t="shared" si="22"/>
        <v>0.155</v>
      </c>
      <c r="E342" s="7">
        <f t="shared" si="23"/>
        <v>3.0999999999999999E-3</v>
      </c>
      <c r="F342" s="7">
        <f t="shared" si="24"/>
        <v>0.15190000000000001</v>
      </c>
    </row>
    <row r="343" spans="1:6" ht="14.5" x14ac:dyDescent="0.35">
      <c r="A343" s="43"/>
      <c r="B343" s="5" t="s">
        <v>692</v>
      </c>
      <c r="C343" s="7">
        <v>0.27500000000000002</v>
      </c>
      <c r="D343" s="7">
        <f t="shared" si="22"/>
        <v>0.23500000000000001</v>
      </c>
      <c r="E343" s="7">
        <f t="shared" si="23"/>
        <v>4.7000000000000002E-3</v>
      </c>
      <c r="F343" s="7">
        <f t="shared" si="24"/>
        <v>0.2303</v>
      </c>
    </row>
    <row r="344" spans="1:6" ht="14.5" x14ac:dyDescent="0.35">
      <c r="A344" s="2" t="s">
        <v>133</v>
      </c>
      <c r="B344" s="2" t="s">
        <v>1</v>
      </c>
      <c r="C344" s="3" t="s">
        <v>2</v>
      </c>
      <c r="D344" s="4" t="s">
        <v>4</v>
      </c>
      <c r="E344" s="4" t="s">
        <v>5</v>
      </c>
      <c r="F344" s="4" t="s">
        <v>6</v>
      </c>
    </row>
    <row r="345" spans="1:6" ht="14.5" x14ac:dyDescent="0.35">
      <c r="A345" s="5" t="s">
        <v>134</v>
      </c>
      <c r="B345" s="5" t="s">
        <v>712</v>
      </c>
      <c r="C345" s="7">
        <v>0.15</v>
      </c>
      <c r="D345" s="7">
        <f t="shared" si="22"/>
        <v>0.10999999999999999</v>
      </c>
      <c r="E345" s="7">
        <f t="shared" si="23"/>
        <v>2.1999999999999997E-3</v>
      </c>
      <c r="F345" s="7">
        <f t="shared" si="24"/>
        <v>0.10779999999999999</v>
      </c>
    </row>
    <row r="346" spans="1:6" ht="14.5" x14ac:dyDescent="0.35">
      <c r="A346" s="5" t="s">
        <v>135</v>
      </c>
      <c r="B346" s="5" t="s">
        <v>714</v>
      </c>
      <c r="C346" s="7">
        <v>0.15</v>
      </c>
      <c r="D346" s="7">
        <f t="shared" si="22"/>
        <v>0.10999999999999999</v>
      </c>
      <c r="E346" s="7">
        <f t="shared" si="23"/>
        <v>2.1999999999999997E-3</v>
      </c>
      <c r="F346" s="7">
        <f t="shared" si="24"/>
        <v>0.10779999999999999</v>
      </c>
    </row>
    <row r="347" spans="1:6" ht="14.5" x14ac:dyDescent="0.35">
      <c r="A347" s="5" t="s">
        <v>134</v>
      </c>
      <c r="B347" s="5" t="s">
        <v>741</v>
      </c>
      <c r="C347" s="7">
        <v>0.15</v>
      </c>
      <c r="D347" s="7">
        <f t="shared" si="22"/>
        <v>0.10999999999999999</v>
      </c>
      <c r="E347" s="7">
        <f t="shared" si="23"/>
        <v>2.1999999999999997E-3</v>
      </c>
      <c r="F347" s="7">
        <f t="shared" si="24"/>
        <v>0.10779999999999999</v>
      </c>
    </row>
    <row r="348" spans="1:6" ht="14.5" x14ac:dyDescent="0.35">
      <c r="A348" s="5" t="s">
        <v>135</v>
      </c>
      <c r="B348" s="5" t="s">
        <v>742</v>
      </c>
      <c r="C348" s="7">
        <v>0.15</v>
      </c>
      <c r="D348" s="7">
        <f t="shared" si="22"/>
        <v>0.10999999999999999</v>
      </c>
      <c r="E348" s="7">
        <f t="shared" si="23"/>
        <v>2.1999999999999997E-3</v>
      </c>
      <c r="F348" s="7">
        <f t="shared" si="24"/>
        <v>0.10779999999999999</v>
      </c>
    </row>
    <row r="349" spans="1:6" ht="14.5" x14ac:dyDescent="0.35">
      <c r="A349" s="55" t="s">
        <v>1271</v>
      </c>
      <c r="B349" s="5" t="s">
        <v>665</v>
      </c>
      <c r="C349" s="7">
        <v>4.0000000000000008E-2</v>
      </c>
      <c r="D349" s="7" t="s">
        <v>20</v>
      </c>
      <c r="E349" s="7" t="s">
        <v>20</v>
      </c>
      <c r="F349" s="7" t="s">
        <v>20</v>
      </c>
    </row>
    <row r="350" spans="1:6" ht="14.5" x14ac:dyDescent="0.35">
      <c r="A350" s="56"/>
      <c r="B350" s="5" t="s">
        <v>730</v>
      </c>
      <c r="C350" s="7">
        <v>0.19500000000000001</v>
      </c>
      <c r="D350" s="7">
        <f t="shared" si="22"/>
        <v>0.155</v>
      </c>
      <c r="E350" s="7">
        <f t="shared" si="23"/>
        <v>3.0999999999999999E-3</v>
      </c>
      <c r="F350" s="7">
        <f t="shared" si="24"/>
        <v>0.15190000000000001</v>
      </c>
    </row>
    <row r="351" spans="1:6" ht="14.5" x14ac:dyDescent="0.35">
      <c r="A351" s="56"/>
      <c r="B351" s="5" t="s">
        <v>667</v>
      </c>
      <c r="C351" s="7">
        <v>0.27</v>
      </c>
      <c r="D351" s="7">
        <f t="shared" si="22"/>
        <v>0.23</v>
      </c>
      <c r="E351" s="7">
        <f t="shared" si="23"/>
        <v>4.5999999999999999E-3</v>
      </c>
      <c r="F351" s="7">
        <f t="shared" si="24"/>
        <v>0.22540000000000002</v>
      </c>
    </row>
    <row r="352" spans="1:6" ht="14.5" x14ac:dyDescent="0.35">
      <c r="A352" s="56"/>
      <c r="B352" s="5" t="s">
        <v>668</v>
      </c>
      <c r="C352" s="7">
        <v>0.17</v>
      </c>
      <c r="D352" s="7">
        <f t="shared" si="22"/>
        <v>0.13</v>
      </c>
      <c r="E352" s="7">
        <f t="shared" si="23"/>
        <v>2.6000000000000003E-3</v>
      </c>
      <c r="F352" s="7">
        <f t="shared" si="24"/>
        <v>0.12740000000000001</v>
      </c>
    </row>
    <row r="353" spans="1:6" ht="14.5" x14ac:dyDescent="0.35">
      <c r="A353" s="56"/>
      <c r="B353" s="5" t="s">
        <v>669</v>
      </c>
      <c r="C353" s="7">
        <v>0.08</v>
      </c>
      <c r="D353" s="7">
        <f t="shared" si="22"/>
        <v>0.04</v>
      </c>
      <c r="E353" s="7">
        <f t="shared" si="23"/>
        <v>8.0000000000000004E-4</v>
      </c>
      <c r="F353" s="7">
        <f t="shared" si="24"/>
        <v>3.9199999999999999E-2</v>
      </c>
    </row>
    <row r="354" spans="1:6" ht="14.5" x14ac:dyDescent="0.35">
      <c r="A354" s="56"/>
      <c r="B354" s="5" t="s">
        <v>670</v>
      </c>
      <c r="C354" s="7">
        <v>0.27</v>
      </c>
      <c r="D354" s="7">
        <f t="shared" si="22"/>
        <v>0.23</v>
      </c>
      <c r="E354" s="7">
        <f t="shared" si="23"/>
        <v>4.5999999999999999E-3</v>
      </c>
      <c r="F354" s="7">
        <f t="shared" si="24"/>
        <v>0.22540000000000002</v>
      </c>
    </row>
    <row r="355" spans="1:6" ht="14.5" x14ac:dyDescent="0.35">
      <c r="A355" s="56"/>
      <c r="B355" s="5" t="s">
        <v>671</v>
      </c>
      <c r="C355" s="7">
        <v>0.17</v>
      </c>
      <c r="D355" s="7">
        <f t="shared" si="22"/>
        <v>0.13</v>
      </c>
      <c r="E355" s="7">
        <f t="shared" si="23"/>
        <v>2.6000000000000003E-3</v>
      </c>
      <c r="F355" s="7">
        <f t="shared" si="24"/>
        <v>0.12740000000000001</v>
      </c>
    </row>
    <row r="356" spans="1:6" ht="14.5" x14ac:dyDescent="0.35">
      <c r="A356" s="56"/>
      <c r="B356" s="5" t="s">
        <v>673</v>
      </c>
      <c r="C356" s="7">
        <v>0.27</v>
      </c>
      <c r="D356" s="7">
        <f t="shared" si="22"/>
        <v>0.23</v>
      </c>
      <c r="E356" s="7">
        <f t="shared" si="23"/>
        <v>4.5999999999999999E-3</v>
      </c>
      <c r="F356" s="7">
        <f t="shared" si="24"/>
        <v>0.22540000000000002</v>
      </c>
    </row>
    <row r="357" spans="1:6" ht="14.5" x14ac:dyDescent="0.35">
      <c r="A357" s="56"/>
      <c r="B357" s="5" t="s">
        <v>674</v>
      </c>
      <c r="C357" s="7">
        <v>0.27</v>
      </c>
      <c r="D357" s="7">
        <f t="shared" si="22"/>
        <v>0.23</v>
      </c>
      <c r="E357" s="7">
        <f t="shared" si="23"/>
        <v>4.5999999999999999E-3</v>
      </c>
      <c r="F357" s="7">
        <f t="shared" si="24"/>
        <v>0.22540000000000002</v>
      </c>
    </row>
    <row r="358" spans="1:6" ht="14.5" x14ac:dyDescent="0.35">
      <c r="A358" s="56"/>
      <c r="B358" s="5" t="s">
        <v>743</v>
      </c>
      <c r="C358" s="7">
        <v>0.04</v>
      </c>
      <c r="D358" s="7" t="s">
        <v>20</v>
      </c>
      <c r="E358" s="7" t="s">
        <v>20</v>
      </c>
      <c r="F358" s="7" t="s">
        <v>20</v>
      </c>
    </row>
    <row r="359" spans="1:6" ht="14.5" x14ac:dyDescent="0.35">
      <c r="A359" s="56"/>
      <c r="B359" s="5" t="s">
        <v>672</v>
      </c>
      <c r="C359" s="7">
        <v>4.0000000000000008E-2</v>
      </c>
      <c r="D359" s="7" t="s">
        <v>20</v>
      </c>
      <c r="E359" s="7" t="s">
        <v>20</v>
      </c>
      <c r="F359" s="7" t="s">
        <v>20</v>
      </c>
    </row>
    <row r="360" spans="1:6" ht="14.5" x14ac:dyDescent="0.35">
      <c r="A360" s="56"/>
      <c r="B360" s="5" t="s">
        <v>678</v>
      </c>
      <c r="C360" s="7">
        <v>0.17</v>
      </c>
      <c r="D360" s="7">
        <f t="shared" si="22"/>
        <v>0.13</v>
      </c>
      <c r="E360" s="7">
        <f t="shared" si="23"/>
        <v>2.6000000000000003E-3</v>
      </c>
      <c r="F360" s="7">
        <f t="shared" si="24"/>
        <v>0.12740000000000001</v>
      </c>
    </row>
    <row r="361" spans="1:6" ht="14.5" x14ac:dyDescent="0.35">
      <c r="A361" s="56"/>
      <c r="B361" s="5" t="s">
        <v>677</v>
      </c>
      <c r="C361" s="7">
        <v>0.17</v>
      </c>
      <c r="D361" s="7">
        <f t="shared" si="22"/>
        <v>0.13</v>
      </c>
      <c r="E361" s="7">
        <f t="shared" si="23"/>
        <v>2.6000000000000003E-3</v>
      </c>
      <c r="F361" s="7">
        <f t="shared" si="24"/>
        <v>0.12740000000000001</v>
      </c>
    </row>
    <row r="362" spans="1:6" ht="14.5" x14ac:dyDescent="0.35">
      <c r="A362" s="56"/>
      <c r="B362" s="5" t="s">
        <v>675</v>
      </c>
      <c r="C362" s="7">
        <v>0.22</v>
      </c>
      <c r="D362" s="7">
        <f t="shared" si="22"/>
        <v>0.18</v>
      </c>
      <c r="E362" s="7">
        <f t="shared" si="23"/>
        <v>3.5999999999999999E-3</v>
      </c>
      <c r="F362" s="7">
        <f t="shared" si="24"/>
        <v>0.1764</v>
      </c>
    </row>
    <row r="363" spans="1:6" ht="14.5" x14ac:dyDescent="0.35">
      <c r="A363" s="56"/>
      <c r="B363" s="5" t="s">
        <v>732</v>
      </c>
      <c r="C363" s="7">
        <v>0.19500000000000001</v>
      </c>
      <c r="D363" s="7">
        <f t="shared" si="22"/>
        <v>0.155</v>
      </c>
      <c r="E363" s="7">
        <f t="shared" si="23"/>
        <v>3.0999999999999999E-3</v>
      </c>
      <c r="F363" s="7">
        <f t="shared" si="24"/>
        <v>0.15190000000000001</v>
      </c>
    </row>
    <row r="364" spans="1:6" ht="14.5" x14ac:dyDescent="0.35">
      <c r="A364" s="57"/>
      <c r="B364" s="5" t="s">
        <v>679</v>
      </c>
      <c r="C364" s="7">
        <v>0.04</v>
      </c>
      <c r="D364" s="7" t="s">
        <v>20</v>
      </c>
      <c r="E364" s="7" t="s">
        <v>20</v>
      </c>
      <c r="F364" s="7" t="s">
        <v>20</v>
      </c>
    </row>
    <row r="365" spans="1:6" ht="14.5" x14ac:dyDescent="0.35">
      <c r="A365" s="55" t="s">
        <v>1272</v>
      </c>
      <c r="B365" s="5" t="s">
        <v>665</v>
      </c>
      <c r="C365" s="7">
        <v>7.0000000000000007E-2</v>
      </c>
      <c r="D365" s="7">
        <f t="shared" si="22"/>
        <v>3.0000000000000006E-2</v>
      </c>
      <c r="E365" s="7">
        <f t="shared" si="23"/>
        <v>6.0000000000000016E-4</v>
      </c>
      <c r="F365" s="7">
        <f t="shared" si="24"/>
        <v>2.9400000000000006E-2</v>
      </c>
    </row>
    <row r="366" spans="1:6" ht="14.5" x14ac:dyDescent="0.35">
      <c r="A366" s="56"/>
      <c r="B366" s="5" t="s">
        <v>730</v>
      </c>
      <c r="C366" s="7">
        <v>0.19500000000000001</v>
      </c>
      <c r="D366" s="7">
        <f t="shared" si="22"/>
        <v>0.155</v>
      </c>
      <c r="E366" s="7">
        <f t="shared" si="23"/>
        <v>3.0999999999999999E-3</v>
      </c>
      <c r="F366" s="7">
        <f t="shared" si="24"/>
        <v>0.15190000000000001</v>
      </c>
    </row>
    <row r="367" spans="1:6" ht="14.5" x14ac:dyDescent="0.35">
      <c r="A367" s="56"/>
      <c r="B367" s="5" t="s">
        <v>667</v>
      </c>
      <c r="C367" s="7">
        <v>0.3</v>
      </c>
      <c r="D367" s="7">
        <f t="shared" si="22"/>
        <v>0.26</v>
      </c>
      <c r="E367" s="7">
        <f t="shared" si="23"/>
        <v>5.2000000000000006E-3</v>
      </c>
      <c r="F367" s="7">
        <f t="shared" si="24"/>
        <v>0.25480000000000003</v>
      </c>
    </row>
    <row r="368" spans="1:6" ht="14.5" x14ac:dyDescent="0.35">
      <c r="A368" s="56"/>
      <c r="B368" s="5" t="s">
        <v>668</v>
      </c>
      <c r="C368" s="7">
        <v>0.2</v>
      </c>
      <c r="D368" s="7">
        <f t="shared" si="22"/>
        <v>0.16</v>
      </c>
      <c r="E368" s="7">
        <f t="shared" si="23"/>
        <v>3.2000000000000002E-3</v>
      </c>
      <c r="F368" s="7">
        <f t="shared" si="24"/>
        <v>0.15679999999999999</v>
      </c>
    </row>
    <row r="369" spans="1:6" ht="14.5" x14ac:dyDescent="0.35">
      <c r="A369" s="56"/>
      <c r="B369" s="5" t="s">
        <v>669</v>
      </c>
      <c r="C369" s="7">
        <v>0.12</v>
      </c>
      <c r="D369" s="7">
        <f t="shared" si="22"/>
        <v>7.9999999999999988E-2</v>
      </c>
      <c r="E369" s="7">
        <f t="shared" si="23"/>
        <v>1.5999999999999999E-3</v>
      </c>
      <c r="F369" s="7">
        <f t="shared" si="24"/>
        <v>7.8399999999999984E-2</v>
      </c>
    </row>
    <row r="370" spans="1:6" ht="14.5" x14ac:dyDescent="0.35">
      <c r="A370" s="56"/>
      <c r="B370" s="5" t="s">
        <v>670</v>
      </c>
      <c r="C370" s="7">
        <v>0.3</v>
      </c>
      <c r="D370" s="7">
        <f t="shared" si="22"/>
        <v>0.26</v>
      </c>
      <c r="E370" s="7">
        <f t="shared" si="23"/>
        <v>5.2000000000000006E-3</v>
      </c>
      <c r="F370" s="7">
        <f t="shared" si="24"/>
        <v>0.25480000000000003</v>
      </c>
    </row>
    <row r="371" spans="1:6" ht="14.5" x14ac:dyDescent="0.35">
      <c r="A371" s="56"/>
      <c r="B371" s="5" t="s">
        <v>671</v>
      </c>
      <c r="C371" s="7">
        <v>0.2</v>
      </c>
      <c r="D371" s="7">
        <f t="shared" si="22"/>
        <v>0.16</v>
      </c>
      <c r="E371" s="7">
        <f t="shared" si="23"/>
        <v>3.2000000000000002E-3</v>
      </c>
      <c r="F371" s="7">
        <f t="shared" si="24"/>
        <v>0.15679999999999999</v>
      </c>
    </row>
    <row r="372" spans="1:6" ht="14.5" x14ac:dyDescent="0.35">
      <c r="A372" s="56"/>
      <c r="B372" s="5" t="s">
        <v>673</v>
      </c>
      <c r="C372" s="7">
        <v>0.3</v>
      </c>
      <c r="D372" s="7">
        <f t="shared" si="22"/>
        <v>0.26</v>
      </c>
      <c r="E372" s="7">
        <f t="shared" si="23"/>
        <v>5.2000000000000006E-3</v>
      </c>
      <c r="F372" s="7">
        <f t="shared" si="24"/>
        <v>0.25480000000000003</v>
      </c>
    </row>
    <row r="373" spans="1:6" ht="14.5" x14ac:dyDescent="0.35">
      <c r="A373" s="56"/>
      <c r="B373" s="5" t="s">
        <v>674</v>
      </c>
      <c r="C373" s="7">
        <v>0.3</v>
      </c>
      <c r="D373" s="7">
        <f t="shared" si="22"/>
        <v>0.26</v>
      </c>
      <c r="E373" s="7">
        <f t="shared" si="23"/>
        <v>5.2000000000000006E-3</v>
      </c>
      <c r="F373" s="7">
        <f t="shared" si="24"/>
        <v>0.25480000000000003</v>
      </c>
    </row>
    <row r="374" spans="1:6" ht="14.5" x14ac:dyDescent="0.35">
      <c r="A374" s="56"/>
      <c r="B374" s="5" t="s">
        <v>743</v>
      </c>
      <c r="C374" s="7">
        <v>0.3</v>
      </c>
      <c r="D374" s="7">
        <f t="shared" si="22"/>
        <v>0.26</v>
      </c>
      <c r="E374" s="7">
        <f t="shared" si="23"/>
        <v>5.2000000000000006E-3</v>
      </c>
      <c r="F374" s="7">
        <f t="shared" si="24"/>
        <v>0.25480000000000003</v>
      </c>
    </row>
    <row r="375" spans="1:6" ht="14.5" x14ac:dyDescent="0.35">
      <c r="A375" s="56"/>
      <c r="B375" s="5" t="s">
        <v>672</v>
      </c>
      <c r="C375" s="7">
        <v>0.1</v>
      </c>
      <c r="D375" s="7">
        <f t="shared" si="22"/>
        <v>6.0000000000000005E-2</v>
      </c>
      <c r="E375" s="7">
        <f t="shared" si="23"/>
        <v>1.2000000000000001E-3</v>
      </c>
      <c r="F375" s="7">
        <f t="shared" si="24"/>
        <v>5.8800000000000005E-2</v>
      </c>
    </row>
    <row r="376" spans="1:6" ht="14.5" x14ac:dyDescent="0.35">
      <c r="A376" s="56"/>
      <c r="B376" s="5" t="s">
        <v>678</v>
      </c>
      <c r="C376" s="7">
        <v>0.26</v>
      </c>
      <c r="D376" s="7">
        <f t="shared" si="22"/>
        <v>0.22</v>
      </c>
      <c r="E376" s="7">
        <f t="shared" si="23"/>
        <v>4.4000000000000003E-3</v>
      </c>
      <c r="F376" s="7">
        <f t="shared" si="24"/>
        <v>0.21560000000000001</v>
      </c>
    </row>
    <row r="377" spans="1:6" ht="14.5" x14ac:dyDescent="0.35">
      <c r="A377" s="56"/>
      <c r="B377" s="5" t="s">
        <v>677</v>
      </c>
      <c r="C377" s="7">
        <v>0.26</v>
      </c>
      <c r="D377" s="7">
        <f t="shared" si="22"/>
        <v>0.22</v>
      </c>
      <c r="E377" s="7">
        <f t="shared" si="23"/>
        <v>4.4000000000000003E-3</v>
      </c>
      <c r="F377" s="7">
        <f t="shared" si="24"/>
        <v>0.21560000000000001</v>
      </c>
    </row>
    <row r="378" spans="1:6" ht="14.5" x14ac:dyDescent="0.35">
      <c r="A378" s="56"/>
      <c r="B378" s="5" t="s">
        <v>675</v>
      </c>
      <c r="C378" s="7">
        <v>0.3</v>
      </c>
      <c r="D378" s="7">
        <f t="shared" si="22"/>
        <v>0.26</v>
      </c>
      <c r="E378" s="7">
        <f t="shared" si="23"/>
        <v>5.2000000000000006E-3</v>
      </c>
      <c r="F378" s="7">
        <f t="shared" si="24"/>
        <v>0.25480000000000003</v>
      </c>
    </row>
    <row r="379" spans="1:6" ht="14.5" x14ac:dyDescent="0.35">
      <c r="A379" s="56"/>
      <c r="B379" s="5" t="s">
        <v>732</v>
      </c>
      <c r="C379" s="7">
        <v>0.19500000000000001</v>
      </c>
      <c r="D379" s="7">
        <f t="shared" si="22"/>
        <v>0.155</v>
      </c>
      <c r="E379" s="7">
        <f t="shared" si="23"/>
        <v>3.0999999999999999E-3</v>
      </c>
      <c r="F379" s="7">
        <f t="shared" si="24"/>
        <v>0.15190000000000001</v>
      </c>
    </row>
    <row r="380" spans="1:6" ht="14.5" x14ac:dyDescent="0.35">
      <c r="A380" s="57"/>
      <c r="B380" s="5" t="s">
        <v>679</v>
      </c>
      <c r="C380" s="7">
        <v>0.12</v>
      </c>
      <c r="D380" s="7">
        <f t="shared" si="22"/>
        <v>7.9999999999999988E-2</v>
      </c>
      <c r="E380" s="7">
        <f t="shared" si="23"/>
        <v>1.5999999999999999E-3</v>
      </c>
      <c r="F380" s="7">
        <f t="shared" si="24"/>
        <v>7.8399999999999984E-2</v>
      </c>
    </row>
    <row r="381" spans="1:6" ht="14.5" x14ac:dyDescent="0.35">
      <c r="A381" s="55" t="s">
        <v>1273</v>
      </c>
      <c r="B381" s="5" t="s">
        <v>665</v>
      </c>
      <c r="C381" s="7">
        <v>0.04</v>
      </c>
      <c r="D381" s="7" t="s">
        <v>20</v>
      </c>
      <c r="E381" s="7" t="s">
        <v>20</v>
      </c>
      <c r="F381" s="7" t="s">
        <v>20</v>
      </c>
    </row>
    <row r="382" spans="1:6" ht="14.5" x14ac:dyDescent="0.35">
      <c r="A382" s="56"/>
      <c r="B382" s="5" t="s">
        <v>730</v>
      </c>
      <c r="C382" s="7">
        <v>0.19500000000000001</v>
      </c>
      <c r="D382" s="7">
        <f t="shared" si="22"/>
        <v>0.155</v>
      </c>
      <c r="E382" s="7">
        <f t="shared" si="23"/>
        <v>3.0999999999999999E-3</v>
      </c>
      <c r="F382" s="7">
        <f t="shared" si="24"/>
        <v>0.15190000000000001</v>
      </c>
    </row>
    <row r="383" spans="1:6" ht="14.5" x14ac:dyDescent="0.35">
      <c r="A383" s="56"/>
      <c r="B383" s="5" t="s">
        <v>667</v>
      </c>
      <c r="C383" s="7">
        <v>0.27</v>
      </c>
      <c r="D383" s="7">
        <f t="shared" si="22"/>
        <v>0.23</v>
      </c>
      <c r="E383" s="7">
        <f t="shared" si="23"/>
        <v>4.5999999999999999E-3</v>
      </c>
      <c r="F383" s="7">
        <f t="shared" si="24"/>
        <v>0.22540000000000002</v>
      </c>
    </row>
    <row r="384" spans="1:6" ht="14.5" x14ac:dyDescent="0.35">
      <c r="A384" s="56"/>
      <c r="B384" s="5" t="s">
        <v>668</v>
      </c>
      <c r="C384" s="7">
        <v>0.17</v>
      </c>
      <c r="D384" s="7">
        <f t="shared" si="22"/>
        <v>0.13</v>
      </c>
      <c r="E384" s="7">
        <f t="shared" si="23"/>
        <v>2.6000000000000003E-3</v>
      </c>
      <c r="F384" s="7">
        <f t="shared" si="24"/>
        <v>0.12740000000000001</v>
      </c>
    </row>
    <row r="385" spans="1:6" ht="14.5" x14ac:dyDescent="0.35">
      <c r="A385" s="56"/>
      <c r="B385" s="5" t="s">
        <v>669</v>
      </c>
      <c r="C385" s="7">
        <v>0.08</v>
      </c>
      <c r="D385" s="7">
        <f t="shared" si="22"/>
        <v>0.04</v>
      </c>
      <c r="E385" s="7">
        <f t="shared" si="23"/>
        <v>8.0000000000000004E-4</v>
      </c>
      <c r="F385" s="7">
        <f t="shared" si="24"/>
        <v>3.9199999999999999E-2</v>
      </c>
    </row>
    <row r="386" spans="1:6" ht="14.5" x14ac:dyDescent="0.35">
      <c r="A386" s="56"/>
      <c r="B386" s="5" t="s">
        <v>670</v>
      </c>
      <c r="C386" s="7">
        <v>0.27</v>
      </c>
      <c r="D386" s="7">
        <f t="shared" si="22"/>
        <v>0.23</v>
      </c>
      <c r="E386" s="7">
        <f t="shared" si="23"/>
        <v>4.5999999999999999E-3</v>
      </c>
      <c r="F386" s="7">
        <f t="shared" si="24"/>
        <v>0.22540000000000002</v>
      </c>
    </row>
    <row r="387" spans="1:6" ht="14.5" x14ac:dyDescent="0.35">
      <c r="A387" s="56"/>
      <c r="B387" s="5" t="s">
        <v>671</v>
      </c>
      <c r="C387" s="7">
        <v>0.17</v>
      </c>
      <c r="D387" s="7">
        <f t="shared" si="22"/>
        <v>0.13</v>
      </c>
      <c r="E387" s="7">
        <f t="shared" si="23"/>
        <v>2.6000000000000003E-3</v>
      </c>
      <c r="F387" s="7">
        <f t="shared" si="24"/>
        <v>0.12740000000000001</v>
      </c>
    </row>
    <row r="388" spans="1:6" ht="14.5" x14ac:dyDescent="0.35">
      <c r="A388" s="56"/>
      <c r="B388" s="5" t="s">
        <v>673</v>
      </c>
      <c r="C388" s="7">
        <v>0.27</v>
      </c>
      <c r="D388" s="7">
        <f t="shared" si="22"/>
        <v>0.23</v>
      </c>
      <c r="E388" s="7">
        <f t="shared" si="23"/>
        <v>4.5999999999999999E-3</v>
      </c>
      <c r="F388" s="7">
        <f t="shared" si="24"/>
        <v>0.22540000000000002</v>
      </c>
    </row>
    <row r="389" spans="1:6" ht="14.5" x14ac:dyDescent="0.35">
      <c r="A389" s="56"/>
      <c r="B389" s="5" t="s">
        <v>674</v>
      </c>
      <c r="C389" s="7">
        <v>0.27</v>
      </c>
      <c r="D389" s="7">
        <f t="shared" si="22"/>
        <v>0.23</v>
      </c>
      <c r="E389" s="7">
        <f t="shared" si="23"/>
        <v>4.5999999999999999E-3</v>
      </c>
      <c r="F389" s="7">
        <f t="shared" si="24"/>
        <v>0.22540000000000002</v>
      </c>
    </row>
    <row r="390" spans="1:6" ht="14.5" x14ac:dyDescent="0.35">
      <c r="A390" s="56"/>
      <c r="B390" s="5" t="s">
        <v>743</v>
      </c>
      <c r="C390" s="7">
        <v>0.04</v>
      </c>
      <c r="D390" s="7" t="s">
        <v>20</v>
      </c>
      <c r="E390" s="7" t="s">
        <v>20</v>
      </c>
      <c r="F390" s="7" t="s">
        <v>20</v>
      </c>
    </row>
    <row r="391" spans="1:6" ht="14.5" x14ac:dyDescent="0.35">
      <c r="A391" s="56"/>
      <c r="B391" s="5" t="s">
        <v>672</v>
      </c>
      <c r="C391" s="7">
        <v>0.04</v>
      </c>
      <c r="D391" s="7" t="s">
        <v>20</v>
      </c>
      <c r="E391" s="7" t="s">
        <v>20</v>
      </c>
      <c r="F391" s="7" t="s">
        <v>20</v>
      </c>
    </row>
    <row r="392" spans="1:6" ht="14.5" x14ac:dyDescent="0.35">
      <c r="A392" s="56"/>
      <c r="B392" s="5" t="s">
        <v>678</v>
      </c>
      <c r="C392" s="7">
        <v>0.17</v>
      </c>
      <c r="D392" s="7">
        <f t="shared" si="22"/>
        <v>0.13</v>
      </c>
      <c r="E392" s="7">
        <f t="shared" si="23"/>
        <v>2.6000000000000003E-3</v>
      </c>
      <c r="F392" s="7">
        <f t="shared" si="24"/>
        <v>0.12740000000000001</v>
      </c>
    </row>
    <row r="393" spans="1:6" ht="14.5" x14ac:dyDescent="0.35">
      <c r="A393" s="56"/>
      <c r="B393" s="5" t="s">
        <v>677</v>
      </c>
      <c r="C393" s="7">
        <v>0.17</v>
      </c>
      <c r="D393" s="7">
        <f t="shared" si="22"/>
        <v>0.13</v>
      </c>
      <c r="E393" s="7">
        <f t="shared" si="23"/>
        <v>2.6000000000000003E-3</v>
      </c>
      <c r="F393" s="7">
        <f t="shared" si="24"/>
        <v>0.12740000000000001</v>
      </c>
    </row>
    <row r="394" spans="1:6" ht="14.5" x14ac:dyDescent="0.35">
      <c r="A394" s="56"/>
      <c r="B394" s="5" t="s">
        <v>675</v>
      </c>
      <c r="C394" s="7">
        <v>0.22</v>
      </c>
      <c r="D394" s="7">
        <f t="shared" si="22"/>
        <v>0.18</v>
      </c>
      <c r="E394" s="7">
        <f t="shared" si="23"/>
        <v>3.5999999999999999E-3</v>
      </c>
      <c r="F394" s="7">
        <f t="shared" si="24"/>
        <v>0.1764</v>
      </c>
    </row>
    <row r="395" spans="1:6" ht="14.5" x14ac:dyDescent="0.35">
      <c r="A395" s="56"/>
      <c r="B395" s="5" t="s">
        <v>732</v>
      </c>
      <c r="C395" s="7">
        <v>0.19500000000000001</v>
      </c>
      <c r="D395" s="7">
        <f t="shared" si="22"/>
        <v>0.155</v>
      </c>
      <c r="E395" s="7">
        <f t="shared" si="23"/>
        <v>3.0999999999999999E-3</v>
      </c>
      <c r="F395" s="7">
        <f t="shared" si="24"/>
        <v>0.15190000000000001</v>
      </c>
    </row>
    <row r="396" spans="1:6" ht="14.5" x14ac:dyDescent="0.35">
      <c r="A396" s="57"/>
      <c r="B396" s="5" t="s">
        <v>679</v>
      </c>
      <c r="C396" s="7">
        <v>0.04</v>
      </c>
      <c r="D396" s="7" t="s">
        <v>20</v>
      </c>
      <c r="E396" s="7" t="s">
        <v>20</v>
      </c>
      <c r="F396" s="7" t="s">
        <v>20</v>
      </c>
    </row>
    <row r="397" spans="1:6" ht="14.5" x14ac:dyDescent="0.35">
      <c r="A397" s="55" t="s">
        <v>1274</v>
      </c>
      <c r="B397" s="5" t="s">
        <v>665</v>
      </c>
      <c r="C397" s="7">
        <v>0.15</v>
      </c>
      <c r="D397" s="7">
        <f t="shared" si="22"/>
        <v>0.10999999999999999</v>
      </c>
      <c r="E397" s="7">
        <f t="shared" si="23"/>
        <v>2.1999999999999997E-3</v>
      </c>
      <c r="F397" s="7">
        <f t="shared" si="24"/>
        <v>0.10779999999999999</v>
      </c>
    </row>
    <row r="398" spans="1:6" ht="14.5" x14ac:dyDescent="0.35">
      <c r="A398" s="56"/>
      <c r="B398" s="5" t="s">
        <v>730</v>
      </c>
      <c r="C398" s="7">
        <v>0.1</v>
      </c>
      <c r="D398" s="7">
        <f t="shared" si="22"/>
        <v>6.0000000000000005E-2</v>
      </c>
      <c r="E398" s="7">
        <f t="shared" si="23"/>
        <v>1.2000000000000001E-3</v>
      </c>
      <c r="F398" s="7">
        <f t="shared" si="24"/>
        <v>5.8800000000000005E-2</v>
      </c>
    </row>
    <row r="399" spans="1:6" ht="14.5" x14ac:dyDescent="0.35">
      <c r="A399" s="56"/>
      <c r="B399" s="5" t="s">
        <v>667</v>
      </c>
      <c r="C399" s="7">
        <v>0.3</v>
      </c>
      <c r="D399" s="7">
        <f t="shared" si="22"/>
        <v>0.26</v>
      </c>
      <c r="E399" s="7">
        <f t="shared" si="23"/>
        <v>5.2000000000000006E-3</v>
      </c>
      <c r="F399" s="7">
        <f t="shared" si="24"/>
        <v>0.25480000000000003</v>
      </c>
    </row>
    <row r="400" spans="1:6" ht="14.5" x14ac:dyDescent="0.35">
      <c r="A400" s="56"/>
      <c r="B400" s="5" t="s">
        <v>668</v>
      </c>
      <c r="C400" s="7">
        <v>0.3</v>
      </c>
      <c r="D400" s="7">
        <f t="shared" si="22"/>
        <v>0.26</v>
      </c>
      <c r="E400" s="7">
        <f t="shared" si="23"/>
        <v>5.2000000000000006E-3</v>
      </c>
      <c r="F400" s="7">
        <f t="shared" si="24"/>
        <v>0.25480000000000003</v>
      </c>
    </row>
    <row r="401" spans="1:6" ht="14.5" x14ac:dyDescent="0.35">
      <c r="A401" s="56"/>
      <c r="B401" s="5" t="s">
        <v>669</v>
      </c>
      <c r="C401" s="7">
        <v>0.2</v>
      </c>
      <c r="D401" s="7">
        <f t="shared" ref="D401:D464" si="28">C401-(4%)</f>
        <v>0.16</v>
      </c>
      <c r="E401" s="7">
        <f t="shared" ref="E401:E464" si="29">D401*2%</f>
        <v>3.2000000000000002E-3</v>
      </c>
      <c r="F401" s="7">
        <f t="shared" ref="F401:F464" si="30">D401-E401</f>
        <v>0.15679999999999999</v>
      </c>
    </row>
    <row r="402" spans="1:6" ht="14.5" x14ac:dyDescent="0.35">
      <c r="A402" s="56"/>
      <c r="B402" s="5" t="s">
        <v>670</v>
      </c>
      <c r="C402" s="7">
        <v>0.3</v>
      </c>
      <c r="D402" s="7">
        <f t="shared" si="28"/>
        <v>0.26</v>
      </c>
      <c r="E402" s="7">
        <f t="shared" si="29"/>
        <v>5.2000000000000006E-3</v>
      </c>
      <c r="F402" s="7">
        <f t="shared" si="30"/>
        <v>0.25480000000000003</v>
      </c>
    </row>
    <row r="403" spans="1:6" ht="14.5" x14ac:dyDescent="0.35">
      <c r="A403" s="56"/>
      <c r="B403" s="5" t="s">
        <v>671</v>
      </c>
      <c r="C403" s="7">
        <v>0.3</v>
      </c>
      <c r="D403" s="7">
        <f t="shared" si="28"/>
        <v>0.26</v>
      </c>
      <c r="E403" s="7">
        <f t="shared" si="29"/>
        <v>5.2000000000000006E-3</v>
      </c>
      <c r="F403" s="7">
        <f t="shared" si="30"/>
        <v>0.25480000000000003</v>
      </c>
    </row>
    <row r="404" spans="1:6" ht="14.5" x14ac:dyDescent="0.35">
      <c r="A404" s="56"/>
      <c r="B404" s="5" t="s">
        <v>673</v>
      </c>
      <c r="C404" s="7">
        <v>0.3</v>
      </c>
      <c r="D404" s="7">
        <f t="shared" si="28"/>
        <v>0.26</v>
      </c>
      <c r="E404" s="7">
        <f t="shared" si="29"/>
        <v>5.2000000000000006E-3</v>
      </c>
      <c r="F404" s="7">
        <f t="shared" si="30"/>
        <v>0.25480000000000003</v>
      </c>
    </row>
    <row r="405" spans="1:6" ht="14.5" x14ac:dyDescent="0.35">
      <c r="A405" s="56"/>
      <c r="B405" s="5" t="s">
        <v>674</v>
      </c>
      <c r="C405" s="7">
        <v>0.3</v>
      </c>
      <c r="D405" s="7">
        <f t="shared" si="28"/>
        <v>0.26</v>
      </c>
      <c r="E405" s="7">
        <f t="shared" si="29"/>
        <v>5.2000000000000006E-3</v>
      </c>
      <c r="F405" s="7">
        <f t="shared" si="30"/>
        <v>0.25480000000000003</v>
      </c>
    </row>
    <row r="406" spans="1:6" ht="14.5" x14ac:dyDescent="0.35">
      <c r="A406" s="56"/>
      <c r="B406" s="5" t="s">
        <v>743</v>
      </c>
      <c r="C406" s="7">
        <v>0.3</v>
      </c>
      <c r="D406" s="7">
        <f t="shared" si="28"/>
        <v>0.26</v>
      </c>
      <c r="E406" s="7">
        <f t="shared" si="29"/>
        <v>5.2000000000000006E-3</v>
      </c>
      <c r="F406" s="7">
        <f t="shared" si="30"/>
        <v>0.25480000000000003</v>
      </c>
    </row>
    <row r="407" spans="1:6" ht="14.5" x14ac:dyDescent="0.35">
      <c r="A407" s="56"/>
      <c r="B407" s="5" t="s">
        <v>672</v>
      </c>
      <c r="C407" s="7">
        <v>0.15</v>
      </c>
      <c r="D407" s="7">
        <f t="shared" si="28"/>
        <v>0.10999999999999999</v>
      </c>
      <c r="E407" s="7">
        <f t="shared" si="29"/>
        <v>2.1999999999999997E-3</v>
      </c>
      <c r="F407" s="7">
        <f t="shared" si="30"/>
        <v>0.10779999999999999</v>
      </c>
    </row>
    <row r="408" spans="1:6" ht="14.5" x14ac:dyDescent="0.35">
      <c r="A408" s="56"/>
      <c r="B408" s="5" t="s">
        <v>678</v>
      </c>
      <c r="C408" s="7">
        <v>0.3</v>
      </c>
      <c r="D408" s="7">
        <f t="shared" si="28"/>
        <v>0.26</v>
      </c>
      <c r="E408" s="7">
        <f t="shared" si="29"/>
        <v>5.2000000000000006E-3</v>
      </c>
      <c r="F408" s="7">
        <f t="shared" si="30"/>
        <v>0.25480000000000003</v>
      </c>
    </row>
    <row r="409" spans="1:6" ht="14.5" x14ac:dyDescent="0.35">
      <c r="A409" s="56"/>
      <c r="B409" s="5" t="s">
        <v>677</v>
      </c>
      <c r="C409" s="7">
        <v>0.3</v>
      </c>
      <c r="D409" s="7">
        <f t="shared" si="28"/>
        <v>0.26</v>
      </c>
      <c r="E409" s="7">
        <f t="shared" si="29"/>
        <v>5.2000000000000006E-3</v>
      </c>
      <c r="F409" s="7">
        <f t="shared" si="30"/>
        <v>0.25480000000000003</v>
      </c>
    </row>
    <row r="410" spans="1:6" ht="14.5" x14ac:dyDescent="0.35">
      <c r="A410" s="56"/>
      <c r="B410" s="5" t="s">
        <v>675</v>
      </c>
      <c r="C410" s="7">
        <v>0.3</v>
      </c>
      <c r="D410" s="7">
        <f t="shared" si="28"/>
        <v>0.26</v>
      </c>
      <c r="E410" s="7">
        <f t="shared" si="29"/>
        <v>5.2000000000000006E-3</v>
      </c>
      <c r="F410" s="7">
        <f t="shared" si="30"/>
        <v>0.25480000000000003</v>
      </c>
    </row>
    <row r="411" spans="1:6" ht="14.5" x14ac:dyDescent="0.35">
      <c r="A411" s="56"/>
      <c r="B411" s="5" t="s">
        <v>732</v>
      </c>
      <c r="C411" s="7">
        <v>0.1</v>
      </c>
      <c r="D411" s="7">
        <f t="shared" si="28"/>
        <v>6.0000000000000005E-2</v>
      </c>
      <c r="E411" s="7">
        <f t="shared" si="29"/>
        <v>1.2000000000000001E-3</v>
      </c>
      <c r="F411" s="7">
        <f t="shared" si="30"/>
        <v>5.8800000000000005E-2</v>
      </c>
    </row>
    <row r="412" spans="1:6" ht="14.5" x14ac:dyDescent="0.35">
      <c r="A412" s="57"/>
      <c r="B412" s="5" t="s">
        <v>679</v>
      </c>
      <c r="C412" s="7">
        <v>0.15</v>
      </c>
      <c r="D412" s="7">
        <f t="shared" si="28"/>
        <v>0.10999999999999999</v>
      </c>
      <c r="E412" s="7">
        <f t="shared" si="29"/>
        <v>2.1999999999999997E-3</v>
      </c>
      <c r="F412" s="7">
        <f t="shared" si="30"/>
        <v>0.10779999999999999</v>
      </c>
    </row>
    <row r="413" spans="1:6" ht="14.5" x14ac:dyDescent="0.35">
      <c r="A413" s="40" t="s">
        <v>420</v>
      </c>
      <c r="B413" s="5" t="s">
        <v>665</v>
      </c>
      <c r="C413" s="7">
        <v>0.18</v>
      </c>
      <c r="D413" s="7">
        <f t="shared" si="28"/>
        <v>0.13999999999999999</v>
      </c>
      <c r="E413" s="7">
        <f t="shared" si="29"/>
        <v>2.8E-3</v>
      </c>
      <c r="F413" s="7">
        <f t="shared" si="30"/>
        <v>0.13719999999999999</v>
      </c>
    </row>
    <row r="414" spans="1:6" ht="14.5" x14ac:dyDescent="0.35">
      <c r="A414" s="40"/>
      <c r="B414" s="5" t="s">
        <v>666</v>
      </c>
      <c r="C414" s="7">
        <v>0.12</v>
      </c>
      <c r="D414" s="7">
        <f t="shared" si="28"/>
        <v>7.9999999999999988E-2</v>
      </c>
      <c r="E414" s="7">
        <f t="shared" si="29"/>
        <v>1.5999999999999999E-3</v>
      </c>
      <c r="F414" s="7">
        <f t="shared" si="30"/>
        <v>7.8399999999999984E-2</v>
      </c>
    </row>
    <row r="415" spans="1:6" ht="14.5" x14ac:dyDescent="0.35">
      <c r="A415" s="40"/>
      <c r="B415" s="5" t="s">
        <v>667</v>
      </c>
      <c r="C415" s="7">
        <v>0.39</v>
      </c>
      <c r="D415" s="7">
        <f t="shared" si="28"/>
        <v>0.35000000000000003</v>
      </c>
      <c r="E415" s="7">
        <f t="shared" si="29"/>
        <v>7.000000000000001E-3</v>
      </c>
      <c r="F415" s="7">
        <f t="shared" si="30"/>
        <v>0.34300000000000003</v>
      </c>
    </row>
    <row r="416" spans="1:6" ht="14.5" x14ac:dyDescent="0.35">
      <c r="A416" s="40"/>
      <c r="B416" s="5" t="s">
        <v>668</v>
      </c>
      <c r="C416" s="7">
        <v>0.28000000000000003</v>
      </c>
      <c r="D416" s="7">
        <f t="shared" si="28"/>
        <v>0.24000000000000002</v>
      </c>
      <c r="E416" s="7">
        <f t="shared" si="29"/>
        <v>4.8000000000000004E-3</v>
      </c>
      <c r="F416" s="7">
        <f t="shared" si="30"/>
        <v>0.23520000000000002</v>
      </c>
    </row>
    <row r="417" spans="1:6" ht="14.5" x14ac:dyDescent="0.35">
      <c r="A417" s="40"/>
      <c r="B417" s="5" t="s">
        <v>669</v>
      </c>
      <c r="C417" s="7">
        <v>0.24</v>
      </c>
      <c r="D417" s="7">
        <f t="shared" si="28"/>
        <v>0.19999999999999998</v>
      </c>
      <c r="E417" s="7">
        <f t="shared" si="29"/>
        <v>4.0000000000000001E-3</v>
      </c>
      <c r="F417" s="7">
        <f t="shared" si="30"/>
        <v>0.19599999999999998</v>
      </c>
    </row>
    <row r="418" spans="1:6" ht="14.5" x14ac:dyDescent="0.35">
      <c r="A418" s="40"/>
      <c r="B418" s="5" t="s">
        <v>670</v>
      </c>
      <c r="C418" s="7">
        <v>0.39</v>
      </c>
      <c r="D418" s="7">
        <f t="shared" si="28"/>
        <v>0.35000000000000003</v>
      </c>
      <c r="E418" s="7">
        <f t="shared" si="29"/>
        <v>7.000000000000001E-3</v>
      </c>
      <c r="F418" s="7">
        <f t="shared" si="30"/>
        <v>0.34300000000000003</v>
      </c>
    </row>
    <row r="419" spans="1:6" ht="14.5" x14ac:dyDescent="0.35">
      <c r="A419" s="40"/>
      <c r="B419" s="5" t="s">
        <v>671</v>
      </c>
      <c r="C419" s="7">
        <v>0.28000000000000003</v>
      </c>
      <c r="D419" s="7">
        <f t="shared" si="28"/>
        <v>0.24000000000000002</v>
      </c>
      <c r="E419" s="7">
        <f t="shared" si="29"/>
        <v>4.8000000000000004E-3</v>
      </c>
      <c r="F419" s="7">
        <f t="shared" si="30"/>
        <v>0.23520000000000002</v>
      </c>
    </row>
    <row r="420" spans="1:6" ht="14.5" x14ac:dyDescent="0.35">
      <c r="A420" s="40"/>
      <c r="B420" s="5" t="s">
        <v>672</v>
      </c>
      <c r="C420" s="7">
        <v>0.21</v>
      </c>
      <c r="D420" s="7">
        <f t="shared" si="28"/>
        <v>0.16999999999999998</v>
      </c>
      <c r="E420" s="7">
        <f t="shared" si="29"/>
        <v>3.3999999999999998E-3</v>
      </c>
      <c r="F420" s="7">
        <f t="shared" si="30"/>
        <v>0.1666</v>
      </c>
    </row>
    <row r="421" spans="1:6" ht="14.5" x14ac:dyDescent="0.35">
      <c r="A421" s="40"/>
      <c r="B421" s="5" t="s">
        <v>673</v>
      </c>
      <c r="C421" s="7">
        <v>0.34</v>
      </c>
      <c r="D421" s="7">
        <f t="shared" si="28"/>
        <v>0.30000000000000004</v>
      </c>
      <c r="E421" s="7">
        <f t="shared" si="29"/>
        <v>6.000000000000001E-3</v>
      </c>
      <c r="F421" s="7">
        <f t="shared" si="30"/>
        <v>0.29400000000000004</v>
      </c>
    </row>
    <row r="422" spans="1:6" ht="14.5" x14ac:dyDescent="0.35">
      <c r="A422" s="40"/>
      <c r="B422" s="5" t="s">
        <v>674</v>
      </c>
      <c r="C422" s="7">
        <v>0.34</v>
      </c>
      <c r="D422" s="7">
        <f t="shared" si="28"/>
        <v>0.30000000000000004</v>
      </c>
      <c r="E422" s="7">
        <f t="shared" si="29"/>
        <v>6.000000000000001E-3</v>
      </c>
      <c r="F422" s="7">
        <f t="shared" si="30"/>
        <v>0.29400000000000004</v>
      </c>
    </row>
    <row r="423" spans="1:6" ht="14.5" x14ac:dyDescent="0.35">
      <c r="A423" s="40"/>
      <c r="B423" s="5" t="s">
        <v>675</v>
      </c>
      <c r="C423" s="7">
        <v>0.35</v>
      </c>
      <c r="D423" s="7">
        <f t="shared" si="28"/>
        <v>0.31</v>
      </c>
      <c r="E423" s="7">
        <f t="shared" si="29"/>
        <v>6.1999999999999998E-3</v>
      </c>
      <c r="F423" s="7">
        <f t="shared" si="30"/>
        <v>0.30380000000000001</v>
      </c>
    </row>
    <row r="424" spans="1:6" ht="14.5" x14ac:dyDescent="0.35">
      <c r="A424" s="40"/>
      <c r="B424" s="5" t="s">
        <v>676</v>
      </c>
      <c r="C424" s="7">
        <v>0.09</v>
      </c>
      <c r="D424" s="7">
        <f t="shared" si="28"/>
        <v>4.9999999999999996E-2</v>
      </c>
      <c r="E424" s="7">
        <f t="shared" si="29"/>
        <v>1E-3</v>
      </c>
      <c r="F424" s="7">
        <f t="shared" si="30"/>
        <v>4.8999999999999995E-2</v>
      </c>
    </row>
    <row r="425" spans="1:6" ht="14.5" x14ac:dyDescent="0.35">
      <c r="A425" s="40"/>
      <c r="B425" s="5" t="s">
        <v>677</v>
      </c>
      <c r="C425" s="7">
        <v>0.28999999999999998</v>
      </c>
      <c r="D425" s="7">
        <f t="shared" si="28"/>
        <v>0.24999999999999997</v>
      </c>
      <c r="E425" s="7">
        <f t="shared" si="29"/>
        <v>4.9999999999999992E-3</v>
      </c>
      <c r="F425" s="7">
        <f t="shared" si="30"/>
        <v>0.24499999999999997</v>
      </c>
    </row>
    <row r="426" spans="1:6" ht="14.5" x14ac:dyDescent="0.35">
      <c r="A426" s="40"/>
      <c r="B426" s="5" t="s">
        <v>678</v>
      </c>
      <c r="C426" s="7">
        <v>0.28000000000000003</v>
      </c>
      <c r="D426" s="7">
        <f t="shared" si="28"/>
        <v>0.24000000000000002</v>
      </c>
      <c r="E426" s="7">
        <f t="shared" si="29"/>
        <v>4.8000000000000004E-3</v>
      </c>
      <c r="F426" s="7">
        <f t="shared" si="30"/>
        <v>0.23520000000000002</v>
      </c>
    </row>
    <row r="427" spans="1:6" ht="14.5" x14ac:dyDescent="0.35">
      <c r="A427" s="40"/>
      <c r="B427" s="5" t="s">
        <v>679</v>
      </c>
      <c r="C427" s="7">
        <v>0.19</v>
      </c>
      <c r="D427" s="7">
        <f t="shared" si="28"/>
        <v>0.15</v>
      </c>
      <c r="E427" s="7">
        <f t="shared" si="29"/>
        <v>3.0000000000000001E-3</v>
      </c>
      <c r="F427" s="7">
        <f t="shared" si="30"/>
        <v>0.14699999999999999</v>
      </c>
    </row>
    <row r="428" spans="1:6" ht="14.5" x14ac:dyDescent="0.35">
      <c r="A428" s="48" t="s">
        <v>137</v>
      </c>
      <c r="B428" s="5" t="s">
        <v>662</v>
      </c>
      <c r="C428" s="6">
        <v>0</v>
      </c>
      <c r="D428" s="7" t="s">
        <v>20</v>
      </c>
      <c r="E428" s="7" t="s">
        <v>20</v>
      </c>
      <c r="F428" s="7" t="s">
        <v>20</v>
      </c>
    </row>
    <row r="429" spans="1:6" ht="14.5" x14ac:dyDescent="0.35">
      <c r="A429" s="48"/>
      <c r="B429" s="5" t="s">
        <v>683</v>
      </c>
      <c r="C429" s="6">
        <v>0.26</v>
      </c>
      <c r="D429" s="7">
        <f t="shared" si="28"/>
        <v>0.22</v>
      </c>
      <c r="E429" s="7">
        <f t="shared" si="29"/>
        <v>4.4000000000000003E-3</v>
      </c>
      <c r="F429" s="7">
        <f t="shared" si="30"/>
        <v>0.21560000000000001</v>
      </c>
    </row>
    <row r="430" spans="1:6" ht="14.5" x14ac:dyDescent="0.35">
      <c r="A430" s="48"/>
      <c r="B430" s="5" t="s">
        <v>684</v>
      </c>
      <c r="C430" s="6">
        <v>0.18</v>
      </c>
      <c r="D430" s="7">
        <f t="shared" si="28"/>
        <v>0.13999999999999999</v>
      </c>
      <c r="E430" s="7">
        <f t="shared" si="29"/>
        <v>2.8E-3</v>
      </c>
      <c r="F430" s="7">
        <f t="shared" si="30"/>
        <v>0.13719999999999999</v>
      </c>
    </row>
    <row r="431" spans="1:6" ht="14.5" x14ac:dyDescent="0.35">
      <c r="A431" s="48"/>
      <c r="B431" s="5" t="s">
        <v>685</v>
      </c>
      <c r="C431" s="6">
        <v>0</v>
      </c>
      <c r="D431" s="7" t="s">
        <v>20</v>
      </c>
      <c r="E431" s="7" t="s">
        <v>20</v>
      </c>
      <c r="F431" s="7" t="s">
        <v>20</v>
      </c>
    </row>
    <row r="432" spans="1:6" ht="14.5" x14ac:dyDescent="0.35">
      <c r="A432" s="48" t="s">
        <v>139</v>
      </c>
      <c r="B432" s="5" t="s">
        <v>662</v>
      </c>
      <c r="C432" s="6">
        <v>0.13</v>
      </c>
      <c r="D432" s="7">
        <f t="shared" si="28"/>
        <v>0.09</v>
      </c>
      <c r="E432" s="7">
        <f t="shared" si="29"/>
        <v>1.8E-3</v>
      </c>
      <c r="F432" s="7">
        <f t="shared" si="30"/>
        <v>8.8200000000000001E-2</v>
      </c>
    </row>
    <row r="433" spans="1:6" ht="14.5" x14ac:dyDescent="0.35">
      <c r="A433" s="48"/>
      <c r="B433" s="5" t="s">
        <v>683</v>
      </c>
      <c r="C433" s="6">
        <v>0.18</v>
      </c>
      <c r="D433" s="7">
        <f t="shared" si="28"/>
        <v>0.13999999999999999</v>
      </c>
      <c r="E433" s="7">
        <f t="shared" si="29"/>
        <v>2.8E-3</v>
      </c>
      <c r="F433" s="7">
        <f t="shared" si="30"/>
        <v>0.13719999999999999</v>
      </c>
    </row>
    <row r="434" spans="1:6" ht="14.5" x14ac:dyDescent="0.35">
      <c r="A434" s="48"/>
      <c r="B434" s="5" t="s">
        <v>684</v>
      </c>
      <c r="C434" s="6">
        <v>0.13</v>
      </c>
      <c r="D434" s="7">
        <f t="shared" si="28"/>
        <v>0.09</v>
      </c>
      <c r="E434" s="7">
        <f t="shared" si="29"/>
        <v>1.8E-3</v>
      </c>
      <c r="F434" s="7">
        <f t="shared" si="30"/>
        <v>8.8200000000000001E-2</v>
      </c>
    </row>
    <row r="435" spans="1:6" ht="14.5" x14ac:dyDescent="0.35">
      <c r="A435" s="48"/>
      <c r="B435" s="5" t="s">
        <v>685</v>
      </c>
      <c r="C435" s="6">
        <v>0</v>
      </c>
      <c r="D435" s="7" t="s">
        <v>20</v>
      </c>
      <c r="E435" s="7" t="s">
        <v>20</v>
      </c>
      <c r="F435" s="7" t="s">
        <v>20</v>
      </c>
    </row>
    <row r="436" spans="1:6" ht="14.5" x14ac:dyDescent="0.35">
      <c r="A436" s="48" t="s">
        <v>421</v>
      </c>
      <c r="B436" s="5" t="s">
        <v>32</v>
      </c>
      <c r="C436" s="7">
        <v>0.22500000000000001</v>
      </c>
      <c r="D436" s="7">
        <f t="shared" si="28"/>
        <v>0.185</v>
      </c>
      <c r="E436" s="7">
        <f t="shared" si="29"/>
        <v>3.7000000000000002E-3</v>
      </c>
      <c r="F436" s="7">
        <f t="shared" si="30"/>
        <v>0.18129999999999999</v>
      </c>
    </row>
    <row r="437" spans="1:6" ht="14.5" x14ac:dyDescent="0.35">
      <c r="A437" s="48"/>
      <c r="B437" s="5" t="s">
        <v>108</v>
      </c>
      <c r="C437" s="7">
        <v>0.1</v>
      </c>
      <c r="D437" s="7">
        <f t="shared" si="28"/>
        <v>6.0000000000000005E-2</v>
      </c>
      <c r="E437" s="7">
        <f t="shared" si="29"/>
        <v>1.2000000000000001E-3</v>
      </c>
      <c r="F437" s="7">
        <f t="shared" si="30"/>
        <v>5.8800000000000005E-2</v>
      </c>
    </row>
    <row r="438" spans="1:6" ht="14.5" x14ac:dyDescent="0.35">
      <c r="A438" s="5" t="s">
        <v>744</v>
      </c>
      <c r="B438" s="5" t="s">
        <v>660</v>
      </c>
      <c r="C438" s="6">
        <v>0.2</v>
      </c>
      <c r="D438" s="7">
        <f t="shared" si="28"/>
        <v>0.16</v>
      </c>
      <c r="E438" s="7">
        <f t="shared" si="29"/>
        <v>3.2000000000000002E-3</v>
      </c>
      <c r="F438" s="7">
        <f t="shared" si="30"/>
        <v>0.15679999999999999</v>
      </c>
    </row>
    <row r="439" spans="1:6" ht="14.5" x14ac:dyDescent="0.35">
      <c r="A439" s="48" t="s">
        <v>422</v>
      </c>
      <c r="B439" s="5" t="s">
        <v>686</v>
      </c>
      <c r="C439" s="6">
        <v>0.4</v>
      </c>
      <c r="D439" s="7">
        <f t="shared" si="28"/>
        <v>0.36000000000000004</v>
      </c>
      <c r="E439" s="7">
        <f t="shared" si="29"/>
        <v>7.2000000000000007E-3</v>
      </c>
      <c r="F439" s="7">
        <f t="shared" si="30"/>
        <v>0.35280000000000006</v>
      </c>
    </row>
    <row r="440" spans="1:6" ht="14.5" x14ac:dyDescent="0.35">
      <c r="A440" s="48"/>
      <c r="B440" s="5" t="s">
        <v>684</v>
      </c>
      <c r="C440" s="6">
        <v>0.15</v>
      </c>
      <c r="D440" s="7">
        <f t="shared" si="28"/>
        <v>0.10999999999999999</v>
      </c>
      <c r="E440" s="7">
        <f t="shared" si="29"/>
        <v>2.1999999999999997E-3</v>
      </c>
      <c r="F440" s="7">
        <f t="shared" si="30"/>
        <v>0.10779999999999999</v>
      </c>
    </row>
    <row r="441" spans="1:6" ht="14.5" x14ac:dyDescent="0.35">
      <c r="A441" s="48"/>
      <c r="B441" s="5" t="s">
        <v>683</v>
      </c>
      <c r="C441" s="6">
        <v>0</v>
      </c>
      <c r="D441" s="7" t="s">
        <v>20</v>
      </c>
      <c r="E441" s="7" t="s">
        <v>20</v>
      </c>
      <c r="F441" s="7" t="s">
        <v>20</v>
      </c>
    </row>
    <row r="442" spans="1:6" ht="14.5" x14ac:dyDescent="0.35">
      <c r="A442" s="48"/>
      <c r="B442" s="5" t="s">
        <v>687</v>
      </c>
      <c r="C442" s="6">
        <v>0</v>
      </c>
      <c r="D442" s="7" t="s">
        <v>20</v>
      </c>
      <c r="E442" s="7" t="s">
        <v>20</v>
      </c>
      <c r="F442" s="7" t="s">
        <v>20</v>
      </c>
    </row>
    <row r="443" spans="1:6" ht="14.5" x14ac:dyDescent="0.35">
      <c r="A443" s="48"/>
      <c r="B443" s="5" t="s">
        <v>688</v>
      </c>
      <c r="C443" s="6">
        <v>0</v>
      </c>
      <c r="D443" s="7" t="s">
        <v>20</v>
      </c>
      <c r="E443" s="7" t="s">
        <v>20</v>
      </c>
      <c r="F443" s="7" t="s">
        <v>20</v>
      </c>
    </row>
    <row r="444" spans="1:6" ht="14.5" x14ac:dyDescent="0.35">
      <c r="A444" s="52" t="s">
        <v>1207</v>
      </c>
      <c r="B444" s="5" t="s">
        <v>687</v>
      </c>
      <c r="C444" s="6">
        <v>0.26500000000000001</v>
      </c>
      <c r="D444" s="7">
        <f t="shared" si="28"/>
        <v>0.22500000000000001</v>
      </c>
      <c r="E444" s="7">
        <f t="shared" si="29"/>
        <v>4.5000000000000005E-3</v>
      </c>
      <c r="F444" s="7">
        <f t="shared" si="30"/>
        <v>0.2205</v>
      </c>
    </row>
    <row r="445" spans="1:6" ht="14.5" x14ac:dyDescent="0.35">
      <c r="A445" s="53"/>
      <c r="B445" s="5" t="s">
        <v>688</v>
      </c>
      <c r="C445" s="6">
        <v>0.255</v>
      </c>
      <c r="D445" s="7">
        <f t="shared" si="28"/>
        <v>0.215</v>
      </c>
      <c r="E445" s="7">
        <f t="shared" si="29"/>
        <v>4.3E-3</v>
      </c>
      <c r="F445" s="7">
        <f t="shared" si="30"/>
        <v>0.2107</v>
      </c>
    </row>
    <row r="446" spans="1:6" ht="14.5" x14ac:dyDescent="0.35">
      <c r="A446" s="53"/>
      <c r="B446" s="5" t="s">
        <v>686</v>
      </c>
      <c r="C446" s="6">
        <v>0.215</v>
      </c>
      <c r="D446" s="7">
        <f t="shared" si="28"/>
        <v>0.17499999999999999</v>
      </c>
      <c r="E446" s="7">
        <f t="shared" si="29"/>
        <v>3.4999999999999996E-3</v>
      </c>
      <c r="F446" s="7">
        <f t="shared" si="30"/>
        <v>0.17149999999999999</v>
      </c>
    </row>
    <row r="447" spans="1:6" ht="14.5" x14ac:dyDescent="0.35">
      <c r="A447" s="53"/>
      <c r="B447" s="5" t="s">
        <v>684</v>
      </c>
      <c r="C447" s="6">
        <v>0.215</v>
      </c>
      <c r="D447" s="7">
        <f t="shared" si="28"/>
        <v>0.17499999999999999</v>
      </c>
      <c r="E447" s="7">
        <f t="shared" si="29"/>
        <v>3.4999999999999996E-3</v>
      </c>
      <c r="F447" s="7">
        <f t="shared" si="30"/>
        <v>0.17149999999999999</v>
      </c>
    </row>
    <row r="448" spans="1:6" ht="14.5" x14ac:dyDescent="0.35">
      <c r="A448" s="54"/>
      <c r="B448" s="5" t="s">
        <v>683</v>
      </c>
      <c r="C448" s="6">
        <v>0.215</v>
      </c>
      <c r="D448" s="7">
        <f t="shared" si="28"/>
        <v>0.17499999999999999</v>
      </c>
      <c r="E448" s="7">
        <f t="shared" si="29"/>
        <v>3.4999999999999996E-3</v>
      </c>
      <c r="F448" s="7">
        <f t="shared" si="30"/>
        <v>0.17149999999999999</v>
      </c>
    </row>
    <row r="449" spans="1:6" ht="14.5" x14ac:dyDescent="0.35">
      <c r="A449" s="52" t="s">
        <v>1208</v>
      </c>
      <c r="B449" s="5" t="s">
        <v>687</v>
      </c>
      <c r="C449" s="6">
        <v>0.26500000000000001</v>
      </c>
      <c r="D449" s="7">
        <f t="shared" si="28"/>
        <v>0.22500000000000001</v>
      </c>
      <c r="E449" s="7">
        <f t="shared" si="29"/>
        <v>4.5000000000000005E-3</v>
      </c>
      <c r="F449" s="7">
        <f t="shared" si="30"/>
        <v>0.2205</v>
      </c>
    </row>
    <row r="450" spans="1:6" ht="14.5" x14ac:dyDescent="0.35">
      <c r="A450" s="53"/>
      <c r="B450" s="5" t="s">
        <v>688</v>
      </c>
      <c r="C450" s="6">
        <v>0.26500000000000001</v>
      </c>
      <c r="D450" s="7">
        <f t="shared" si="28"/>
        <v>0.22500000000000001</v>
      </c>
      <c r="E450" s="7">
        <f t="shared" si="29"/>
        <v>4.5000000000000005E-3</v>
      </c>
      <c r="F450" s="7">
        <f t="shared" si="30"/>
        <v>0.2205</v>
      </c>
    </row>
    <row r="451" spans="1:6" ht="14.5" x14ac:dyDescent="0.35">
      <c r="A451" s="53"/>
      <c r="B451" s="5" t="s">
        <v>686</v>
      </c>
      <c r="C451" s="6">
        <v>0.215</v>
      </c>
      <c r="D451" s="7">
        <f t="shared" si="28"/>
        <v>0.17499999999999999</v>
      </c>
      <c r="E451" s="7">
        <f t="shared" si="29"/>
        <v>3.4999999999999996E-3</v>
      </c>
      <c r="F451" s="7">
        <f t="shared" si="30"/>
        <v>0.17149999999999999</v>
      </c>
    </row>
    <row r="452" spans="1:6" ht="14.5" x14ac:dyDescent="0.35">
      <c r="A452" s="53"/>
      <c r="B452" s="5" t="s">
        <v>684</v>
      </c>
      <c r="C452" s="6">
        <v>0.215</v>
      </c>
      <c r="D452" s="7">
        <f t="shared" si="28"/>
        <v>0.17499999999999999</v>
      </c>
      <c r="E452" s="7">
        <f t="shared" si="29"/>
        <v>3.4999999999999996E-3</v>
      </c>
      <c r="F452" s="7">
        <f t="shared" si="30"/>
        <v>0.17149999999999999</v>
      </c>
    </row>
    <row r="453" spans="1:6" ht="14.5" x14ac:dyDescent="0.35">
      <c r="A453" s="54"/>
      <c r="B453" s="5" t="s">
        <v>683</v>
      </c>
      <c r="C453" s="6">
        <v>0.28000000000000003</v>
      </c>
      <c r="D453" s="7">
        <f t="shared" si="28"/>
        <v>0.24000000000000002</v>
      </c>
      <c r="E453" s="7">
        <f t="shared" si="29"/>
        <v>4.8000000000000004E-3</v>
      </c>
      <c r="F453" s="7">
        <f t="shared" si="30"/>
        <v>0.23520000000000002</v>
      </c>
    </row>
    <row r="454" spans="1:6" ht="14.5" x14ac:dyDescent="0.35">
      <c r="A454" s="52" t="s">
        <v>1209</v>
      </c>
      <c r="B454" s="5" t="s">
        <v>687</v>
      </c>
      <c r="C454" s="6">
        <v>0.23499999999999999</v>
      </c>
      <c r="D454" s="7">
        <f t="shared" si="28"/>
        <v>0.19499999999999998</v>
      </c>
      <c r="E454" s="7">
        <f t="shared" si="29"/>
        <v>3.8999999999999998E-3</v>
      </c>
      <c r="F454" s="7">
        <f t="shared" si="30"/>
        <v>0.19109999999999999</v>
      </c>
    </row>
    <row r="455" spans="1:6" ht="14.5" x14ac:dyDescent="0.35">
      <c r="A455" s="53"/>
      <c r="B455" s="5" t="s">
        <v>688</v>
      </c>
      <c r="C455" s="6">
        <v>0.26500000000000001</v>
      </c>
      <c r="D455" s="7">
        <f t="shared" si="28"/>
        <v>0.22500000000000001</v>
      </c>
      <c r="E455" s="7">
        <f t="shared" si="29"/>
        <v>4.5000000000000005E-3</v>
      </c>
      <c r="F455" s="7">
        <f t="shared" si="30"/>
        <v>0.2205</v>
      </c>
    </row>
    <row r="456" spans="1:6" ht="14.5" x14ac:dyDescent="0.35">
      <c r="A456" s="53"/>
      <c r="B456" s="5" t="s">
        <v>686</v>
      </c>
      <c r="C456" s="6">
        <v>0.215</v>
      </c>
      <c r="D456" s="7">
        <f t="shared" si="28"/>
        <v>0.17499999999999999</v>
      </c>
      <c r="E456" s="7">
        <f t="shared" si="29"/>
        <v>3.4999999999999996E-3</v>
      </c>
      <c r="F456" s="7">
        <f t="shared" si="30"/>
        <v>0.17149999999999999</v>
      </c>
    </row>
    <row r="457" spans="1:6" ht="14.5" x14ac:dyDescent="0.35">
      <c r="A457" s="53"/>
      <c r="B457" s="5" t="s">
        <v>684</v>
      </c>
      <c r="C457" s="6">
        <v>0.215</v>
      </c>
      <c r="D457" s="7">
        <f t="shared" si="28"/>
        <v>0.17499999999999999</v>
      </c>
      <c r="E457" s="7">
        <f t="shared" si="29"/>
        <v>3.4999999999999996E-3</v>
      </c>
      <c r="F457" s="7">
        <f t="shared" si="30"/>
        <v>0.17149999999999999</v>
      </c>
    </row>
    <row r="458" spans="1:6" ht="14.5" x14ac:dyDescent="0.35">
      <c r="A458" s="54"/>
      <c r="B458" s="5" t="s">
        <v>683</v>
      </c>
      <c r="C458" s="6">
        <v>0.28000000000000003</v>
      </c>
      <c r="D458" s="7">
        <f t="shared" si="28"/>
        <v>0.24000000000000002</v>
      </c>
      <c r="E458" s="7">
        <f t="shared" si="29"/>
        <v>4.8000000000000004E-3</v>
      </c>
      <c r="F458" s="7">
        <f t="shared" si="30"/>
        <v>0.23520000000000002</v>
      </c>
    </row>
    <row r="459" spans="1:6" ht="14.5" x14ac:dyDescent="0.35">
      <c r="A459" s="52" t="s">
        <v>1210</v>
      </c>
      <c r="B459" s="5" t="s">
        <v>687</v>
      </c>
      <c r="C459" s="6">
        <v>0.36499999999999999</v>
      </c>
      <c r="D459" s="7">
        <f t="shared" si="28"/>
        <v>0.32500000000000001</v>
      </c>
      <c r="E459" s="7">
        <f t="shared" si="29"/>
        <v>6.5000000000000006E-3</v>
      </c>
      <c r="F459" s="7">
        <f t="shared" si="30"/>
        <v>0.31850000000000001</v>
      </c>
    </row>
    <row r="460" spans="1:6" ht="14.5" x14ac:dyDescent="0.35">
      <c r="A460" s="53"/>
      <c r="B460" s="5" t="s">
        <v>688</v>
      </c>
      <c r="C460" s="6">
        <v>0.34499999999999997</v>
      </c>
      <c r="D460" s="7">
        <f t="shared" si="28"/>
        <v>0.30499999999999999</v>
      </c>
      <c r="E460" s="7">
        <f t="shared" si="29"/>
        <v>6.1000000000000004E-3</v>
      </c>
      <c r="F460" s="7">
        <f t="shared" si="30"/>
        <v>0.2989</v>
      </c>
    </row>
    <row r="461" spans="1:6" ht="14.5" x14ac:dyDescent="0.35">
      <c r="A461" s="53"/>
      <c r="B461" s="5" t="s">
        <v>686</v>
      </c>
      <c r="C461" s="6">
        <v>0.35499999999999998</v>
      </c>
      <c r="D461" s="7">
        <f t="shared" si="28"/>
        <v>0.315</v>
      </c>
      <c r="E461" s="7">
        <f t="shared" si="29"/>
        <v>6.3E-3</v>
      </c>
      <c r="F461" s="7">
        <f t="shared" si="30"/>
        <v>0.30869999999999997</v>
      </c>
    </row>
    <row r="462" spans="1:6" ht="14.5" x14ac:dyDescent="0.35">
      <c r="A462" s="53"/>
      <c r="B462" s="5" t="s">
        <v>684</v>
      </c>
      <c r="C462" s="6">
        <v>0.35499999999999998</v>
      </c>
      <c r="D462" s="7">
        <f t="shared" si="28"/>
        <v>0.315</v>
      </c>
      <c r="E462" s="7">
        <f t="shared" si="29"/>
        <v>6.3E-3</v>
      </c>
      <c r="F462" s="7">
        <f t="shared" si="30"/>
        <v>0.30869999999999997</v>
      </c>
    </row>
    <row r="463" spans="1:6" ht="14.5" x14ac:dyDescent="0.35">
      <c r="A463" s="54"/>
      <c r="B463" s="5" t="s">
        <v>683</v>
      </c>
      <c r="C463" s="6">
        <v>0.34</v>
      </c>
      <c r="D463" s="7">
        <f t="shared" si="28"/>
        <v>0.30000000000000004</v>
      </c>
      <c r="E463" s="7">
        <f t="shared" si="29"/>
        <v>6.000000000000001E-3</v>
      </c>
      <c r="F463" s="7">
        <f t="shared" si="30"/>
        <v>0.29400000000000004</v>
      </c>
    </row>
    <row r="464" spans="1:6" ht="14.5" x14ac:dyDescent="0.35">
      <c r="A464" s="48" t="s">
        <v>745</v>
      </c>
      <c r="B464" s="5" t="s">
        <v>662</v>
      </c>
      <c r="C464" s="7">
        <v>0.25</v>
      </c>
      <c r="D464" s="7">
        <f t="shared" si="28"/>
        <v>0.21</v>
      </c>
      <c r="E464" s="7">
        <f t="shared" si="29"/>
        <v>4.1999999999999997E-3</v>
      </c>
      <c r="F464" s="7">
        <f t="shared" si="30"/>
        <v>0.20579999999999998</v>
      </c>
    </row>
    <row r="465" spans="1:6" ht="14.5" x14ac:dyDescent="0.35">
      <c r="A465" s="48"/>
      <c r="B465" s="5" t="s">
        <v>663</v>
      </c>
      <c r="C465" s="7">
        <v>0.25</v>
      </c>
      <c r="D465" s="7">
        <f t="shared" ref="D465:D528" si="31">C465-(4%)</f>
        <v>0.21</v>
      </c>
      <c r="E465" s="7">
        <f t="shared" ref="E465:E528" si="32">D465*2%</f>
        <v>4.1999999999999997E-3</v>
      </c>
      <c r="F465" s="7">
        <f t="shared" ref="F465:F528" si="33">D465-E465</f>
        <v>0.20579999999999998</v>
      </c>
    </row>
    <row r="466" spans="1:6" ht="14.5" x14ac:dyDescent="0.35">
      <c r="A466" s="48" t="s">
        <v>746</v>
      </c>
      <c r="B466" s="5" t="s">
        <v>662</v>
      </c>
      <c r="C466" s="7">
        <v>0.25</v>
      </c>
      <c r="D466" s="7">
        <f t="shared" si="31"/>
        <v>0.21</v>
      </c>
      <c r="E466" s="7">
        <f t="shared" si="32"/>
        <v>4.1999999999999997E-3</v>
      </c>
      <c r="F466" s="7">
        <f t="shared" si="33"/>
        <v>0.20579999999999998</v>
      </c>
    </row>
    <row r="467" spans="1:6" ht="14.5" x14ac:dyDescent="0.35">
      <c r="A467" s="48"/>
      <c r="B467" s="5" t="s">
        <v>663</v>
      </c>
      <c r="C467" s="7">
        <v>0.25</v>
      </c>
      <c r="D467" s="7">
        <f t="shared" si="31"/>
        <v>0.21</v>
      </c>
      <c r="E467" s="7">
        <f t="shared" si="32"/>
        <v>4.1999999999999997E-3</v>
      </c>
      <c r="F467" s="7">
        <f t="shared" si="33"/>
        <v>0.20579999999999998</v>
      </c>
    </row>
    <row r="468" spans="1:6" ht="14.5" x14ac:dyDescent="0.35">
      <c r="A468" s="5" t="s">
        <v>747</v>
      </c>
      <c r="B468" s="5" t="s">
        <v>100</v>
      </c>
      <c r="C468" s="7">
        <v>0.22</v>
      </c>
      <c r="D468" s="7">
        <f t="shared" si="31"/>
        <v>0.18</v>
      </c>
      <c r="E468" s="7">
        <f t="shared" si="32"/>
        <v>3.5999999999999999E-3</v>
      </c>
      <c r="F468" s="7">
        <f t="shared" si="33"/>
        <v>0.1764</v>
      </c>
    </row>
    <row r="469" spans="1:6" ht="14.5" x14ac:dyDescent="0.35">
      <c r="A469" s="41" t="s">
        <v>748</v>
      </c>
      <c r="B469" s="5" t="s">
        <v>691</v>
      </c>
      <c r="C469" s="7">
        <v>0.19500000000000001</v>
      </c>
      <c r="D469" s="7">
        <f t="shared" si="31"/>
        <v>0.155</v>
      </c>
      <c r="E469" s="7">
        <f t="shared" si="32"/>
        <v>3.0999999999999999E-3</v>
      </c>
      <c r="F469" s="7">
        <f t="shared" si="33"/>
        <v>0.15190000000000001</v>
      </c>
    </row>
    <row r="470" spans="1:6" ht="14.5" x14ac:dyDescent="0.35">
      <c r="A470" s="43"/>
      <c r="B470" s="5" t="s">
        <v>692</v>
      </c>
      <c r="C470" s="7">
        <v>0.15</v>
      </c>
      <c r="D470" s="7">
        <f t="shared" si="31"/>
        <v>0.10999999999999999</v>
      </c>
      <c r="E470" s="7">
        <f t="shared" si="32"/>
        <v>2.1999999999999997E-3</v>
      </c>
      <c r="F470" s="7">
        <f t="shared" si="33"/>
        <v>0.10779999999999999</v>
      </c>
    </row>
    <row r="471" spans="1:6" ht="14.5" x14ac:dyDescent="0.35">
      <c r="A471" s="2" t="s">
        <v>141</v>
      </c>
      <c r="B471" s="2" t="s">
        <v>1</v>
      </c>
      <c r="C471" s="3" t="s">
        <v>2</v>
      </c>
      <c r="D471" s="4" t="s">
        <v>4</v>
      </c>
      <c r="E471" s="4" t="s">
        <v>5</v>
      </c>
      <c r="F471" s="4" t="s">
        <v>6</v>
      </c>
    </row>
    <row r="472" spans="1:6" ht="14.5" x14ac:dyDescent="0.35">
      <c r="A472" s="11" t="s">
        <v>749</v>
      </c>
      <c r="B472" s="5" t="s">
        <v>750</v>
      </c>
      <c r="C472" s="7">
        <v>0.25</v>
      </c>
      <c r="D472" s="7">
        <f t="shared" si="31"/>
        <v>0.21</v>
      </c>
      <c r="E472" s="7">
        <f t="shared" si="32"/>
        <v>4.1999999999999997E-3</v>
      </c>
      <c r="F472" s="7">
        <f t="shared" si="33"/>
        <v>0.20579999999999998</v>
      </c>
    </row>
    <row r="473" spans="1:6" ht="14.5" x14ac:dyDescent="0.35">
      <c r="A473" s="11" t="s">
        <v>751</v>
      </c>
      <c r="B473" s="5" t="s">
        <v>752</v>
      </c>
      <c r="C473" s="7">
        <v>0.25</v>
      </c>
      <c r="D473" s="7">
        <f t="shared" si="31"/>
        <v>0.21</v>
      </c>
      <c r="E473" s="7">
        <f t="shared" si="32"/>
        <v>4.1999999999999997E-3</v>
      </c>
      <c r="F473" s="7">
        <f t="shared" si="33"/>
        <v>0.20579999999999998</v>
      </c>
    </row>
    <row r="474" spans="1:6" ht="14.5" x14ac:dyDescent="0.35">
      <c r="A474" s="11" t="s">
        <v>753</v>
      </c>
      <c r="B474" s="5" t="s">
        <v>750</v>
      </c>
      <c r="C474" s="7">
        <v>0.25</v>
      </c>
      <c r="D474" s="7">
        <f t="shared" si="31"/>
        <v>0.21</v>
      </c>
      <c r="E474" s="7">
        <f t="shared" si="32"/>
        <v>4.1999999999999997E-3</v>
      </c>
      <c r="F474" s="7">
        <f t="shared" si="33"/>
        <v>0.20579999999999998</v>
      </c>
    </row>
    <row r="475" spans="1:6" ht="14.5" x14ac:dyDescent="0.35">
      <c r="A475" s="11" t="s">
        <v>754</v>
      </c>
      <c r="B475" s="5" t="s">
        <v>752</v>
      </c>
      <c r="C475" s="7">
        <v>0.25</v>
      </c>
      <c r="D475" s="7">
        <f t="shared" si="31"/>
        <v>0.21</v>
      </c>
      <c r="E475" s="7">
        <f t="shared" si="32"/>
        <v>4.1999999999999997E-3</v>
      </c>
      <c r="F475" s="7">
        <f t="shared" si="33"/>
        <v>0.20579999999999998</v>
      </c>
    </row>
    <row r="476" spans="1:6" ht="14.5" customHeight="1" x14ac:dyDescent="0.35">
      <c r="A476" s="55" t="s">
        <v>755</v>
      </c>
      <c r="B476" s="5" t="s">
        <v>665</v>
      </c>
      <c r="C476" s="7">
        <v>0.12</v>
      </c>
      <c r="D476" s="7">
        <f t="shared" si="31"/>
        <v>7.9999999999999988E-2</v>
      </c>
      <c r="E476" s="7">
        <f t="shared" si="32"/>
        <v>1.5999999999999999E-3</v>
      </c>
      <c r="F476" s="7">
        <f t="shared" si="33"/>
        <v>7.8399999999999984E-2</v>
      </c>
    </row>
    <row r="477" spans="1:6" ht="14.5" x14ac:dyDescent="0.35">
      <c r="A477" s="56"/>
      <c r="B477" s="5" t="s">
        <v>666</v>
      </c>
      <c r="C477" s="7">
        <v>0.14000000000000001</v>
      </c>
      <c r="D477" s="7">
        <f t="shared" si="31"/>
        <v>0.1</v>
      </c>
      <c r="E477" s="7">
        <f t="shared" si="32"/>
        <v>2E-3</v>
      </c>
      <c r="F477" s="7">
        <f t="shared" si="33"/>
        <v>9.8000000000000004E-2</v>
      </c>
    </row>
    <row r="478" spans="1:6" ht="14.5" x14ac:dyDescent="0.35">
      <c r="A478" s="56"/>
      <c r="B478" s="5" t="s">
        <v>667</v>
      </c>
      <c r="C478" s="7">
        <v>0.17</v>
      </c>
      <c r="D478" s="7">
        <f t="shared" si="31"/>
        <v>0.13</v>
      </c>
      <c r="E478" s="7">
        <f t="shared" si="32"/>
        <v>2.6000000000000003E-3</v>
      </c>
      <c r="F478" s="7">
        <f t="shared" si="33"/>
        <v>0.12740000000000001</v>
      </c>
    </row>
    <row r="479" spans="1:6" ht="14.5" x14ac:dyDescent="0.35">
      <c r="A479" s="56"/>
      <c r="B479" s="5" t="s">
        <v>668</v>
      </c>
      <c r="C479" s="7">
        <v>7.0000000000000007E-2</v>
      </c>
      <c r="D479" s="7">
        <f t="shared" si="31"/>
        <v>3.0000000000000006E-2</v>
      </c>
      <c r="E479" s="7">
        <f t="shared" si="32"/>
        <v>6.0000000000000016E-4</v>
      </c>
      <c r="F479" s="7">
        <f t="shared" si="33"/>
        <v>2.9400000000000006E-2</v>
      </c>
    </row>
    <row r="480" spans="1:6" ht="14.5" x14ac:dyDescent="0.35">
      <c r="A480" s="56"/>
      <c r="B480" s="5" t="s">
        <v>669</v>
      </c>
      <c r="C480" s="7">
        <v>7.0000000000000007E-2</v>
      </c>
      <c r="D480" s="7">
        <f t="shared" si="31"/>
        <v>3.0000000000000006E-2</v>
      </c>
      <c r="E480" s="7">
        <f t="shared" si="32"/>
        <v>6.0000000000000016E-4</v>
      </c>
      <c r="F480" s="7">
        <f t="shared" si="33"/>
        <v>2.9400000000000006E-2</v>
      </c>
    </row>
    <row r="481" spans="1:6" ht="14.5" x14ac:dyDescent="0.35">
      <c r="A481" s="56"/>
      <c r="B481" s="5" t="s">
        <v>670</v>
      </c>
      <c r="C481" s="7">
        <v>0.12</v>
      </c>
      <c r="D481" s="7">
        <f t="shared" si="31"/>
        <v>7.9999999999999988E-2</v>
      </c>
      <c r="E481" s="7">
        <f t="shared" si="32"/>
        <v>1.5999999999999999E-3</v>
      </c>
      <c r="F481" s="7">
        <f t="shared" si="33"/>
        <v>7.8399999999999984E-2</v>
      </c>
    </row>
    <row r="482" spans="1:6" ht="14.5" x14ac:dyDescent="0.35">
      <c r="A482" s="56"/>
      <c r="B482" s="5" t="s">
        <v>671</v>
      </c>
      <c r="C482" s="7">
        <v>0.09</v>
      </c>
      <c r="D482" s="7">
        <f t="shared" si="31"/>
        <v>4.9999999999999996E-2</v>
      </c>
      <c r="E482" s="7">
        <f t="shared" si="32"/>
        <v>1E-3</v>
      </c>
      <c r="F482" s="7">
        <f t="shared" si="33"/>
        <v>4.8999999999999995E-2</v>
      </c>
    </row>
    <row r="483" spans="1:6" ht="14.5" x14ac:dyDescent="0.35">
      <c r="A483" s="56"/>
      <c r="B483" s="5" t="s">
        <v>673</v>
      </c>
      <c r="C483" s="7">
        <v>0.17</v>
      </c>
      <c r="D483" s="7">
        <f t="shared" si="31"/>
        <v>0.13</v>
      </c>
      <c r="E483" s="7">
        <f t="shared" si="32"/>
        <v>2.6000000000000003E-3</v>
      </c>
      <c r="F483" s="7">
        <f t="shared" si="33"/>
        <v>0.12740000000000001</v>
      </c>
    </row>
    <row r="484" spans="1:6" ht="14.5" x14ac:dyDescent="0.35">
      <c r="A484" s="56"/>
      <c r="B484" s="5" t="s">
        <v>674</v>
      </c>
      <c r="C484" s="7">
        <v>0.09</v>
      </c>
      <c r="D484" s="7">
        <f t="shared" si="31"/>
        <v>4.9999999999999996E-2</v>
      </c>
      <c r="E484" s="7">
        <f t="shared" si="32"/>
        <v>1E-3</v>
      </c>
      <c r="F484" s="7">
        <f t="shared" si="33"/>
        <v>4.8999999999999995E-2</v>
      </c>
    </row>
    <row r="485" spans="1:6" ht="14.5" x14ac:dyDescent="0.35">
      <c r="A485" s="56"/>
      <c r="B485" s="5" t="s">
        <v>743</v>
      </c>
      <c r="C485" s="7">
        <v>0.09</v>
      </c>
      <c r="D485" s="7">
        <f t="shared" si="31"/>
        <v>4.9999999999999996E-2</v>
      </c>
      <c r="E485" s="7">
        <f t="shared" si="32"/>
        <v>1E-3</v>
      </c>
      <c r="F485" s="7">
        <f t="shared" si="33"/>
        <v>4.8999999999999995E-2</v>
      </c>
    </row>
    <row r="486" spans="1:6" ht="14.5" x14ac:dyDescent="0.35">
      <c r="A486" s="56"/>
      <c r="B486" s="5" t="s">
        <v>672</v>
      </c>
      <c r="C486" s="7">
        <v>0.09</v>
      </c>
      <c r="D486" s="7">
        <f t="shared" si="31"/>
        <v>4.9999999999999996E-2</v>
      </c>
      <c r="E486" s="7">
        <f t="shared" si="32"/>
        <v>1E-3</v>
      </c>
      <c r="F486" s="7">
        <f t="shared" si="33"/>
        <v>4.8999999999999995E-2</v>
      </c>
    </row>
    <row r="487" spans="1:6" ht="14.5" x14ac:dyDescent="0.35">
      <c r="A487" s="56"/>
      <c r="B487" s="5" t="s">
        <v>678</v>
      </c>
      <c r="C487" s="7">
        <v>0.12</v>
      </c>
      <c r="D487" s="7">
        <f t="shared" si="31"/>
        <v>7.9999999999999988E-2</v>
      </c>
      <c r="E487" s="7">
        <f t="shared" si="32"/>
        <v>1.5999999999999999E-3</v>
      </c>
      <c r="F487" s="7">
        <f t="shared" si="33"/>
        <v>7.8399999999999984E-2</v>
      </c>
    </row>
    <row r="488" spans="1:6" ht="14.5" x14ac:dyDescent="0.35">
      <c r="A488" s="56"/>
      <c r="B488" s="5" t="s">
        <v>677</v>
      </c>
      <c r="C488" s="7">
        <v>7.0000000000000007E-2</v>
      </c>
      <c r="D488" s="7">
        <f t="shared" si="31"/>
        <v>3.0000000000000006E-2</v>
      </c>
      <c r="E488" s="7">
        <f t="shared" si="32"/>
        <v>6.0000000000000016E-4</v>
      </c>
      <c r="F488" s="7">
        <f t="shared" si="33"/>
        <v>2.9400000000000006E-2</v>
      </c>
    </row>
    <row r="489" spans="1:6" ht="14.5" x14ac:dyDescent="0.35">
      <c r="A489" s="56"/>
      <c r="B489" s="5" t="s">
        <v>675</v>
      </c>
      <c r="C489" s="7">
        <v>0.14000000000000001</v>
      </c>
      <c r="D489" s="7">
        <f t="shared" si="31"/>
        <v>0.1</v>
      </c>
      <c r="E489" s="7">
        <f t="shared" si="32"/>
        <v>2E-3</v>
      </c>
      <c r="F489" s="7">
        <f t="shared" si="33"/>
        <v>9.8000000000000004E-2</v>
      </c>
    </row>
    <row r="490" spans="1:6" ht="14.5" x14ac:dyDescent="0.35">
      <c r="A490" s="56"/>
      <c r="B490" s="5" t="s">
        <v>676</v>
      </c>
      <c r="C490" s="7">
        <v>0.12</v>
      </c>
      <c r="D490" s="7">
        <f t="shared" si="31"/>
        <v>7.9999999999999988E-2</v>
      </c>
      <c r="E490" s="7">
        <f t="shared" si="32"/>
        <v>1.5999999999999999E-3</v>
      </c>
      <c r="F490" s="7">
        <f t="shared" si="33"/>
        <v>7.8399999999999984E-2</v>
      </c>
    </row>
    <row r="491" spans="1:6" ht="14.5" x14ac:dyDescent="0.35">
      <c r="A491" s="57"/>
      <c r="B491" s="5" t="s">
        <v>679</v>
      </c>
      <c r="C491" s="7">
        <v>0.09</v>
      </c>
      <c r="D491" s="7">
        <f t="shared" si="31"/>
        <v>4.9999999999999996E-2</v>
      </c>
      <c r="E491" s="7">
        <f t="shared" si="32"/>
        <v>1E-3</v>
      </c>
      <c r="F491" s="7">
        <f t="shared" si="33"/>
        <v>4.8999999999999995E-2</v>
      </c>
    </row>
    <row r="492" spans="1:6" ht="14.5" x14ac:dyDescent="0.35">
      <c r="A492" s="55" t="s">
        <v>756</v>
      </c>
      <c r="B492" s="5" t="s">
        <v>665</v>
      </c>
      <c r="C492" s="7">
        <v>0.12</v>
      </c>
      <c r="D492" s="7">
        <f t="shared" si="31"/>
        <v>7.9999999999999988E-2</v>
      </c>
      <c r="E492" s="7">
        <f t="shared" si="32"/>
        <v>1.5999999999999999E-3</v>
      </c>
      <c r="F492" s="7">
        <f t="shared" si="33"/>
        <v>7.8399999999999984E-2</v>
      </c>
    </row>
    <row r="493" spans="1:6" ht="14.5" x14ac:dyDescent="0.35">
      <c r="A493" s="56"/>
      <c r="B493" s="5" t="s">
        <v>666</v>
      </c>
      <c r="C493" s="7">
        <v>0.14000000000000001</v>
      </c>
      <c r="D493" s="7">
        <f t="shared" si="31"/>
        <v>0.1</v>
      </c>
      <c r="E493" s="7">
        <f t="shared" si="32"/>
        <v>2E-3</v>
      </c>
      <c r="F493" s="7">
        <f t="shared" si="33"/>
        <v>9.8000000000000004E-2</v>
      </c>
    </row>
    <row r="494" spans="1:6" ht="14.5" x14ac:dyDescent="0.35">
      <c r="A494" s="56"/>
      <c r="B494" s="5" t="s">
        <v>667</v>
      </c>
      <c r="C494" s="7">
        <v>0.17</v>
      </c>
      <c r="D494" s="7">
        <f t="shared" si="31"/>
        <v>0.13</v>
      </c>
      <c r="E494" s="7">
        <f t="shared" si="32"/>
        <v>2.6000000000000003E-3</v>
      </c>
      <c r="F494" s="7">
        <f t="shared" si="33"/>
        <v>0.12740000000000001</v>
      </c>
    </row>
    <row r="495" spans="1:6" ht="14.5" x14ac:dyDescent="0.35">
      <c r="A495" s="56"/>
      <c r="B495" s="5" t="s">
        <v>668</v>
      </c>
      <c r="C495" s="7">
        <v>7.0000000000000007E-2</v>
      </c>
      <c r="D495" s="7">
        <f t="shared" si="31"/>
        <v>3.0000000000000006E-2</v>
      </c>
      <c r="E495" s="7">
        <f t="shared" si="32"/>
        <v>6.0000000000000016E-4</v>
      </c>
      <c r="F495" s="7">
        <f t="shared" si="33"/>
        <v>2.9400000000000006E-2</v>
      </c>
    </row>
    <row r="496" spans="1:6" ht="14.5" x14ac:dyDescent="0.35">
      <c r="A496" s="56"/>
      <c r="B496" s="5" t="s">
        <v>669</v>
      </c>
      <c r="C496" s="7">
        <v>7.0000000000000007E-2</v>
      </c>
      <c r="D496" s="7">
        <f t="shared" si="31"/>
        <v>3.0000000000000006E-2</v>
      </c>
      <c r="E496" s="7">
        <f t="shared" si="32"/>
        <v>6.0000000000000016E-4</v>
      </c>
      <c r="F496" s="7">
        <f t="shared" si="33"/>
        <v>2.9400000000000006E-2</v>
      </c>
    </row>
    <row r="497" spans="1:6" ht="14.5" x14ac:dyDescent="0.35">
      <c r="A497" s="56"/>
      <c r="B497" s="5" t="s">
        <v>670</v>
      </c>
      <c r="C497" s="7">
        <v>0.12</v>
      </c>
      <c r="D497" s="7">
        <f t="shared" si="31"/>
        <v>7.9999999999999988E-2</v>
      </c>
      <c r="E497" s="7">
        <f t="shared" si="32"/>
        <v>1.5999999999999999E-3</v>
      </c>
      <c r="F497" s="7">
        <f t="shared" si="33"/>
        <v>7.8399999999999984E-2</v>
      </c>
    </row>
    <row r="498" spans="1:6" ht="14.5" x14ac:dyDescent="0.35">
      <c r="A498" s="56"/>
      <c r="B498" s="5" t="s">
        <v>671</v>
      </c>
      <c r="C498" s="7">
        <v>0.09</v>
      </c>
      <c r="D498" s="7">
        <f t="shared" si="31"/>
        <v>4.9999999999999996E-2</v>
      </c>
      <c r="E498" s="7">
        <f t="shared" si="32"/>
        <v>1E-3</v>
      </c>
      <c r="F498" s="7">
        <f t="shared" si="33"/>
        <v>4.8999999999999995E-2</v>
      </c>
    </row>
    <row r="499" spans="1:6" ht="14.5" x14ac:dyDescent="0.35">
      <c r="A499" s="56"/>
      <c r="B499" s="5" t="s">
        <v>673</v>
      </c>
      <c r="C499" s="7">
        <v>0.17</v>
      </c>
      <c r="D499" s="7">
        <f t="shared" si="31"/>
        <v>0.13</v>
      </c>
      <c r="E499" s="7">
        <f t="shared" si="32"/>
        <v>2.6000000000000003E-3</v>
      </c>
      <c r="F499" s="7">
        <f t="shared" si="33"/>
        <v>0.12740000000000001</v>
      </c>
    </row>
    <row r="500" spans="1:6" ht="14.5" x14ac:dyDescent="0.35">
      <c r="A500" s="56"/>
      <c r="B500" s="5" t="s">
        <v>674</v>
      </c>
      <c r="C500" s="7">
        <v>0.09</v>
      </c>
      <c r="D500" s="7">
        <f t="shared" si="31"/>
        <v>4.9999999999999996E-2</v>
      </c>
      <c r="E500" s="7">
        <f t="shared" si="32"/>
        <v>1E-3</v>
      </c>
      <c r="F500" s="7">
        <f t="shared" si="33"/>
        <v>4.8999999999999995E-2</v>
      </c>
    </row>
    <row r="501" spans="1:6" ht="14.5" x14ac:dyDescent="0.35">
      <c r="A501" s="56"/>
      <c r="B501" s="5" t="s">
        <v>743</v>
      </c>
      <c r="C501" s="7">
        <v>0.09</v>
      </c>
      <c r="D501" s="7">
        <f t="shared" si="31"/>
        <v>4.9999999999999996E-2</v>
      </c>
      <c r="E501" s="7">
        <f t="shared" si="32"/>
        <v>1E-3</v>
      </c>
      <c r="F501" s="7">
        <f t="shared" si="33"/>
        <v>4.8999999999999995E-2</v>
      </c>
    </row>
    <row r="502" spans="1:6" ht="14.5" x14ac:dyDescent="0.35">
      <c r="A502" s="56"/>
      <c r="B502" s="5" t="s">
        <v>672</v>
      </c>
      <c r="C502" s="7">
        <v>0.09</v>
      </c>
      <c r="D502" s="7">
        <f t="shared" si="31"/>
        <v>4.9999999999999996E-2</v>
      </c>
      <c r="E502" s="7">
        <f t="shared" si="32"/>
        <v>1E-3</v>
      </c>
      <c r="F502" s="7">
        <f t="shared" si="33"/>
        <v>4.8999999999999995E-2</v>
      </c>
    </row>
    <row r="503" spans="1:6" ht="14.5" x14ac:dyDescent="0.35">
      <c r="A503" s="56"/>
      <c r="B503" s="5" t="s">
        <v>678</v>
      </c>
      <c r="C503" s="7">
        <v>0.12</v>
      </c>
      <c r="D503" s="7">
        <f t="shared" si="31"/>
        <v>7.9999999999999988E-2</v>
      </c>
      <c r="E503" s="7">
        <f t="shared" si="32"/>
        <v>1.5999999999999999E-3</v>
      </c>
      <c r="F503" s="7">
        <f t="shared" si="33"/>
        <v>7.8399999999999984E-2</v>
      </c>
    </row>
    <row r="504" spans="1:6" ht="14.5" x14ac:dyDescent="0.35">
      <c r="A504" s="56"/>
      <c r="B504" s="5" t="s">
        <v>677</v>
      </c>
      <c r="C504" s="7">
        <v>7.0000000000000007E-2</v>
      </c>
      <c r="D504" s="7">
        <f t="shared" si="31"/>
        <v>3.0000000000000006E-2</v>
      </c>
      <c r="E504" s="7">
        <f t="shared" si="32"/>
        <v>6.0000000000000016E-4</v>
      </c>
      <c r="F504" s="7">
        <f t="shared" si="33"/>
        <v>2.9400000000000006E-2</v>
      </c>
    </row>
    <row r="505" spans="1:6" ht="14.5" x14ac:dyDescent="0.35">
      <c r="A505" s="56"/>
      <c r="B505" s="5" t="s">
        <v>675</v>
      </c>
      <c r="C505" s="7">
        <v>0.32</v>
      </c>
      <c r="D505" s="7">
        <f t="shared" si="31"/>
        <v>0.28000000000000003</v>
      </c>
      <c r="E505" s="7">
        <f t="shared" si="32"/>
        <v>5.6000000000000008E-3</v>
      </c>
      <c r="F505" s="7">
        <f t="shared" si="33"/>
        <v>0.27440000000000003</v>
      </c>
    </row>
    <row r="506" spans="1:6" ht="14.5" x14ac:dyDescent="0.35">
      <c r="A506" s="56"/>
      <c r="B506" s="5" t="s">
        <v>676</v>
      </c>
      <c r="C506" s="7">
        <v>0.12</v>
      </c>
      <c r="D506" s="7">
        <f t="shared" si="31"/>
        <v>7.9999999999999988E-2</v>
      </c>
      <c r="E506" s="7">
        <f t="shared" si="32"/>
        <v>1.5999999999999999E-3</v>
      </c>
      <c r="F506" s="7">
        <f t="shared" si="33"/>
        <v>7.8399999999999984E-2</v>
      </c>
    </row>
    <row r="507" spans="1:6" ht="14.5" x14ac:dyDescent="0.35">
      <c r="A507" s="57"/>
      <c r="B507" s="5" t="s">
        <v>679</v>
      </c>
      <c r="C507" s="6">
        <v>0.09</v>
      </c>
      <c r="D507" s="7">
        <f t="shared" si="31"/>
        <v>4.9999999999999996E-2</v>
      </c>
      <c r="E507" s="7">
        <f t="shared" si="32"/>
        <v>1E-3</v>
      </c>
      <c r="F507" s="7">
        <f t="shared" si="33"/>
        <v>4.8999999999999995E-2</v>
      </c>
    </row>
    <row r="508" spans="1:6" ht="14.5" x14ac:dyDescent="0.35">
      <c r="A508" s="55" t="s">
        <v>757</v>
      </c>
      <c r="B508" s="5" t="s">
        <v>665</v>
      </c>
      <c r="C508" s="6">
        <v>0.12</v>
      </c>
      <c r="D508" s="7">
        <f t="shared" si="31"/>
        <v>7.9999999999999988E-2</v>
      </c>
      <c r="E508" s="7">
        <f t="shared" si="32"/>
        <v>1.5999999999999999E-3</v>
      </c>
      <c r="F508" s="7">
        <f t="shared" si="33"/>
        <v>7.8399999999999984E-2</v>
      </c>
    </row>
    <row r="509" spans="1:6" ht="14.5" x14ac:dyDescent="0.35">
      <c r="A509" s="56"/>
      <c r="B509" s="5" t="s">
        <v>666</v>
      </c>
      <c r="C509" s="6">
        <v>0.14000000000000001</v>
      </c>
      <c r="D509" s="7">
        <f t="shared" si="31"/>
        <v>0.1</v>
      </c>
      <c r="E509" s="7">
        <f t="shared" si="32"/>
        <v>2E-3</v>
      </c>
      <c r="F509" s="7">
        <f t="shared" si="33"/>
        <v>9.8000000000000004E-2</v>
      </c>
    </row>
    <row r="510" spans="1:6" ht="14.5" x14ac:dyDescent="0.35">
      <c r="A510" s="56"/>
      <c r="B510" s="5" t="s">
        <v>667</v>
      </c>
      <c r="C510" s="6">
        <v>0.17</v>
      </c>
      <c r="D510" s="7">
        <f t="shared" si="31"/>
        <v>0.13</v>
      </c>
      <c r="E510" s="7">
        <f t="shared" si="32"/>
        <v>2.6000000000000003E-3</v>
      </c>
      <c r="F510" s="7">
        <f t="shared" si="33"/>
        <v>0.12740000000000001</v>
      </c>
    </row>
    <row r="511" spans="1:6" ht="14.5" x14ac:dyDescent="0.35">
      <c r="A511" s="56"/>
      <c r="B511" s="5" t="s">
        <v>668</v>
      </c>
      <c r="C511" s="6">
        <v>7.0000000000000007E-2</v>
      </c>
      <c r="D511" s="7">
        <f t="shared" si="31"/>
        <v>3.0000000000000006E-2</v>
      </c>
      <c r="E511" s="7">
        <f t="shared" si="32"/>
        <v>6.0000000000000016E-4</v>
      </c>
      <c r="F511" s="7">
        <f t="shared" si="33"/>
        <v>2.9400000000000006E-2</v>
      </c>
    </row>
    <row r="512" spans="1:6" ht="14.5" x14ac:dyDescent="0.35">
      <c r="A512" s="56"/>
      <c r="B512" s="5" t="s">
        <v>669</v>
      </c>
      <c r="C512" s="6">
        <v>7.0000000000000007E-2</v>
      </c>
      <c r="D512" s="7">
        <f t="shared" si="31"/>
        <v>3.0000000000000006E-2</v>
      </c>
      <c r="E512" s="7">
        <f t="shared" si="32"/>
        <v>6.0000000000000016E-4</v>
      </c>
      <c r="F512" s="7">
        <f t="shared" si="33"/>
        <v>2.9400000000000006E-2</v>
      </c>
    </row>
    <row r="513" spans="1:6" ht="14.5" x14ac:dyDescent="0.35">
      <c r="A513" s="56"/>
      <c r="B513" s="5" t="s">
        <v>670</v>
      </c>
      <c r="C513" s="6">
        <v>0.12</v>
      </c>
      <c r="D513" s="7">
        <f t="shared" si="31"/>
        <v>7.9999999999999988E-2</v>
      </c>
      <c r="E513" s="7">
        <f t="shared" si="32"/>
        <v>1.5999999999999999E-3</v>
      </c>
      <c r="F513" s="7">
        <f t="shared" si="33"/>
        <v>7.8399999999999984E-2</v>
      </c>
    </row>
    <row r="514" spans="1:6" ht="14.5" x14ac:dyDescent="0.35">
      <c r="A514" s="56"/>
      <c r="B514" s="5" t="s">
        <v>671</v>
      </c>
      <c r="C514" s="6">
        <v>0.09</v>
      </c>
      <c r="D514" s="7">
        <f t="shared" si="31"/>
        <v>4.9999999999999996E-2</v>
      </c>
      <c r="E514" s="7">
        <f t="shared" si="32"/>
        <v>1E-3</v>
      </c>
      <c r="F514" s="7">
        <f t="shared" si="33"/>
        <v>4.8999999999999995E-2</v>
      </c>
    </row>
    <row r="515" spans="1:6" ht="14.5" x14ac:dyDescent="0.35">
      <c r="A515" s="56"/>
      <c r="B515" s="5" t="s">
        <v>673</v>
      </c>
      <c r="C515" s="6">
        <v>0.17</v>
      </c>
      <c r="D515" s="7">
        <f t="shared" si="31"/>
        <v>0.13</v>
      </c>
      <c r="E515" s="7">
        <f t="shared" si="32"/>
        <v>2.6000000000000003E-3</v>
      </c>
      <c r="F515" s="7">
        <f t="shared" si="33"/>
        <v>0.12740000000000001</v>
      </c>
    </row>
    <row r="516" spans="1:6" ht="14.5" x14ac:dyDescent="0.35">
      <c r="A516" s="56"/>
      <c r="B516" s="5" t="s">
        <v>674</v>
      </c>
      <c r="C516" s="6">
        <v>0.09</v>
      </c>
      <c r="D516" s="7">
        <f t="shared" si="31"/>
        <v>4.9999999999999996E-2</v>
      </c>
      <c r="E516" s="7">
        <f t="shared" si="32"/>
        <v>1E-3</v>
      </c>
      <c r="F516" s="7">
        <f t="shared" si="33"/>
        <v>4.8999999999999995E-2</v>
      </c>
    </row>
    <row r="517" spans="1:6" ht="14.5" x14ac:dyDescent="0.35">
      <c r="A517" s="56"/>
      <c r="B517" s="5" t="s">
        <v>743</v>
      </c>
      <c r="C517" s="6">
        <v>0.09</v>
      </c>
      <c r="D517" s="7">
        <f t="shared" si="31"/>
        <v>4.9999999999999996E-2</v>
      </c>
      <c r="E517" s="7">
        <f t="shared" si="32"/>
        <v>1E-3</v>
      </c>
      <c r="F517" s="7">
        <f t="shared" si="33"/>
        <v>4.8999999999999995E-2</v>
      </c>
    </row>
    <row r="518" spans="1:6" ht="14.5" x14ac:dyDescent="0.35">
      <c r="A518" s="56"/>
      <c r="B518" s="5" t="s">
        <v>672</v>
      </c>
      <c r="C518" s="6">
        <v>0.09</v>
      </c>
      <c r="D518" s="7">
        <f t="shared" si="31"/>
        <v>4.9999999999999996E-2</v>
      </c>
      <c r="E518" s="7">
        <f t="shared" si="32"/>
        <v>1E-3</v>
      </c>
      <c r="F518" s="7">
        <f t="shared" si="33"/>
        <v>4.8999999999999995E-2</v>
      </c>
    </row>
    <row r="519" spans="1:6" ht="14.5" x14ac:dyDescent="0.35">
      <c r="A519" s="56"/>
      <c r="B519" s="5" t="s">
        <v>678</v>
      </c>
      <c r="C519" s="6">
        <v>0.12</v>
      </c>
      <c r="D519" s="7">
        <f t="shared" si="31"/>
        <v>7.9999999999999988E-2</v>
      </c>
      <c r="E519" s="7">
        <f t="shared" si="32"/>
        <v>1.5999999999999999E-3</v>
      </c>
      <c r="F519" s="7">
        <f t="shared" si="33"/>
        <v>7.8399999999999984E-2</v>
      </c>
    </row>
    <row r="520" spans="1:6" ht="14.5" x14ac:dyDescent="0.35">
      <c r="A520" s="56"/>
      <c r="B520" s="5" t="s">
        <v>677</v>
      </c>
      <c r="C520" s="6">
        <v>7.0000000000000007E-2</v>
      </c>
      <c r="D520" s="7">
        <f t="shared" si="31"/>
        <v>3.0000000000000006E-2</v>
      </c>
      <c r="E520" s="7">
        <f t="shared" si="32"/>
        <v>6.0000000000000016E-4</v>
      </c>
      <c r="F520" s="7">
        <f t="shared" si="33"/>
        <v>2.9400000000000006E-2</v>
      </c>
    </row>
    <row r="521" spans="1:6" ht="14.5" x14ac:dyDescent="0.35">
      <c r="A521" s="56"/>
      <c r="B521" s="5" t="s">
        <v>675</v>
      </c>
      <c r="C521" s="6">
        <v>0.32</v>
      </c>
      <c r="D521" s="7">
        <f t="shared" si="31"/>
        <v>0.28000000000000003</v>
      </c>
      <c r="E521" s="7">
        <f t="shared" si="32"/>
        <v>5.6000000000000008E-3</v>
      </c>
      <c r="F521" s="7">
        <f t="shared" si="33"/>
        <v>0.27440000000000003</v>
      </c>
    </row>
    <row r="522" spans="1:6" ht="14.5" x14ac:dyDescent="0.35">
      <c r="A522" s="56"/>
      <c r="B522" s="5" t="s">
        <v>676</v>
      </c>
      <c r="C522" s="6">
        <v>0.12</v>
      </c>
      <c r="D522" s="7">
        <f t="shared" si="31"/>
        <v>7.9999999999999988E-2</v>
      </c>
      <c r="E522" s="7">
        <f t="shared" si="32"/>
        <v>1.5999999999999999E-3</v>
      </c>
      <c r="F522" s="7">
        <f t="shared" si="33"/>
        <v>7.8399999999999984E-2</v>
      </c>
    </row>
    <row r="523" spans="1:6" ht="14.5" x14ac:dyDescent="0.35">
      <c r="A523" s="57"/>
      <c r="B523" s="5" t="s">
        <v>679</v>
      </c>
      <c r="C523" s="6">
        <v>0.09</v>
      </c>
      <c r="D523" s="7">
        <f t="shared" si="31"/>
        <v>4.9999999999999996E-2</v>
      </c>
      <c r="E523" s="7">
        <f t="shared" si="32"/>
        <v>1E-3</v>
      </c>
      <c r="F523" s="7">
        <f t="shared" si="33"/>
        <v>4.8999999999999995E-2</v>
      </c>
    </row>
    <row r="524" spans="1:6" ht="14.5" x14ac:dyDescent="0.35">
      <c r="A524" s="55" t="s">
        <v>758</v>
      </c>
      <c r="B524" s="5" t="s">
        <v>665</v>
      </c>
      <c r="C524" s="6">
        <v>0.25</v>
      </c>
      <c r="D524" s="7">
        <f t="shared" si="31"/>
        <v>0.21</v>
      </c>
      <c r="E524" s="7">
        <f t="shared" si="32"/>
        <v>4.1999999999999997E-3</v>
      </c>
      <c r="F524" s="7">
        <f t="shared" si="33"/>
        <v>0.20579999999999998</v>
      </c>
    </row>
    <row r="525" spans="1:6" ht="14.5" x14ac:dyDescent="0.35">
      <c r="A525" s="56"/>
      <c r="B525" s="5" t="s">
        <v>666</v>
      </c>
      <c r="C525" s="6">
        <v>0.25</v>
      </c>
      <c r="D525" s="7">
        <f t="shared" si="31"/>
        <v>0.21</v>
      </c>
      <c r="E525" s="7">
        <f t="shared" si="32"/>
        <v>4.1999999999999997E-3</v>
      </c>
      <c r="F525" s="7">
        <f t="shared" si="33"/>
        <v>0.20579999999999998</v>
      </c>
    </row>
    <row r="526" spans="1:6" ht="14.5" x14ac:dyDescent="0.35">
      <c r="A526" s="56"/>
      <c r="B526" s="5" t="s">
        <v>667</v>
      </c>
      <c r="C526" s="6">
        <v>0.25</v>
      </c>
      <c r="D526" s="7">
        <f t="shared" si="31"/>
        <v>0.21</v>
      </c>
      <c r="E526" s="7">
        <f t="shared" si="32"/>
        <v>4.1999999999999997E-3</v>
      </c>
      <c r="F526" s="7">
        <f t="shared" si="33"/>
        <v>0.20579999999999998</v>
      </c>
    </row>
    <row r="527" spans="1:6" ht="14.5" x14ac:dyDescent="0.35">
      <c r="A527" s="56"/>
      <c r="B527" s="5" t="s">
        <v>668</v>
      </c>
      <c r="C527" s="6">
        <v>0.25</v>
      </c>
      <c r="D527" s="7">
        <f t="shared" si="31"/>
        <v>0.21</v>
      </c>
      <c r="E527" s="7">
        <f t="shared" si="32"/>
        <v>4.1999999999999997E-3</v>
      </c>
      <c r="F527" s="7">
        <f t="shared" si="33"/>
        <v>0.20579999999999998</v>
      </c>
    </row>
    <row r="528" spans="1:6" ht="14.5" x14ac:dyDescent="0.35">
      <c r="A528" s="56"/>
      <c r="B528" s="5" t="s">
        <v>669</v>
      </c>
      <c r="C528" s="6">
        <v>0.25</v>
      </c>
      <c r="D528" s="7">
        <f t="shared" si="31"/>
        <v>0.21</v>
      </c>
      <c r="E528" s="7">
        <f t="shared" si="32"/>
        <v>4.1999999999999997E-3</v>
      </c>
      <c r="F528" s="7">
        <f t="shared" si="33"/>
        <v>0.20579999999999998</v>
      </c>
    </row>
    <row r="529" spans="1:6" ht="14.5" x14ac:dyDescent="0.35">
      <c r="A529" s="56"/>
      <c r="B529" s="5" t="s">
        <v>670</v>
      </c>
      <c r="C529" s="6">
        <v>0.25</v>
      </c>
      <c r="D529" s="7">
        <f t="shared" ref="D529:D592" si="34">C529-(4%)</f>
        <v>0.21</v>
      </c>
      <c r="E529" s="7">
        <f t="shared" ref="E529:E592" si="35">D529*2%</f>
        <v>4.1999999999999997E-3</v>
      </c>
      <c r="F529" s="7">
        <f t="shared" ref="F529:F592" si="36">D529-E529</f>
        <v>0.20579999999999998</v>
      </c>
    </row>
    <row r="530" spans="1:6" ht="14.5" x14ac:dyDescent="0.35">
      <c r="A530" s="56"/>
      <c r="B530" s="5" t="s">
        <v>671</v>
      </c>
      <c r="C530" s="6">
        <v>0.25</v>
      </c>
      <c r="D530" s="7">
        <f t="shared" si="34"/>
        <v>0.21</v>
      </c>
      <c r="E530" s="7">
        <f t="shared" si="35"/>
        <v>4.1999999999999997E-3</v>
      </c>
      <c r="F530" s="7">
        <f t="shared" si="36"/>
        <v>0.20579999999999998</v>
      </c>
    </row>
    <row r="531" spans="1:6" ht="14.5" x14ac:dyDescent="0.35">
      <c r="A531" s="56"/>
      <c r="B531" s="5" t="s">
        <v>673</v>
      </c>
      <c r="C531" s="6">
        <v>0.25</v>
      </c>
      <c r="D531" s="7">
        <f t="shared" si="34"/>
        <v>0.21</v>
      </c>
      <c r="E531" s="7">
        <f t="shared" si="35"/>
        <v>4.1999999999999997E-3</v>
      </c>
      <c r="F531" s="7">
        <f t="shared" si="36"/>
        <v>0.20579999999999998</v>
      </c>
    </row>
    <row r="532" spans="1:6" ht="14.5" x14ac:dyDescent="0.35">
      <c r="A532" s="56"/>
      <c r="B532" s="5" t="s">
        <v>674</v>
      </c>
      <c r="C532" s="6">
        <v>0.25</v>
      </c>
      <c r="D532" s="7">
        <f t="shared" si="34"/>
        <v>0.21</v>
      </c>
      <c r="E532" s="7">
        <f t="shared" si="35"/>
        <v>4.1999999999999997E-3</v>
      </c>
      <c r="F532" s="7">
        <f t="shared" si="36"/>
        <v>0.20579999999999998</v>
      </c>
    </row>
    <row r="533" spans="1:6" ht="14.5" x14ac:dyDescent="0.35">
      <c r="A533" s="56"/>
      <c r="B533" s="5" t="s">
        <v>743</v>
      </c>
      <c r="C533" s="6">
        <v>0.25</v>
      </c>
      <c r="D533" s="7">
        <f t="shared" si="34"/>
        <v>0.21</v>
      </c>
      <c r="E533" s="7">
        <f t="shared" si="35"/>
        <v>4.1999999999999997E-3</v>
      </c>
      <c r="F533" s="7">
        <f t="shared" si="36"/>
        <v>0.20579999999999998</v>
      </c>
    </row>
    <row r="534" spans="1:6" ht="14.5" x14ac:dyDescent="0.35">
      <c r="A534" s="56"/>
      <c r="B534" s="5" t="s">
        <v>672</v>
      </c>
      <c r="C534" s="6">
        <v>0.25</v>
      </c>
      <c r="D534" s="7">
        <f t="shared" si="34"/>
        <v>0.21</v>
      </c>
      <c r="E534" s="7">
        <f t="shared" si="35"/>
        <v>4.1999999999999997E-3</v>
      </c>
      <c r="F534" s="7">
        <f t="shared" si="36"/>
        <v>0.20579999999999998</v>
      </c>
    </row>
    <row r="535" spans="1:6" ht="14.5" x14ac:dyDescent="0.35">
      <c r="A535" s="56"/>
      <c r="B535" s="5" t="s">
        <v>678</v>
      </c>
      <c r="C535" s="6">
        <v>0.25</v>
      </c>
      <c r="D535" s="7">
        <f t="shared" si="34"/>
        <v>0.21</v>
      </c>
      <c r="E535" s="7">
        <f t="shared" si="35"/>
        <v>4.1999999999999997E-3</v>
      </c>
      <c r="F535" s="7">
        <f t="shared" si="36"/>
        <v>0.20579999999999998</v>
      </c>
    </row>
    <row r="536" spans="1:6" ht="14.5" x14ac:dyDescent="0.35">
      <c r="A536" s="56"/>
      <c r="B536" s="5" t="s">
        <v>677</v>
      </c>
      <c r="C536" s="6">
        <v>0.25</v>
      </c>
      <c r="D536" s="7">
        <f t="shared" si="34"/>
        <v>0.21</v>
      </c>
      <c r="E536" s="7">
        <f t="shared" si="35"/>
        <v>4.1999999999999997E-3</v>
      </c>
      <c r="F536" s="7">
        <f t="shared" si="36"/>
        <v>0.20579999999999998</v>
      </c>
    </row>
    <row r="537" spans="1:6" ht="14.5" x14ac:dyDescent="0.35">
      <c r="A537" s="56"/>
      <c r="B537" s="5" t="s">
        <v>675</v>
      </c>
      <c r="C537" s="6">
        <v>0.25</v>
      </c>
      <c r="D537" s="7">
        <f t="shared" si="34"/>
        <v>0.21</v>
      </c>
      <c r="E537" s="7">
        <f t="shared" si="35"/>
        <v>4.1999999999999997E-3</v>
      </c>
      <c r="F537" s="7">
        <f t="shared" si="36"/>
        <v>0.20579999999999998</v>
      </c>
    </row>
    <row r="538" spans="1:6" ht="14.5" x14ac:dyDescent="0.35">
      <c r="A538" s="56"/>
      <c r="B538" s="5" t="s">
        <v>676</v>
      </c>
      <c r="C538" s="6">
        <v>0.3</v>
      </c>
      <c r="D538" s="7">
        <f t="shared" si="34"/>
        <v>0.26</v>
      </c>
      <c r="E538" s="7">
        <f t="shared" si="35"/>
        <v>5.2000000000000006E-3</v>
      </c>
      <c r="F538" s="7">
        <f t="shared" si="36"/>
        <v>0.25480000000000003</v>
      </c>
    </row>
    <row r="539" spans="1:6" ht="14.5" x14ac:dyDescent="0.35">
      <c r="A539" s="57"/>
      <c r="B539" s="5" t="s">
        <v>679</v>
      </c>
      <c r="C539" s="6">
        <v>0.25</v>
      </c>
      <c r="D539" s="7">
        <f t="shared" si="34"/>
        <v>0.21</v>
      </c>
      <c r="E539" s="7">
        <f t="shared" si="35"/>
        <v>4.1999999999999997E-3</v>
      </c>
      <c r="F539" s="7">
        <f t="shared" si="36"/>
        <v>0.20579999999999998</v>
      </c>
    </row>
    <row r="540" spans="1:6" ht="14.5" x14ac:dyDescent="0.35">
      <c r="A540" s="55" t="s">
        <v>759</v>
      </c>
      <c r="B540" s="5" t="s">
        <v>665</v>
      </c>
      <c r="C540" s="6">
        <v>0.2</v>
      </c>
      <c r="D540" s="7">
        <f t="shared" si="34"/>
        <v>0.16</v>
      </c>
      <c r="E540" s="7">
        <f t="shared" si="35"/>
        <v>3.2000000000000002E-3</v>
      </c>
      <c r="F540" s="7">
        <f t="shared" si="36"/>
        <v>0.15679999999999999</v>
      </c>
    </row>
    <row r="541" spans="1:6" ht="14.5" x14ac:dyDescent="0.35">
      <c r="A541" s="56"/>
      <c r="B541" s="5" t="s">
        <v>666</v>
      </c>
      <c r="C541" s="6">
        <v>0.2</v>
      </c>
      <c r="D541" s="7">
        <f t="shared" si="34"/>
        <v>0.16</v>
      </c>
      <c r="E541" s="7">
        <f t="shared" si="35"/>
        <v>3.2000000000000002E-3</v>
      </c>
      <c r="F541" s="7">
        <f t="shared" si="36"/>
        <v>0.15679999999999999</v>
      </c>
    </row>
    <row r="542" spans="1:6" ht="14.5" x14ac:dyDescent="0.35">
      <c r="A542" s="56"/>
      <c r="B542" s="5" t="s">
        <v>667</v>
      </c>
      <c r="C542" s="6">
        <v>0.28000000000000003</v>
      </c>
      <c r="D542" s="7">
        <f t="shared" si="34"/>
        <v>0.24000000000000002</v>
      </c>
      <c r="E542" s="7">
        <f t="shared" si="35"/>
        <v>4.8000000000000004E-3</v>
      </c>
      <c r="F542" s="7">
        <f t="shared" si="36"/>
        <v>0.23520000000000002</v>
      </c>
    </row>
    <row r="543" spans="1:6" ht="14.5" x14ac:dyDescent="0.35">
      <c r="A543" s="56"/>
      <c r="B543" s="5" t="s">
        <v>668</v>
      </c>
      <c r="C543" s="6">
        <v>0.2</v>
      </c>
      <c r="D543" s="7">
        <f t="shared" si="34"/>
        <v>0.16</v>
      </c>
      <c r="E543" s="7">
        <f t="shared" si="35"/>
        <v>3.2000000000000002E-3</v>
      </c>
      <c r="F543" s="7">
        <f t="shared" si="36"/>
        <v>0.15679999999999999</v>
      </c>
    </row>
    <row r="544" spans="1:6" ht="14.5" x14ac:dyDescent="0.35">
      <c r="A544" s="56"/>
      <c r="B544" s="5" t="s">
        <v>669</v>
      </c>
      <c r="C544" s="6">
        <v>0.2</v>
      </c>
      <c r="D544" s="7">
        <f t="shared" si="34"/>
        <v>0.16</v>
      </c>
      <c r="E544" s="7">
        <f t="shared" si="35"/>
        <v>3.2000000000000002E-3</v>
      </c>
      <c r="F544" s="7">
        <f t="shared" si="36"/>
        <v>0.15679999999999999</v>
      </c>
    </row>
    <row r="545" spans="1:6" ht="14.5" x14ac:dyDescent="0.35">
      <c r="A545" s="56"/>
      <c r="B545" s="5" t="s">
        <v>670</v>
      </c>
      <c r="C545" s="6">
        <v>0.2</v>
      </c>
      <c r="D545" s="7">
        <f t="shared" si="34"/>
        <v>0.16</v>
      </c>
      <c r="E545" s="7">
        <f t="shared" si="35"/>
        <v>3.2000000000000002E-3</v>
      </c>
      <c r="F545" s="7">
        <f t="shared" si="36"/>
        <v>0.15679999999999999</v>
      </c>
    </row>
    <row r="546" spans="1:6" ht="14.5" x14ac:dyDescent="0.35">
      <c r="A546" s="56"/>
      <c r="B546" s="5" t="s">
        <v>671</v>
      </c>
      <c r="C546" s="6">
        <v>0.2</v>
      </c>
      <c r="D546" s="7">
        <f t="shared" si="34"/>
        <v>0.16</v>
      </c>
      <c r="E546" s="7">
        <f t="shared" si="35"/>
        <v>3.2000000000000002E-3</v>
      </c>
      <c r="F546" s="7">
        <f t="shared" si="36"/>
        <v>0.15679999999999999</v>
      </c>
    </row>
    <row r="547" spans="1:6" ht="14.5" x14ac:dyDescent="0.35">
      <c r="A547" s="56"/>
      <c r="B547" s="5" t="s">
        <v>673</v>
      </c>
      <c r="C547" s="6">
        <v>0.3</v>
      </c>
      <c r="D547" s="7">
        <f t="shared" si="34"/>
        <v>0.26</v>
      </c>
      <c r="E547" s="7">
        <f t="shared" si="35"/>
        <v>5.2000000000000006E-3</v>
      </c>
      <c r="F547" s="7">
        <f t="shared" si="36"/>
        <v>0.25480000000000003</v>
      </c>
    </row>
    <row r="548" spans="1:6" ht="14.5" x14ac:dyDescent="0.35">
      <c r="A548" s="56"/>
      <c r="B548" s="5" t="s">
        <v>674</v>
      </c>
      <c r="C548" s="6">
        <v>0.2</v>
      </c>
      <c r="D548" s="7">
        <f t="shared" si="34"/>
        <v>0.16</v>
      </c>
      <c r="E548" s="7">
        <f t="shared" si="35"/>
        <v>3.2000000000000002E-3</v>
      </c>
      <c r="F548" s="7">
        <f t="shared" si="36"/>
        <v>0.15679999999999999</v>
      </c>
    </row>
    <row r="549" spans="1:6" ht="14.5" x14ac:dyDescent="0.35">
      <c r="A549" s="56"/>
      <c r="B549" s="5" t="s">
        <v>743</v>
      </c>
      <c r="C549" s="6">
        <v>0.28000000000000003</v>
      </c>
      <c r="D549" s="7">
        <f t="shared" si="34"/>
        <v>0.24000000000000002</v>
      </c>
      <c r="E549" s="7">
        <f t="shared" si="35"/>
        <v>4.8000000000000004E-3</v>
      </c>
      <c r="F549" s="7">
        <f t="shared" si="36"/>
        <v>0.23520000000000002</v>
      </c>
    </row>
    <row r="550" spans="1:6" ht="14.5" x14ac:dyDescent="0.35">
      <c r="A550" s="56"/>
      <c r="B550" s="5" t="s">
        <v>672</v>
      </c>
      <c r="C550" s="6">
        <v>0.2</v>
      </c>
      <c r="D550" s="7">
        <f t="shared" si="34"/>
        <v>0.16</v>
      </c>
      <c r="E550" s="7">
        <f t="shared" si="35"/>
        <v>3.2000000000000002E-3</v>
      </c>
      <c r="F550" s="7">
        <f t="shared" si="36"/>
        <v>0.15679999999999999</v>
      </c>
    </row>
    <row r="551" spans="1:6" ht="14.5" x14ac:dyDescent="0.35">
      <c r="A551" s="56"/>
      <c r="B551" s="5" t="s">
        <v>678</v>
      </c>
      <c r="C551" s="6">
        <v>0.3</v>
      </c>
      <c r="D551" s="7">
        <f t="shared" si="34"/>
        <v>0.26</v>
      </c>
      <c r="E551" s="7">
        <f t="shared" si="35"/>
        <v>5.2000000000000006E-3</v>
      </c>
      <c r="F551" s="7">
        <f t="shared" si="36"/>
        <v>0.25480000000000003</v>
      </c>
    </row>
    <row r="552" spans="1:6" ht="14.5" x14ac:dyDescent="0.35">
      <c r="A552" s="56"/>
      <c r="B552" s="5" t="s">
        <v>677</v>
      </c>
      <c r="C552" s="6">
        <v>0.3</v>
      </c>
      <c r="D552" s="7">
        <f t="shared" si="34"/>
        <v>0.26</v>
      </c>
      <c r="E552" s="7">
        <f t="shared" si="35"/>
        <v>5.2000000000000006E-3</v>
      </c>
      <c r="F552" s="7">
        <f t="shared" si="36"/>
        <v>0.25480000000000003</v>
      </c>
    </row>
    <row r="553" spans="1:6" ht="14.5" x14ac:dyDescent="0.35">
      <c r="A553" s="56"/>
      <c r="B553" s="5" t="s">
        <v>675</v>
      </c>
      <c r="C553" s="6">
        <v>0.3</v>
      </c>
      <c r="D553" s="7">
        <f t="shared" si="34"/>
        <v>0.26</v>
      </c>
      <c r="E553" s="7">
        <f t="shared" si="35"/>
        <v>5.2000000000000006E-3</v>
      </c>
      <c r="F553" s="7">
        <f t="shared" si="36"/>
        <v>0.25480000000000003</v>
      </c>
    </row>
    <row r="554" spans="1:6" ht="14.5" x14ac:dyDescent="0.35">
      <c r="A554" s="56"/>
      <c r="B554" s="5" t="s">
        <v>676</v>
      </c>
      <c r="C554" s="6">
        <v>0.3</v>
      </c>
      <c r="D554" s="7">
        <f t="shared" si="34"/>
        <v>0.26</v>
      </c>
      <c r="E554" s="7">
        <f t="shared" si="35"/>
        <v>5.2000000000000006E-3</v>
      </c>
      <c r="F554" s="7">
        <f t="shared" si="36"/>
        <v>0.25480000000000003</v>
      </c>
    </row>
    <row r="555" spans="1:6" ht="14.5" x14ac:dyDescent="0.35">
      <c r="A555" s="57"/>
      <c r="B555" s="5" t="s">
        <v>679</v>
      </c>
      <c r="C555" s="6">
        <v>0.25</v>
      </c>
      <c r="D555" s="7">
        <f t="shared" si="34"/>
        <v>0.21</v>
      </c>
      <c r="E555" s="7">
        <f t="shared" si="35"/>
        <v>4.1999999999999997E-3</v>
      </c>
      <c r="F555" s="7">
        <f t="shared" si="36"/>
        <v>0.20579999999999998</v>
      </c>
    </row>
    <row r="556" spans="1:6" ht="14.5" x14ac:dyDescent="0.35">
      <c r="A556" s="40" t="s">
        <v>435</v>
      </c>
      <c r="B556" s="5" t="s">
        <v>665</v>
      </c>
      <c r="C556" s="7">
        <v>0.13</v>
      </c>
      <c r="D556" s="7">
        <f t="shared" si="34"/>
        <v>0.09</v>
      </c>
      <c r="E556" s="7">
        <f t="shared" si="35"/>
        <v>1.8E-3</v>
      </c>
      <c r="F556" s="7">
        <f t="shared" si="36"/>
        <v>8.8200000000000001E-2</v>
      </c>
    </row>
    <row r="557" spans="1:6" ht="14.5" x14ac:dyDescent="0.35">
      <c r="A557" s="40"/>
      <c r="B557" s="5" t="s">
        <v>666</v>
      </c>
      <c r="C557" s="7">
        <v>0.1</v>
      </c>
      <c r="D557" s="7">
        <f t="shared" si="34"/>
        <v>6.0000000000000005E-2</v>
      </c>
      <c r="E557" s="7">
        <f t="shared" si="35"/>
        <v>1.2000000000000001E-3</v>
      </c>
      <c r="F557" s="7">
        <f t="shared" si="36"/>
        <v>5.8800000000000005E-2</v>
      </c>
    </row>
    <row r="558" spans="1:6" ht="14.5" x14ac:dyDescent="0.35">
      <c r="A558" s="40"/>
      <c r="B558" s="5" t="s">
        <v>667</v>
      </c>
      <c r="C558" s="7">
        <v>0.36</v>
      </c>
      <c r="D558" s="7">
        <f t="shared" si="34"/>
        <v>0.32</v>
      </c>
      <c r="E558" s="7">
        <f t="shared" si="35"/>
        <v>6.4000000000000003E-3</v>
      </c>
      <c r="F558" s="7">
        <f t="shared" si="36"/>
        <v>0.31359999999999999</v>
      </c>
    </row>
    <row r="559" spans="1:6" ht="14.5" x14ac:dyDescent="0.35">
      <c r="A559" s="40"/>
      <c r="B559" s="5" t="s">
        <v>668</v>
      </c>
      <c r="C559" s="7">
        <v>0.2</v>
      </c>
      <c r="D559" s="7">
        <f t="shared" si="34"/>
        <v>0.16</v>
      </c>
      <c r="E559" s="7">
        <f t="shared" si="35"/>
        <v>3.2000000000000002E-3</v>
      </c>
      <c r="F559" s="7">
        <f t="shared" si="36"/>
        <v>0.15679999999999999</v>
      </c>
    </row>
    <row r="560" spans="1:6" ht="14.5" x14ac:dyDescent="0.35">
      <c r="A560" s="40"/>
      <c r="B560" s="5" t="s">
        <v>669</v>
      </c>
      <c r="C560" s="7">
        <v>0.13</v>
      </c>
      <c r="D560" s="7">
        <f t="shared" si="34"/>
        <v>0.09</v>
      </c>
      <c r="E560" s="7">
        <f t="shared" si="35"/>
        <v>1.8E-3</v>
      </c>
      <c r="F560" s="7">
        <f t="shared" si="36"/>
        <v>8.8200000000000001E-2</v>
      </c>
    </row>
    <row r="561" spans="1:6" ht="14.5" x14ac:dyDescent="0.35">
      <c r="A561" s="40"/>
      <c r="B561" s="5" t="s">
        <v>670</v>
      </c>
      <c r="C561" s="7">
        <v>0.18</v>
      </c>
      <c r="D561" s="7">
        <f t="shared" si="34"/>
        <v>0.13999999999999999</v>
      </c>
      <c r="E561" s="7">
        <f t="shared" si="35"/>
        <v>2.8E-3</v>
      </c>
      <c r="F561" s="7">
        <f t="shared" si="36"/>
        <v>0.13719999999999999</v>
      </c>
    </row>
    <row r="562" spans="1:6" ht="14.5" x14ac:dyDescent="0.35">
      <c r="A562" s="40"/>
      <c r="B562" s="5" t="s">
        <v>671</v>
      </c>
      <c r="C562" s="7">
        <v>0.24</v>
      </c>
      <c r="D562" s="7">
        <f t="shared" si="34"/>
        <v>0.19999999999999998</v>
      </c>
      <c r="E562" s="7">
        <f t="shared" si="35"/>
        <v>4.0000000000000001E-3</v>
      </c>
      <c r="F562" s="7">
        <f t="shared" si="36"/>
        <v>0.19599999999999998</v>
      </c>
    </row>
    <row r="563" spans="1:6" ht="14.5" x14ac:dyDescent="0.35">
      <c r="A563" s="40"/>
      <c r="B563" s="5" t="s">
        <v>672</v>
      </c>
      <c r="C563" s="7">
        <v>0.22</v>
      </c>
      <c r="D563" s="7">
        <f t="shared" si="34"/>
        <v>0.18</v>
      </c>
      <c r="E563" s="7">
        <f t="shared" si="35"/>
        <v>3.5999999999999999E-3</v>
      </c>
      <c r="F563" s="7">
        <f t="shared" si="36"/>
        <v>0.1764</v>
      </c>
    </row>
    <row r="564" spans="1:6" ht="14.5" x14ac:dyDescent="0.35">
      <c r="A564" s="40"/>
      <c r="B564" s="5" t="s">
        <v>673</v>
      </c>
      <c r="C564" s="7">
        <v>0.4</v>
      </c>
      <c r="D564" s="7">
        <f t="shared" si="34"/>
        <v>0.36000000000000004</v>
      </c>
      <c r="E564" s="7">
        <f t="shared" si="35"/>
        <v>7.2000000000000007E-3</v>
      </c>
      <c r="F564" s="7">
        <f t="shared" si="36"/>
        <v>0.35280000000000006</v>
      </c>
    </row>
    <row r="565" spans="1:6" ht="14.5" x14ac:dyDescent="0.35">
      <c r="A565" s="40"/>
      <c r="B565" s="5" t="s">
        <v>674</v>
      </c>
      <c r="C565" s="7">
        <v>0.21</v>
      </c>
      <c r="D565" s="7">
        <f t="shared" si="34"/>
        <v>0.16999999999999998</v>
      </c>
      <c r="E565" s="7">
        <f t="shared" si="35"/>
        <v>3.3999999999999998E-3</v>
      </c>
      <c r="F565" s="7">
        <f t="shared" si="36"/>
        <v>0.1666</v>
      </c>
    </row>
    <row r="566" spans="1:6" ht="14.5" x14ac:dyDescent="0.35">
      <c r="A566" s="40"/>
      <c r="B566" s="5" t="s">
        <v>675</v>
      </c>
      <c r="C566" s="7">
        <v>0.38</v>
      </c>
      <c r="D566" s="7">
        <f t="shared" si="34"/>
        <v>0.34</v>
      </c>
      <c r="E566" s="7">
        <f t="shared" si="35"/>
        <v>6.8000000000000005E-3</v>
      </c>
      <c r="F566" s="7">
        <f t="shared" si="36"/>
        <v>0.33320000000000005</v>
      </c>
    </row>
    <row r="567" spans="1:6" ht="14.5" x14ac:dyDescent="0.35">
      <c r="A567" s="40"/>
      <c r="B567" s="5" t="s">
        <v>676</v>
      </c>
      <c r="C567" s="7">
        <v>0.36</v>
      </c>
      <c r="D567" s="7">
        <f t="shared" si="34"/>
        <v>0.32</v>
      </c>
      <c r="E567" s="7">
        <f t="shared" si="35"/>
        <v>6.4000000000000003E-3</v>
      </c>
      <c r="F567" s="7">
        <f t="shared" si="36"/>
        <v>0.31359999999999999</v>
      </c>
    </row>
    <row r="568" spans="1:6" ht="14.5" x14ac:dyDescent="0.35">
      <c r="A568" s="40"/>
      <c r="B568" s="5" t="s">
        <v>677</v>
      </c>
      <c r="C568" s="7">
        <v>0.36</v>
      </c>
      <c r="D568" s="7">
        <f t="shared" si="34"/>
        <v>0.32</v>
      </c>
      <c r="E568" s="7">
        <f t="shared" si="35"/>
        <v>6.4000000000000003E-3</v>
      </c>
      <c r="F568" s="7">
        <f t="shared" si="36"/>
        <v>0.31359999999999999</v>
      </c>
    </row>
    <row r="569" spans="1:6" ht="14.5" x14ac:dyDescent="0.35">
      <c r="A569" s="40"/>
      <c r="B569" s="5" t="s">
        <v>678</v>
      </c>
      <c r="C569" s="7">
        <v>0.36</v>
      </c>
      <c r="D569" s="7">
        <f t="shared" si="34"/>
        <v>0.32</v>
      </c>
      <c r="E569" s="7">
        <f t="shared" si="35"/>
        <v>6.4000000000000003E-3</v>
      </c>
      <c r="F569" s="7">
        <f t="shared" si="36"/>
        <v>0.31359999999999999</v>
      </c>
    </row>
    <row r="570" spans="1:6" ht="14.5" x14ac:dyDescent="0.35">
      <c r="A570" s="40"/>
      <c r="B570" s="5" t="s">
        <v>679</v>
      </c>
      <c r="C570" s="7">
        <v>0.31</v>
      </c>
      <c r="D570" s="7">
        <f t="shared" si="34"/>
        <v>0.27</v>
      </c>
      <c r="E570" s="7">
        <f t="shared" si="35"/>
        <v>5.4000000000000003E-3</v>
      </c>
      <c r="F570" s="7">
        <f t="shared" si="36"/>
        <v>0.2646</v>
      </c>
    </row>
    <row r="571" spans="1:6" ht="14.5" x14ac:dyDescent="0.35">
      <c r="A571" s="48" t="s">
        <v>760</v>
      </c>
      <c r="B571" s="5" t="s">
        <v>662</v>
      </c>
      <c r="C571" s="6">
        <v>0.28000000000000003</v>
      </c>
      <c r="D571" s="7">
        <f t="shared" si="34"/>
        <v>0.24000000000000002</v>
      </c>
      <c r="E571" s="7">
        <f t="shared" si="35"/>
        <v>4.8000000000000004E-3</v>
      </c>
      <c r="F571" s="7">
        <f t="shared" si="36"/>
        <v>0.23520000000000002</v>
      </c>
    </row>
    <row r="572" spans="1:6" ht="14.5" x14ac:dyDescent="0.35">
      <c r="A572" s="48"/>
      <c r="B572" s="5" t="s">
        <v>683</v>
      </c>
      <c r="C572" s="6">
        <v>0.2</v>
      </c>
      <c r="D572" s="7">
        <f t="shared" si="34"/>
        <v>0.16</v>
      </c>
      <c r="E572" s="7">
        <f t="shared" si="35"/>
        <v>3.2000000000000002E-3</v>
      </c>
      <c r="F572" s="7">
        <f t="shared" si="36"/>
        <v>0.15679999999999999</v>
      </c>
    </row>
    <row r="573" spans="1:6" ht="14.5" x14ac:dyDescent="0.35">
      <c r="A573" s="48"/>
      <c r="B573" s="5" t="s">
        <v>684</v>
      </c>
      <c r="C573" s="6">
        <v>0</v>
      </c>
      <c r="D573" s="7" t="s">
        <v>20</v>
      </c>
      <c r="E573" s="7" t="s">
        <v>20</v>
      </c>
      <c r="F573" s="7" t="s">
        <v>20</v>
      </c>
    </row>
    <row r="574" spans="1:6" ht="14.5" x14ac:dyDescent="0.35">
      <c r="A574" s="48"/>
      <c r="B574" s="5" t="s">
        <v>685</v>
      </c>
      <c r="C574" s="6">
        <v>0</v>
      </c>
      <c r="D574" s="7" t="s">
        <v>20</v>
      </c>
      <c r="E574" s="7" t="s">
        <v>20</v>
      </c>
      <c r="F574" s="7" t="s">
        <v>20</v>
      </c>
    </row>
    <row r="575" spans="1:6" ht="14.5" x14ac:dyDescent="0.35">
      <c r="A575" s="48" t="s">
        <v>761</v>
      </c>
      <c r="B575" s="5" t="s">
        <v>662</v>
      </c>
      <c r="C575" s="6">
        <v>0.19</v>
      </c>
      <c r="D575" s="7">
        <f t="shared" si="34"/>
        <v>0.15</v>
      </c>
      <c r="E575" s="7">
        <f t="shared" si="35"/>
        <v>3.0000000000000001E-3</v>
      </c>
      <c r="F575" s="7">
        <f t="shared" si="36"/>
        <v>0.14699999999999999</v>
      </c>
    </row>
    <row r="576" spans="1:6" ht="14.5" x14ac:dyDescent="0.35">
      <c r="A576" s="48"/>
      <c r="B576" s="5" t="s">
        <v>683</v>
      </c>
      <c r="C576" s="6">
        <v>0.08</v>
      </c>
      <c r="D576" s="7">
        <f t="shared" si="34"/>
        <v>0.04</v>
      </c>
      <c r="E576" s="7">
        <f t="shared" si="35"/>
        <v>8.0000000000000004E-4</v>
      </c>
      <c r="F576" s="7">
        <f t="shared" si="36"/>
        <v>3.9199999999999999E-2</v>
      </c>
    </row>
    <row r="577" spans="1:6" ht="14.5" x14ac:dyDescent="0.35">
      <c r="A577" s="48"/>
      <c r="B577" s="5" t="s">
        <v>684</v>
      </c>
      <c r="C577" s="6">
        <v>0.08</v>
      </c>
      <c r="D577" s="7">
        <f t="shared" si="34"/>
        <v>0.04</v>
      </c>
      <c r="E577" s="7">
        <f t="shared" si="35"/>
        <v>8.0000000000000004E-4</v>
      </c>
      <c r="F577" s="7">
        <f t="shared" si="36"/>
        <v>3.9199999999999999E-2</v>
      </c>
    </row>
    <row r="578" spans="1:6" ht="14.5" x14ac:dyDescent="0.35">
      <c r="A578" s="48"/>
      <c r="B578" s="5" t="s">
        <v>685</v>
      </c>
      <c r="C578" s="6">
        <v>0</v>
      </c>
      <c r="D578" s="7" t="s">
        <v>20</v>
      </c>
      <c r="E578" s="7" t="s">
        <v>20</v>
      </c>
      <c r="F578" s="7" t="s">
        <v>20</v>
      </c>
    </row>
    <row r="579" spans="1:6" ht="14.5" x14ac:dyDescent="0.35">
      <c r="A579" s="48" t="s">
        <v>610</v>
      </c>
      <c r="B579" s="5" t="s">
        <v>662</v>
      </c>
      <c r="C579" s="6">
        <v>0.3</v>
      </c>
      <c r="D579" s="7">
        <f t="shared" si="34"/>
        <v>0.26</v>
      </c>
      <c r="E579" s="7">
        <f t="shared" si="35"/>
        <v>5.2000000000000006E-3</v>
      </c>
      <c r="F579" s="7">
        <f t="shared" si="36"/>
        <v>0.25480000000000003</v>
      </c>
    </row>
    <row r="580" spans="1:6" ht="14.5" x14ac:dyDescent="0.35">
      <c r="A580" s="48"/>
      <c r="B580" s="5" t="s">
        <v>683</v>
      </c>
      <c r="C580" s="6">
        <v>0.26</v>
      </c>
      <c r="D580" s="7">
        <f t="shared" si="34"/>
        <v>0.22</v>
      </c>
      <c r="E580" s="7">
        <f t="shared" si="35"/>
        <v>4.4000000000000003E-3</v>
      </c>
      <c r="F580" s="7">
        <f t="shared" si="36"/>
        <v>0.21560000000000001</v>
      </c>
    </row>
    <row r="581" spans="1:6" ht="14.5" x14ac:dyDescent="0.35">
      <c r="A581" s="48"/>
      <c r="B581" s="5" t="s">
        <v>684</v>
      </c>
      <c r="C581" s="6">
        <v>0.16</v>
      </c>
      <c r="D581" s="7">
        <f t="shared" si="34"/>
        <v>0.12</v>
      </c>
      <c r="E581" s="7">
        <f t="shared" si="35"/>
        <v>2.3999999999999998E-3</v>
      </c>
      <c r="F581" s="7">
        <f t="shared" si="36"/>
        <v>0.1176</v>
      </c>
    </row>
    <row r="582" spans="1:6" ht="14.5" x14ac:dyDescent="0.35">
      <c r="A582" s="48"/>
      <c r="B582" s="5" t="s">
        <v>685</v>
      </c>
      <c r="C582" s="6">
        <v>0</v>
      </c>
      <c r="D582" s="7" t="s">
        <v>20</v>
      </c>
      <c r="E582" s="7" t="s">
        <v>20</v>
      </c>
      <c r="F582" s="7" t="s">
        <v>20</v>
      </c>
    </row>
    <row r="583" spans="1:6" ht="14.5" x14ac:dyDescent="0.35">
      <c r="A583" s="48" t="s">
        <v>611</v>
      </c>
      <c r="B583" s="5" t="s">
        <v>662</v>
      </c>
      <c r="C583" s="6">
        <v>0.24</v>
      </c>
      <c r="D583" s="7">
        <f t="shared" si="34"/>
        <v>0.19999999999999998</v>
      </c>
      <c r="E583" s="7">
        <f t="shared" si="35"/>
        <v>4.0000000000000001E-3</v>
      </c>
      <c r="F583" s="7">
        <f t="shared" si="36"/>
        <v>0.19599999999999998</v>
      </c>
    </row>
    <row r="584" spans="1:6" ht="14.5" x14ac:dyDescent="0.35">
      <c r="A584" s="48"/>
      <c r="B584" s="5" t="s">
        <v>683</v>
      </c>
      <c r="C584" s="6">
        <v>0.2</v>
      </c>
      <c r="D584" s="7">
        <f t="shared" si="34"/>
        <v>0.16</v>
      </c>
      <c r="E584" s="7">
        <f t="shared" si="35"/>
        <v>3.2000000000000002E-3</v>
      </c>
      <c r="F584" s="7">
        <f t="shared" si="36"/>
        <v>0.15679999999999999</v>
      </c>
    </row>
    <row r="585" spans="1:6" ht="14.5" x14ac:dyDescent="0.35">
      <c r="A585" s="48"/>
      <c r="B585" s="5" t="s">
        <v>684</v>
      </c>
      <c r="C585" s="6">
        <v>0.18</v>
      </c>
      <c r="D585" s="7">
        <f t="shared" si="34"/>
        <v>0.13999999999999999</v>
      </c>
      <c r="E585" s="7">
        <f t="shared" si="35"/>
        <v>2.8E-3</v>
      </c>
      <c r="F585" s="7">
        <f t="shared" si="36"/>
        <v>0.13719999999999999</v>
      </c>
    </row>
    <row r="586" spans="1:6" ht="14.5" x14ac:dyDescent="0.35">
      <c r="A586" s="48"/>
      <c r="B586" s="5" t="s">
        <v>685</v>
      </c>
      <c r="C586" s="6">
        <v>0.03</v>
      </c>
      <c r="D586" s="7" t="s">
        <v>20</v>
      </c>
      <c r="E586" s="7" t="s">
        <v>20</v>
      </c>
      <c r="F586" s="7" t="s">
        <v>20</v>
      </c>
    </row>
    <row r="587" spans="1:6" ht="14.5" x14ac:dyDescent="0.35">
      <c r="A587" s="5" t="s">
        <v>154</v>
      </c>
      <c r="B587" s="5" t="s">
        <v>32</v>
      </c>
      <c r="C587" s="7">
        <v>0.22500000000000001</v>
      </c>
      <c r="D587" s="7">
        <f t="shared" si="34"/>
        <v>0.185</v>
      </c>
      <c r="E587" s="7">
        <f t="shared" si="35"/>
        <v>3.7000000000000002E-3</v>
      </c>
      <c r="F587" s="7">
        <f t="shared" si="36"/>
        <v>0.18129999999999999</v>
      </c>
    </row>
    <row r="588" spans="1:6" ht="14.5" x14ac:dyDescent="0.35">
      <c r="A588" s="5" t="s">
        <v>155</v>
      </c>
      <c r="B588" s="5" t="s">
        <v>32</v>
      </c>
      <c r="C588" s="7">
        <v>0.17499999999999999</v>
      </c>
      <c r="D588" s="7">
        <f t="shared" si="34"/>
        <v>0.13499999999999998</v>
      </c>
      <c r="E588" s="7">
        <f t="shared" si="35"/>
        <v>2.6999999999999997E-3</v>
      </c>
      <c r="F588" s="7">
        <f t="shared" si="36"/>
        <v>0.13229999999999997</v>
      </c>
    </row>
    <row r="589" spans="1:6" ht="14.5" x14ac:dyDescent="0.35">
      <c r="A589" s="11" t="s">
        <v>762</v>
      </c>
      <c r="B589" s="5" t="s">
        <v>683</v>
      </c>
      <c r="C589" s="7">
        <v>0.2</v>
      </c>
      <c r="D589" s="7">
        <f t="shared" si="34"/>
        <v>0.16</v>
      </c>
      <c r="E589" s="7">
        <f t="shared" si="35"/>
        <v>3.2000000000000002E-3</v>
      </c>
      <c r="F589" s="7">
        <f t="shared" si="36"/>
        <v>0.15679999999999999</v>
      </c>
    </row>
    <row r="590" spans="1:6" ht="24" x14ac:dyDescent="0.35">
      <c r="A590" s="5" t="s">
        <v>763</v>
      </c>
      <c r="B590" s="5" t="s">
        <v>100</v>
      </c>
      <c r="C590" s="7">
        <v>0.21</v>
      </c>
      <c r="D590" s="7">
        <f t="shared" si="34"/>
        <v>0.16999999999999998</v>
      </c>
      <c r="E590" s="7">
        <f t="shared" si="35"/>
        <v>3.3999999999999998E-3</v>
      </c>
      <c r="F590" s="7">
        <f t="shared" si="36"/>
        <v>0.1666</v>
      </c>
    </row>
    <row r="591" spans="1:6" ht="24" x14ac:dyDescent="0.35">
      <c r="A591" s="5" t="s">
        <v>764</v>
      </c>
      <c r="B591" s="5" t="s">
        <v>100</v>
      </c>
      <c r="C591" s="7">
        <v>0.23</v>
      </c>
      <c r="D591" s="7">
        <f t="shared" si="34"/>
        <v>0.19</v>
      </c>
      <c r="E591" s="7">
        <f t="shared" si="35"/>
        <v>3.8E-3</v>
      </c>
      <c r="F591" s="7">
        <f t="shared" si="36"/>
        <v>0.1862</v>
      </c>
    </row>
    <row r="592" spans="1:6" ht="24" x14ac:dyDescent="0.35">
      <c r="A592" s="5" t="s">
        <v>765</v>
      </c>
      <c r="B592" s="5" t="s">
        <v>100</v>
      </c>
      <c r="C592" s="7">
        <v>0.26</v>
      </c>
      <c r="D592" s="7">
        <f t="shared" si="34"/>
        <v>0.22</v>
      </c>
      <c r="E592" s="7">
        <f t="shared" si="35"/>
        <v>4.4000000000000003E-3</v>
      </c>
      <c r="F592" s="7">
        <f t="shared" si="36"/>
        <v>0.21560000000000001</v>
      </c>
    </row>
    <row r="593" spans="1:6" ht="24" x14ac:dyDescent="0.35">
      <c r="A593" s="5" t="s">
        <v>766</v>
      </c>
      <c r="B593" s="5" t="s">
        <v>100</v>
      </c>
      <c r="C593" s="7">
        <v>0.28000000000000003</v>
      </c>
      <c r="D593" s="7">
        <f t="shared" ref="D593:D656" si="37">C593-(4%)</f>
        <v>0.24000000000000002</v>
      </c>
      <c r="E593" s="7">
        <f t="shared" ref="E593:E656" si="38">D593*2%</f>
        <v>4.8000000000000004E-3</v>
      </c>
      <c r="F593" s="7">
        <f t="shared" ref="F593:F656" si="39">D593-E593</f>
        <v>0.23520000000000002</v>
      </c>
    </row>
    <row r="594" spans="1:6" ht="24" x14ac:dyDescent="0.35">
      <c r="A594" s="5" t="s">
        <v>767</v>
      </c>
      <c r="B594" s="5" t="s">
        <v>100</v>
      </c>
      <c r="C594" s="7">
        <v>0.28999999999999998</v>
      </c>
      <c r="D594" s="7">
        <f t="shared" si="37"/>
        <v>0.24999999999999997</v>
      </c>
      <c r="E594" s="7">
        <f t="shared" si="38"/>
        <v>4.9999999999999992E-3</v>
      </c>
      <c r="F594" s="7">
        <f t="shared" si="39"/>
        <v>0.24499999999999997</v>
      </c>
    </row>
    <row r="595" spans="1:6" ht="24" x14ac:dyDescent="0.35">
      <c r="A595" s="5" t="s">
        <v>768</v>
      </c>
      <c r="B595" s="5" t="s">
        <v>100</v>
      </c>
      <c r="C595" s="7">
        <v>0.31</v>
      </c>
      <c r="D595" s="7">
        <f t="shared" si="37"/>
        <v>0.27</v>
      </c>
      <c r="E595" s="7">
        <f t="shared" si="38"/>
        <v>5.4000000000000003E-3</v>
      </c>
      <c r="F595" s="7">
        <f t="shared" si="39"/>
        <v>0.2646</v>
      </c>
    </row>
    <row r="596" spans="1:6" ht="24" x14ac:dyDescent="0.35">
      <c r="A596" s="5" t="s">
        <v>769</v>
      </c>
      <c r="B596" s="5" t="s">
        <v>100</v>
      </c>
      <c r="C596" s="7">
        <v>0.08</v>
      </c>
      <c r="D596" s="7">
        <f t="shared" si="37"/>
        <v>0.04</v>
      </c>
      <c r="E596" s="7">
        <f t="shared" si="38"/>
        <v>8.0000000000000004E-4</v>
      </c>
      <c r="F596" s="7">
        <f t="shared" si="39"/>
        <v>3.9199999999999999E-2</v>
      </c>
    </row>
    <row r="597" spans="1:6" ht="14.5" x14ac:dyDescent="0.35">
      <c r="A597" s="5" t="s">
        <v>770</v>
      </c>
      <c r="B597" s="5" t="s">
        <v>100</v>
      </c>
      <c r="C597" s="7">
        <v>0.1</v>
      </c>
      <c r="D597" s="7">
        <f t="shared" si="37"/>
        <v>6.0000000000000005E-2</v>
      </c>
      <c r="E597" s="7">
        <f t="shared" si="38"/>
        <v>1.2000000000000001E-3</v>
      </c>
      <c r="F597" s="7">
        <f t="shared" si="39"/>
        <v>5.8800000000000005E-2</v>
      </c>
    </row>
    <row r="598" spans="1:6" ht="24" x14ac:dyDescent="0.35">
      <c r="A598" s="5" t="s">
        <v>771</v>
      </c>
      <c r="B598" s="5" t="s">
        <v>100</v>
      </c>
      <c r="C598" s="7">
        <v>0.13</v>
      </c>
      <c r="D598" s="7">
        <f t="shared" si="37"/>
        <v>0.09</v>
      </c>
      <c r="E598" s="7">
        <f t="shared" si="38"/>
        <v>1.8E-3</v>
      </c>
      <c r="F598" s="7">
        <f t="shared" si="39"/>
        <v>8.8200000000000001E-2</v>
      </c>
    </row>
    <row r="599" spans="1:6" ht="24" x14ac:dyDescent="0.35">
      <c r="A599" s="5" t="s">
        <v>772</v>
      </c>
      <c r="B599" s="5" t="s">
        <v>100</v>
      </c>
      <c r="C599" s="7">
        <v>0.15</v>
      </c>
      <c r="D599" s="7">
        <f t="shared" si="37"/>
        <v>0.10999999999999999</v>
      </c>
      <c r="E599" s="7">
        <f t="shared" si="38"/>
        <v>2.1999999999999997E-3</v>
      </c>
      <c r="F599" s="7">
        <f t="shared" si="39"/>
        <v>0.10779999999999999</v>
      </c>
    </row>
    <row r="600" spans="1:6" ht="24" x14ac:dyDescent="0.35">
      <c r="A600" s="5" t="s">
        <v>773</v>
      </c>
      <c r="B600" s="5" t="s">
        <v>100</v>
      </c>
      <c r="C600" s="7">
        <v>0.16</v>
      </c>
      <c r="D600" s="7">
        <f t="shared" si="37"/>
        <v>0.12</v>
      </c>
      <c r="E600" s="7">
        <f t="shared" si="38"/>
        <v>2.3999999999999998E-3</v>
      </c>
      <c r="F600" s="7">
        <f t="shared" si="39"/>
        <v>0.1176</v>
      </c>
    </row>
    <row r="601" spans="1:6" ht="24" x14ac:dyDescent="0.35">
      <c r="A601" s="5" t="s">
        <v>774</v>
      </c>
      <c r="B601" s="5" t="s">
        <v>100</v>
      </c>
      <c r="C601" s="7">
        <v>0.18</v>
      </c>
      <c r="D601" s="7">
        <f t="shared" si="37"/>
        <v>0.13999999999999999</v>
      </c>
      <c r="E601" s="7">
        <f t="shared" si="38"/>
        <v>2.8E-3</v>
      </c>
      <c r="F601" s="7">
        <f t="shared" si="39"/>
        <v>0.13719999999999999</v>
      </c>
    </row>
    <row r="602" spans="1:6" ht="14.5" x14ac:dyDescent="0.35">
      <c r="A602" s="41" t="s">
        <v>775</v>
      </c>
      <c r="B602" s="5" t="s">
        <v>691</v>
      </c>
      <c r="C602" s="7">
        <v>0.19500000000000001</v>
      </c>
      <c r="D602" s="7">
        <f t="shared" si="37"/>
        <v>0.155</v>
      </c>
      <c r="E602" s="7">
        <f t="shared" si="38"/>
        <v>3.0999999999999999E-3</v>
      </c>
      <c r="F602" s="7">
        <f t="shared" si="39"/>
        <v>0.15190000000000001</v>
      </c>
    </row>
    <row r="603" spans="1:6" ht="14.5" x14ac:dyDescent="0.35">
      <c r="A603" s="43"/>
      <c r="B603" s="5" t="s">
        <v>692</v>
      </c>
      <c r="C603" s="7">
        <v>0.25</v>
      </c>
      <c r="D603" s="7">
        <f t="shared" si="37"/>
        <v>0.21</v>
      </c>
      <c r="E603" s="7">
        <f t="shared" si="38"/>
        <v>4.1999999999999997E-3</v>
      </c>
      <c r="F603" s="7">
        <f t="shared" si="39"/>
        <v>0.20579999999999998</v>
      </c>
    </row>
    <row r="604" spans="1:6" ht="14.5" x14ac:dyDescent="0.35">
      <c r="A604" s="2" t="s">
        <v>159</v>
      </c>
      <c r="B604" s="2" t="s">
        <v>1</v>
      </c>
      <c r="C604" s="3" t="s">
        <v>2</v>
      </c>
      <c r="D604" s="4" t="s">
        <v>4</v>
      </c>
      <c r="E604" s="4" t="s">
        <v>5</v>
      </c>
      <c r="F604" s="4" t="s">
        <v>6</v>
      </c>
    </row>
    <row r="605" spans="1:6" ht="14.5" x14ac:dyDescent="0.35">
      <c r="A605" s="40" t="s">
        <v>452</v>
      </c>
      <c r="B605" s="5" t="s">
        <v>665</v>
      </c>
      <c r="C605" s="7">
        <v>0.11</v>
      </c>
      <c r="D605" s="7">
        <f t="shared" si="37"/>
        <v>7.0000000000000007E-2</v>
      </c>
      <c r="E605" s="7">
        <f t="shared" si="38"/>
        <v>1.4000000000000002E-3</v>
      </c>
      <c r="F605" s="7">
        <f t="shared" si="39"/>
        <v>6.8600000000000008E-2</v>
      </c>
    </row>
    <row r="606" spans="1:6" ht="14.5" x14ac:dyDescent="0.35">
      <c r="A606" s="40"/>
      <c r="B606" s="5" t="s">
        <v>666</v>
      </c>
      <c r="C606" s="7">
        <v>0.35</v>
      </c>
      <c r="D606" s="7">
        <f t="shared" si="37"/>
        <v>0.31</v>
      </c>
      <c r="E606" s="7">
        <f t="shared" si="38"/>
        <v>6.1999999999999998E-3</v>
      </c>
      <c r="F606" s="7">
        <f t="shared" si="39"/>
        <v>0.30380000000000001</v>
      </c>
    </row>
    <row r="607" spans="1:6" ht="14.5" x14ac:dyDescent="0.35">
      <c r="A607" s="40"/>
      <c r="B607" s="5" t="s">
        <v>667</v>
      </c>
      <c r="C607" s="7">
        <v>0.35</v>
      </c>
      <c r="D607" s="7">
        <f t="shared" si="37"/>
        <v>0.31</v>
      </c>
      <c r="E607" s="7">
        <f t="shared" si="38"/>
        <v>6.1999999999999998E-3</v>
      </c>
      <c r="F607" s="7">
        <f t="shared" si="39"/>
        <v>0.30380000000000001</v>
      </c>
    </row>
    <row r="608" spans="1:6" ht="14.5" x14ac:dyDescent="0.35">
      <c r="A608" s="40"/>
      <c r="B608" s="5" t="s">
        <v>668</v>
      </c>
      <c r="C608" s="7">
        <v>0.3</v>
      </c>
      <c r="D608" s="7">
        <f t="shared" si="37"/>
        <v>0.26</v>
      </c>
      <c r="E608" s="7">
        <f t="shared" si="38"/>
        <v>5.2000000000000006E-3</v>
      </c>
      <c r="F608" s="7">
        <f t="shared" si="39"/>
        <v>0.25480000000000003</v>
      </c>
    </row>
    <row r="609" spans="1:6" ht="14.5" x14ac:dyDescent="0.35">
      <c r="A609" s="40"/>
      <c r="B609" s="5" t="s">
        <v>669</v>
      </c>
      <c r="C609" s="7">
        <v>0.35</v>
      </c>
      <c r="D609" s="7">
        <f t="shared" si="37"/>
        <v>0.31</v>
      </c>
      <c r="E609" s="7">
        <f t="shared" si="38"/>
        <v>6.1999999999999998E-3</v>
      </c>
      <c r="F609" s="7">
        <f t="shared" si="39"/>
        <v>0.30380000000000001</v>
      </c>
    </row>
    <row r="610" spans="1:6" ht="14.5" x14ac:dyDescent="0.35">
      <c r="A610" s="40"/>
      <c r="B610" s="5" t="s">
        <v>670</v>
      </c>
      <c r="C610" s="7">
        <v>0.35</v>
      </c>
      <c r="D610" s="7">
        <f t="shared" si="37"/>
        <v>0.31</v>
      </c>
      <c r="E610" s="7">
        <f t="shared" si="38"/>
        <v>6.1999999999999998E-3</v>
      </c>
      <c r="F610" s="7">
        <f t="shared" si="39"/>
        <v>0.30380000000000001</v>
      </c>
    </row>
    <row r="611" spans="1:6" ht="14.5" x14ac:dyDescent="0.35">
      <c r="A611" s="40"/>
      <c r="B611" s="5" t="s">
        <v>671</v>
      </c>
      <c r="C611" s="7">
        <v>0.35</v>
      </c>
      <c r="D611" s="7">
        <f t="shared" si="37"/>
        <v>0.31</v>
      </c>
      <c r="E611" s="7">
        <f t="shared" si="38"/>
        <v>6.1999999999999998E-3</v>
      </c>
      <c r="F611" s="7">
        <f t="shared" si="39"/>
        <v>0.30380000000000001</v>
      </c>
    </row>
    <row r="612" spans="1:6" ht="14.5" x14ac:dyDescent="0.35">
      <c r="A612" s="40"/>
      <c r="B612" s="5" t="s">
        <v>672</v>
      </c>
      <c r="C612" s="7">
        <v>0.35</v>
      </c>
      <c r="D612" s="7">
        <f t="shared" si="37"/>
        <v>0.31</v>
      </c>
      <c r="E612" s="7">
        <f t="shared" si="38"/>
        <v>6.1999999999999998E-3</v>
      </c>
      <c r="F612" s="7">
        <f t="shared" si="39"/>
        <v>0.30380000000000001</v>
      </c>
    </row>
    <row r="613" spans="1:6" ht="14.5" x14ac:dyDescent="0.35">
      <c r="A613" s="40"/>
      <c r="B613" s="5" t="s">
        <v>673</v>
      </c>
      <c r="C613" s="7">
        <v>0.35</v>
      </c>
      <c r="D613" s="7">
        <f t="shared" si="37"/>
        <v>0.31</v>
      </c>
      <c r="E613" s="7">
        <f t="shared" si="38"/>
        <v>6.1999999999999998E-3</v>
      </c>
      <c r="F613" s="7">
        <f t="shared" si="39"/>
        <v>0.30380000000000001</v>
      </c>
    </row>
    <row r="614" spans="1:6" ht="14.5" x14ac:dyDescent="0.35">
      <c r="A614" s="40"/>
      <c r="B614" s="5" t="s">
        <v>674</v>
      </c>
      <c r="C614" s="7">
        <v>0.35</v>
      </c>
      <c r="D614" s="7">
        <f t="shared" si="37"/>
        <v>0.31</v>
      </c>
      <c r="E614" s="7">
        <f t="shared" si="38"/>
        <v>6.1999999999999998E-3</v>
      </c>
      <c r="F614" s="7">
        <f t="shared" si="39"/>
        <v>0.30380000000000001</v>
      </c>
    </row>
    <row r="615" spans="1:6" ht="14.5" x14ac:dyDescent="0.35">
      <c r="A615" s="40"/>
      <c r="B615" s="5" t="s">
        <v>675</v>
      </c>
      <c r="C615" s="7">
        <v>0.35</v>
      </c>
      <c r="D615" s="7">
        <f t="shared" si="37"/>
        <v>0.31</v>
      </c>
      <c r="E615" s="7">
        <f t="shared" si="38"/>
        <v>6.1999999999999998E-3</v>
      </c>
      <c r="F615" s="7">
        <f t="shared" si="39"/>
        <v>0.30380000000000001</v>
      </c>
    </row>
    <row r="616" spans="1:6" ht="14.5" x14ac:dyDescent="0.35">
      <c r="A616" s="40"/>
      <c r="B616" s="5" t="s">
        <v>676</v>
      </c>
      <c r="C616" s="7">
        <v>0.35</v>
      </c>
      <c r="D616" s="7">
        <f t="shared" si="37"/>
        <v>0.31</v>
      </c>
      <c r="E616" s="7">
        <f t="shared" si="38"/>
        <v>6.1999999999999998E-3</v>
      </c>
      <c r="F616" s="7">
        <f t="shared" si="39"/>
        <v>0.30380000000000001</v>
      </c>
    </row>
    <row r="617" spans="1:6" ht="14.5" x14ac:dyDescent="0.35">
      <c r="A617" s="40"/>
      <c r="B617" s="5" t="s">
        <v>677</v>
      </c>
      <c r="C617" s="7">
        <v>0.25</v>
      </c>
      <c r="D617" s="7">
        <f t="shared" si="37"/>
        <v>0.21</v>
      </c>
      <c r="E617" s="7">
        <f t="shared" si="38"/>
        <v>4.1999999999999997E-3</v>
      </c>
      <c r="F617" s="7">
        <f t="shared" si="39"/>
        <v>0.20579999999999998</v>
      </c>
    </row>
    <row r="618" spans="1:6" ht="14.5" x14ac:dyDescent="0.35">
      <c r="A618" s="40"/>
      <c r="B618" s="5" t="s">
        <v>678</v>
      </c>
      <c r="C618" s="7">
        <v>0.35</v>
      </c>
      <c r="D618" s="7">
        <f t="shared" si="37"/>
        <v>0.31</v>
      </c>
      <c r="E618" s="7">
        <f t="shared" si="38"/>
        <v>6.1999999999999998E-3</v>
      </c>
      <c r="F618" s="7">
        <f t="shared" si="39"/>
        <v>0.30380000000000001</v>
      </c>
    </row>
    <row r="619" spans="1:6" ht="14.5" x14ac:dyDescent="0.35">
      <c r="A619" s="40"/>
      <c r="B619" s="5" t="s">
        <v>679</v>
      </c>
      <c r="C619" s="7">
        <v>0.3</v>
      </c>
      <c r="D619" s="7">
        <f t="shared" si="37"/>
        <v>0.26</v>
      </c>
      <c r="E619" s="7">
        <f t="shared" si="38"/>
        <v>5.2000000000000006E-3</v>
      </c>
      <c r="F619" s="7">
        <f t="shared" si="39"/>
        <v>0.25480000000000003</v>
      </c>
    </row>
    <row r="620" spans="1:6" ht="14.5" customHeight="1" x14ac:dyDescent="0.35">
      <c r="A620" s="55" t="s">
        <v>776</v>
      </c>
      <c r="B620" s="5" t="s">
        <v>665</v>
      </c>
      <c r="C620" s="7">
        <v>0.11</v>
      </c>
      <c r="D620" s="7">
        <f t="shared" si="37"/>
        <v>7.0000000000000007E-2</v>
      </c>
      <c r="E620" s="7">
        <f t="shared" si="38"/>
        <v>1.4000000000000002E-3</v>
      </c>
      <c r="F620" s="7">
        <f t="shared" si="39"/>
        <v>6.8600000000000008E-2</v>
      </c>
    </row>
    <row r="621" spans="1:6" ht="14.5" x14ac:dyDescent="0.35">
      <c r="A621" s="56"/>
      <c r="B621" s="5" t="s">
        <v>666</v>
      </c>
      <c r="C621" s="7">
        <v>0.11</v>
      </c>
      <c r="D621" s="7">
        <f t="shared" si="37"/>
        <v>7.0000000000000007E-2</v>
      </c>
      <c r="E621" s="7">
        <f t="shared" si="38"/>
        <v>1.4000000000000002E-3</v>
      </c>
      <c r="F621" s="7">
        <f t="shared" si="39"/>
        <v>6.8600000000000008E-2</v>
      </c>
    </row>
    <row r="622" spans="1:6" ht="14.5" x14ac:dyDescent="0.35">
      <c r="A622" s="56"/>
      <c r="B622" s="5" t="s">
        <v>667</v>
      </c>
      <c r="C622" s="7">
        <v>0.19</v>
      </c>
      <c r="D622" s="7">
        <f t="shared" si="37"/>
        <v>0.15</v>
      </c>
      <c r="E622" s="7">
        <f t="shared" si="38"/>
        <v>3.0000000000000001E-3</v>
      </c>
      <c r="F622" s="7">
        <f t="shared" si="39"/>
        <v>0.14699999999999999</v>
      </c>
    </row>
    <row r="623" spans="1:6" ht="14.5" x14ac:dyDescent="0.35">
      <c r="A623" s="56"/>
      <c r="B623" s="5" t="s">
        <v>668</v>
      </c>
      <c r="C623" s="7">
        <v>0.11</v>
      </c>
      <c r="D623" s="7">
        <f t="shared" si="37"/>
        <v>7.0000000000000007E-2</v>
      </c>
      <c r="E623" s="7">
        <f t="shared" si="38"/>
        <v>1.4000000000000002E-3</v>
      </c>
      <c r="F623" s="7">
        <f t="shared" si="39"/>
        <v>6.8600000000000008E-2</v>
      </c>
    </row>
    <row r="624" spans="1:6" ht="14.5" x14ac:dyDescent="0.35">
      <c r="A624" s="56"/>
      <c r="B624" s="5" t="s">
        <v>669</v>
      </c>
      <c r="C624" s="7">
        <v>0.14000000000000001</v>
      </c>
      <c r="D624" s="7">
        <f t="shared" si="37"/>
        <v>0.1</v>
      </c>
      <c r="E624" s="7">
        <f t="shared" si="38"/>
        <v>2E-3</v>
      </c>
      <c r="F624" s="7">
        <f t="shared" si="39"/>
        <v>9.8000000000000004E-2</v>
      </c>
    </row>
    <row r="625" spans="1:6" ht="14.5" x14ac:dyDescent="0.35">
      <c r="A625" s="56"/>
      <c r="B625" s="5" t="s">
        <v>670</v>
      </c>
      <c r="C625" s="7">
        <v>0.19</v>
      </c>
      <c r="D625" s="7">
        <f t="shared" si="37"/>
        <v>0.15</v>
      </c>
      <c r="E625" s="7">
        <f t="shared" si="38"/>
        <v>3.0000000000000001E-3</v>
      </c>
      <c r="F625" s="7">
        <f t="shared" si="39"/>
        <v>0.14699999999999999</v>
      </c>
    </row>
    <row r="626" spans="1:6" ht="14.5" x14ac:dyDescent="0.35">
      <c r="A626" s="56"/>
      <c r="B626" s="5" t="s">
        <v>671</v>
      </c>
      <c r="C626" s="7">
        <v>0.14000000000000001</v>
      </c>
      <c r="D626" s="7">
        <f t="shared" si="37"/>
        <v>0.1</v>
      </c>
      <c r="E626" s="7">
        <f t="shared" si="38"/>
        <v>2E-3</v>
      </c>
      <c r="F626" s="7">
        <f t="shared" si="39"/>
        <v>9.8000000000000004E-2</v>
      </c>
    </row>
    <row r="627" spans="1:6" ht="14.5" x14ac:dyDescent="0.35">
      <c r="A627" s="56"/>
      <c r="B627" s="5" t="s">
        <v>673</v>
      </c>
      <c r="C627" s="7">
        <v>0.19</v>
      </c>
      <c r="D627" s="7">
        <f t="shared" si="37"/>
        <v>0.15</v>
      </c>
      <c r="E627" s="7">
        <f t="shared" si="38"/>
        <v>3.0000000000000001E-3</v>
      </c>
      <c r="F627" s="7">
        <f t="shared" si="39"/>
        <v>0.14699999999999999</v>
      </c>
    </row>
    <row r="628" spans="1:6" ht="14.5" x14ac:dyDescent="0.35">
      <c r="A628" s="56"/>
      <c r="B628" s="5" t="s">
        <v>674</v>
      </c>
      <c r="C628" s="7">
        <v>0.14000000000000001</v>
      </c>
      <c r="D628" s="7">
        <f t="shared" si="37"/>
        <v>0.1</v>
      </c>
      <c r="E628" s="7">
        <f t="shared" si="38"/>
        <v>2E-3</v>
      </c>
      <c r="F628" s="7">
        <f t="shared" si="39"/>
        <v>9.8000000000000004E-2</v>
      </c>
    </row>
    <row r="629" spans="1:6" ht="14.5" x14ac:dyDescent="0.35">
      <c r="A629" s="56"/>
      <c r="B629" s="5" t="s">
        <v>743</v>
      </c>
      <c r="C629" s="7">
        <v>0.14000000000000001</v>
      </c>
      <c r="D629" s="7">
        <f t="shared" si="37"/>
        <v>0.1</v>
      </c>
      <c r="E629" s="7">
        <f t="shared" si="38"/>
        <v>2E-3</v>
      </c>
      <c r="F629" s="7">
        <f t="shared" si="39"/>
        <v>9.8000000000000004E-2</v>
      </c>
    </row>
    <row r="630" spans="1:6" ht="14.5" x14ac:dyDescent="0.35">
      <c r="A630" s="56"/>
      <c r="B630" s="5" t="s">
        <v>672</v>
      </c>
      <c r="C630" s="7">
        <v>0.14000000000000001</v>
      </c>
      <c r="D630" s="7">
        <f t="shared" si="37"/>
        <v>0.1</v>
      </c>
      <c r="E630" s="7">
        <f t="shared" si="38"/>
        <v>2E-3</v>
      </c>
      <c r="F630" s="7">
        <f t="shared" si="39"/>
        <v>9.8000000000000004E-2</v>
      </c>
    </row>
    <row r="631" spans="1:6" ht="14.5" x14ac:dyDescent="0.35">
      <c r="A631" s="56"/>
      <c r="B631" s="5" t="s">
        <v>678</v>
      </c>
      <c r="C631" s="7">
        <v>0.19</v>
      </c>
      <c r="D631" s="7">
        <f t="shared" si="37"/>
        <v>0.15</v>
      </c>
      <c r="E631" s="7">
        <f t="shared" si="38"/>
        <v>3.0000000000000001E-3</v>
      </c>
      <c r="F631" s="7">
        <f t="shared" si="39"/>
        <v>0.14699999999999999</v>
      </c>
    </row>
    <row r="632" spans="1:6" ht="14.5" x14ac:dyDescent="0.35">
      <c r="A632" s="56"/>
      <c r="B632" s="5" t="s">
        <v>677</v>
      </c>
      <c r="C632" s="7">
        <v>0.11</v>
      </c>
      <c r="D632" s="7">
        <f t="shared" si="37"/>
        <v>7.0000000000000007E-2</v>
      </c>
      <c r="E632" s="7">
        <f t="shared" si="38"/>
        <v>1.4000000000000002E-3</v>
      </c>
      <c r="F632" s="7">
        <f t="shared" si="39"/>
        <v>6.8600000000000008E-2</v>
      </c>
    </row>
    <row r="633" spans="1:6" ht="14.5" x14ac:dyDescent="0.35">
      <c r="A633" s="56"/>
      <c r="B633" s="5" t="s">
        <v>675</v>
      </c>
      <c r="C633" s="7">
        <v>0.11</v>
      </c>
      <c r="D633" s="7">
        <f t="shared" si="37"/>
        <v>7.0000000000000007E-2</v>
      </c>
      <c r="E633" s="7">
        <f t="shared" si="38"/>
        <v>1.4000000000000002E-3</v>
      </c>
      <c r="F633" s="7">
        <f t="shared" si="39"/>
        <v>6.8600000000000008E-2</v>
      </c>
    </row>
    <row r="634" spans="1:6" ht="14.5" x14ac:dyDescent="0.35">
      <c r="A634" s="56"/>
      <c r="B634" s="5" t="s">
        <v>676</v>
      </c>
      <c r="C634" s="7">
        <v>0.13999999999999999</v>
      </c>
      <c r="D634" s="7">
        <f t="shared" si="37"/>
        <v>9.9999999999999978E-2</v>
      </c>
      <c r="E634" s="7">
        <f t="shared" si="38"/>
        <v>1.9999999999999996E-3</v>
      </c>
      <c r="F634" s="7">
        <f t="shared" si="39"/>
        <v>9.7999999999999976E-2</v>
      </c>
    </row>
    <row r="635" spans="1:6" ht="14.5" x14ac:dyDescent="0.35">
      <c r="A635" s="57"/>
      <c r="B635" s="5" t="s">
        <v>679</v>
      </c>
      <c r="C635" s="7">
        <v>0.13999999999999999</v>
      </c>
      <c r="D635" s="7">
        <f t="shared" si="37"/>
        <v>9.9999999999999978E-2</v>
      </c>
      <c r="E635" s="7">
        <f t="shared" si="38"/>
        <v>1.9999999999999996E-3</v>
      </c>
      <c r="F635" s="7">
        <f t="shared" si="39"/>
        <v>9.7999999999999976E-2</v>
      </c>
    </row>
    <row r="636" spans="1:6" ht="14.5" x14ac:dyDescent="0.35">
      <c r="A636" s="55" t="s">
        <v>777</v>
      </c>
      <c r="B636" s="5" t="s">
        <v>665</v>
      </c>
      <c r="C636" s="7">
        <v>0.11</v>
      </c>
      <c r="D636" s="7">
        <f t="shared" si="37"/>
        <v>7.0000000000000007E-2</v>
      </c>
      <c r="E636" s="7">
        <f t="shared" si="38"/>
        <v>1.4000000000000002E-3</v>
      </c>
      <c r="F636" s="7">
        <f t="shared" si="39"/>
        <v>6.8600000000000008E-2</v>
      </c>
    </row>
    <row r="637" spans="1:6" ht="14.5" x14ac:dyDescent="0.35">
      <c r="A637" s="56"/>
      <c r="B637" s="5" t="s">
        <v>666</v>
      </c>
      <c r="C637" s="7">
        <v>0.14000000000000001</v>
      </c>
      <c r="D637" s="7">
        <f t="shared" si="37"/>
        <v>0.1</v>
      </c>
      <c r="E637" s="7">
        <f t="shared" si="38"/>
        <v>2E-3</v>
      </c>
      <c r="F637" s="7">
        <f t="shared" si="39"/>
        <v>9.8000000000000004E-2</v>
      </c>
    </row>
    <row r="638" spans="1:6" ht="14.5" x14ac:dyDescent="0.35">
      <c r="A638" s="56"/>
      <c r="B638" s="5" t="s">
        <v>667</v>
      </c>
      <c r="C638" s="7">
        <v>0.24</v>
      </c>
      <c r="D638" s="7">
        <f t="shared" si="37"/>
        <v>0.19999999999999998</v>
      </c>
      <c r="E638" s="7">
        <f t="shared" si="38"/>
        <v>4.0000000000000001E-3</v>
      </c>
      <c r="F638" s="7">
        <f t="shared" si="39"/>
        <v>0.19599999999999998</v>
      </c>
    </row>
    <row r="639" spans="1:6" ht="14.5" x14ac:dyDescent="0.35">
      <c r="A639" s="56"/>
      <c r="B639" s="5" t="s">
        <v>668</v>
      </c>
      <c r="C639" s="7">
        <v>0.15</v>
      </c>
      <c r="D639" s="7">
        <f t="shared" si="37"/>
        <v>0.10999999999999999</v>
      </c>
      <c r="E639" s="7">
        <f t="shared" si="38"/>
        <v>2.1999999999999997E-3</v>
      </c>
      <c r="F639" s="7">
        <f t="shared" si="39"/>
        <v>0.10779999999999999</v>
      </c>
    </row>
    <row r="640" spans="1:6" ht="14.5" x14ac:dyDescent="0.35">
      <c r="A640" s="56"/>
      <c r="B640" s="5" t="s">
        <v>669</v>
      </c>
      <c r="C640" s="7">
        <v>0.19</v>
      </c>
      <c r="D640" s="7">
        <f t="shared" si="37"/>
        <v>0.15</v>
      </c>
      <c r="E640" s="7">
        <f t="shared" si="38"/>
        <v>3.0000000000000001E-3</v>
      </c>
      <c r="F640" s="7">
        <f t="shared" si="39"/>
        <v>0.14699999999999999</v>
      </c>
    </row>
    <row r="641" spans="1:6" ht="14.5" x14ac:dyDescent="0.35">
      <c r="A641" s="56"/>
      <c r="B641" s="5" t="s">
        <v>670</v>
      </c>
      <c r="C641" s="7">
        <v>0.24</v>
      </c>
      <c r="D641" s="7">
        <f t="shared" si="37"/>
        <v>0.19999999999999998</v>
      </c>
      <c r="E641" s="7">
        <f t="shared" si="38"/>
        <v>4.0000000000000001E-3</v>
      </c>
      <c r="F641" s="7">
        <f t="shared" si="39"/>
        <v>0.19599999999999998</v>
      </c>
    </row>
    <row r="642" spans="1:6" ht="14.5" x14ac:dyDescent="0.35">
      <c r="A642" s="56"/>
      <c r="B642" s="5" t="s">
        <v>671</v>
      </c>
      <c r="C642" s="7">
        <v>0.24</v>
      </c>
      <c r="D642" s="7">
        <f t="shared" si="37"/>
        <v>0.19999999999999998</v>
      </c>
      <c r="E642" s="7">
        <f t="shared" si="38"/>
        <v>4.0000000000000001E-3</v>
      </c>
      <c r="F642" s="7">
        <f t="shared" si="39"/>
        <v>0.19599999999999998</v>
      </c>
    </row>
    <row r="643" spans="1:6" ht="14.5" x14ac:dyDescent="0.35">
      <c r="A643" s="56"/>
      <c r="B643" s="5" t="s">
        <v>673</v>
      </c>
      <c r="C643" s="7">
        <v>0.24</v>
      </c>
      <c r="D643" s="7">
        <f t="shared" si="37"/>
        <v>0.19999999999999998</v>
      </c>
      <c r="E643" s="7">
        <f t="shared" si="38"/>
        <v>4.0000000000000001E-3</v>
      </c>
      <c r="F643" s="7">
        <f t="shared" si="39"/>
        <v>0.19599999999999998</v>
      </c>
    </row>
    <row r="644" spans="1:6" ht="14.5" x14ac:dyDescent="0.35">
      <c r="A644" s="56"/>
      <c r="B644" s="5" t="s">
        <v>674</v>
      </c>
      <c r="C644" s="7">
        <v>0.16</v>
      </c>
      <c r="D644" s="7">
        <f t="shared" si="37"/>
        <v>0.12</v>
      </c>
      <c r="E644" s="7">
        <f t="shared" si="38"/>
        <v>2.3999999999999998E-3</v>
      </c>
      <c r="F644" s="7">
        <f t="shared" si="39"/>
        <v>0.1176</v>
      </c>
    </row>
    <row r="645" spans="1:6" ht="14.5" x14ac:dyDescent="0.35">
      <c r="A645" s="56"/>
      <c r="B645" s="5" t="s">
        <v>743</v>
      </c>
      <c r="C645" s="7">
        <v>0.17</v>
      </c>
      <c r="D645" s="7">
        <f t="shared" si="37"/>
        <v>0.13</v>
      </c>
      <c r="E645" s="7">
        <f t="shared" si="38"/>
        <v>2.6000000000000003E-3</v>
      </c>
      <c r="F645" s="7">
        <f t="shared" si="39"/>
        <v>0.12740000000000001</v>
      </c>
    </row>
    <row r="646" spans="1:6" ht="14.5" x14ac:dyDescent="0.35">
      <c r="A646" s="56"/>
      <c r="B646" s="5" t="s">
        <v>672</v>
      </c>
      <c r="C646" s="7">
        <v>0.17</v>
      </c>
      <c r="D646" s="7">
        <f t="shared" si="37"/>
        <v>0.13</v>
      </c>
      <c r="E646" s="7">
        <f t="shared" si="38"/>
        <v>2.6000000000000003E-3</v>
      </c>
      <c r="F646" s="7">
        <f t="shared" si="39"/>
        <v>0.12740000000000001</v>
      </c>
    </row>
    <row r="647" spans="1:6" ht="14.5" x14ac:dyDescent="0.35">
      <c r="A647" s="56"/>
      <c r="B647" s="5" t="s">
        <v>678</v>
      </c>
      <c r="C647" s="7">
        <v>0.19</v>
      </c>
      <c r="D647" s="7">
        <f t="shared" si="37"/>
        <v>0.15</v>
      </c>
      <c r="E647" s="7">
        <f t="shared" si="38"/>
        <v>3.0000000000000001E-3</v>
      </c>
      <c r="F647" s="7">
        <f t="shared" si="39"/>
        <v>0.14699999999999999</v>
      </c>
    </row>
    <row r="648" spans="1:6" ht="14.5" x14ac:dyDescent="0.35">
      <c r="A648" s="56"/>
      <c r="B648" s="5" t="s">
        <v>677</v>
      </c>
      <c r="C648" s="7">
        <v>0.11</v>
      </c>
      <c r="D648" s="7">
        <f t="shared" si="37"/>
        <v>7.0000000000000007E-2</v>
      </c>
      <c r="E648" s="7">
        <f t="shared" si="38"/>
        <v>1.4000000000000002E-3</v>
      </c>
      <c r="F648" s="7">
        <f t="shared" si="39"/>
        <v>6.8600000000000008E-2</v>
      </c>
    </row>
    <row r="649" spans="1:6" ht="14.5" x14ac:dyDescent="0.35">
      <c r="A649" s="56"/>
      <c r="B649" s="5" t="s">
        <v>675</v>
      </c>
      <c r="C649" s="7">
        <v>0.28999999999999998</v>
      </c>
      <c r="D649" s="7">
        <f t="shared" si="37"/>
        <v>0.24999999999999997</v>
      </c>
      <c r="E649" s="7">
        <f t="shared" si="38"/>
        <v>4.9999999999999992E-3</v>
      </c>
      <c r="F649" s="7">
        <f t="shared" si="39"/>
        <v>0.24499999999999997</v>
      </c>
    </row>
    <row r="650" spans="1:6" ht="14.5" x14ac:dyDescent="0.35">
      <c r="A650" s="56"/>
      <c r="B650" s="5" t="s">
        <v>676</v>
      </c>
      <c r="C650" s="7">
        <v>0.14000000000000001</v>
      </c>
      <c r="D650" s="7">
        <f t="shared" si="37"/>
        <v>0.1</v>
      </c>
      <c r="E650" s="7">
        <f t="shared" si="38"/>
        <v>2E-3</v>
      </c>
      <c r="F650" s="7">
        <f t="shared" si="39"/>
        <v>9.8000000000000004E-2</v>
      </c>
    </row>
    <row r="651" spans="1:6" ht="14.5" x14ac:dyDescent="0.35">
      <c r="A651" s="57"/>
      <c r="B651" s="5" t="s">
        <v>679</v>
      </c>
      <c r="C651" s="7">
        <v>0.14000000000000001</v>
      </c>
      <c r="D651" s="7">
        <f t="shared" si="37"/>
        <v>0.1</v>
      </c>
      <c r="E651" s="7">
        <f t="shared" si="38"/>
        <v>2E-3</v>
      </c>
      <c r="F651" s="7">
        <f t="shared" si="39"/>
        <v>9.8000000000000004E-2</v>
      </c>
    </row>
    <row r="652" spans="1:6" ht="14.5" x14ac:dyDescent="0.35">
      <c r="A652" s="55" t="s">
        <v>778</v>
      </c>
      <c r="B652" s="5" t="s">
        <v>665</v>
      </c>
      <c r="C652" s="7">
        <v>0.11</v>
      </c>
      <c r="D652" s="7">
        <f t="shared" si="37"/>
        <v>7.0000000000000007E-2</v>
      </c>
      <c r="E652" s="7">
        <f t="shared" si="38"/>
        <v>1.4000000000000002E-3</v>
      </c>
      <c r="F652" s="7">
        <f t="shared" si="39"/>
        <v>6.8600000000000008E-2</v>
      </c>
    </row>
    <row r="653" spans="1:6" ht="14.5" x14ac:dyDescent="0.35">
      <c r="A653" s="56"/>
      <c r="B653" s="5" t="s">
        <v>666</v>
      </c>
      <c r="C653" s="7">
        <v>0.14000000000000001</v>
      </c>
      <c r="D653" s="7">
        <f t="shared" si="37"/>
        <v>0.1</v>
      </c>
      <c r="E653" s="7">
        <f t="shared" si="38"/>
        <v>2E-3</v>
      </c>
      <c r="F653" s="7">
        <f t="shared" si="39"/>
        <v>9.8000000000000004E-2</v>
      </c>
    </row>
    <row r="654" spans="1:6" ht="14.5" x14ac:dyDescent="0.35">
      <c r="A654" s="56"/>
      <c r="B654" s="5" t="s">
        <v>667</v>
      </c>
      <c r="C654" s="7">
        <v>0.24</v>
      </c>
      <c r="D654" s="7">
        <f t="shared" si="37"/>
        <v>0.19999999999999998</v>
      </c>
      <c r="E654" s="7">
        <f t="shared" si="38"/>
        <v>4.0000000000000001E-3</v>
      </c>
      <c r="F654" s="7">
        <f t="shared" si="39"/>
        <v>0.19599999999999998</v>
      </c>
    </row>
    <row r="655" spans="1:6" ht="14.5" x14ac:dyDescent="0.35">
      <c r="A655" s="56"/>
      <c r="B655" s="5" t="s">
        <v>668</v>
      </c>
      <c r="C655" s="7">
        <v>0.15</v>
      </c>
      <c r="D655" s="7">
        <f t="shared" si="37"/>
        <v>0.10999999999999999</v>
      </c>
      <c r="E655" s="7">
        <f t="shared" si="38"/>
        <v>2.1999999999999997E-3</v>
      </c>
      <c r="F655" s="7">
        <f t="shared" si="39"/>
        <v>0.10779999999999999</v>
      </c>
    </row>
    <row r="656" spans="1:6" ht="14.5" x14ac:dyDescent="0.35">
      <c r="A656" s="56"/>
      <c r="B656" s="5" t="s">
        <v>669</v>
      </c>
      <c r="C656" s="7">
        <v>0.19</v>
      </c>
      <c r="D656" s="7">
        <f t="shared" si="37"/>
        <v>0.15</v>
      </c>
      <c r="E656" s="7">
        <f t="shared" si="38"/>
        <v>3.0000000000000001E-3</v>
      </c>
      <c r="F656" s="7">
        <f t="shared" si="39"/>
        <v>0.14699999999999999</v>
      </c>
    </row>
    <row r="657" spans="1:6" ht="14.5" x14ac:dyDescent="0.35">
      <c r="A657" s="56"/>
      <c r="B657" s="5" t="s">
        <v>670</v>
      </c>
      <c r="C657" s="7">
        <v>0.24</v>
      </c>
      <c r="D657" s="7">
        <f t="shared" ref="D657:D719" si="40">C657-(4%)</f>
        <v>0.19999999999999998</v>
      </c>
      <c r="E657" s="7">
        <f t="shared" ref="E657:E719" si="41">D657*2%</f>
        <v>4.0000000000000001E-3</v>
      </c>
      <c r="F657" s="7">
        <f t="shared" ref="F657:F719" si="42">D657-E657</f>
        <v>0.19599999999999998</v>
      </c>
    </row>
    <row r="658" spans="1:6" ht="14.5" x14ac:dyDescent="0.35">
      <c r="A658" s="56"/>
      <c r="B658" s="5" t="s">
        <v>671</v>
      </c>
      <c r="C658" s="7">
        <v>0.24</v>
      </c>
      <c r="D658" s="7">
        <f t="shared" si="40"/>
        <v>0.19999999999999998</v>
      </c>
      <c r="E658" s="7">
        <f t="shared" si="41"/>
        <v>4.0000000000000001E-3</v>
      </c>
      <c r="F658" s="7">
        <f t="shared" si="42"/>
        <v>0.19599999999999998</v>
      </c>
    </row>
    <row r="659" spans="1:6" ht="14.5" x14ac:dyDescent="0.35">
      <c r="A659" s="56"/>
      <c r="B659" s="5" t="s">
        <v>673</v>
      </c>
      <c r="C659" s="7">
        <v>0.24</v>
      </c>
      <c r="D659" s="7">
        <f t="shared" si="40"/>
        <v>0.19999999999999998</v>
      </c>
      <c r="E659" s="7">
        <f t="shared" si="41"/>
        <v>4.0000000000000001E-3</v>
      </c>
      <c r="F659" s="7">
        <f t="shared" si="42"/>
        <v>0.19599999999999998</v>
      </c>
    </row>
    <row r="660" spans="1:6" ht="14.5" x14ac:dyDescent="0.35">
      <c r="A660" s="56"/>
      <c r="B660" s="5" t="s">
        <v>674</v>
      </c>
      <c r="C660" s="7">
        <v>0.16</v>
      </c>
      <c r="D660" s="7">
        <f t="shared" si="40"/>
        <v>0.12</v>
      </c>
      <c r="E660" s="7">
        <f t="shared" si="41"/>
        <v>2.3999999999999998E-3</v>
      </c>
      <c r="F660" s="7">
        <f t="shared" si="42"/>
        <v>0.1176</v>
      </c>
    </row>
    <row r="661" spans="1:6" ht="14.5" x14ac:dyDescent="0.35">
      <c r="A661" s="56"/>
      <c r="B661" s="5" t="s">
        <v>743</v>
      </c>
      <c r="C661" s="7">
        <v>0.17</v>
      </c>
      <c r="D661" s="7">
        <f t="shared" si="40"/>
        <v>0.13</v>
      </c>
      <c r="E661" s="7">
        <f t="shared" si="41"/>
        <v>2.6000000000000003E-3</v>
      </c>
      <c r="F661" s="7">
        <f t="shared" si="42"/>
        <v>0.12740000000000001</v>
      </c>
    </row>
    <row r="662" spans="1:6" ht="14.5" x14ac:dyDescent="0.35">
      <c r="A662" s="56"/>
      <c r="B662" s="5" t="s">
        <v>672</v>
      </c>
      <c r="C662" s="7">
        <v>0.17</v>
      </c>
      <c r="D662" s="7">
        <f t="shared" si="40"/>
        <v>0.13</v>
      </c>
      <c r="E662" s="7">
        <f t="shared" si="41"/>
        <v>2.6000000000000003E-3</v>
      </c>
      <c r="F662" s="7">
        <f t="shared" si="42"/>
        <v>0.12740000000000001</v>
      </c>
    </row>
    <row r="663" spans="1:6" ht="14.5" x14ac:dyDescent="0.35">
      <c r="A663" s="56"/>
      <c r="B663" s="5" t="s">
        <v>678</v>
      </c>
      <c r="C663" s="7">
        <v>0.19</v>
      </c>
      <c r="D663" s="7">
        <f t="shared" si="40"/>
        <v>0.15</v>
      </c>
      <c r="E663" s="7">
        <f t="shared" si="41"/>
        <v>3.0000000000000001E-3</v>
      </c>
      <c r="F663" s="7">
        <f t="shared" si="42"/>
        <v>0.14699999999999999</v>
      </c>
    </row>
    <row r="664" spans="1:6" ht="14.5" x14ac:dyDescent="0.35">
      <c r="A664" s="56"/>
      <c r="B664" s="5" t="s">
        <v>677</v>
      </c>
      <c r="C664" s="7">
        <v>0.11</v>
      </c>
      <c r="D664" s="7">
        <f t="shared" si="40"/>
        <v>7.0000000000000007E-2</v>
      </c>
      <c r="E664" s="7">
        <f t="shared" si="41"/>
        <v>1.4000000000000002E-3</v>
      </c>
      <c r="F664" s="7">
        <f t="shared" si="42"/>
        <v>6.8600000000000008E-2</v>
      </c>
    </row>
    <row r="665" spans="1:6" ht="14.5" x14ac:dyDescent="0.35">
      <c r="A665" s="56"/>
      <c r="B665" s="5" t="s">
        <v>675</v>
      </c>
      <c r="C665" s="7">
        <v>0.28999999999999998</v>
      </c>
      <c r="D665" s="7">
        <f t="shared" si="40"/>
        <v>0.24999999999999997</v>
      </c>
      <c r="E665" s="7">
        <f t="shared" si="41"/>
        <v>4.9999999999999992E-3</v>
      </c>
      <c r="F665" s="7">
        <f t="shared" si="42"/>
        <v>0.24499999999999997</v>
      </c>
    </row>
    <row r="666" spans="1:6" ht="14.5" x14ac:dyDescent="0.35">
      <c r="A666" s="56"/>
      <c r="B666" s="5" t="s">
        <v>676</v>
      </c>
      <c r="C666" s="7">
        <v>0.14000000000000001</v>
      </c>
      <c r="D666" s="7">
        <f t="shared" si="40"/>
        <v>0.1</v>
      </c>
      <c r="E666" s="7">
        <f t="shared" si="41"/>
        <v>2E-3</v>
      </c>
      <c r="F666" s="7">
        <f t="shared" si="42"/>
        <v>9.8000000000000004E-2</v>
      </c>
    </row>
    <row r="667" spans="1:6" ht="14.5" x14ac:dyDescent="0.35">
      <c r="A667" s="57"/>
      <c r="B667" s="5" t="s">
        <v>679</v>
      </c>
      <c r="C667" s="7">
        <v>0.14000000000000001</v>
      </c>
      <c r="D667" s="7">
        <f t="shared" si="40"/>
        <v>0.1</v>
      </c>
      <c r="E667" s="7">
        <f t="shared" si="41"/>
        <v>2E-3</v>
      </c>
      <c r="F667" s="7">
        <f t="shared" si="42"/>
        <v>9.8000000000000004E-2</v>
      </c>
    </row>
    <row r="668" spans="1:6" ht="14.5" x14ac:dyDescent="0.35">
      <c r="A668" s="55" t="s">
        <v>779</v>
      </c>
      <c r="B668" s="5" t="s">
        <v>665</v>
      </c>
      <c r="C668" s="7">
        <v>0.11</v>
      </c>
      <c r="D668" s="7">
        <f t="shared" si="40"/>
        <v>7.0000000000000007E-2</v>
      </c>
      <c r="E668" s="7">
        <f t="shared" si="41"/>
        <v>1.4000000000000002E-3</v>
      </c>
      <c r="F668" s="7">
        <f t="shared" si="42"/>
        <v>6.8600000000000008E-2</v>
      </c>
    </row>
    <row r="669" spans="1:6" ht="14.5" x14ac:dyDescent="0.35">
      <c r="A669" s="56"/>
      <c r="B669" s="5" t="s">
        <v>666</v>
      </c>
      <c r="C669" s="7">
        <v>0.14000000000000001</v>
      </c>
      <c r="D669" s="7">
        <f t="shared" si="40"/>
        <v>0.1</v>
      </c>
      <c r="E669" s="7">
        <f t="shared" si="41"/>
        <v>2E-3</v>
      </c>
      <c r="F669" s="7">
        <f t="shared" si="42"/>
        <v>9.8000000000000004E-2</v>
      </c>
    </row>
    <row r="670" spans="1:6" ht="14.5" x14ac:dyDescent="0.35">
      <c r="A670" s="56"/>
      <c r="B670" s="5" t="s">
        <v>667</v>
      </c>
      <c r="C670" s="7">
        <v>0.24</v>
      </c>
      <c r="D670" s="7">
        <f t="shared" si="40"/>
        <v>0.19999999999999998</v>
      </c>
      <c r="E670" s="7">
        <f t="shared" si="41"/>
        <v>4.0000000000000001E-3</v>
      </c>
      <c r="F670" s="7">
        <f t="shared" si="42"/>
        <v>0.19599999999999998</v>
      </c>
    </row>
    <row r="671" spans="1:6" ht="14.5" x14ac:dyDescent="0.35">
      <c r="A671" s="56"/>
      <c r="B671" s="5" t="s">
        <v>668</v>
      </c>
      <c r="C671" s="7">
        <v>0.15</v>
      </c>
      <c r="D671" s="7">
        <f t="shared" si="40"/>
        <v>0.10999999999999999</v>
      </c>
      <c r="E671" s="7">
        <f t="shared" si="41"/>
        <v>2.1999999999999997E-3</v>
      </c>
      <c r="F671" s="7">
        <f t="shared" si="42"/>
        <v>0.10779999999999999</v>
      </c>
    </row>
    <row r="672" spans="1:6" ht="14.5" x14ac:dyDescent="0.35">
      <c r="A672" s="56"/>
      <c r="B672" s="5" t="s">
        <v>669</v>
      </c>
      <c r="C672" s="7">
        <v>0.19</v>
      </c>
      <c r="D672" s="7">
        <f t="shared" si="40"/>
        <v>0.15</v>
      </c>
      <c r="E672" s="7">
        <f t="shared" si="41"/>
        <v>3.0000000000000001E-3</v>
      </c>
      <c r="F672" s="7">
        <f t="shared" si="42"/>
        <v>0.14699999999999999</v>
      </c>
    </row>
    <row r="673" spans="1:6" ht="14.5" x14ac:dyDescent="0.35">
      <c r="A673" s="56"/>
      <c r="B673" s="5" t="s">
        <v>670</v>
      </c>
      <c r="C673" s="7">
        <v>0.24</v>
      </c>
      <c r="D673" s="7">
        <f t="shared" si="40"/>
        <v>0.19999999999999998</v>
      </c>
      <c r="E673" s="7">
        <f t="shared" si="41"/>
        <v>4.0000000000000001E-3</v>
      </c>
      <c r="F673" s="7">
        <f t="shared" si="42"/>
        <v>0.19599999999999998</v>
      </c>
    </row>
    <row r="674" spans="1:6" ht="14.5" x14ac:dyDescent="0.35">
      <c r="A674" s="56"/>
      <c r="B674" s="5" t="s">
        <v>671</v>
      </c>
      <c r="C674" s="7">
        <v>0.24</v>
      </c>
      <c r="D674" s="7">
        <f t="shared" si="40"/>
        <v>0.19999999999999998</v>
      </c>
      <c r="E674" s="7">
        <f t="shared" si="41"/>
        <v>4.0000000000000001E-3</v>
      </c>
      <c r="F674" s="7">
        <f t="shared" si="42"/>
        <v>0.19599999999999998</v>
      </c>
    </row>
    <row r="675" spans="1:6" ht="14.5" x14ac:dyDescent="0.35">
      <c r="A675" s="56"/>
      <c r="B675" s="5" t="s">
        <v>673</v>
      </c>
      <c r="C675" s="7">
        <v>0.24</v>
      </c>
      <c r="D675" s="7">
        <f t="shared" si="40"/>
        <v>0.19999999999999998</v>
      </c>
      <c r="E675" s="7">
        <f t="shared" si="41"/>
        <v>4.0000000000000001E-3</v>
      </c>
      <c r="F675" s="7">
        <f t="shared" si="42"/>
        <v>0.19599999999999998</v>
      </c>
    </row>
    <row r="676" spans="1:6" ht="14.5" x14ac:dyDescent="0.35">
      <c r="A676" s="56"/>
      <c r="B676" s="5" t="s">
        <v>674</v>
      </c>
      <c r="C676" s="7">
        <v>0.16</v>
      </c>
      <c r="D676" s="7">
        <f t="shared" si="40"/>
        <v>0.12</v>
      </c>
      <c r="E676" s="7">
        <f t="shared" si="41"/>
        <v>2.3999999999999998E-3</v>
      </c>
      <c r="F676" s="7">
        <f t="shared" si="42"/>
        <v>0.1176</v>
      </c>
    </row>
    <row r="677" spans="1:6" ht="14.5" x14ac:dyDescent="0.35">
      <c r="A677" s="56"/>
      <c r="B677" s="5" t="s">
        <v>743</v>
      </c>
      <c r="C677" s="7">
        <v>0.17</v>
      </c>
      <c r="D677" s="7">
        <f t="shared" si="40"/>
        <v>0.13</v>
      </c>
      <c r="E677" s="7">
        <f t="shared" si="41"/>
        <v>2.6000000000000003E-3</v>
      </c>
      <c r="F677" s="7">
        <f t="shared" si="42"/>
        <v>0.12740000000000001</v>
      </c>
    </row>
    <row r="678" spans="1:6" ht="14.5" x14ac:dyDescent="0.35">
      <c r="A678" s="56"/>
      <c r="B678" s="5" t="s">
        <v>672</v>
      </c>
      <c r="C678" s="7">
        <v>0.17</v>
      </c>
      <c r="D678" s="7">
        <f t="shared" si="40"/>
        <v>0.13</v>
      </c>
      <c r="E678" s="7">
        <f t="shared" si="41"/>
        <v>2.6000000000000003E-3</v>
      </c>
      <c r="F678" s="7">
        <f t="shared" si="42"/>
        <v>0.12740000000000001</v>
      </c>
    </row>
    <row r="679" spans="1:6" ht="14.5" x14ac:dyDescent="0.35">
      <c r="A679" s="56"/>
      <c r="B679" s="5" t="s">
        <v>678</v>
      </c>
      <c r="C679" s="7">
        <v>0.19</v>
      </c>
      <c r="D679" s="7">
        <f t="shared" si="40"/>
        <v>0.15</v>
      </c>
      <c r="E679" s="7">
        <f t="shared" si="41"/>
        <v>3.0000000000000001E-3</v>
      </c>
      <c r="F679" s="7">
        <f t="shared" si="42"/>
        <v>0.14699999999999999</v>
      </c>
    </row>
    <row r="680" spans="1:6" ht="14.5" x14ac:dyDescent="0.35">
      <c r="A680" s="56"/>
      <c r="B680" s="5" t="s">
        <v>677</v>
      </c>
      <c r="C680" s="7">
        <v>0.11</v>
      </c>
      <c r="D680" s="7">
        <f t="shared" si="40"/>
        <v>7.0000000000000007E-2</v>
      </c>
      <c r="E680" s="7">
        <f t="shared" si="41"/>
        <v>1.4000000000000002E-3</v>
      </c>
      <c r="F680" s="7">
        <f t="shared" si="42"/>
        <v>6.8600000000000008E-2</v>
      </c>
    </row>
    <row r="681" spans="1:6" ht="14.5" x14ac:dyDescent="0.35">
      <c r="A681" s="56"/>
      <c r="B681" s="5" t="s">
        <v>675</v>
      </c>
      <c r="C681" s="7">
        <v>0.28999999999999998</v>
      </c>
      <c r="D681" s="7">
        <f t="shared" si="40"/>
        <v>0.24999999999999997</v>
      </c>
      <c r="E681" s="7">
        <f t="shared" si="41"/>
        <v>4.9999999999999992E-3</v>
      </c>
      <c r="F681" s="7">
        <f t="shared" si="42"/>
        <v>0.24499999999999997</v>
      </c>
    </row>
    <row r="682" spans="1:6" ht="14.5" x14ac:dyDescent="0.35">
      <c r="A682" s="56"/>
      <c r="B682" s="5" t="s">
        <v>676</v>
      </c>
      <c r="C682" s="7">
        <v>0.14000000000000001</v>
      </c>
      <c r="D682" s="7">
        <f t="shared" si="40"/>
        <v>0.1</v>
      </c>
      <c r="E682" s="7">
        <f t="shared" si="41"/>
        <v>2E-3</v>
      </c>
      <c r="F682" s="7">
        <f t="shared" si="42"/>
        <v>9.8000000000000004E-2</v>
      </c>
    </row>
    <row r="683" spans="1:6" ht="14.5" x14ac:dyDescent="0.35">
      <c r="A683" s="57"/>
      <c r="B683" s="5" t="s">
        <v>679</v>
      </c>
      <c r="C683" s="7">
        <v>0.14000000000000001</v>
      </c>
      <c r="D683" s="7">
        <f t="shared" si="40"/>
        <v>0.1</v>
      </c>
      <c r="E683" s="7">
        <f t="shared" si="41"/>
        <v>2E-3</v>
      </c>
      <c r="F683" s="7">
        <f t="shared" si="42"/>
        <v>9.8000000000000004E-2</v>
      </c>
    </row>
    <row r="684" spans="1:6" ht="14.5" x14ac:dyDescent="0.35">
      <c r="A684" s="55" t="s">
        <v>780</v>
      </c>
      <c r="B684" s="5" t="s">
        <v>665</v>
      </c>
      <c r="C684" s="7">
        <v>0.24</v>
      </c>
      <c r="D684" s="7">
        <f t="shared" si="40"/>
        <v>0.19999999999999998</v>
      </c>
      <c r="E684" s="7">
        <f t="shared" si="41"/>
        <v>4.0000000000000001E-3</v>
      </c>
      <c r="F684" s="7">
        <f t="shared" si="42"/>
        <v>0.19599999999999998</v>
      </c>
    </row>
    <row r="685" spans="1:6" ht="14.5" x14ac:dyDescent="0.35">
      <c r="A685" s="56"/>
      <c r="B685" s="5" t="s">
        <v>666</v>
      </c>
      <c r="C685" s="7">
        <v>0.24</v>
      </c>
      <c r="D685" s="7">
        <f t="shared" si="40"/>
        <v>0.19999999999999998</v>
      </c>
      <c r="E685" s="7">
        <f t="shared" si="41"/>
        <v>4.0000000000000001E-3</v>
      </c>
      <c r="F685" s="7">
        <f t="shared" si="42"/>
        <v>0.19599999999999998</v>
      </c>
    </row>
    <row r="686" spans="1:6" ht="14.5" x14ac:dyDescent="0.35">
      <c r="A686" s="56"/>
      <c r="B686" s="5" t="s">
        <v>667</v>
      </c>
      <c r="C686" s="7">
        <v>0.28000000000000003</v>
      </c>
      <c r="D686" s="7">
        <f t="shared" si="40"/>
        <v>0.24000000000000002</v>
      </c>
      <c r="E686" s="7">
        <f t="shared" si="41"/>
        <v>4.8000000000000004E-3</v>
      </c>
      <c r="F686" s="7">
        <f t="shared" si="42"/>
        <v>0.23520000000000002</v>
      </c>
    </row>
    <row r="687" spans="1:6" ht="14.5" x14ac:dyDescent="0.35">
      <c r="A687" s="56"/>
      <c r="B687" s="5" t="s">
        <v>668</v>
      </c>
      <c r="C687" s="7">
        <v>0.24</v>
      </c>
      <c r="D687" s="7">
        <f t="shared" si="40"/>
        <v>0.19999999999999998</v>
      </c>
      <c r="E687" s="7">
        <f t="shared" si="41"/>
        <v>4.0000000000000001E-3</v>
      </c>
      <c r="F687" s="7">
        <f t="shared" si="42"/>
        <v>0.19599999999999998</v>
      </c>
    </row>
    <row r="688" spans="1:6" ht="14.5" x14ac:dyDescent="0.35">
      <c r="A688" s="56"/>
      <c r="B688" s="5" t="s">
        <v>669</v>
      </c>
      <c r="C688" s="7">
        <v>0.24</v>
      </c>
      <c r="D688" s="7">
        <f t="shared" si="40"/>
        <v>0.19999999999999998</v>
      </c>
      <c r="E688" s="7">
        <f t="shared" si="41"/>
        <v>4.0000000000000001E-3</v>
      </c>
      <c r="F688" s="7">
        <f t="shared" si="42"/>
        <v>0.19599999999999998</v>
      </c>
    </row>
    <row r="689" spans="1:6" ht="14.5" x14ac:dyDescent="0.35">
      <c r="A689" s="56"/>
      <c r="B689" s="5" t="s">
        <v>670</v>
      </c>
      <c r="C689" s="7">
        <v>0.28000000000000003</v>
      </c>
      <c r="D689" s="7">
        <f t="shared" si="40"/>
        <v>0.24000000000000002</v>
      </c>
      <c r="E689" s="7">
        <f t="shared" si="41"/>
        <v>4.8000000000000004E-3</v>
      </c>
      <c r="F689" s="7">
        <f t="shared" si="42"/>
        <v>0.23520000000000002</v>
      </c>
    </row>
    <row r="690" spans="1:6" ht="14.5" x14ac:dyDescent="0.35">
      <c r="A690" s="56"/>
      <c r="B690" s="5" t="s">
        <v>671</v>
      </c>
      <c r="C690" s="7">
        <v>0.28000000000000003</v>
      </c>
      <c r="D690" s="7">
        <f t="shared" si="40"/>
        <v>0.24000000000000002</v>
      </c>
      <c r="E690" s="7">
        <f t="shared" si="41"/>
        <v>4.8000000000000004E-3</v>
      </c>
      <c r="F690" s="7">
        <f t="shared" si="42"/>
        <v>0.23520000000000002</v>
      </c>
    </row>
    <row r="691" spans="1:6" ht="14.5" x14ac:dyDescent="0.35">
      <c r="A691" s="56"/>
      <c r="B691" s="5" t="s">
        <v>673</v>
      </c>
      <c r="C691" s="7">
        <v>0.28000000000000003</v>
      </c>
      <c r="D691" s="7">
        <f t="shared" si="40"/>
        <v>0.24000000000000002</v>
      </c>
      <c r="E691" s="7">
        <f t="shared" si="41"/>
        <v>4.8000000000000004E-3</v>
      </c>
      <c r="F691" s="7">
        <f t="shared" si="42"/>
        <v>0.23520000000000002</v>
      </c>
    </row>
    <row r="692" spans="1:6" ht="14.5" x14ac:dyDescent="0.35">
      <c r="A692" s="56"/>
      <c r="B692" s="5" t="s">
        <v>674</v>
      </c>
      <c r="C692" s="7">
        <v>0.28000000000000003</v>
      </c>
      <c r="D692" s="7">
        <f t="shared" si="40"/>
        <v>0.24000000000000002</v>
      </c>
      <c r="E692" s="7">
        <f t="shared" si="41"/>
        <v>4.8000000000000004E-3</v>
      </c>
      <c r="F692" s="7">
        <f t="shared" si="42"/>
        <v>0.23520000000000002</v>
      </c>
    </row>
    <row r="693" spans="1:6" ht="14.5" x14ac:dyDescent="0.35">
      <c r="A693" s="56"/>
      <c r="B693" s="5" t="s">
        <v>743</v>
      </c>
      <c r="C693" s="7">
        <v>0.28000000000000003</v>
      </c>
      <c r="D693" s="7">
        <f t="shared" si="40"/>
        <v>0.24000000000000002</v>
      </c>
      <c r="E693" s="7">
        <f t="shared" si="41"/>
        <v>4.8000000000000004E-3</v>
      </c>
      <c r="F693" s="7">
        <f t="shared" si="42"/>
        <v>0.23520000000000002</v>
      </c>
    </row>
    <row r="694" spans="1:6" ht="14.5" x14ac:dyDescent="0.35">
      <c r="A694" s="56"/>
      <c r="B694" s="5" t="s">
        <v>672</v>
      </c>
      <c r="C694" s="7">
        <v>0.28000000000000003</v>
      </c>
      <c r="D694" s="7">
        <f t="shared" si="40"/>
        <v>0.24000000000000002</v>
      </c>
      <c r="E694" s="7">
        <f t="shared" si="41"/>
        <v>4.8000000000000004E-3</v>
      </c>
      <c r="F694" s="7">
        <f t="shared" si="42"/>
        <v>0.23520000000000002</v>
      </c>
    </row>
    <row r="695" spans="1:6" ht="14.5" x14ac:dyDescent="0.35">
      <c r="A695" s="56"/>
      <c r="B695" s="5" t="s">
        <v>678</v>
      </c>
      <c r="C695" s="7">
        <v>0.24</v>
      </c>
      <c r="D695" s="7">
        <f t="shared" si="40"/>
        <v>0.19999999999999998</v>
      </c>
      <c r="E695" s="7">
        <f t="shared" si="41"/>
        <v>4.0000000000000001E-3</v>
      </c>
      <c r="F695" s="7">
        <f t="shared" si="42"/>
        <v>0.19599999999999998</v>
      </c>
    </row>
    <row r="696" spans="1:6" ht="14.5" x14ac:dyDescent="0.35">
      <c r="A696" s="56"/>
      <c r="B696" s="5" t="s">
        <v>677</v>
      </c>
      <c r="C696" s="7">
        <v>0.3</v>
      </c>
      <c r="D696" s="7">
        <f t="shared" si="40"/>
        <v>0.26</v>
      </c>
      <c r="E696" s="7">
        <f t="shared" si="41"/>
        <v>5.2000000000000006E-3</v>
      </c>
      <c r="F696" s="7">
        <f t="shared" si="42"/>
        <v>0.25480000000000003</v>
      </c>
    </row>
    <row r="697" spans="1:6" ht="14.5" x14ac:dyDescent="0.35">
      <c r="A697" s="56"/>
      <c r="B697" s="5" t="s">
        <v>675</v>
      </c>
      <c r="C697" s="7">
        <v>0.3</v>
      </c>
      <c r="D697" s="7">
        <f t="shared" si="40"/>
        <v>0.26</v>
      </c>
      <c r="E697" s="7">
        <f t="shared" si="41"/>
        <v>5.2000000000000006E-3</v>
      </c>
      <c r="F697" s="7">
        <f t="shared" si="42"/>
        <v>0.25480000000000003</v>
      </c>
    </row>
    <row r="698" spans="1:6" ht="14.5" x14ac:dyDescent="0.35">
      <c r="A698" s="56"/>
      <c r="B698" s="5" t="s">
        <v>676</v>
      </c>
      <c r="C698" s="7">
        <v>0.3</v>
      </c>
      <c r="D698" s="7">
        <f t="shared" si="40"/>
        <v>0.26</v>
      </c>
      <c r="E698" s="7">
        <f t="shared" si="41"/>
        <v>5.2000000000000006E-3</v>
      </c>
      <c r="F698" s="7">
        <f t="shared" si="42"/>
        <v>0.25480000000000003</v>
      </c>
    </row>
    <row r="699" spans="1:6" ht="14.5" x14ac:dyDescent="0.35">
      <c r="A699" s="57"/>
      <c r="B699" s="5" t="s">
        <v>679</v>
      </c>
      <c r="C699" s="7">
        <v>0.3</v>
      </c>
      <c r="D699" s="7">
        <f t="shared" si="40"/>
        <v>0.26</v>
      </c>
      <c r="E699" s="7">
        <f t="shared" si="41"/>
        <v>5.2000000000000006E-3</v>
      </c>
      <c r="F699" s="7">
        <f t="shared" si="42"/>
        <v>0.25480000000000003</v>
      </c>
    </row>
    <row r="700" spans="1:6" ht="14.5" x14ac:dyDescent="0.35">
      <c r="A700" s="55" t="s">
        <v>781</v>
      </c>
      <c r="B700" s="5" t="s">
        <v>665</v>
      </c>
      <c r="C700" s="7">
        <v>0.15</v>
      </c>
      <c r="D700" s="7">
        <f t="shared" si="40"/>
        <v>0.10999999999999999</v>
      </c>
      <c r="E700" s="7">
        <f t="shared" si="41"/>
        <v>2.1999999999999997E-3</v>
      </c>
      <c r="F700" s="7">
        <f t="shared" si="42"/>
        <v>0.10779999999999999</v>
      </c>
    </row>
    <row r="701" spans="1:6" ht="14.5" x14ac:dyDescent="0.35">
      <c r="A701" s="56"/>
      <c r="B701" s="5" t="s">
        <v>666</v>
      </c>
      <c r="C701" s="7">
        <v>0.3</v>
      </c>
      <c r="D701" s="7">
        <f t="shared" si="40"/>
        <v>0.26</v>
      </c>
      <c r="E701" s="7">
        <f t="shared" si="41"/>
        <v>5.2000000000000006E-3</v>
      </c>
      <c r="F701" s="7">
        <f t="shared" si="42"/>
        <v>0.25480000000000003</v>
      </c>
    </row>
    <row r="702" spans="1:6" ht="14.5" x14ac:dyDescent="0.35">
      <c r="A702" s="56"/>
      <c r="B702" s="5" t="s">
        <v>667</v>
      </c>
      <c r="C702" s="7">
        <v>0.28000000000000003</v>
      </c>
      <c r="D702" s="7">
        <f t="shared" si="40"/>
        <v>0.24000000000000002</v>
      </c>
      <c r="E702" s="7">
        <f t="shared" si="41"/>
        <v>4.8000000000000004E-3</v>
      </c>
      <c r="F702" s="7">
        <f t="shared" si="42"/>
        <v>0.23520000000000002</v>
      </c>
    </row>
    <row r="703" spans="1:6" ht="14.5" x14ac:dyDescent="0.35">
      <c r="A703" s="56"/>
      <c r="B703" s="5" t="s">
        <v>668</v>
      </c>
      <c r="C703" s="7">
        <v>0</v>
      </c>
      <c r="D703" s="7" t="s">
        <v>20</v>
      </c>
      <c r="E703" s="7" t="s">
        <v>20</v>
      </c>
      <c r="F703" s="7" t="s">
        <v>20</v>
      </c>
    </row>
    <row r="704" spans="1:6" ht="14.5" x14ac:dyDescent="0.35">
      <c r="A704" s="56"/>
      <c r="B704" s="5" t="s">
        <v>669</v>
      </c>
      <c r="C704" s="7">
        <v>0</v>
      </c>
      <c r="D704" s="7" t="s">
        <v>20</v>
      </c>
      <c r="E704" s="7" t="s">
        <v>20</v>
      </c>
      <c r="F704" s="7" t="s">
        <v>20</v>
      </c>
    </row>
    <row r="705" spans="1:6" ht="14.5" x14ac:dyDescent="0.35">
      <c r="A705" s="56"/>
      <c r="B705" s="5" t="s">
        <v>670</v>
      </c>
      <c r="C705" s="7">
        <v>0.28000000000000003</v>
      </c>
      <c r="D705" s="7">
        <f t="shared" si="40"/>
        <v>0.24000000000000002</v>
      </c>
      <c r="E705" s="7">
        <f t="shared" si="41"/>
        <v>4.8000000000000004E-3</v>
      </c>
      <c r="F705" s="7">
        <f t="shared" si="42"/>
        <v>0.23520000000000002</v>
      </c>
    </row>
    <row r="706" spans="1:6" ht="14.5" x14ac:dyDescent="0.35">
      <c r="A706" s="56"/>
      <c r="B706" s="5" t="s">
        <v>671</v>
      </c>
      <c r="C706" s="7">
        <v>0.28000000000000003</v>
      </c>
      <c r="D706" s="7">
        <f t="shared" si="40"/>
        <v>0.24000000000000002</v>
      </c>
      <c r="E706" s="7">
        <f t="shared" si="41"/>
        <v>4.8000000000000004E-3</v>
      </c>
      <c r="F706" s="7">
        <f t="shared" si="42"/>
        <v>0.23520000000000002</v>
      </c>
    </row>
    <row r="707" spans="1:6" ht="14.5" x14ac:dyDescent="0.35">
      <c r="A707" s="56"/>
      <c r="B707" s="5" t="s">
        <v>673</v>
      </c>
      <c r="C707" s="7">
        <v>0.28000000000000003</v>
      </c>
      <c r="D707" s="7">
        <f t="shared" si="40"/>
        <v>0.24000000000000002</v>
      </c>
      <c r="E707" s="7">
        <f t="shared" si="41"/>
        <v>4.8000000000000004E-3</v>
      </c>
      <c r="F707" s="7">
        <f t="shared" si="42"/>
        <v>0.23520000000000002</v>
      </c>
    </row>
    <row r="708" spans="1:6" ht="14.5" x14ac:dyDescent="0.35">
      <c r="A708" s="56"/>
      <c r="B708" s="5" t="s">
        <v>674</v>
      </c>
      <c r="C708" s="7">
        <v>0.35</v>
      </c>
      <c r="D708" s="7">
        <f t="shared" si="40"/>
        <v>0.31</v>
      </c>
      <c r="E708" s="7">
        <f t="shared" si="41"/>
        <v>6.1999999999999998E-3</v>
      </c>
      <c r="F708" s="7">
        <f t="shared" si="42"/>
        <v>0.30380000000000001</v>
      </c>
    </row>
    <row r="709" spans="1:6" ht="14.5" x14ac:dyDescent="0.35">
      <c r="A709" s="56"/>
      <c r="B709" s="5" t="s">
        <v>743</v>
      </c>
      <c r="C709" s="7">
        <v>0.28000000000000003</v>
      </c>
      <c r="D709" s="7">
        <f t="shared" si="40"/>
        <v>0.24000000000000002</v>
      </c>
      <c r="E709" s="7">
        <f t="shared" si="41"/>
        <v>4.8000000000000004E-3</v>
      </c>
      <c r="F709" s="7">
        <f t="shared" si="42"/>
        <v>0.23520000000000002</v>
      </c>
    </row>
    <row r="710" spans="1:6" ht="14.5" x14ac:dyDescent="0.35">
      <c r="A710" s="56"/>
      <c r="B710" s="5" t="s">
        <v>672</v>
      </c>
      <c r="C710" s="7">
        <v>0.28000000000000003</v>
      </c>
      <c r="D710" s="7">
        <f t="shared" si="40"/>
        <v>0.24000000000000002</v>
      </c>
      <c r="E710" s="7">
        <f t="shared" si="41"/>
        <v>4.8000000000000004E-3</v>
      </c>
      <c r="F710" s="7">
        <f t="shared" si="42"/>
        <v>0.23520000000000002</v>
      </c>
    </row>
    <row r="711" spans="1:6" ht="14.5" x14ac:dyDescent="0.35">
      <c r="A711" s="56"/>
      <c r="B711" s="5" t="s">
        <v>678</v>
      </c>
      <c r="C711" s="7">
        <v>0</v>
      </c>
      <c r="D711" s="7" t="s">
        <v>20</v>
      </c>
      <c r="E711" s="7" t="s">
        <v>20</v>
      </c>
      <c r="F711" s="7" t="s">
        <v>20</v>
      </c>
    </row>
    <row r="712" spans="1:6" ht="14.5" x14ac:dyDescent="0.35">
      <c r="A712" s="56"/>
      <c r="B712" s="5" t="s">
        <v>677</v>
      </c>
      <c r="C712" s="7">
        <v>0.3</v>
      </c>
      <c r="D712" s="7">
        <f t="shared" si="40"/>
        <v>0.26</v>
      </c>
      <c r="E712" s="7">
        <f t="shared" si="41"/>
        <v>5.2000000000000006E-3</v>
      </c>
      <c r="F712" s="7">
        <f t="shared" si="42"/>
        <v>0.25480000000000003</v>
      </c>
    </row>
    <row r="713" spans="1:6" ht="14.5" x14ac:dyDescent="0.35">
      <c r="A713" s="56"/>
      <c r="B713" s="5" t="s">
        <v>675</v>
      </c>
      <c r="C713" s="7">
        <v>0.3</v>
      </c>
      <c r="D713" s="7">
        <f t="shared" si="40"/>
        <v>0.26</v>
      </c>
      <c r="E713" s="7">
        <f t="shared" si="41"/>
        <v>5.2000000000000006E-3</v>
      </c>
      <c r="F713" s="7">
        <f t="shared" si="42"/>
        <v>0.25480000000000003</v>
      </c>
    </row>
    <row r="714" spans="1:6" ht="14.5" x14ac:dyDescent="0.35">
      <c r="A714" s="56"/>
      <c r="B714" s="5" t="s">
        <v>676</v>
      </c>
      <c r="C714" s="7">
        <v>0.3</v>
      </c>
      <c r="D714" s="7">
        <f t="shared" si="40"/>
        <v>0.26</v>
      </c>
      <c r="E714" s="7">
        <f t="shared" si="41"/>
        <v>5.2000000000000006E-3</v>
      </c>
      <c r="F714" s="7">
        <f t="shared" si="42"/>
        <v>0.25480000000000003</v>
      </c>
    </row>
    <row r="715" spans="1:6" ht="14.5" x14ac:dyDescent="0.35">
      <c r="A715" s="57"/>
      <c r="B715" s="5" t="s">
        <v>679</v>
      </c>
      <c r="C715" s="7">
        <v>0.3</v>
      </c>
      <c r="D715" s="7">
        <f t="shared" si="40"/>
        <v>0.26</v>
      </c>
      <c r="E715" s="7">
        <f t="shared" si="41"/>
        <v>5.2000000000000006E-3</v>
      </c>
      <c r="F715" s="7">
        <f t="shared" si="42"/>
        <v>0.25480000000000003</v>
      </c>
    </row>
    <row r="716" spans="1:6" ht="24" x14ac:dyDescent="0.35">
      <c r="A716" s="5" t="s">
        <v>782</v>
      </c>
      <c r="B716" s="5" t="s">
        <v>662</v>
      </c>
      <c r="C716" s="6">
        <v>0.27</v>
      </c>
      <c r="D716" s="7">
        <f t="shared" si="40"/>
        <v>0.23</v>
      </c>
      <c r="E716" s="7">
        <f t="shared" si="41"/>
        <v>4.5999999999999999E-3</v>
      </c>
      <c r="F716" s="7">
        <f t="shared" si="42"/>
        <v>0.22540000000000002</v>
      </c>
    </row>
    <row r="717" spans="1:6" ht="14.5" x14ac:dyDescent="0.35">
      <c r="A717" s="48" t="s">
        <v>783</v>
      </c>
      <c r="B717" s="5" t="s">
        <v>662</v>
      </c>
      <c r="C717" s="6">
        <v>0.32</v>
      </c>
      <c r="D717" s="7">
        <f t="shared" si="40"/>
        <v>0.28000000000000003</v>
      </c>
      <c r="E717" s="7">
        <f t="shared" si="41"/>
        <v>5.6000000000000008E-3</v>
      </c>
      <c r="F717" s="7">
        <f t="shared" si="42"/>
        <v>0.27440000000000003</v>
      </c>
    </row>
    <row r="718" spans="1:6" ht="14.5" x14ac:dyDescent="0.35">
      <c r="A718" s="48"/>
      <c r="B718" s="5" t="s">
        <v>683</v>
      </c>
      <c r="C718" s="6">
        <v>0.33</v>
      </c>
      <c r="D718" s="7">
        <f t="shared" si="40"/>
        <v>0.29000000000000004</v>
      </c>
      <c r="E718" s="7">
        <f t="shared" si="41"/>
        <v>5.8000000000000005E-3</v>
      </c>
      <c r="F718" s="7">
        <f t="shared" si="42"/>
        <v>0.28420000000000001</v>
      </c>
    </row>
    <row r="719" spans="1:6" ht="14.5" x14ac:dyDescent="0.35">
      <c r="A719" s="48"/>
      <c r="B719" s="5" t="s">
        <v>684</v>
      </c>
      <c r="C719" s="6">
        <v>0.33</v>
      </c>
      <c r="D719" s="7">
        <f t="shared" si="40"/>
        <v>0.29000000000000004</v>
      </c>
      <c r="E719" s="7">
        <f t="shared" si="41"/>
        <v>5.8000000000000005E-3</v>
      </c>
      <c r="F719" s="7">
        <f t="shared" si="42"/>
        <v>0.28420000000000001</v>
      </c>
    </row>
    <row r="720" spans="1:6" ht="14.5" x14ac:dyDescent="0.35">
      <c r="A720" s="48"/>
      <c r="B720" s="5" t="s">
        <v>685</v>
      </c>
      <c r="C720" s="6">
        <v>0</v>
      </c>
      <c r="D720" s="7" t="s">
        <v>20</v>
      </c>
      <c r="E720" s="7" t="s">
        <v>20</v>
      </c>
      <c r="F720" s="7" t="s">
        <v>20</v>
      </c>
    </row>
    <row r="721" spans="1:6" ht="14.5" x14ac:dyDescent="0.35">
      <c r="A721" s="48" t="s">
        <v>784</v>
      </c>
      <c r="B721" s="5" t="s">
        <v>662</v>
      </c>
      <c r="C721" s="6">
        <v>0.14000000000000001</v>
      </c>
      <c r="D721" s="7">
        <f t="shared" ref="D721:D784" si="43">C721-(4%)</f>
        <v>0.1</v>
      </c>
      <c r="E721" s="7">
        <f t="shared" ref="E721:E784" si="44">D721*2%</f>
        <v>2E-3</v>
      </c>
      <c r="F721" s="7">
        <f t="shared" ref="F721:F784" si="45">D721-E721</f>
        <v>9.8000000000000004E-2</v>
      </c>
    </row>
    <row r="722" spans="1:6" ht="14.5" x14ac:dyDescent="0.35">
      <c r="A722" s="48"/>
      <c r="B722" s="5" t="s">
        <v>683</v>
      </c>
      <c r="C722" s="6">
        <v>0.15</v>
      </c>
      <c r="D722" s="7">
        <f t="shared" si="43"/>
        <v>0.10999999999999999</v>
      </c>
      <c r="E722" s="7">
        <f t="shared" si="44"/>
        <v>2.1999999999999997E-3</v>
      </c>
      <c r="F722" s="7">
        <f t="shared" si="45"/>
        <v>0.10779999999999999</v>
      </c>
    </row>
    <row r="723" spans="1:6" ht="14.5" x14ac:dyDescent="0.35">
      <c r="A723" s="48"/>
      <c r="B723" s="5" t="s">
        <v>684</v>
      </c>
      <c r="C723" s="6">
        <v>0.13</v>
      </c>
      <c r="D723" s="7">
        <f t="shared" si="43"/>
        <v>0.09</v>
      </c>
      <c r="E723" s="7">
        <f t="shared" si="44"/>
        <v>1.8E-3</v>
      </c>
      <c r="F723" s="7">
        <f t="shared" si="45"/>
        <v>8.8200000000000001E-2</v>
      </c>
    </row>
    <row r="724" spans="1:6" ht="14.5" x14ac:dyDescent="0.35">
      <c r="A724" s="48"/>
      <c r="B724" s="5" t="s">
        <v>685</v>
      </c>
      <c r="C724" s="6">
        <v>0.03</v>
      </c>
      <c r="D724" s="7" t="s">
        <v>20</v>
      </c>
      <c r="E724" s="7" t="s">
        <v>20</v>
      </c>
      <c r="F724" s="7" t="s">
        <v>20</v>
      </c>
    </row>
    <row r="725" spans="1:6" ht="14.5" x14ac:dyDescent="0.35">
      <c r="A725" s="48" t="s">
        <v>785</v>
      </c>
      <c r="B725" s="5" t="s">
        <v>662</v>
      </c>
      <c r="C725" s="6">
        <v>0.25</v>
      </c>
      <c r="D725" s="7">
        <f t="shared" si="43"/>
        <v>0.21</v>
      </c>
      <c r="E725" s="7">
        <f t="shared" si="44"/>
        <v>4.1999999999999997E-3</v>
      </c>
      <c r="F725" s="7">
        <f t="shared" si="45"/>
        <v>0.20579999999999998</v>
      </c>
    </row>
    <row r="726" spans="1:6" ht="14.5" x14ac:dyDescent="0.35">
      <c r="A726" s="48"/>
      <c r="B726" s="5" t="s">
        <v>683</v>
      </c>
      <c r="C726" s="6">
        <v>0.23</v>
      </c>
      <c r="D726" s="7">
        <f t="shared" si="43"/>
        <v>0.19</v>
      </c>
      <c r="E726" s="7">
        <f t="shared" si="44"/>
        <v>3.8E-3</v>
      </c>
      <c r="F726" s="7">
        <f t="shared" si="45"/>
        <v>0.1862</v>
      </c>
    </row>
    <row r="727" spans="1:6" ht="14.5" x14ac:dyDescent="0.35">
      <c r="A727" s="48"/>
      <c r="B727" s="5" t="s">
        <v>684</v>
      </c>
      <c r="C727" s="6">
        <v>0.23</v>
      </c>
      <c r="D727" s="7">
        <f t="shared" si="43"/>
        <v>0.19</v>
      </c>
      <c r="E727" s="7">
        <f t="shared" si="44"/>
        <v>3.8E-3</v>
      </c>
      <c r="F727" s="7">
        <f t="shared" si="45"/>
        <v>0.1862</v>
      </c>
    </row>
    <row r="728" spans="1:6" ht="14.5" x14ac:dyDescent="0.35">
      <c r="A728" s="48"/>
      <c r="B728" s="5" t="s">
        <v>685</v>
      </c>
      <c r="C728" s="6">
        <v>0.12</v>
      </c>
      <c r="D728" s="7">
        <f t="shared" si="43"/>
        <v>7.9999999999999988E-2</v>
      </c>
      <c r="E728" s="7">
        <f t="shared" si="44"/>
        <v>1.5999999999999999E-3</v>
      </c>
      <c r="F728" s="7">
        <f t="shared" si="45"/>
        <v>7.8399999999999984E-2</v>
      </c>
    </row>
    <row r="729" spans="1:6" ht="14.5" x14ac:dyDescent="0.35">
      <c r="A729" s="48" t="s">
        <v>786</v>
      </c>
      <c r="B729" s="5" t="s">
        <v>32</v>
      </c>
      <c r="C729" s="7">
        <v>0.3</v>
      </c>
      <c r="D729" s="7">
        <f t="shared" si="43"/>
        <v>0.26</v>
      </c>
      <c r="E729" s="7">
        <f t="shared" si="44"/>
        <v>5.2000000000000006E-3</v>
      </c>
      <c r="F729" s="7">
        <f t="shared" si="45"/>
        <v>0.25480000000000003</v>
      </c>
    </row>
    <row r="730" spans="1:6" ht="14.5" x14ac:dyDescent="0.35">
      <c r="A730" s="48"/>
      <c r="B730" s="5" t="s">
        <v>108</v>
      </c>
      <c r="C730" s="7">
        <v>0.2</v>
      </c>
      <c r="D730" s="7">
        <f t="shared" si="43"/>
        <v>0.16</v>
      </c>
      <c r="E730" s="7">
        <f t="shared" si="44"/>
        <v>3.2000000000000002E-3</v>
      </c>
      <c r="F730" s="7">
        <f t="shared" si="45"/>
        <v>0.15679999999999999</v>
      </c>
    </row>
    <row r="731" spans="1:6" ht="14.5" x14ac:dyDescent="0.35">
      <c r="A731" s="11" t="s">
        <v>787</v>
      </c>
      <c r="B731" s="5" t="s">
        <v>683</v>
      </c>
      <c r="C731" s="7">
        <v>0.2</v>
      </c>
      <c r="D731" s="7">
        <f t="shared" si="43"/>
        <v>0.16</v>
      </c>
      <c r="E731" s="7">
        <f t="shared" si="44"/>
        <v>3.2000000000000002E-3</v>
      </c>
      <c r="F731" s="7">
        <f t="shared" si="45"/>
        <v>0.15679999999999999</v>
      </c>
    </row>
    <row r="732" spans="1:6" ht="24" x14ac:dyDescent="0.35">
      <c r="A732" s="5" t="s">
        <v>173</v>
      </c>
      <c r="B732" s="5" t="s">
        <v>100</v>
      </c>
      <c r="C732" s="7">
        <v>0.19</v>
      </c>
      <c r="D732" s="7">
        <f t="shared" si="43"/>
        <v>0.15</v>
      </c>
      <c r="E732" s="7">
        <f t="shared" si="44"/>
        <v>3.0000000000000001E-3</v>
      </c>
      <c r="F732" s="7">
        <f t="shared" si="45"/>
        <v>0.14699999999999999</v>
      </c>
    </row>
    <row r="733" spans="1:6" ht="24" x14ac:dyDescent="0.35">
      <c r="A733" s="5" t="s">
        <v>174</v>
      </c>
      <c r="B733" s="5" t="s">
        <v>100</v>
      </c>
      <c r="C733" s="7">
        <v>0.21</v>
      </c>
      <c r="D733" s="7">
        <f t="shared" si="43"/>
        <v>0.16999999999999998</v>
      </c>
      <c r="E733" s="7">
        <f t="shared" si="44"/>
        <v>3.3999999999999998E-3</v>
      </c>
      <c r="F733" s="7">
        <f t="shared" si="45"/>
        <v>0.1666</v>
      </c>
    </row>
    <row r="734" spans="1:6" ht="24" x14ac:dyDescent="0.35">
      <c r="A734" s="5" t="s">
        <v>788</v>
      </c>
      <c r="B734" s="5" t="s">
        <v>100</v>
      </c>
      <c r="C734" s="7">
        <v>0.24</v>
      </c>
      <c r="D734" s="7">
        <f t="shared" si="43"/>
        <v>0.19999999999999998</v>
      </c>
      <c r="E734" s="7">
        <f t="shared" si="44"/>
        <v>4.0000000000000001E-3</v>
      </c>
      <c r="F734" s="7">
        <f t="shared" si="45"/>
        <v>0.19599999999999998</v>
      </c>
    </row>
    <row r="735" spans="1:6" ht="24" x14ac:dyDescent="0.35">
      <c r="A735" s="5" t="s">
        <v>789</v>
      </c>
      <c r="B735" s="5" t="s">
        <v>100</v>
      </c>
      <c r="C735" s="7">
        <v>0.26</v>
      </c>
      <c r="D735" s="7">
        <f t="shared" si="43"/>
        <v>0.22</v>
      </c>
      <c r="E735" s="7">
        <f t="shared" si="44"/>
        <v>4.4000000000000003E-3</v>
      </c>
      <c r="F735" s="7">
        <f t="shared" si="45"/>
        <v>0.21560000000000001</v>
      </c>
    </row>
    <row r="736" spans="1:6" ht="24" x14ac:dyDescent="0.35">
      <c r="A736" s="5" t="s">
        <v>790</v>
      </c>
      <c r="B736" s="5" t="s">
        <v>100</v>
      </c>
      <c r="C736" s="7">
        <v>0.27</v>
      </c>
      <c r="D736" s="7">
        <f t="shared" si="43"/>
        <v>0.23</v>
      </c>
      <c r="E736" s="7">
        <f t="shared" si="44"/>
        <v>4.5999999999999999E-3</v>
      </c>
      <c r="F736" s="7">
        <f t="shared" si="45"/>
        <v>0.22540000000000002</v>
      </c>
    </row>
    <row r="737" spans="1:6" ht="24" x14ac:dyDescent="0.35">
      <c r="A737" s="5" t="s">
        <v>791</v>
      </c>
      <c r="B737" s="5" t="s">
        <v>100</v>
      </c>
      <c r="C737" s="7">
        <v>0.28999999999999998</v>
      </c>
      <c r="D737" s="7">
        <f t="shared" si="43"/>
        <v>0.24999999999999997</v>
      </c>
      <c r="E737" s="7">
        <f t="shared" si="44"/>
        <v>4.9999999999999992E-3</v>
      </c>
      <c r="F737" s="7">
        <f t="shared" si="45"/>
        <v>0.24499999999999997</v>
      </c>
    </row>
    <row r="738" spans="1:6" ht="24" x14ac:dyDescent="0.35">
      <c r="A738" s="5" t="s">
        <v>792</v>
      </c>
      <c r="B738" s="5" t="s">
        <v>100</v>
      </c>
      <c r="C738" s="7">
        <v>0.1</v>
      </c>
      <c r="D738" s="7">
        <f t="shared" si="43"/>
        <v>6.0000000000000005E-2</v>
      </c>
      <c r="E738" s="7">
        <f t="shared" si="44"/>
        <v>1.2000000000000001E-3</v>
      </c>
      <c r="F738" s="7">
        <f t="shared" si="45"/>
        <v>5.8800000000000005E-2</v>
      </c>
    </row>
    <row r="739" spans="1:6" ht="14.5" x14ac:dyDescent="0.35">
      <c r="A739" s="5" t="s">
        <v>793</v>
      </c>
      <c r="B739" s="5" t="s">
        <v>100</v>
      </c>
      <c r="C739" s="7">
        <v>0.1</v>
      </c>
      <c r="D739" s="7">
        <f t="shared" si="43"/>
        <v>6.0000000000000005E-2</v>
      </c>
      <c r="E739" s="7">
        <f t="shared" si="44"/>
        <v>1.2000000000000001E-3</v>
      </c>
      <c r="F739" s="7">
        <f t="shared" si="45"/>
        <v>5.8800000000000005E-2</v>
      </c>
    </row>
    <row r="740" spans="1:6" ht="24" x14ac:dyDescent="0.35">
      <c r="A740" s="5" t="s">
        <v>794</v>
      </c>
      <c r="B740" s="5" t="s">
        <v>100</v>
      </c>
      <c r="C740" s="7">
        <v>0.12</v>
      </c>
      <c r="D740" s="7">
        <f t="shared" si="43"/>
        <v>7.9999999999999988E-2</v>
      </c>
      <c r="E740" s="7">
        <f t="shared" si="44"/>
        <v>1.5999999999999999E-3</v>
      </c>
      <c r="F740" s="7">
        <f t="shared" si="45"/>
        <v>7.8399999999999984E-2</v>
      </c>
    </row>
    <row r="741" spans="1:6" ht="24" x14ac:dyDescent="0.35">
      <c r="A741" s="5" t="s">
        <v>795</v>
      </c>
      <c r="B741" s="5" t="s">
        <v>100</v>
      </c>
      <c r="C741" s="7">
        <v>0.18</v>
      </c>
      <c r="D741" s="7">
        <f t="shared" si="43"/>
        <v>0.13999999999999999</v>
      </c>
      <c r="E741" s="7">
        <f t="shared" si="44"/>
        <v>2.8E-3</v>
      </c>
      <c r="F741" s="7">
        <f t="shared" si="45"/>
        <v>0.13719999999999999</v>
      </c>
    </row>
    <row r="742" spans="1:6" ht="24" x14ac:dyDescent="0.35">
      <c r="A742" s="5" t="s">
        <v>796</v>
      </c>
      <c r="B742" s="5" t="s">
        <v>100</v>
      </c>
      <c r="C742" s="7">
        <v>0.15</v>
      </c>
      <c r="D742" s="7">
        <f t="shared" si="43"/>
        <v>0.10999999999999999</v>
      </c>
      <c r="E742" s="7">
        <f t="shared" si="44"/>
        <v>2.1999999999999997E-3</v>
      </c>
      <c r="F742" s="7">
        <f t="shared" si="45"/>
        <v>0.10779999999999999</v>
      </c>
    </row>
    <row r="743" spans="1:6" ht="24" x14ac:dyDescent="0.35">
      <c r="A743" s="5" t="s">
        <v>797</v>
      </c>
      <c r="B743" s="5" t="s">
        <v>100</v>
      </c>
      <c r="C743" s="7">
        <v>0.21</v>
      </c>
      <c r="D743" s="7">
        <f t="shared" si="43"/>
        <v>0.16999999999999998</v>
      </c>
      <c r="E743" s="7">
        <f t="shared" si="44"/>
        <v>3.3999999999999998E-3</v>
      </c>
      <c r="F743" s="7">
        <f t="shared" si="45"/>
        <v>0.1666</v>
      </c>
    </row>
    <row r="744" spans="1:6" ht="14.5" x14ac:dyDescent="0.35">
      <c r="A744" s="41" t="s">
        <v>798</v>
      </c>
      <c r="B744" s="5" t="s">
        <v>691</v>
      </c>
      <c r="C744" s="7">
        <v>0.19500000000000001</v>
      </c>
      <c r="D744" s="7">
        <f t="shared" si="43"/>
        <v>0.155</v>
      </c>
      <c r="E744" s="7">
        <f t="shared" si="44"/>
        <v>3.0999999999999999E-3</v>
      </c>
      <c r="F744" s="7">
        <f t="shared" si="45"/>
        <v>0.15190000000000001</v>
      </c>
    </row>
    <row r="745" spans="1:6" ht="14.5" x14ac:dyDescent="0.35">
      <c r="A745" s="43"/>
      <c r="B745" s="5" t="s">
        <v>692</v>
      </c>
      <c r="C745" s="7">
        <v>0.22500000000000001</v>
      </c>
      <c r="D745" s="7">
        <f t="shared" si="43"/>
        <v>0.185</v>
      </c>
      <c r="E745" s="7">
        <f t="shared" si="44"/>
        <v>3.7000000000000002E-3</v>
      </c>
      <c r="F745" s="7">
        <f t="shared" si="45"/>
        <v>0.18129999999999999</v>
      </c>
    </row>
    <row r="746" spans="1:6" ht="14.5" x14ac:dyDescent="0.35">
      <c r="A746" s="2" t="s">
        <v>175</v>
      </c>
      <c r="B746" s="2" t="s">
        <v>1</v>
      </c>
      <c r="C746" s="3" t="s">
        <v>2</v>
      </c>
      <c r="D746" s="4" t="s">
        <v>4</v>
      </c>
      <c r="E746" s="4" t="s">
        <v>5</v>
      </c>
      <c r="F746" s="4" t="s">
        <v>6</v>
      </c>
    </row>
    <row r="747" spans="1:6" ht="14.5" x14ac:dyDescent="0.35">
      <c r="A747" s="5" t="s">
        <v>799</v>
      </c>
      <c r="B747" s="5" t="s">
        <v>750</v>
      </c>
      <c r="C747" s="7">
        <v>0.15</v>
      </c>
      <c r="D747" s="7">
        <f t="shared" si="43"/>
        <v>0.10999999999999999</v>
      </c>
      <c r="E747" s="7">
        <f t="shared" si="44"/>
        <v>2.1999999999999997E-3</v>
      </c>
      <c r="F747" s="7">
        <f t="shared" si="45"/>
        <v>0.10779999999999999</v>
      </c>
    </row>
    <row r="748" spans="1:6" ht="14.5" x14ac:dyDescent="0.35">
      <c r="A748" s="5" t="s">
        <v>800</v>
      </c>
      <c r="B748" s="5" t="s">
        <v>752</v>
      </c>
      <c r="C748" s="7">
        <v>0.15</v>
      </c>
      <c r="D748" s="7">
        <f t="shared" si="43"/>
        <v>0.10999999999999999</v>
      </c>
      <c r="E748" s="7">
        <f t="shared" si="44"/>
        <v>2.1999999999999997E-3</v>
      </c>
      <c r="F748" s="7">
        <f t="shared" si="45"/>
        <v>0.10779999999999999</v>
      </c>
    </row>
    <row r="749" spans="1:6" ht="14.5" x14ac:dyDescent="0.35">
      <c r="A749" s="5" t="s">
        <v>801</v>
      </c>
      <c r="B749" s="5" t="s">
        <v>750</v>
      </c>
      <c r="C749" s="7">
        <v>0.125</v>
      </c>
      <c r="D749" s="7">
        <f t="shared" si="43"/>
        <v>8.4999999999999992E-2</v>
      </c>
      <c r="E749" s="7">
        <f t="shared" si="44"/>
        <v>1.6999999999999999E-3</v>
      </c>
      <c r="F749" s="7">
        <f t="shared" si="45"/>
        <v>8.3299999999999999E-2</v>
      </c>
    </row>
    <row r="750" spans="1:6" ht="14.5" x14ac:dyDescent="0.35">
      <c r="A750" s="5" t="s">
        <v>802</v>
      </c>
      <c r="B750" s="5" t="s">
        <v>752</v>
      </c>
      <c r="C750" s="7">
        <v>0.125</v>
      </c>
      <c r="D750" s="7">
        <f t="shared" si="43"/>
        <v>8.4999999999999992E-2</v>
      </c>
      <c r="E750" s="7">
        <f t="shared" si="44"/>
        <v>1.6999999999999999E-3</v>
      </c>
      <c r="F750" s="7">
        <f t="shared" si="45"/>
        <v>8.3299999999999999E-2</v>
      </c>
    </row>
    <row r="751" spans="1:6" ht="24" customHeight="1" x14ac:dyDescent="0.35">
      <c r="A751" s="48" t="s">
        <v>803</v>
      </c>
      <c r="B751" s="5" t="s">
        <v>685</v>
      </c>
      <c r="C751" s="7">
        <v>0</v>
      </c>
      <c r="D751" s="7" t="s">
        <v>20</v>
      </c>
      <c r="E751" s="7" t="s">
        <v>20</v>
      </c>
      <c r="F751" s="7" t="s">
        <v>20</v>
      </c>
    </row>
    <row r="752" spans="1:6" ht="14.5" x14ac:dyDescent="0.35">
      <c r="A752" s="48"/>
      <c r="B752" s="5" t="s">
        <v>683</v>
      </c>
      <c r="C752" s="7">
        <v>0.21</v>
      </c>
      <c r="D752" s="7">
        <f t="shared" si="43"/>
        <v>0.16999999999999998</v>
      </c>
      <c r="E752" s="7">
        <f t="shared" si="44"/>
        <v>3.3999999999999998E-3</v>
      </c>
      <c r="F752" s="7">
        <f t="shared" si="45"/>
        <v>0.1666</v>
      </c>
    </row>
    <row r="753" spans="1:6" ht="14.5" x14ac:dyDescent="0.35">
      <c r="A753" s="48"/>
      <c r="B753" s="5" t="s">
        <v>684</v>
      </c>
      <c r="C753" s="7">
        <v>0</v>
      </c>
      <c r="D753" s="7" t="s">
        <v>20</v>
      </c>
      <c r="E753" s="7" t="s">
        <v>20</v>
      </c>
      <c r="F753" s="7" t="s">
        <v>20</v>
      </c>
    </row>
    <row r="754" spans="1:6" ht="14.5" x14ac:dyDescent="0.35">
      <c r="A754" s="48"/>
      <c r="B754" s="5" t="s">
        <v>662</v>
      </c>
      <c r="C754" s="7">
        <v>0.22</v>
      </c>
      <c r="D754" s="7">
        <f t="shared" si="43"/>
        <v>0.18</v>
      </c>
      <c r="E754" s="7">
        <f t="shared" si="44"/>
        <v>3.5999999999999999E-3</v>
      </c>
      <c r="F754" s="7">
        <f t="shared" si="45"/>
        <v>0.1764</v>
      </c>
    </row>
    <row r="755" spans="1:6" ht="14.5" x14ac:dyDescent="0.35">
      <c r="A755" s="48" t="s">
        <v>804</v>
      </c>
      <c r="B755" s="5" t="s">
        <v>685</v>
      </c>
      <c r="C755" s="7">
        <v>0</v>
      </c>
      <c r="D755" s="7" t="s">
        <v>20</v>
      </c>
      <c r="E755" s="7" t="s">
        <v>20</v>
      </c>
      <c r="F755" s="7" t="s">
        <v>20</v>
      </c>
    </row>
    <row r="756" spans="1:6" ht="14.5" x14ac:dyDescent="0.35">
      <c r="A756" s="48"/>
      <c r="B756" s="5" t="s">
        <v>683</v>
      </c>
      <c r="C756" s="7">
        <v>0.17</v>
      </c>
      <c r="D756" s="7">
        <f t="shared" si="43"/>
        <v>0.13</v>
      </c>
      <c r="E756" s="7">
        <f t="shared" si="44"/>
        <v>2.6000000000000003E-3</v>
      </c>
      <c r="F756" s="7">
        <f t="shared" si="45"/>
        <v>0.12740000000000001</v>
      </c>
    </row>
    <row r="757" spans="1:6" ht="14.5" x14ac:dyDescent="0.35">
      <c r="A757" s="48"/>
      <c r="B757" s="5" t="s">
        <v>684</v>
      </c>
      <c r="C757" s="7">
        <v>0</v>
      </c>
      <c r="D757" s="7" t="s">
        <v>20</v>
      </c>
      <c r="E757" s="7" t="s">
        <v>20</v>
      </c>
      <c r="F757" s="7" t="s">
        <v>20</v>
      </c>
    </row>
    <row r="758" spans="1:6" ht="14.5" x14ac:dyDescent="0.35">
      <c r="A758" s="48"/>
      <c r="B758" s="5" t="s">
        <v>662</v>
      </c>
      <c r="C758" s="7">
        <v>0.15</v>
      </c>
      <c r="D758" s="7">
        <f t="shared" si="43"/>
        <v>0.10999999999999999</v>
      </c>
      <c r="E758" s="7">
        <f t="shared" si="44"/>
        <v>2.1999999999999997E-3</v>
      </c>
      <c r="F758" s="7">
        <f t="shared" si="45"/>
        <v>0.10779999999999999</v>
      </c>
    </row>
    <row r="759" spans="1:6" ht="14.5" x14ac:dyDescent="0.35">
      <c r="A759" s="48" t="s">
        <v>805</v>
      </c>
      <c r="B759" s="5" t="s">
        <v>32</v>
      </c>
      <c r="C759" s="7">
        <v>0.25</v>
      </c>
      <c r="D759" s="7">
        <f t="shared" si="43"/>
        <v>0.21</v>
      </c>
      <c r="E759" s="7">
        <f t="shared" si="44"/>
        <v>4.1999999999999997E-3</v>
      </c>
      <c r="F759" s="7">
        <f t="shared" si="45"/>
        <v>0.20579999999999998</v>
      </c>
    </row>
    <row r="760" spans="1:6" ht="14.5" x14ac:dyDescent="0.35">
      <c r="A760" s="48"/>
      <c r="B760" s="5" t="s">
        <v>108</v>
      </c>
      <c r="C760" s="7">
        <v>0.2</v>
      </c>
      <c r="D760" s="7">
        <f t="shared" si="43"/>
        <v>0.16</v>
      </c>
      <c r="E760" s="7">
        <f t="shared" si="44"/>
        <v>3.2000000000000002E-3</v>
      </c>
      <c r="F760" s="7">
        <f t="shared" si="45"/>
        <v>0.15679999999999999</v>
      </c>
    </row>
    <row r="761" spans="1:6" ht="14.5" x14ac:dyDescent="0.35">
      <c r="A761" s="5" t="s">
        <v>806</v>
      </c>
      <c r="B761" s="5" t="s">
        <v>32</v>
      </c>
      <c r="C761" s="7">
        <v>0.2</v>
      </c>
      <c r="D761" s="7">
        <f t="shared" si="43"/>
        <v>0.16</v>
      </c>
      <c r="E761" s="7">
        <f t="shared" si="44"/>
        <v>3.2000000000000002E-3</v>
      </c>
      <c r="F761" s="7">
        <f t="shared" si="45"/>
        <v>0.15679999999999999</v>
      </c>
    </row>
    <row r="762" spans="1:6" ht="14.5" x14ac:dyDescent="0.35">
      <c r="A762" s="48" t="s">
        <v>807</v>
      </c>
      <c r="B762" s="5" t="s">
        <v>662</v>
      </c>
      <c r="C762" s="7">
        <v>0.16</v>
      </c>
      <c r="D762" s="7">
        <f t="shared" si="43"/>
        <v>0.12</v>
      </c>
      <c r="E762" s="7">
        <f t="shared" si="44"/>
        <v>2.3999999999999998E-3</v>
      </c>
      <c r="F762" s="7">
        <f t="shared" si="45"/>
        <v>0.1176</v>
      </c>
    </row>
    <row r="763" spans="1:6" ht="14.5" x14ac:dyDescent="0.35">
      <c r="A763" s="48"/>
      <c r="B763" s="5" t="s">
        <v>663</v>
      </c>
      <c r="C763" s="7">
        <v>0.16</v>
      </c>
      <c r="D763" s="7">
        <f t="shared" si="43"/>
        <v>0.12</v>
      </c>
      <c r="E763" s="7">
        <f t="shared" si="44"/>
        <v>2.3999999999999998E-3</v>
      </c>
      <c r="F763" s="7">
        <f t="shared" si="45"/>
        <v>0.1176</v>
      </c>
    </row>
    <row r="764" spans="1:6" ht="14.5" x14ac:dyDescent="0.35">
      <c r="A764" s="48" t="s">
        <v>808</v>
      </c>
      <c r="B764" s="5" t="s">
        <v>662</v>
      </c>
      <c r="C764" s="7">
        <v>0.17</v>
      </c>
      <c r="D764" s="7">
        <f t="shared" si="43"/>
        <v>0.13</v>
      </c>
      <c r="E764" s="7">
        <f t="shared" si="44"/>
        <v>2.6000000000000003E-3</v>
      </c>
      <c r="F764" s="7">
        <f t="shared" si="45"/>
        <v>0.12740000000000001</v>
      </c>
    </row>
    <row r="765" spans="1:6" ht="14.5" x14ac:dyDescent="0.35">
      <c r="A765" s="48"/>
      <c r="B765" s="5" t="s">
        <v>663</v>
      </c>
      <c r="C765" s="7">
        <v>0.17</v>
      </c>
      <c r="D765" s="7">
        <f t="shared" si="43"/>
        <v>0.13</v>
      </c>
      <c r="E765" s="7">
        <f t="shared" si="44"/>
        <v>2.6000000000000003E-3</v>
      </c>
      <c r="F765" s="7">
        <f t="shared" si="45"/>
        <v>0.12740000000000001</v>
      </c>
    </row>
    <row r="766" spans="1:6" ht="14.5" x14ac:dyDescent="0.35">
      <c r="A766" s="48" t="s">
        <v>809</v>
      </c>
      <c r="B766" s="5" t="s">
        <v>662</v>
      </c>
      <c r="C766" s="7">
        <v>0.21</v>
      </c>
      <c r="D766" s="7">
        <f t="shared" si="43"/>
        <v>0.16999999999999998</v>
      </c>
      <c r="E766" s="7">
        <f t="shared" si="44"/>
        <v>3.3999999999999998E-3</v>
      </c>
      <c r="F766" s="7">
        <f t="shared" si="45"/>
        <v>0.1666</v>
      </c>
    </row>
    <row r="767" spans="1:6" ht="14.5" x14ac:dyDescent="0.35">
      <c r="A767" s="48"/>
      <c r="B767" s="5" t="s">
        <v>663</v>
      </c>
      <c r="C767" s="7">
        <v>0.21</v>
      </c>
      <c r="D767" s="7">
        <f t="shared" si="43"/>
        <v>0.16999999999999998</v>
      </c>
      <c r="E767" s="7">
        <f t="shared" si="44"/>
        <v>3.3999999999999998E-3</v>
      </c>
      <c r="F767" s="7">
        <f t="shared" si="45"/>
        <v>0.1666</v>
      </c>
    </row>
    <row r="768" spans="1:6" ht="14.5" x14ac:dyDescent="0.35">
      <c r="A768" s="48" t="s">
        <v>810</v>
      </c>
      <c r="B768" s="5" t="s">
        <v>662</v>
      </c>
      <c r="C768" s="7">
        <v>0.21</v>
      </c>
      <c r="D768" s="7">
        <f t="shared" si="43"/>
        <v>0.16999999999999998</v>
      </c>
      <c r="E768" s="7">
        <f t="shared" si="44"/>
        <v>3.3999999999999998E-3</v>
      </c>
      <c r="F768" s="7">
        <f t="shared" si="45"/>
        <v>0.1666</v>
      </c>
    </row>
    <row r="769" spans="1:6" ht="14.5" x14ac:dyDescent="0.35">
      <c r="A769" s="48"/>
      <c r="B769" s="5" t="s">
        <v>663</v>
      </c>
      <c r="C769" s="7">
        <v>0.21</v>
      </c>
      <c r="D769" s="7">
        <f t="shared" si="43"/>
        <v>0.16999999999999998</v>
      </c>
      <c r="E769" s="7">
        <f t="shared" si="44"/>
        <v>3.3999999999999998E-3</v>
      </c>
      <c r="F769" s="7">
        <f t="shared" si="45"/>
        <v>0.1666</v>
      </c>
    </row>
    <row r="770" spans="1:6" ht="14.5" x14ac:dyDescent="0.35">
      <c r="A770" s="48" t="s">
        <v>811</v>
      </c>
      <c r="B770" s="5" t="s">
        <v>662</v>
      </c>
      <c r="C770" s="7">
        <v>0.1</v>
      </c>
      <c r="D770" s="7">
        <f t="shared" si="43"/>
        <v>6.0000000000000005E-2</v>
      </c>
      <c r="E770" s="7">
        <f t="shared" si="44"/>
        <v>1.2000000000000001E-3</v>
      </c>
      <c r="F770" s="7">
        <f t="shared" si="45"/>
        <v>5.8800000000000005E-2</v>
      </c>
    </row>
    <row r="771" spans="1:6" ht="14.5" x14ac:dyDescent="0.35">
      <c r="A771" s="48"/>
      <c r="B771" s="5" t="s">
        <v>663</v>
      </c>
      <c r="C771" s="7">
        <v>0.11</v>
      </c>
      <c r="D771" s="7">
        <f t="shared" si="43"/>
        <v>7.0000000000000007E-2</v>
      </c>
      <c r="E771" s="7">
        <f t="shared" si="44"/>
        <v>1.4000000000000002E-3</v>
      </c>
      <c r="F771" s="7">
        <f t="shared" si="45"/>
        <v>6.8600000000000008E-2</v>
      </c>
    </row>
    <row r="772" spans="1:6" ht="14.5" x14ac:dyDescent="0.35">
      <c r="A772" s="48" t="s">
        <v>812</v>
      </c>
      <c r="B772" s="5" t="s">
        <v>662</v>
      </c>
      <c r="C772" s="7">
        <v>0.11</v>
      </c>
      <c r="D772" s="7">
        <f t="shared" si="43"/>
        <v>7.0000000000000007E-2</v>
      </c>
      <c r="E772" s="7">
        <f t="shared" si="44"/>
        <v>1.4000000000000002E-3</v>
      </c>
      <c r="F772" s="7">
        <f t="shared" si="45"/>
        <v>6.8600000000000008E-2</v>
      </c>
    </row>
    <row r="773" spans="1:6" ht="14.5" x14ac:dyDescent="0.35">
      <c r="A773" s="48"/>
      <c r="B773" s="5" t="s">
        <v>663</v>
      </c>
      <c r="C773" s="7">
        <v>0.12</v>
      </c>
      <c r="D773" s="7">
        <f t="shared" si="43"/>
        <v>7.9999999999999988E-2</v>
      </c>
      <c r="E773" s="7">
        <f t="shared" si="44"/>
        <v>1.5999999999999999E-3</v>
      </c>
      <c r="F773" s="7">
        <f t="shared" si="45"/>
        <v>7.8399999999999984E-2</v>
      </c>
    </row>
    <row r="774" spans="1:6" ht="14.5" x14ac:dyDescent="0.35">
      <c r="A774" s="48" t="s">
        <v>813</v>
      </c>
      <c r="B774" s="5" t="s">
        <v>662</v>
      </c>
      <c r="C774" s="7">
        <v>0.1</v>
      </c>
      <c r="D774" s="7">
        <f t="shared" si="43"/>
        <v>6.0000000000000005E-2</v>
      </c>
      <c r="E774" s="7">
        <f t="shared" si="44"/>
        <v>1.2000000000000001E-3</v>
      </c>
      <c r="F774" s="7">
        <f t="shared" si="45"/>
        <v>5.8800000000000005E-2</v>
      </c>
    </row>
    <row r="775" spans="1:6" ht="14.5" x14ac:dyDescent="0.35">
      <c r="A775" s="48"/>
      <c r="B775" s="5" t="s">
        <v>663</v>
      </c>
      <c r="C775" s="7">
        <v>0.11</v>
      </c>
      <c r="D775" s="7">
        <f t="shared" si="43"/>
        <v>7.0000000000000007E-2</v>
      </c>
      <c r="E775" s="7">
        <f t="shared" si="44"/>
        <v>1.4000000000000002E-3</v>
      </c>
      <c r="F775" s="7">
        <f t="shared" si="45"/>
        <v>6.8600000000000008E-2</v>
      </c>
    </row>
    <row r="776" spans="1:6" ht="14.5" x14ac:dyDescent="0.35">
      <c r="A776" s="48" t="s">
        <v>814</v>
      </c>
      <c r="B776" s="5" t="s">
        <v>662</v>
      </c>
      <c r="C776" s="7">
        <v>0.11</v>
      </c>
      <c r="D776" s="7">
        <f t="shared" si="43"/>
        <v>7.0000000000000007E-2</v>
      </c>
      <c r="E776" s="7">
        <f t="shared" si="44"/>
        <v>1.4000000000000002E-3</v>
      </c>
      <c r="F776" s="7">
        <f t="shared" si="45"/>
        <v>6.8600000000000008E-2</v>
      </c>
    </row>
    <row r="777" spans="1:6" ht="14.5" x14ac:dyDescent="0.35">
      <c r="A777" s="48"/>
      <c r="B777" s="5" t="s">
        <v>663</v>
      </c>
      <c r="C777" s="7">
        <v>0.12</v>
      </c>
      <c r="D777" s="7">
        <f t="shared" si="43"/>
        <v>7.9999999999999988E-2</v>
      </c>
      <c r="E777" s="7">
        <f t="shared" si="44"/>
        <v>1.5999999999999999E-3</v>
      </c>
      <c r="F777" s="7">
        <f t="shared" si="45"/>
        <v>7.8399999999999984E-2</v>
      </c>
    </row>
    <row r="778" spans="1:6" ht="14.5" x14ac:dyDescent="0.35">
      <c r="A778" s="40" t="s">
        <v>1158</v>
      </c>
      <c r="B778" s="5" t="s">
        <v>665</v>
      </c>
      <c r="C778" s="7">
        <v>0</v>
      </c>
      <c r="D778" s="7" t="s">
        <v>20</v>
      </c>
      <c r="E778" s="7" t="s">
        <v>20</v>
      </c>
      <c r="F778" s="7" t="s">
        <v>20</v>
      </c>
    </row>
    <row r="779" spans="1:6" ht="14.5" x14ac:dyDescent="0.35">
      <c r="A779" s="40"/>
      <c r="B779" s="5" t="s">
        <v>666</v>
      </c>
      <c r="C779" s="7">
        <v>0.3</v>
      </c>
      <c r="D779" s="7">
        <f t="shared" si="43"/>
        <v>0.26</v>
      </c>
      <c r="E779" s="7">
        <f t="shared" si="44"/>
        <v>5.2000000000000006E-3</v>
      </c>
      <c r="F779" s="7">
        <f t="shared" si="45"/>
        <v>0.25480000000000003</v>
      </c>
    </row>
    <row r="780" spans="1:6" ht="14.5" x14ac:dyDescent="0.35">
      <c r="A780" s="40"/>
      <c r="B780" s="5" t="s">
        <v>667</v>
      </c>
      <c r="C780" s="7">
        <v>0.35</v>
      </c>
      <c r="D780" s="7">
        <f t="shared" si="43"/>
        <v>0.31</v>
      </c>
      <c r="E780" s="7">
        <f t="shared" si="44"/>
        <v>6.1999999999999998E-3</v>
      </c>
      <c r="F780" s="7">
        <f t="shared" si="45"/>
        <v>0.30380000000000001</v>
      </c>
    </row>
    <row r="781" spans="1:6" ht="14.5" x14ac:dyDescent="0.35">
      <c r="A781" s="40"/>
      <c r="B781" s="5" t="s">
        <v>668</v>
      </c>
      <c r="C781" s="7">
        <v>0.1</v>
      </c>
      <c r="D781" s="7">
        <f t="shared" si="43"/>
        <v>6.0000000000000005E-2</v>
      </c>
      <c r="E781" s="7">
        <f t="shared" si="44"/>
        <v>1.2000000000000001E-3</v>
      </c>
      <c r="F781" s="7">
        <f t="shared" si="45"/>
        <v>5.8800000000000005E-2</v>
      </c>
    </row>
    <row r="782" spans="1:6" ht="14.5" x14ac:dyDescent="0.35">
      <c r="A782" s="40"/>
      <c r="B782" s="5" t="s">
        <v>669</v>
      </c>
      <c r="C782" s="7">
        <v>0.15</v>
      </c>
      <c r="D782" s="7">
        <f t="shared" si="43"/>
        <v>0.10999999999999999</v>
      </c>
      <c r="E782" s="7">
        <f t="shared" si="44"/>
        <v>2.1999999999999997E-3</v>
      </c>
      <c r="F782" s="7">
        <f t="shared" si="45"/>
        <v>0.10779999999999999</v>
      </c>
    </row>
    <row r="783" spans="1:6" ht="14.5" x14ac:dyDescent="0.35">
      <c r="A783" s="40"/>
      <c r="B783" s="5" t="s">
        <v>670</v>
      </c>
      <c r="C783" s="7">
        <v>0.35</v>
      </c>
      <c r="D783" s="7">
        <f t="shared" si="43"/>
        <v>0.31</v>
      </c>
      <c r="E783" s="7">
        <f t="shared" si="44"/>
        <v>6.1999999999999998E-3</v>
      </c>
      <c r="F783" s="7">
        <f t="shared" si="45"/>
        <v>0.30380000000000001</v>
      </c>
    </row>
    <row r="784" spans="1:6" ht="14.5" x14ac:dyDescent="0.35">
      <c r="A784" s="40"/>
      <c r="B784" s="5" t="s">
        <v>671</v>
      </c>
      <c r="C784" s="7">
        <v>0.3</v>
      </c>
      <c r="D784" s="7">
        <f t="shared" si="43"/>
        <v>0.26</v>
      </c>
      <c r="E784" s="7">
        <f t="shared" si="44"/>
        <v>5.2000000000000006E-3</v>
      </c>
      <c r="F784" s="7">
        <f t="shared" si="45"/>
        <v>0.25480000000000003</v>
      </c>
    </row>
    <row r="785" spans="1:6" ht="14.5" x14ac:dyDescent="0.35">
      <c r="A785" s="40"/>
      <c r="B785" s="5" t="s">
        <v>672</v>
      </c>
      <c r="C785" s="7">
        <v>0.1</v>
      </c>
      <c r="D785" s="7">
        <f t="shared" ref="D785:D850" si="46">C785-(4%)</f>
        <v>6.0000000000000005E-2</v>
      </c>
      <c r="E785" s="7">
        <f t="shared" ref="E785:E850" si="47">D785*2%</f>
        <v>1.2000000000000001E-3</v>
      </c>
      <c r="F785" s="7">
        <f t="shared" ref="F785:F850" si="48">D785-E785</f>
        <v>5.8800000000000005E-2</v>
      </c>
    </row>
    <row r="786" spans="1:6" ht="14.5" x14ac:dyDescent="0.35">
      <c r="A786" s="40"/>
      <c r="B786" s="5" t="s">
        <v>673</v>
      </c>
      <c r="C786" s="7">
        <v>0.3</v>
      </c>
      <c r="D786" s="7">
        <f t="shared" si="46"/>
        <v>0.26</v>
      </c>
      <c r="E786" s="7">
        <f t="shared" si="47"/>
        <v>5.2000000000000006E-3</v>
      </c>
      <c r="F786" s="7">
        <f t="shared" si="48"/>
        <v>0.25480000000000003</v>
      </c>
    </row>
    <row r="787" spans="1:6" ht="14.5" x14ac:dyDescent="0.35">
      <c r="A787" s="40"/>
      <c r="B787" s="5" t="s">
        <v>674</v>
      </c>
      <c r="C787" s="7">
        <v>0.3</v>
      </c>
      <c r="D787" s="7">
        <f t="shared" si="46"/>
        <v>0.26</v>
      </c>
      <c r="E787" s="7">
        <f t="shared" si="47"/>
        <v>5.2000000000000006E-3</v>
      </c>
      <c r="F787" s="7">
        <f t="shared" si="48"/>
        <v>0.25480000000000003</v>
      </c>
    </row>
    <row r="788" spans="1:6" ht="14.5" x14ac:dyDescent="0.35">
      <c r="A788" s="40"/>
      <c r="B788" s="5" t="s">
        <v>675</v>
      </c>
      <c r="C788" s="7">
        <v>0.2</v>
      </c>
      <c r="D788" s="7">
        <f t="shared" si="46"/>
        <v>0.16</v>
      </c>
      <c r="E788" s="7">
        <f t="shared" si="47"/>
        <v>3.2000000000000002E-3</v>
      </c>
      <c r="F788" s="7">
        <f t="shared" si="48"/>
        <v>0.15679999999999999</v>
      </c>
    </row>
    <row r="789" spans="1:6" ht="14.5" x14ac:dyDescent="0.35">
      <c r="A789" s="40"/>
      <c r="B789" s="5" t="s">
        <v>676</v>
      </c>
      <c r="C789" s="7">
        <v>0.25</v>
      </c>
      <c r="D789" s="7">
        <f t="shared" si="46"/>
        <v>0.21</v>
      </c>
      <c r="E789" s="7">
        <f t="shared" si="47"/>
        <v>4.1999999999999997E-3</v>
      </c>
      <c r="F789" s="7">
        <f t="shared" si="48"/>
        <v>0.20579999999999998</v>
      </c>
    </row>
    <row r="790" spans="1:6" ht="14.5" x14ac:dyDescent="0.35">
      <c r="A790" s="40"/>
      <c r="B790" s="5" t="s">
        <v>677</v>
      </c>
      <c r="C790" s="7">
        <v>0.05</v>
      </c>
      <c r="D790" s="7" t="s">
        <v>20</v>
      </c>
      <c r="E790" s="7" t="s">
        <v>20</v>
      </c>
      <c r="F790" s="7" t="s">
        <v>20</v>
      </c>
    </row>
    <row r="791" spans="1:6" ht="14.5" x14ac:dyDescent="0.35">
      <c r="A791" s="40"/>
      <c r="B791" s="5" t="s">
        <v>678</v>
      </c>
      <c r="C791" s="7">
        <v>0.35</v>
      </c>
      <c r="D791" s="7">
        <f t="shared" si="46"/>
        <v>0.31</v>
      </c>
      <c r="E791" s="7">
        <f t="shared" si="47"/>
        <v>6.1999999999999998E-3</v>
      </c>
      <c r="F791" s="7">
        <f t="shared" si="48"/>
        <v>0.30380000000000001</v>
      </c>
    </row>
    <row r="792" spans="1:6" ht="14.5" x14ac:dyDescent="0.35">
      <c r="A792" s="40"/>
      <c r="B792" s="5" t="s">
        <v>679</v>
      </c>
      <c r="C792" s="7">
        <v>0.1</v>
      </c>
      <c r="D792" s="7">
        <f t="shared" si="46"/>
        <v>6.0000000000000005E-2</v>
      </c>
      <c r="E792" s="7">
        <f t="shared" si="47"/>
        <v>1.2000000000000001E-3</v>
      </c>
      <c r="F792" s="7">
        <f t="shared" si="48"/>
        <v>5.8800000000000005E-2</v>
      </c>
    </row>
    <row r="793" spans="1:6" ht="14.5" x14ac:dyDescent="0.35">
      <c r="A793" s="2" t="s">
        <v>185</v>
      </c>
      <c r="B793" s="2" t="s">
        <v>1</v>
      </c>
      <c r="C793" s="3" t="s">
        <v>2</v>
      </c>
      <c r="D793" s="4" t="s">
        <v>4</v>
      </c>
      <c r="E793" s="4" t="s">
        <v>5</v>
      </c>
      <c r="F793" s="4" t="s">
        <v>6</v>
      </c>
    </row>
    <row r="794" spans="1:6" ht="14.5" x14ac:dyDescent="0.35">
      <c r="A794" s="48" t="s">
        <v>815</v>
      </c>
      <c r="B794" s="5" t="s">
        <v>662</v>
      </c>
      <c r="C794" s="7">
        <v>0.35</v>
      </c>
      <c r="D794" s="7">
        <f t="shared" si="46"/>
        <v>0.31</v>
      </c>
      <c r="E794" s="7">
        <f t="shared" si="47"/>
        <v>6.1999999999999998E-3</v>
      </c>
      <c r="F794" s="7">
        <f t="shared" si="48"/>
        <v>0.30380000000000001</v>
      </c>
    </row>
    <row r="795" spans="1:6" ht="14.5" x14ac:dyDescent="0.35">
      <c r="A795" s="48"/>
      <c r="B795" s="5" t="s">
        <v>663</v>
      </c>
      <c r="C795" s="7">
        <v>0.4</v>
      </c>
      <c r="D795" s="7">
        <f t="shared" si="46"/>
        <v>0.36000000000000004</v>
      </c>
      <c r="E795" s="7">
        <f t="shared" si="47"/>
        <v>7.2000000000000007E-3</v>
      </c>
      <c r="F795" s="7">
        <f t="shared" si="48"/>
        <v>0.35280000000000006</v>
      </c>
    </row>
    <row r="796" spans="1:6" ht="14.5" x14ac:dyDescent="0.35">
      <c r="A796" s="48" t="s">
        <v>816</v>
      </c>
      <c r="B796" s="5" t="s">
        <v>662</v>
      </c>
      <c r="C796" s="7">
        <v>0.19</v>
      </c>
      <c r="D796" s="7">
        <f t="shared" si="46"/>
        <v>0.15</v>
      </c>
      <c r="E796" s="7">
        <f t="shared" si="47"/>
        <v>3.0000000000000001E-3</v>
      </c>
      <c r="F796" s="7">
        <f t="shared" si="48"/>
        <v>0.14699999999999999</v>
      </c>
    </row>
    <row r="797" spans="1:6" ht="14.5" x14ac:dyDescent="0.35">
      <c r="A797" s="48"/>
      <c r="B797" s="5" t="s">
        <v>663</v>
      </c>
      <c r="C797" s="7">
        <v>0.34</v>
      </c>
      <c r="D797" s="7">
        <f t="shared" si="46"/>
        <v>0.30000000000000004</v>
      </c>
      <c r="E797" s="7">
        <f t="shared" si="47"/>
        <v>6.000000000000001E-3</v>
      </c>
      <c r="F797" s="7">
        <f t="shared" si="48"/>
        <v>0.29400000000000004</v>
      </c>
    </row>
    <row r="798" spans="1:6" ht="14.5" x14ac:dyDescent="0.35">
      <c r="A798" s="5" t="s">
        <v>817</v>
      </c>
      <c r="B798" s="5" t="s">
        <v>663</v>
      </c>
      <c r="C798" s="7">
        <v>0.27500000000000002</v>
      </c>
      <c r="D798" s="7">
        <f t="shared" si="46"/>
        <v>0.23500000000000001</v>
      </c>
      <c r="E798" s="7">
        <f t="shared" si="47"/>
        <v>4.7000000000000002E-3</v>
      </c>
      <c r="F798" s="7">
        <f t="shared" si="48"/>
        <v>0.2303</v>
      </c>
    </row>
    <row r="799" spans="1:6" ht="14.5" x14ac:dyDescent="0.35">
      <c r="A799" s="5" t="s">
        <v>818</v>
      </c>
      <c r="B799" s="5" t="s">
        <v>662</v>
      </c>
      <c r="C799" s="7">
        <v>0.35</v>
      </c>
      <c r="D799" s="7">
        <f t="shared" si="46"/>
        <v>0.31</v>
      </c>
      <c r="E799" s="7">
        <f t="shared" si="47"/>
        <v>6.1999999999999998E-3</v>
      </c>
      <c r="F799" s="7">
        <f t="shared" si="48"/>
        <v>0.30380000000000001</v>
      </c>
    </row>
    <row r="800" spans="1:6" ht="14.5" x14ac:dyDescent="0.35">
      <c r="A800" s="44" t="s">
        <v>200</v>
      </c>
      <c r="B800" s="5" t="s">
        <v>92</v>
      </c>
      <c r="C800" s="6">
        <v>0.35</v>
      </c>
      <c r="D800" s="7">
        <f t="shared" si="46"/>
        <v>0.31</v>
      </c>
      <c r="E800" s="7">
        <f t="shared" si="47"/>
        <v>6.1999999999999998E-3</v>
      </c>
      <c r="F800" s="7">
        <f t="shared" si="48"/>
        <v>0.30380000000000001</v>
      </c>
    </row>
    <row r="801" spans="1:6" ht="14.5" x14ac:dyDescent="0.35">
      <c r="A801" s="45"/>
      <c r="B801" s="5" t="s">
        <v>93</v>
      </c>
      <c r="C801" s="6">
        <v>0.35</v>
      </c>
      <c r="D801" s="7">
        <f t="shared" si="46"/>
        <v>0.31</v>
      </c>
      <c r="E801" s="7">
        <f t="shared" si="47"/>
        <v>6.1999999999999998E-3</v>
      </c>
      <c r="F801" s="7">
        <f t="shared" si="48"/>
        <v>0.30380000000000001</v>
      </c>
    </row>
    <row r="802" spans="1:6" ht="14.5" x14ac:dyDescent="0.35">
      <c r="A802" s="48" t="s">
        <v>819</v>
      </c>
      <c r="B802" s="5" t="s">
        <v>662</v>
      </c>
      <c r="C802" s="7">
        <v>0.43</v>
      </c>
      <c r="D802" s="7">
        <f t="shared" si="46"/>
        <v>0.39</v>
      </c>
      <c r="E802" s="7">
        <f t="shared" si="47"/>
        <v>7.8000000000000005E-3</v>
      </c>
      <c r="F802" s="7">
        <f t="shared" si="48"/>
        <v>0.38220000000000004</v>
      </c>
    </row>
    <row r="803" spans="1:6" ht="14.5" x14ac:dyDescent="0.35">
      <c r="A803" s="48"/>
      <c r="B803" s="5" t="s">
        <v>683</v>
      </c>
      <c r="C803" s="7">
        <v>0</v>
      </c>
      <c r="D803" s="7" t="s">
        <v>20</v>
      </c>
      <c r="E803" s="7" t="s">
        <v>20</v>
      </c>
      <c r="F803" s="7" t="s">
        <v>20</v>
      </c>
    </row>
    <row r="804" spans="1:6" ht="14.5" x14ac:dyDescent="0.35">
      <c r="A804" s="48"/>
      <c r="B804" s="5" t="s">
        <v>684</v>
      </c>
      <c r="C804" s="7">
        <v>0.42499999999999999</v>
      </c>
      <c r="D804" s="7">
        <f t="shared" si="46"/>
        <v>0.38500000000000001</v>
      </c>
      <c r="E804" s="7">
        <f t="shared" si="47"/>
        <v>7.7000000000000002E-3</v>
      </c>
      <c r="F804" s="7">
        <f t="shared" si="48"/>
        <v>0.37730000000000002</v>
      </c>
    </row>
    <row r="805" spans="1:6" ht="14.5" x14ac:dyDescent="0.35">
      <c r="A805" s="48"/>
      <c r="B805" s="5" t="s">
        <v>685</v>
      </c>
      <c r="C805" s="7">
        <v>0.42499999999999999</v>
      </c>
      <c r="D805" s="7">
        <f t="shared" si="46"/>
        <v>0.38500000000000001</v>
      </c>
      <c r="E805" s="7">
        <f t="shared" si="47"/>
        <v>7.7000000000000002E-3</v>
      </c>
      <c r="F805" s="7">
        <f t="shared" si="48"/>
        <v>0.37730000000000002</v>
      </c>
    </row>
    <row r="806" spans="1:6" ht="14.5" x14ac:dyDescent="0.35">
      <c r="A806" s="48" t="s">
        <v>820</v>
      </c>
      <c r="B806" s="5" t="s">
        <v>662</v>
      </c>
      <c r="C806" s="7">
        <v>0.24</v>
      </c>
      <c r="D806" s="7">
        <f t="shared" si="46"/>
        <v>0.19999999999999998</v>
      </c>
      <c r="E806" s="7">
        <f t="shared" si="47"/>
        <v>4.0000000000000001E-3</v>
      </c>
      <c r="F806" s="7">
        <f t="shared" si="48"/>
        <v>0.19599999999999998</v>
      </c>
    </row>
    <row r="807" spans="1:6" ht="14.5" x14ac:dyDescent="0.35">
      <c r="A807" s="48"/>
      <c r="B807" s="5" t="s">
        <v>683</v>
      </c>
      <c r="C807" s="7">
        <v>0.27</v>
      </c>
      <c r="D807" s="7">
        <f t="shared" si="46"/>
        <v>0.23</v>
      </c>
      <c r="E807" s="7">
        <f t="shared" si="47"/>
        <v>4.5999999999999999E-3</v>
      </c>
      <c r="F807" s="7">
        <f t="shared" si="48"/>
        <v>0.22540000000000002</v>
      </c>
    </row>
    <row r="808" spans="1:6" ht="14.5" x14ac:dyDescent="0.35">
      <c r="A808" s="48"/>
      <c r="B808" s="5" t="s">
        <v>684</v>
      </c>
      <c r="C808" s="7">
        <v>0.21</v>
      </c>
      <c r="D808" s="7">
        <f t="shared" si="46"/>
        <v>0.16999999999999998</v>
      </c>
      <c r="E808" s="7">
        <f t="shared" si="47"/>
        <v>3.3999999999999998E-3</v>
      </c>
      <c r="F808" s="7">
        <f t="shared" si="48"/>
        <v>0.1666</v>
      </c>
    </row>
    <row r="809" spans="1:6" ht="14.5" x14ac:dyDescent="0.35">
      <c r="A809" s="48"/>
      <c r="B809" s="5" t="s">
        <v>685</v>
      </c>
      <c r="C809" s="7">
        <v>0.22</v>
      </c>
      <c r="D809" s="7">
        <f t="shared" si="46"/>
        <v>0.18</v>
      </c>
      <c r="E809" s="7">
        <f t="shared" si="47"/>
        <v>3.5999999999999999E-3</v>
      </c>
      <c r="F809" s="7">
        <f t="shared" si="48"/>
        <v>0.1764</v>
      </c>
    </row>
    <row r="810" spans="1:6" ht="14.5" x14ac:dyDescent="0.35">
      <c r="A810" s="48" t="s">
        <v>821</v>
      </c>
      <c r="B810" s="5" t="s">
        <v>662</v>
      </c>
      <c r="C810" s="7">
        <v>0.18</v>
      </c>
      <c r="D810" s="7">
        <f t="shared" si="46"/>
        <v>0.13999999999999999</v>
      </c>
      <c r="E810" s="7">
        <f t="shared" si="47"/>
        <v>2.8E-3</v>
      </c>
      <c r="F810" s="7">
        <f t="shared" si="48"/>
        <v>0.13719999999999999</v>
      </c>
    </row>
    <row r="811" spans="1:6" ht="14.5" x14ac:dyDescent="0.35">
      <c r="A811" s="48"/>
      <c r="B811" s="5" t="s">
        <v>683</v>
      </c>
      <c r="C811" s="7">
        <v>0.18</v>
      </c>
      <c r="D811" s="7">
        <f t="shared" si="46"/>
        <v>0.13999999999999999</v>
      </c>
      <c r="E811" s="7">
        <f t="shared" si="47"/>
        <v>2.8E-3</v>
      </c>
      <c r="F811" s="7">
        <f t="shared" si="48"/>
        <v>0.13719999999999999</v>
      </c>
    </row>
    <row r="812" spans="1:6" ht="14.5" x14ac:dyDescent="0.35">
      <c r="A812" s="48"/>
      <c r="B812" s="5" t="s">
        <v>684</v>
      </c>
      <c r="C812" s="7">
        <v>0.18</v>
      </c>
      <c r="D812" s="7">
        <f t="shared" si="46"/>
        <v>0.13999999999999999</v>
      </c>
      <c r="E812" s="7">
        <f t="shared" si="47"/>
        <v>2.8E-3</v>
      </c>
      <c r="F812" s="7">
        <f t="shared" si="48"/>
        <v>0.13719999999999999</v>
      </c>
    </row>
    <row r="813" spans="1:6" ht="14.5" x14ac:dyDescent="0.35">
      <c r="A813" s="48"/>
      <c r="B813" s="5" t="s">
        <v>685</v>
      </c>
      <c r="C813" s="7">
        <v>0.18</v>
      </c>
      <c r="D813" s="7">
        <f t="shared" si="46"/>
        <v>0.13999999999999999</v>
      </c>
      <c r="E813" s="7">
        <f t="shared" si="47"/>
        <v>2.8E-3</v>
      </c>
      <c r="F813" s="7">
        <f t="shared" si="48"/>
        <v>0.13719999999999999</v>
      </c>
    </row>
    <row r="814" spans="1:6" ht="14.5" x14ac:dyDescent="0.35">
      <c r="A814" s="48" t="s">
        <v>822</v>
      </c>
      <c r="B814" s="5" t="s">
        <v>662</v>
      </c>
      <c r="C814" s="7">
        <v>0.45</v>
      </c>
      <c r="D814" s="7">
        <f t="shared" si="46"/>
        <v>0.41000000000000003</v>
      </c>
      <c r="E814" s="7">
        <f t="shared" si="47"/>
        <v>8.2000000000000007E-3</v>
      </c>
      <c r="F814" s="7">
        <f t="shared" si="48"/>
        <v>0.40180000000000005</v>
      </c>
    </row>
    <row r="815" spans="1:6" ht="14.5" x14ac:dyDescent="0.35">
      <c r="A815" s="48"/>
      <c r="B815" s="5" t="s">
        <v>683</v>
      </c>
      <c r="C815" s="7">
        <v>0.45</v>
      </c>
      <c r="D815" s="7">
        <f t="shared" si="46"/>
        <v>0.41000000000000003</v>
      </c>
      <c r="E815" s="7">
        <f t="shared" si="47"/>
        <v>8.2000000000000007E-3</v>
      </c>
      <c r="F815" s="7">
        <f t="shared" si="48"/>
        <v>0.40180000000000005</v>
      </c>
    </row>
    <row r="816" spans="1:6" ht="14.5" x14ac:dyDescent="0.35">
      <c r="A816" s="48"/>
      <c r="B816" s="5" t="s">
        <v>684</v>
      </c>
      <c r="C816" s="7">
        <v>0.45</v>
      </c>
      <c r="D816" s="7">
        <f t="shared" si="46"/>
        <v>0.41000000000000003</v>
      </c>
      <c r="E816" s="7">
        <f t="shared" si="47"/>
        <v>8.2000000000000007E-3</v>
      </c>
      <c r="F816" s="7">
        <f t="shared" si="48"/>
        <v>0.40180000000000005</v>
      </c>
    </row>
    <row r="817" spans="1:6" ht="14.5" x14ac:dyDescent="0.35">
      <c r="A817" s="48"/>
      <c r="B817" s="5" t="s">
        <v>685</v>
      </c>
      <c r="C817" s="7">
        <v>0.42499999999999999</v>
      </c>
      <c r="D817" s="7">
        <f t="shared" si="46"/>
        <v>0.38500000000000001</v>
      </c>
      <c r="E817" s="7">
        <f t="shared" si="47"/>
        <v>7.7000000000000002E-3</v>
      </c>
      <c r="F817" s="7">
        <f t="shared" si="48"/>
        <v>0.37730000000000002</v>
      </c>
    </row>
    <row r="818" spans="1:6" ht="14.5" x14ac:dyDescent="0.35">
      <c r="A818" s="48" t="s">
        <v>823</v>
      </c>
      <c r="B818" s="5" t="s">
        <v>662</v>
      </c>
      <c r="C818" s="7">
        <v>0.4</v>
      </c>
      <c r="D818" s="7">
        <f t="shared" si="46"/>
        <v>0.36000000000000004</v>
      </c>
      <c r="E818" s="7">
        <f t="shared" si="47"/>
        <v>7.2000000000000007E-3</v>
      </c>
      <c r="F818" s="7">
        <f t="shared" si="48"/>
        <v>0.35280000000000006</v>
      </c>
    </row>
    <row r="819" spans="1:6" ht="14.5" x14ac:dyDescent="0.35">
      <c r="A819" s="48"/>
      <c r="B819" s="5" t="s">
        <v>683</v>
      </c>
      <c r="C819" s="7">
        <v>0.34</v>
      </c>
      <c r="D819" s="7">
        <f t="shared" si="46"/>
        <v>0.30000000000000004</v>
      </c>
      <c r="E819" s="7">
        <f t="shared" si="47"/>
        <v>6.000000000000001E-3</v>
      </c>
      <c r="F819" s="7">
        <f t="shared" si="48"/>
        <v>0.29400000000000004</v>
      </c>
    </row>
    <row r="820" spans="1:6" ht="14.5" x14ac:dyDescent="0.35">
      <c r="A820" s="48"/>
      <c r="B820" s="5" t="s">
        <v>684</v>
      </c>
      <c r="C820" s="7">
        <v>0.34</v>
      </c>
      <c r="D820" s="7">
        <f t="shared" si="46"/>
        <v>0.30000000000000004</v>
      </c>
      <c r="E820" s="7">
        <f t="shared" si="47"/>
        <v>6.000000000000001E-3</v>
      </c>
      <c r="F820" s="7">
        <f t="shared" si="48"/>
        <v>0.29400000000000004</v>
      </c>
    </row>
    <row r="821" spans="1:6" ht="14.5" x14ac:dyDescent="0.35">
      <c r="A821" s="48"/>
      <c r="B821" s="5" t="s">
        <v>685</v>
      </c>
      <c r="C821" s="7">
        <v>0.34</v>
      </c>
      <c r="D821" s="7">
        <f t="shared" si="46"/>
        <v>0.30000000000000004</v>
      </c>
      <c r="E821" s="7">
        <f t="shared" si="47"/>
        <v>6.000000000000001E-3</v>
      </c>
      <c r="F821" s="7">
        <f t="shared" si="48"/>
        <v>0.29400000000000004</v>
      </c>
    </row>
    <row r="822" spans="1:6" ht="14.5" x14ac:dyDescent="0.35">
      <c r="A822" s="48" t="s">
        <v>824</v>
      </c>
      <c r="B822" s="5" t="s">
        <v>662</v>
      </c>
      <c r="C822" s="7">
        <v>0.27</v>
      </c>
      <c r="D822" s="7">
        <f t="shared" si="46"/>
        <v>0.23</v>
      </c>
      <c r="E822" s="7">
        <f t="shared" si="47"/>
        <v>4.5999999999999999E-3</v>
      </c>
      <c r="F822" s="7">
        <f t="shared" si="48"/>
        <v>0.22540000000000002</v>
      </c>
    </row>
    <row r="823" spans="1:6" ht="14.5" x14ac:dyDescent="0.35">
      <c r="A823" s="48"/>
      <c r="B823" s="5" t="s">
        <v>683</v>
      </c>
      <c r="C823" s="7">
        <v>0.27</v>
      </c>
      <c r="D823" s="7">
        <f t="shared" si="46"/>
        <v>0.23</v>
      </c>
      <c r="E823" s="7">
        <f t="shared" si="47"/>
        <v>4.5999999999999999E-3</v>
      </c>
      <c r="F823" s="7">
        <f t="shared" si="48"/>
        <v>0.22540000000000002</v>
      </c>
    </row>
    <row r="824" spans="1:6" ht="14.5" x14ac:dyDescent="0.35">
      <c r="A824" s="48"/>
      <c r="B824" s="5" t="s">
        <v>684</v>
      </c>
      <c r="C824" s="7">
        <v>0.27</v>
      </c>
      <c r="D824" s="7">
        <f t="shared" si="46"/>
        <v>0.23</v>
      </c>
      <c r="E824" s="7">
        <f t="shared" si="47"/>
        <v>4.5999999999999999E-3</v>
      </c>
      <c r="F824" s="7">
        <f t="shared" si="48"/>
        <v>0.22540000000000002</v>
      </c>
    </row>
    <row r="825" spans="1:6" ht="14.5" x14ac:dyDescent="0.35">
      <c r="A825" s="48"/>
      <c r="B825" s="5" t="s">
        <v>685</v>
      </c>
      <c r="C825" s="7">
        <v>0.27</v>
      </c>
      <c r="D825" s="7">
        <f t="shared" si="46"/>
        <v>0.23</v>
      </c>
      <c r="E825" s="7">
        <f t="shared" si="47"/>
        <v>4.5999999999999999E-3</v>
      </c>
      <c r="F825" s="7">
        <f t="shared" si="48"/>
        <v>0.22540000000000002</v>
      </c>
    </row>
    <row r="826" spans="1:6" ht="14.5" x14ac:dyDescent="0.35">
      <c r="A826" s="5" t="s">
        <v>195</v>
      </c>
      <c r="B826" s="5" t="s">
        <v>32</v>
      </c>
      <c r="C826" s="7">
        <v>0.45</v>
      </c>
      <c r="D826" s="7">
        <f t="shared" si="46"/>
        <v>0.41000000000000003</v>
      </c>
      <c r="E826" s="7">
        <f t="shared" si="47"/>
        <v>8.2000000000000007E-3</v>
      </c>
      <c r="F826" s="7">
        <f t="shared" si="48"/>
        <v>0.40180000000000005</v>
      </c>
    </row>
    <row r="827" spans="1:6" ht="14.5" x14ac:dyDescent="0.35">
      <c r="A827" s="48" t="s">
        <v>196</v>
      </c>
      <c r="B827" s="5" t="s">
        <v>32</v>
      </c>
      <c r="C827" s="7">
        <v>0.45</v>
      </c>
      <c r="D827" s="7">
        <f t="shared" si="46"/>
        <v>0.41000000000000003</v>
      </c>
      <c r="E827" s="7">
        <f t="shared" si="47"/>
        <v>8.2000000000000007E-3</v>
      </c>
      <c r="F827" s="7">
        <f t="shared" si="48"/>
        <v>0.40180000000000005</v>
      </c>
    </row>
    <row r="828" spans="1:6" ht="14.5" x14ac:dyDescent="0.35">
      <c r="A828" s="48"/>
      <c r="B828" s="5" t="s">
        <v>108</v>
      </c>
      <c r="C828" s="7">
        <v>0.2</v>
      </c>
      <c r="D828" s="7">
        <f t="shared" si="46"/>
        <v>0.16</v>
      </c>
      <c r="E828" s="7">
        <f t="shared" si="47"/>
        <v>3.2000000000000002E-3</v>
      </c>
      <c r="F828" s="7">
        <f t="shared" si="48"/>
        <v>0.15679999999999999</v>
      </c>
    </row>
    <row r="829" spans="1:6" ht="36" x14ac:dyDescent="0.35">
      <c r="A829" s="5" t="s">
        <v>197</v>
      </c>
      <c r="B829" s="5" t="s">
        <v>198</v>
      </c>
      <c r="C829" s="7">
        <v>0.3</v>
      </c>
      <c r="D829" s="7">
        <f t="shared" si="46"/>
        <v>0.26</v>
      </c>
      <c r="E829" s="7">
        <f t="shared" si="47"/>
        <v>5.2000000000000006E-3</v>
      </c>
      <c r="F829" s="7">
        <f t="shared" si="48"/>
        <v>0.25480000000000003</v>
      </c>
    </row>
    <row r="830" spans="1:6" ht="14.5" x14ac:dyDescent="0.35">
      <c r="A830" s="5" t="s">
        <v>199</v>
      </c>
      <c r="B830" s="5" t="s">
        <v>32</v>
      </c>
      <c r="C830" s="7">
        <v>0.35</v>
      </c>
      <c r="D830" s="7">
        <f t="shared" si="46"/>
        <v>0.31</v>
      </c>
      <c r="E830" s="7">
        <f t="shared" si="47"/>
        <v>6.1999999999999998E-3</v>
      </c>
      <c r="F830" s="7">
        <f t="shared" si="48"/>
        <v>0.30380000000000001</v>
      </c>
    </row>
    <row r="831" spans="1:6" ht="14.5" x14ac:dyDescent="0.35">
      <c r="A831" s="48" t="s">
        <v>825</v>
      </c>
      <c r="B831" s="5" t="s">
        <v>686</v>
      </c>
      <c r="C831" s="6">
        <v>0.4</v>
      </c>
      <c r="D831" s="7">
        <f t="shared" si="46"/>
        <v>0.36000000000000004</v>
      </c>
      <c r="E831" s="7">
        <f t="shared" si="47"/>
        <v>7.2000000000000007E-3</v>
      </c>
      <c r="F831" s="7">
        <f t="shared" si="48"/>
        <v>0.35280000000000006</v>
      </c>
    </row>
    <row r="832" spans="1:6" ht="14.5" x14ac:dyDescent="0.35">
      <c r="A832" s="48"/>
      <c r="B832" s="5" t="s">
        <v>684</v>
      </c>
      <c r="C832" s="6">
        <v>0.4</v>
      </c>
      <c r="D832" s="7">
        <f t="shared" si="46"/>
        <v>0.36000000000000004</v>
      </c>
      <c r="E832" s="7">
        <f t="shared" si="47"/>
        <v>7.2000000000000007E-3</v>
      </c>
      <c r="F832" s="7">
        <f t="shared" si="48"/>
        <v>0.35280000000000006</v>
      </c>
    </row>
    <row r="833" spans="1:6" ht="14.5" x14ac:dyDescent="0.35">
      <c r="A833" s="48"/>
      <c r="B833" s="5" t="s">
        <v>683</v>
      </c>
      <c r="C833" s="6">
        <v>0.4</v>
      </c>
      <c r="D833" s="7">
        <f t="shared" si="46"/>
        <v>0.36000000000000004</v>
      </c>
      <c r="E833" s="7">
        <f t="shared" si="47"/>
        <v>7.2000000000000007E-3</v>
      </c>
      <c r="F833" s="7">
        <f t="shared" si="48"/>
        <v>0.35280000000000006</v>
      </c>
    </row>
    <row r="834" spans="1:6" ht="14.5" x14ac:dyDescent="0.35">
      <c r="A834" s="48"/>
      <c r="B834" s="5" t="s">
        <v>687</v>
      </c>
      <c r="C834" s="6">
        <v>0.23</v>
      </c>
      <c r="D834" s="7">
        <f t="shared" si="46"/>
        <v>0.19</v>
      </c>
      <c r="E834" s="7">
        <f t="shared" si="47"/>
        <v>3.8E-3</v>
      </c>
      <c r="F834" s="7">
        <f t="shared" si="48"/>
        <v>0.1862</v>
      </c>
    </row>
    <row r="835" spans="1:6" ht="14.5" x14ac:dyDescent="0.35">
      <c r="A835" s="48"/>
      <c r="B835" s="5" t="s">
        <v>688</v>
      </c>
      <c r="C835" s="6">
        <v>0.4</v>
      </c>
      <c r="D835" s="7">
        <f t="shared" si="46"/>
        <v>0.36000000000000004</v>
      </c>
      <c r="E835" s="7">
        <f t="shared" si="47"/>
        <v>7.2000000000000007E-3</v>
      </c>
      <c r="F835" s="7">
        <f t="shared" si="48"/>
        <v>0.35280000000000006</v>
      </c>
    </row>
    <row r="836" spans="1:6" ht="14.5" x14ac:dyDescent="0.35">
      <c r="A836" s="48" t="s">
        <v>826</v>
      </c>
      <c r="B836" s="5" t="s">
        <v>686</v>
      </c>
      <c r="C836" s="6">
        <v>0.4</v>
      </c>
      <c r="D836" s="7">
        <f t="shared" si="46"/>
        <v>0.36000000000000004</v>
      </c>
      <c r="E836" s="7">
        <f t="shared" si="47"/>
        <v>7.2000000000000007E-3</v>
      </c>
      <c r="F836" s="7">
        <f t="shared" si="48"/>
        <v>0.35280000000000006</v>
      </c>
    </row>
    <row r="837" spans="1:6" ht="14.5" x14ac:dyDescent="0.35">
      <c r="A837" s="48"/>
      <c r="B837" s="5" t="s">
        <v>684</v>
      </c>
      <c r="C837" s="6">
        <v>0.45</v>
      </c>
      <c r="D837" s="7">
        <f t="shared" si="46"/>
        <v>0.41000000000000003</v>
      </c>
      <c r="E837" s="7">
        <f t="shared" si="47"/>
        <v>8.2000000000000007E-3</v>
      </c>
      <c r="F837" s="7">
        <f t="shared" si="48"/>
        <v>0.40180000000000005</v>
      </c>
    </row>
    <row r="838" spans="1:6" ht="14.5" x14ac:dyDescent="0.35">
      <c r="A838" s="48"/>
      <c r="B838" s="5" t="s">
        <v>683</v>
      </c>
      <c r="C838" s="6">
        <v>0</v>
      </c>
      <c r="D838" s="7" t="s">
        <v>20</v>
      </c>
      <c r="E838" s="7" t="s">
        <v>20</v>
      </c>
      <c r="F838" s="7" t="s">
        <v>20</v>
      </c>
    </row>
    <row r="839" spans="1:6" ht="14.5" x14ac:dyDescent="0.35">
      <c r="A839" s="48"/>
      <c r="B839" s="5" t="s">
        <v>687</v>
      </c>
      <c r="C839" s="6">
        <v>0.4</v>
      </c>
      <c r="D839" s="7">
        <f t="shared" si="46"/>
        <v>0.36000000000000004</v>
      </c>
      <c r="E839" s="7">
        <f t="shared" si="47"/>
        <v>7.2000000000000007E-3</v>
      </c>
      <c r="F839" s="7">
        <f t="shared" si="48"/>
        <v>0.35280000000000006</v>
      </c>
    </row>
    <row r="840" spans="1:6" ht="14.5" x14ac:dyDescent="0.35">
      <c r="A840" s="48"/>
      <c r="B840" s="5" t="s">
        <v>688</v>
      </c>
      <c r="C840" s="6">
        <v>0.5</v>
      </c>
      <c r="D840" s="7">
        <f t="shared" si="46"/>
        <v>0.46</v>
      </c>
      <c r="E840" s="7">
        <f t="shared" si="47"/>
        <v>9.1999999999999998E-3</v>
      </c>
      <c r="F840" s="7">
        <f t="shared" si="48"/>
        <v>0.45080000000000003</v>
      </c>
    </row>
    <row r="841" spans="1:6" ht="14.5" x14ac:dyDescent="0.35">
      <c r="A841" s="48" t="s">
        <v>827</v>
      </c>
      <c r="B841" s="5" t="s">
        <v>828</v>
      </c>
      <c r="C841" s="6">
        <v>0.35</v>
      </c>
      <c r="D841" s="7">
        <f t="shared" si="46"/>
        <v>0.31</v>
      </c>
      <c r="E841" s="7">
        <f t="shared" si="47"/>
        <v>6.1999999999999998E-3</v>
      </c>
      <c r="F841" s="7">
        <f t="shared" si="48"/>
        <v>0.30380000000000001</v>
      </c>
    </row>
    <row r="842" spans="1:6" ht="14.5" x14ac:dyDescent="0.35">
      <c r="A842" s="48"/>
      <c r="B842" s="5" t="s">
        <v>684</v>
      </c>
      <c r="C842" s="6">
        <v>0.1</v>
      </c>
      <c r="D842" s="7">
        <f t="shared" si="46"/>
        <v>6.0000000000000005E-2</v>
      </c>
      <c r="E842" s="7">
        <f t="shared" si="47"/>
        <v>1.2000000000000001E-3</v>
      </c>
      <c r="F842" s="7">
        <f t="shared" si="48"/>
        <v>5.8800000000000005E-2</v>
      </c>
    </row>
    <row r="843" spans="1:6" ht="14.5" x14ac:dyDescent="0.35">
      <c r="A843" s="48"/>
      <c r="B843" s="5" t="s">
        <v>683</v>
      </c>
      <c r="C843" s="6">
        <v>0</v>
      </c>
      <c r="D843" s="7" t="s">
        <v>20</v>
      </c>
      <c r="E843" s="7" t="s">
        <v>20</v>
      </c>
      <c r="F843" s="7" t="s">
        <v>20</v>
      </c>
    </row>
    <row r="844" spans="1:6" ht="14.5" x14ac:dyDescent="0.35">
      <c r="A844" s="48"/>
      <c r="B844" s="5" t="s">
        <v>687</v>
      </c>
      <c r="C844" s="6">
        <v>0</v>
      </c>
      <c r="D844" s="7" t="s">
        <v>20</v>
      </c>
      <c r="E844" s="7" t="s">
        <v>20</v>
      </c>
      <c r="F844" s="7" t="s">
        <v>20</v>
      </c>
    </row>
    <row r="845" spans="1:6" ht="14.5" x14ac:dyDescent="0.35">
      <c r="A845" s="48"/>
      <c r="B845" s="5" t="s">
        <v>688</v>
      </c>
      <c r="C845" s="6">
        <v>0.3</v>
      </c>
      <c r="D845" s="7">
        <f t="shared" si="46"/>
        <v>0.26</v>
      </c>
      <c r="E845" s="7">
        <f t="shared" si="47"/>
        <v>5.2000000000000006E-3</v>
      </c>
      <c r="F845" s="7">
        <f t="shared" si="48"/>
        <v>0.25480000000000003</v>
      </c>
    </row>
    <row r="846" spans="1:6" ht="14.5" x14ac:dyDescent="0.35">
      <c r="A846" s="5" t="s">
        <v>1469</v>
      </c>
      <c r="B846" s="5" t="s">
        <v>100</v>
      </c>
      <c r="C846" s="7">
        <v>0.42</v>
      </c>
      <c r="D846" s="7">
        <f t="shared" si="46"/>
        <v>0.38</v>
      </c>
      <c r="E846" s="7">
        <f t="shared" si="47"/>
        <v>7.6E-3</v>
      </c>
      <c r="F846" s="7">
        <f t="shared" si="48"/>
        <v>0.37240000000000001</v>
      </c>
    </row>
    <row r="847" spans="1:6" ht="24" x14ac:dyDescent="0.35">
      <c r="A847" s="5" t="s">
        <v>1470</v>
      </c>
      <c r="B847" s="5" t="s">
        <v>100</v>
      </c>
      <c r="C847" s="7">
        <v>0.44</v>
      </c>
      <c r="D847" s="7">
        <f t="shared" si="46"/>
        <v>0.4</v>
      </c>
      <c r="E847" s="7">
        <f t="shared" si="47"/>
        <v>8.0000000000000002E-3</v>
      </c>
      <c r="F847" s="7">
        <f t="shared" si="48"/>
        <v>0.39200000000000002</v>
      </c>
    </row>
    <row r="848" spans="1:6" ht="24" x14ac:dyDescent="0.35">
      <c r="A848" s="5" t="s">
        <v>1471</v>
      </c>
      <c r="B848" s="5" t="s">
        <v>100</v>
      </c>
      <c r="C848" s="7">
        <v>0.32</v>
      </c>
      <c r="D848" s="7">
        <f t="shared" ref="D848:D849" si="49">C848-(4%)</f>
        <v>0.28000000000000003</v>
      </c>
      <c r="E848" s="7">
        <f t="shared" ref="E848:E849" si="50">D848*2%</f>
        <v>5.6000000000000008E-3</v>
      </c>
      <c r="F848" s="7">
        <f t="shared" ref="F848:F849" si="51">D848-E848</f>
        <v>0.27440000000000003</v>
      </c>
    </row>
    <row r="849" spans="1:6" ht="24" x14ac:dyDescent="0.35">
      <c r="A849" s="5" t="s">
        <v>1472</v>
      </c>
      <c r="B849" s="5" t="s">
        <v>100</v>
      </c>
      <c r="C849" s="7">
        <v>0.35</v>
      </c>
      <c r="D849" s="7">
        <f t="shared" si="49"/>
        <v>0.31</v>
      </c>
      <c r="E849" s="7">
        <f t="shared" si="50"/>
        <v>6.1999999999999998E-3</v>
      </c>
      <c r="F849" s="7">
        <f t="shared" si="51"/>
        <v>0.30380000000000001</v>
      </c>
    </row>
    <row r="850" spans="1:6" ht="14.5" x14ac:dyDescent="0.35">
      <c r="A850" s="5" t="s">
        <v>829</v>
      </c>
      <c r="B850" s="5" t="s">
        <v>100</v>
      </c>
      <c r="C850" s="7">
        <v>0.35</v>
      </c>
      <c r="D850" s="7">
        <f t="shared" si="46"/>
        <v>0.31</v>
      </c>
      <c r="E850" s="7">
        <f t="shared" si="47"/>
        <v>6.1999999999999998E-3</v>
      </c>
      <c r="F850" s="7">
        <f t="shared" si="48"/>
        <v>0.30380000000000001</v>
      </c>
    </row>
    <row r="851" spans="1:6" ht="14.5" x14ac:dyDescent="0.35">
      <c r="A851" s="5" t="s">
        <v>475</v>
      </c>
      <c r="B851" s="5" t="s">
        <v>100</v>
      </c>
      <c r="C851" s="7">
        <v>0.33</v>
      </c>
      <c r="D851" s="7">
        <f t="shared" ref="D851:D916" si="52">C851-(4%)</f>
        <v>0.29000000000000004</v>
      </c>
      <c r="E851" s="7">
        <f t="shared" ref="E851:E916" si="53">D851*2%</f>
        <v>5.8000000000000005E-3</v>
      </c>
      <c r="F851" s="7">
        <f t="shared" ref="F851:F916" si="54">D851-E851</f>
        <v>0.28420000000000001</v>
      </c>
    </row>
    <row r="852" spans="1:6" ht="14.5" x14ac:dyDescent="0.35">
      <c r="A852" s="5" t="s">
        <v>1311</v>
      </c>
      <c r="B852" s="5" t="s">
        <v>100</v>
      </c>
      <c r="C852" s="7">
        <v>0.4</v>
      </c>
      <c r="D852" s="7">
        <f t="shared" ref="D852" si="55">C852-(4%)</f>
        <v>0.36000000000000004</v>
      </c>
      <c r="E852" s="7">
        <f t="shared" ref="E852" si="56">D852*2%</f>
        <v>7.2000000000000007E-3</v>
      </c>
      <c r="F852" s="7">
        <f t="shared" ref="F852" si="57">D852-E852</f>
        <v>0.35280000000000006</v>
      </c>
    </row>
    <row r="853" spans="1:6" ht="14.5" x14ac:dyDescent="0.35">
      <c r="A853" s="2" t="s">
        <v>206</v>
      </c>
      <c r="B853" s="2" t="s">
        <v>1</v>
      </c>
      <c r="C853" s="3" t="s">
        <v>2</v>
      </c>
      <c r="D853" s="4" t="s">
        <v>4</v>
      </c>
      <c r="E853" s="4" t="s">
        <v>5</v>
      </c>
      <c r="F853" s="4" t="s">
        <v>6</v>
      </c>
    </row>
    <row r="854" spans="1:6" ht="14.5" x14ac:dyDescent="0.35">
      <c r="A854" s="5" t="s">
        <v>207</v>
      </c>
      <c r="B854" s="5" t="s">
        <v>100</v>
      </c>
      <c r="C854" s="7">
        <v>0.6</v>
      </c>
      <c r="D854" s="7">
        <f t="shared" si="52"/>
        <v>0.55999999999999994</v>
      </c>
      <c r="E854" s="7">
        <f t="shared" si="53"/>
        <v>1.12E-2</v>
      </c>
      <c r="F854" s="7">
        <f t="shared" si="54"/>
        <v>0.54879999999999995</v>
      </c>
    </row>
    <row r="855" spans="1:6" ht="14.5" x14ac:dyDescent="0.35">
      <c r="A855" s="5" t="s">
        <v>208</v>
      </c>
      <c r="B855" s="5" t="s">
        <v>100</v>
      </c>
      <c r="C855" s="7">
        <v>0.6</v>
      </c>
      <c r="D855" s="7">
        <f t="shared" si="52"/>
        <v>0.55999999999999994</v>
      </c>
      <c r="E855" s="7">
        <f t="shared" si="53"/>
        <v>1.12E-2</v>
      </c>
      <c r="F855" s="7">
        <f t="shared" si="54"/>
        <v>0.54879999999999995</v>
      </c>
    </row>
    <row r="856" spans="1:6" ht="14.5" x14ac:dyDescent="0.35">
      <c r="A856" s="5" t="s">
        <v>209</v>
      </c>
      <c r="B856" s="5" t="s">
        <v>830</v>
      </c>
      <c r="C856" s="7">
        <v>0.6</v>
      </c>
      <c r="D856" s="7">
        <f t="shared" si="52"/>
        <v>0.55999999999999994</v>
      </c>
      <c r="E856" s="7">
        <f t="shared" si="53"/>
        <v>1.12E-2</v>
      </c>
      <c r="F856" s="7">
        <f t="shared" si="54"/>
        <v>0.54879999999999995</v>
      </c>
    </row>
    <row r="857" spans="1:6" ht="14.5" x14ac:dyDescent="0.35">
      <c r="A857" s="48" t="s">
        <v>210</v>
      </c>
      <c r="B857" s="5" t="s">
        <v>662</v>
      </c>
      <c r="C857" s="7">
        <v>0.28000000000000003</v>
      </c>
      <c r="D857" s="7">
        <f t="shared" si="52"/>
        <v>0.24000000000000002</v>
      </c>
      <c r="E857" s="7">
        <f t="shared" si="53"/>
        <v>4.8000000000000004E-3</v>
      </c>
      <c r="F857" s="7">
        <f t="shared" si="54"/>
        <v>0.23520000000000002</v>
      </c>
    </row>
    <row r="858" spans="1:6" ht="14.5" x14ac:dyDescent="0.35">
      <c r="A858" s="48"/>
      <c r="B858" s="5" t="s">
        <v>683</v>
      </c>
      <c r="C858" s="7">
        <v>0.28000000000000003</v>
      </c>
      <c r="D858" s="7">
        <f t="shared" si="52"/>
        <v>0.24000000000000002</v>
      </c>
      <c r="E858" s="7">
        <f t="shared" si="53"/>
        <v>4.8000000000000004E-3</v>
      </c>
      <c r="F858" s="7">
        <f t="shared" si="54"/>
        <v>0.23520000000000002</v>
      </c>
    </row>
    <row r="859" spans="1:6" ht="14.5" x14ac:dyDescent="0.35">
      <c r="A859" s="48"/>
      <c r="B859" s="5" t="s">
        <v>684</v>
      </c>
      <c r="C859" s="7">
        <v>0.28000000000000003</v>
      </c>
      <c r="D859" s="7">
        <f t="shared" si="52"/>
        <v>0.24000000000000002</v>
      </c>
      <c r="E859" s="7">
        <f t="shared" si="53"/>
        <v>4.8000000000000004E-3</v>
      </c>
      <c r="F859" s="7">
        <f t="shared" si="54"/>
        <v>0.23520000000000002</v>
      </c>
    </row>
    <row r="860" spans="1:6" ht="14.5" x14ac:dyDescent="0.35">
      <c r="A860" s="48"/>
      <c r="B860" s="5" t="s">
        <v>831</v>
      </c>
      <c r="C860" s="7">
        <v>0.28000000000000003</v>
      </c>
      <c r="D860" s="7">
        <f t="shared" si="52"/>
        <v>0.24000000000000002</v>
      </c>
      <c r="E860" s="7">
        <f t="shared" si="53"/>
        <v>4.8000000000000004E-3</v>
      </c>
      <c r="F860" s="7">
        <f t="shared" si="54"/>
        <v>0.23520000000000002</v>
      </c>
    </row>
    <row r="861" spans="1:6" ht="14.5" x14ac:dyDescent="0.35">
      <c r="A861" s="5" t="s">
        <v>211</v>
      </c>
      <c r="B861" s="5" t="s">
        <v>198</v>
      </c>
      <c r="C861" s="7">
        <v>0.5</v>
      </c>
      <c r="D861" s="7">
        <f t="shared" si="52"/>
        <v>0.46</v>
      </c>
      <c r="E861" s="7">
        <f t="shared" si="53"/>
        <v>9.1999999999999998E-3</v>
      </c>
      <c r="F861" s="7">
        <f t="shared" si="54"/>
        <v>0.45080000000000003</v>
      </c>
    </row>
    <row r="862" spans="1:6" ht="24" x14ac:dyDescent="0.35">
      <c r="A862" s="29" t="s">
        <v>212</v>
      </c>
      <c r="B862" s="5" t="s">
        <v>100</v>
      </c>
      <c r="C862" s="7">
        <v>0.72499999999999998</v>
      </c>
      <c r="D862" s="7">
        <f t="shared" si="52"/>
        <v>0.68499999999999994</v>
      </c>
      <c r="E862" s="7">
        <f t="shared" si="53"/>
        <v>1.3699999999999999E-2</v>
      </c>
      <c r="F862" s="7">
        <f t="shared" si="54"/>
        <v>0.6712999999999999</v>
      </c>
    </row>
    <row r="863" spans="1:6" ht="24" x14ac:dyDescent="0.35">
      <c r="A863" s="29" t="s">
        <v>1173</v>
      </c>
      <c r="B863" s="5" t="s">
        <v>100</v>
      </c>
      <c r="C863" s="7">
        <v>0.75</v>
      </c>
      <c r="D863" s="7">
        <f t="shared" si="52"/>
        <v>0.71</v>
      </c>
      <c r="E863" s="7">
        <f t="shared" si="53"/>
        <v>1.4199999999999999E-2</v>
      </c>
      <c r="F863" s="7">
        <f t="shared" si="54"/>
        <v>0.69579999999999997</v>
      </c>
    </row>
    <row r="864" spans="1:6" ht="24" x14ac:dyDescent="0.35">
      <c r="A864" s="29" t="s">
        <v>1176</v>
      </c>
      <c r="B864" s="5" t="s">
        <v>100</v>
      </c>
      <c r="C864" s="7">
        <v>0.75</v>
      </c>
      <c r="D864" s="7">
        <f t="shared" si="52"/>
        <v>0.71</v>
      </c>
      <c r="E864" s="7">
        <f t="shared" si="53"/>
        <v>1.4199999999999999E-2</v>
      </c>
      <c r="F864" s="7">
        <f t="shared" si="54"/>
        <v>0.69579999999999997</v>
      </c>
    </row>
    <row r="865" spans="1:6" ht="24" x14ac:dyDescent="0.35">
      <c r="A865" s="5" t="s">
        <v>832</v>
      </c>
      <c r="B865" s="5" t="s">
        <v>100</v>
      </c>
      <c r="C865" s="7">
        <v>0.74</v>
      </c>
      <c r="D865" s="7">
        <f t="shared" si="52"/>
        <v>0.7</v>
      </c>
      <c r="E865" s="7">
        <f t="shared" si="53"/>
        <v>1.3999999999999999E-2</v>
      </c>
      <c r="F865" s="7">
        <f t="shared" si="54"/>
        <v>0.68599999999999994</v>
      </c>
    </row>
    <row r="866" spans="1:6" ht="24" x14ac:dyDescent="0.35">
      <c r="A866" s="5" t="s">
        <v>1441</v>
      </c>
      <c r="B866" s="5" t="s">
        <v>100</v>
      </c>
      <c r="C866" s="6">
        <v>0.65</v>
      </c>
      <c r="D866" s="7">
        <f t="shared" si="52"/>
        <v>0.61</v>
      </c>
      <c r="E866" s="7">
        <f t="shared" si="53"/>
        <v>1.2200000000000001E-2</v>
      </c>
      <c r="F866" s="7">
        <f t="shared" si="54"/>
        <v>0.5978</v>
      </c>
    </row>
    <row r="867" spans="1:6" ht="14.5" x14ac:dyDescent="0.35">
      <c r="A867" s="5" t="s">
        <v>1442</v>
      </c>
      <c r="B867" s="5" t="s">
        <v>100</v>
      </c>
      <c r="C867" s="6">
        <v>0.67</v>
      </c>
      <c r="D867" s="7">
        <f t="shared" si="52"/>
        <v>0.63</v>
      </c>
      <c r="E867" s="7">
        <f t="shared" si="53"/>
        <v>1.26E-2</v>
      </c>
      <c r="F867" s="7">
        <f t="shared" si="54"/>
        <v>0.61739999999999995</v>
      </c>
    </row>
    <row r="868" spans="1:6" ht="24" x14ac:dyDescent="0.35">
      <c r="A868" s="5" t="s">
        <v>1445</v>
      </c>
      <c r="B868" s="5" t="s">
        <v>100</v>
      </c>
      <c r="C868" s="6">
        <v>0.55000000000000004</v>
      </c>
      <c r="D868" s="7">
        <f t="shared" si="52"/>
        <v>0.51</v>
      </c>
      <c r="E868" s="7">
        <f t="shared" si="53"/>
        <v>1.0200000000000001E-2</v>
      </c>
      <c r="F868" s="7">
        <f t="shared" si="54"/>
        <v>0.49980000000000002</v>
      </c>
    </row>
    <row r="869" spans="1:6" ht="14.5" x14ac:dyDescent="0.35">
      <c r="A869" s="5" t="s">
        <v>1446</v>
      </c>
      <c r="B869" s="5" t="s">
        <v>100</v>
      </c>
      <c r="C869" s="6">
        <v>0.56999999999999995</v>
      </c>
      <c r="D869" s="7">
        <f t="shared" si="52"/>
        <v>0.52999999999999992</v>
      </c>
      <c r="E869" s="7">
        <f t="shared" si="53"/>
        <v>1.0599999999999998E-2</v>
      </c>
      <c r="F869" s="7">
        <f t="shared" si="54"/>
        <v>0.51939999999999986</v>
      </c>
    </row>
    <row r="870" spans="1:6" ht="14.5" x14ac:dyDescent="0.35">
      <c r="A870" s="2" t="s">
        <v>218</v>
      </c>
      <c r="B870" s="2" t="s">
        <v>1</v>
      </c>
      <c r="C870" s="3" t="s">
        <v>2</v>
      </c>
      <c r="D870" s="4" t="s">
        <v>4</v>
      </c>
      <c r="E870" s="4" t="s">
        <v>5</v>
      </c>
      <c r="F870" s="4" t="s">
        <v>6</v>
      </c>
    </row>
    <row r="871" spans="1:6" ht="36" x14ac:dyDescent="0.35">
      <c r="A871" s="5" t="s">
        <v>219</v>
      </c>
      <c r="B871" s="5" t="s">
        <v>833</v>
      </c>
      <c r="C871" s="6">
        <v>0.4</v>
      </c>
      <c r="D871" s="7">
        <f t="shared" si="52"/>
        <v>0.36000000000000004</v>
      </c>
      <c r="E871" s="7">
        <f t="shared" si="53"/>
        <v>7.2000000000000007E-3</v>
      </c>
      <c r="F871" s="7">
        <f t="shared" si="54"/>
        <v>0.35280000000000006</v>
      </c>
    </row>
    <row r="872" spans="1:6" ht="14.5" x14ac:dyDescent="0.35">
      <c r="A872" s="5" t="s">
        <v>219</v>
      </c>
      <c r="B872" s="5" t="s">
        <v>834</v>
      </c>
      <c r="C872" s="6">
        <v>0.35</v>
      </c>
      <c r="D872" s="7">
        <f t="shared" si="52"/>
        <v>0.31</v>
      </c>
      <c r="E872" s="7">
        <f t="shared" si="53"/>
        <v>6.1999999999999998E-3</v>
      </c>
      <c r="F872" s="7">
        <f t="shared" si="54"/>
        <v>0.30380000000000001</v>
      </c>
    </row>
    <row r="873" spans="1:6" ht="14.5" x14ac:dyDescent="0.35">
      <c r="A873" s="5" t="s">
        <v>209</v>
      </c>
      <c r="B873" s="5" t="s">
        <v>222</v>
      </c>
      <c r="C873" s="6">
        <v>0.47</v>
      </c>
      <c r="D873" s="7">
        <f t="shared" si="52"/>
        <v>0.43</v>
      </c>
      <c r="E873" s="7">
        <f t="shared" si="53"/>
        <v>8.6E-3</v>
      </c>
      <c r="F873" s="7">
        <f t="shared" si="54"/>
        <v>0.4214</v>
      </c>
    </row>
    <row r="874" spans="1:6" ht="14.5" x14ac:dyDescent="0.35">
      <c r="A874" s="5" t="s">
        <v>210</v>
      </c>
      <c r="B874" s="5" t="s">
        <v>223</v>
      </c>
      <c r="C874" s="6">
        <v>0.45</v>
      </c>
      <c r="D874" s="7">
        <f t="shared" si="52"/>
        <v>0.41000000000000003</v>
      </c>
      <c r="E874" s="7">
        <f t="shared" si="53"/>
        <v>8.2000000000000007E-3</v>
      </c>
      <c r="F874" s="7">
        <f t="shared" si="54"/>
        <v>0.40180000000000005</v>
      </c>
    </row>
    <row r="875" spans="1:6" ht="14.5" x14ac:dyDescent="0.35">
      <c r="A875" s="5" t="s">
        <v>224</v>
      </c>
      <c r="B875" s="5" t="s">
        <v>198</v>
      </c>
      <c r="C875" s="7">
        <v>0.42</v>
      </c>
      <c r="D875" s="7">
        <f t="shared" si="52"/>
        <v>0.38</v>
      </c>
      <c r="E875" s="7">
        <f t="shared" si="53"/>
        <v>7.6E-3</v>
      </c>
      <c r="F875" s="7">
        <f t="shared" si="54"/>
        <v>0.37240000000000001</v>
      </c>
    </row>
    <row r="876" spans="1:6" ht="14.5" customHeight="1" x14ac:dyDescent="0.35">
      <c r="A876" s="41" t="s">
        <v>835</v>
      </c>
      <c r="B876" s="5" t="s">
        <v>743</v>
      </c>
      <c r="C876" s="7">
        <v>0.375</v>
      </c>
      <c r="D876" s="7">
        <f t="shared" si="52"/>
        <v>0.33500000000000002</v>
      </c>
      <c r="E876" s="7">
        <f t="shared" si="53"/>
        <v>6.7000000000000002E-3</v>
      </c>
      <c r="F876" s="7">
        <f t="shared" si="54"/>
        <v>0.32830000000000004</v>
      </c>
    </row>
    <row r="877" spans="1:6" ht="14.5" x14ac:dyDescent="0.35">
      <c r="A877" s="42"/>
      <c r="B877" s="5" t="s">
        <v>688</v>
      </c>
      <c r="C877" s="7">
        <v>0.41</v>
      </c>
      <c r="D877" s="7">
        <f t="shared" si="52"/>
        <v>0.37</v>
      </c>
      <c r="E877" s="7">
        <f t="shared" si="53"/>
        <v>7.4000000000000003E-3</v>
      </c>
      <c r="F877" s="7">
        <f t="shared" si="54"/>
        <v>0.36259999999999998</v>
      </c>
    </row>
    <row r="878" spans="1:6" ht="14.5" x14ac:dyDescent="0.35">
      <c r="A878" s="42"/>
      <c r="B878" s="5" t="s">
        <v>686</v>
      </c>
      <c r="C878" s="7">
        <v>0.495</v>
      </c>
      <c r="D878" s="7">
        <f t="shared" si="52"/>
        <v>0.45500000000000002</v>
      </c>
      <c r="E878" s="7">
        <f t="shared" si="53"/>
        <v>9.1000000000000004E-3</v>
      </c>
      <c r="F878" s="7">
        <f t="shared" si="54"/>
        <v>0.44590000000000002</v>
      </c>
    </row>
    <row r="879" spans="1:6" ht="14.5" x14ac:dyDescent="0.35">
      <c r="A879" s="42"/>
      <c r="B879" s="5" t="s">
        <v>684</v>
      </c>
      <c r="C879" s="7">
        <v>0.495</v>
      </c>
      <c r="D879" s="7">
        <f t="shared" si="52"/>
        <v>0.45500000000000002</v>
      </c>
      <c r="E879" s="7">
        <f t="shared" si="53"/>
        <v>9.1000000000000004E-3</v>
      </c>
      <c r="F879" s="7">
        <f t="shared" si="54"/>
        <v>0.44590000000000002</v>
      </c>
    </row>
    <row r="880" spans="1:6" ht="14.5" x14ac:dyDescent="0.35">
      <c r="A880" s="43"/>
      <c r="B880" s="5" t="s">
        <v>683</v>
      </c>
      <c r="C880" s="7">
        <v>0.41</v>
      </c>
      <c r="D880" s="7">
        <f t="shared" si="52"/>
        <v>0.37</v>
      </c>
      <c r="E880" s="7">
        <f t="shared" si="53"/>
        <v>7.4000000000000003E-3</v>
      </c>
      <c r="F880" s="7">
        <f t="shared" si="54"/>
        <v>0.36259999999999998</v>
      </c>
    </row>
    <row r="881" spans="1:6" ht="14.5" x14ac:dyDescent="0.35">
      <c r="A881" s="2" t="s">
        <v>225</v>
      </c>
      <c r="B881" s="2" t="s">
        <v>1</v>
      </c>
      <c r="C881" s="3" t="s">
        <v>2</v>
      </c>
      <c r="D881" s="4" t="s">
        <v>4</v>
      </c>
      <c r="E881" s="4" t="s">
        <v>5</v>
      </c>
      <c r="F881" s="4" t="s">
        <v>6</v>
      </c>
    </row>
    <row r="882" spans="1:6" ht="24" x14ac:dyDescent="0.35">
      <c r="A882" s="5" t="s">
        <v>836</v>
      </c>
      <c r="B882" s="5" t="s">
        <v>837</v>
      </c>
      <c r="C882" s="6">
        <v>0.37</v>
      </c>
      <c r="D882" s="7">
        <f t="shared" si="52"/>
        <v>0.33</v>
      </c>
      <c r="E882" s="7">
        <f t="shared" si="53"/>
        <v>6.6000000000000008E-3</v>
      </c>
      <c r="F882" s="7">
        <f t="shared" si="54"/>
        <v>0.32340000000000002</v>
      </c>
    </row>
    <row r="883" spans="1:6" ht="24" x14ac:dyDescent="0.35">
      <c r="A883" s="5" t="s">
        <v>838</v>
      </c>
      <c r="B883" s="5" t="s">
        <v>837</v>
      </c>
      <c r="C883" s="6">
        <v>0.32</v>
      </c>
      <c r="D883" s="7">
        <f t="shared" si="52"/>
        <v>0.28000000000000003</v>
      </c>
      <c r="E883" s="7">
        <f t="shared" si="53"/>
        <v>5.6000000000000008E-3</v>
      </c>
      <c r="F883" s="7">
        <f t="shared" si="54"/>
        <v>0.27440000000000003</v>
      </c>
    </row>
    <row r="884" spans="1:6" ht="24" x14ac:dyDescent="0.35">
      <c r="A884" s="5" t="s">
        <v>836</v>
      </c>
      <c r="B884" s="5" t="s">
        <v>839</v>
      </c>
      <c r="C884" s="6">
        <v>0.5</v>
      </c>
      <c r="D884" s="7">
        <f t="shared" si="52"/>
        <v>0.46</v>
      </c>
      <c r="E884" s="7">
        <f t="shared" si="53"/>
        <v>9.1999999999999998E-3</v>
      </c>
      <c r="F884" s="7">
        <f t="shared" si="54"/>
        <v>0.45080000000000003</v>
      </c>
    </row>
    <row r="885" spans="1:6" ht="24" x14ac:dyDescent="0.35">
      <c r="A885" s="5" t="s">
        <v>838</v>
      </c>
      <c r="B885" s="5" t="s">
        <v>839</v>
      </c>
      <c r="C885" s="6">
        <v>0.44</v>
      </c>
      <c r="D885" s="7">
        <f t="shared" si="52"/>
        <v>0.4</v>
      </c>
      <c r="E885" s="7">
        <f t="shared" si="53"/>
        <v>8.0000000000000002E-3</v>
      </c>
      <c r="F885" s="7">
        <f t="shared" si="54"/>
        <v>0.39200000000000002</v>
      </c>
    </row>
    <row r="886" spans="1:6" ht="24" x14ac:dyDescent="0.35">
      <c r="A886" s="5" t="s">
        <v>840</v>
      </c>
      <c r="B886" s="5" t="s">
        <v>841</v>
      </c>
      <c r="C886" s="6">
        <v>0.43</v>
      </c>
      <c r="D886" s="7">
        <f t="shared" si="52"/>
        <v>0.39</v>
      </c>
      <c r="E886" s="7">
        <f t="shared" si="53"/>
        <v>7.8000000000000005E-3</v>
      </c>
      <c r="F886" s="7">
        <f t="shared" si="54"/>
        <v>0.38220000000000004</v>
      </c>
    </row>
    <row r="887" spans="1:6" ht="24" x14ac:dyDescent="0.35">
      <c r="A887" s="5" t="s">
        <v>842</v>
      </c>
      <c r="B887" s="5" t="s">
        <v>843</v>
      </c>
      <c r="C887" s="6">
        <v>0.48499999999999999</v>
      </c>
      <c r="D887" s="7">
        <f t="shared" si="52"/>
        <v>0.44500000000000001</v>
      </c>
      <c r="E887" s="7">
        <f t="shared" si="53"/>
        <v>8.8999999999999999E-3</v>
      </c>
      <c r="F887" s="7">
        <f t="shared" si="54"/>
        <v>0.43609999999999999</v>
      </c>
    </row>
    <row r="888" spans="1:6" ht="24" x14ac:dyDescent="0.35">
      <c r="A888" s="5" t="s">
        <v>842</v>
      </c>
      <c r="B888" s="5" t="s">
        <v>841</v>
      </c>
      <c r="C888" s="6">
        <v>0.47499999999999998</v>
      </c>
      <c r="D888" s="7">
        <f t="shared" si="52"/>
        <v>0.435</v>
      </c>
      <c r="E888" s="7">
        <f t="shared" si="53"/>
        <v>8.6999999999999994E-3</v>
      </c>
      <c r="F888" s="7">
        <f t="shared" si="54"/>
        <v>0.42630000000000001</v>
      </c>
    </row>
    <row r="889" spans="1:6" ht="24" x14ac:dyDescent="0.35">
      <c r="A889" s="5" t="s">
        <v>844</v>
      </c>
      <c r="B889" s="5" t="s">
        <v>662</v>
      </c>
      <c r="C889" s="6">
        <v>0.41499999999999998</v>
      </c>
      <c r="D889" s="7">
        <f t="shared" si="52"/>
        <v>0.375</v>
      </c>
      <c r="E889" s="7">
        <f t="shared" si="53"/>
        <v>7.4999999999999997E-3</v>
      </c>
      <c r="F889" s="7">
        <f t="shared" si="54"/>
        <v>0.36749999999999999</v>
      </c>
    </row>
    <row r="890" spans="1:6" ht="24" x14ac:dyDescent="0.35">
      <c r="A890" s="5" t="s">
        <v>844</v>
      </c>
      <c r="B890" s="5" t="s">
        <v>663</v>
      </c>
      <c r="C890" s="6">
        <v>0.41499999999999998</v>
      </c>
      <c r="D890" s="7">
        <f t="shared" si="52"/>
        <v>0.375</v>
      </c>
      <c r="E890" s="7">
        <f t="shared" si="53"/>
        <v>7.4999999999999997E-3</v>
      </c>
      <c r="F890" s="7">
        <f t="shared" si="54"/>
        <v>0.36749999999999999</v>
      </c>
    </row>
    <row r="891" spans="1:6" ht="24" x14ac:dyDescent="0.35">
      <c r="A891" s="5" t="s">
        <v>845</v>
      </c>
      <c r="B891" s="5" t="s">
        <v>662</v>
      </c>
      <c r="C891" s="6">
        <v>0.41499999999999998</v>
      </c>
      <c r="D891" s="7">
        <f t="shared" si="52"/>
        <v>0.375</v>
      </c>
      <c r="E891" s="7">
        <f t="shared" si="53"/>
        <v>7.4999999999999997E-3</v>
      </c>
      <c r="F891" s="7">
        <f t="shared" si="54"/>
        <v>0.36749999999999999</v>
      </c>
    </row>
    <row r="892" spans="1:6" ht="14.5" x14ac:dyDescent="0.35">
      <c r="A892" s="48" t="s">
        <v>367</v>
      </c>
      <c r="B892" s="5" t="s">
        <v>846</v>
      </c>
      <c r="C892" s="7">
        <v>0.43</v>
      </c>
      <c r="D892" s="7">
        <f t="shared" si="52"/>
        <v>0.39</v>
      </c>
      <c r="E892" s="7">
        <f t="shared" si="53"/>
        <v>7.8000000000000005E-3</v>
      </c>
      <c r="F892" s="7">
        <f t="shared" si="54"/>
        <v>0.38220000000000004</v>
      </c>
    </row>
    <row r="893" spans="1:6" ht="14.5" x14ac:dyDescent="0.35">
      <c r="A893" s="48"/>
      <c r="B893" s="5" t="s">
        <v>847</v>
      </c>
      <c r="C893" s="7">
        <v>0.05</v>
      </c>
      <c r="D893" s="7" t="s">
        <v>20</v>
      </c>
      <c r="E893" s="7" t="s">
        <v>20</v>
      </c>
      <c r="F893" s="7" t="s">
        <v>20</v>
      </c>
    </row>
    <row r="894" spans="1:6" ht="14.5" x14ac:dyDescent="0.35">
      <c r="A894" s="48"/>
      <c r="B894" s="5" t="s">
        <v>848</v>
      </c>
      <c r="C894" s="7">
        <v>0.5</v>
      </c>
      <c r="D894" s="7">
        <f t="shared" si="52"/>
        <v>0.46</v>
      </c>
      <c r="E894" s="7">
        <f t="shared" si="53"/>
        <v>9.1999999999999998E-3</v>
      </c>
      <c r="F894" s="7">
        <f t="shared" si="54"/>
        <v>0.45080000000000003</v>
      </c>
    </row>
    <row r="895" spans="1:6" ht="14.5" x14ac:dyDescent="0.35">
      <c r="A895" s="48" t="s">
        <v>374</v>
      </c>
      <c r="B895" s="5" t="s">
        <v>849</v>
      </c>
      <c r="C895" s="7">
        <v>0.41</v>
      </c>
      <c r="D895" s="7">
        <f t="shared" si="52"/>
        <v>0.37</v>
      </c>
      <c r="E895" s="7">
        <f t="shared" si="53"/>
        <v>7.4000000000000003E-3</v>
      </c>
      <c r="F895" s="7">
        <f t="shared" si="54"/>
        <v>0.36259999999999998</v>
      </c>
    </row>
    <row r="896" spans="1:6" ht="14.5" x14ac:dyDescent="0.35">
      <c r="A896" s="48"/>
      <c r="B896" s="5" t="s">
        <v>848</v>
      </c>
      <c r="C896" s="7">
        <v>0.41</v>
      </c>
      <c r="D896" s="7">
        <f t="shared" si="52"/>
        <v>0.37</v>
      </c>
      <c r="E896" s="7">
        <f t="shared" si="53"/>
        <v>7.4000000000000003E-3</v>
      </c>
      <c r="F896" s="7">
        <f t="shared" si="54"/>
        <v>0.36259999999999998</v>
      </c>
    </row>
    <row r="897" spans="1:6" ht="14.5" x14ac:dyDescent="0.35">
      <c r="A897" s="48"/>
      <c r="B897" s="5" t="s">
        <v>683</v>
      </c>
      <c r="C897" s="7">
        <v>0.5</v>
      </c>
      <c r="D897" s="7">
        <f t="shared" si="52"/>
        <v>0.46</v>
      </c>
      <c r="E897" s="7">
        <f t="shared" si="53"/>
        <v>9.1999999999999998E-3</v>
      </c>
      <c r="F897" s="7">
        <f t="shared" si="54"/>
        <v>0.45080000000000003</v>
      </c>
    </row>
    <row r="898" spans="1:6" ht="14.5" x14ac:dyDescent="0.35">
      <c r="A898" s="5" t="s">
        <v>375</v>
      </c>
      <c r="B898" s="5" t="s">
        <v>100</v>
      </c>
      <c r="C898" s="7">
        <v>0.42499999999999999</v>
      </c>
      <c r="D898" s="7">
        <f t="shared" si="52"/>
        <v>0.38500000000000001</v>
      </c>
      <c r="E898" s="7">
        <f t="shared" si="53"/>
        <v>7.7000000000000002E-3</v>
      </c>
      <c r="F898" s="7">
        <f t="shared" si="54"/>
        <v>0.37730000000000002</v>
      </c>
    </row>
    <row r="899" spans="1:6" ht="14.5" x14ac:dyDescent="0.35">
      <c r="A899" s="5" t="s">
        <v>28</v>
      </c>
      <c r="B899" s="5" t="s">
        <v>100</v>
      </c>
      <c r="C899" s="7">
        <v>0.59</v>
      </c>
      <c r="D899" s="7">
        <f t="shared" si="52"/>
        <v>0.54999999999999993</v>
      </c>
      <c r="E899" s="7">
        <f t="shared" si="53"/>
        <v>1.0999999999999999E-2</v>
      </c>
      <c r="F899" s="7">
        <f t="shared" si="54"/>
        <v>0.53899999999999992</v>
      </c>
    </row>
    <row r="900" spans="1:6" ht="14.5" x14ac:dyDescent="0.35">
      <c r="A900" s="44" t="s">
        <v>184</v>
      </c>
      <c r="B900" s="5" t="s">
        <v>92</v>
      </c>
      <c r="C900" s="6">
        <v>0.38</v>
      </c>
      <c r="D900" s="7">
        <f t="shared" si="52"/>
        <v>0.34</v>
      </c>
      <c r="E900" s="7">
        <f t="shared" si="53"/>
        <v>6.8000000000000005E-3</v>
      </c>
      <c r="F900" s="7">
        <f t="shared" si="54"/>
        <v>0.33320000000000005</v>
      </c>
    </row>
    <row r="901" spans="1:6" ht="14.5" x14ac:dyDescent="0.35">
      <c r="A901" s="45"/>
      <c r="B901" s="5" t="s">
        <v>93</v>
      </c>
      <c r="C901" s="6">
        <v>0.43</v>
      </c>
      <c r="D901" s="7">
        <f t="shared" si="52"/>
        <v>0.39</v>
      </c>
      <c r="E901" s="7">
        <f t="shared" si="53"/>
        <v>7.8000000000000005E-3</v>
      </c>
      <c r="F901" s="7">
        <f t="shared" si="54"/>
        <v>0.38220000000000004</v>
      </c>
    </row>
    <row r="902" spans="1:6" ht="14.5" x14ac:dyDescent="0.35">
      <c r="A902" s="5" t="s">
        <v>850</v>
      </c>
      <c r="B902" s="5" t="s">
        <v>662</v>
      </c>
      <c r="C902" s="7">
        <v>0.41</v>
      </c>
      <c r="D902" s="7">
        <f t="shared" si="52"/>
        <v>0.37</v>
      </c>
      <c r="E902" s="7">
        <f t="shared" si="53"/>
        <v>7.4000000000000003E-3</v>
      </c>
      <c r="F902" s="7">
        <f t="shared" si="54"/>
        <v>0.36259999999999998</v>
      </c>
    </row>
    <row r="903" spans="1:6" ht="14.5" x14ac:dyDescent="0.35">
      <c r="A903" s="48" t="s">
        <v>231</v>
      </c>
      <c r="B903" s="5" t="s">
        <v>662</v>
      </c>
      <c r="C903" s="7">
        <v>0.27</v>
      </c>
      <c r="D903" s="7">
        <f t="shared" si="52"/>
        <v>0.23</v>
      </c>
      <c r="E903" s="7">
        <f t="shared" si="53"/>
        <v>4.5999999999999999E-3</v>
      </c>
      <c r="F903" s="7">
        <f t="shared" si="54"/>
        <v>0.22540000000000002</v>
      </c>
    </row>
    <row r="904" spans="1:6" ht="14.5" x14ac:dyDescent="0.35">
      <c r="A904" s="48"/>
      <c r="B904" s="5" t="s">
        <v>683</v>
      </c>
      <c r="C904" s="7">
        <v>0.27</v>
      </c>
      <c r="D904" s="7">
        <f t="shared" si="52"/>
        <v>0.23</v>
      </c>
      <c r="E904" s="7">
        <f t="shared" si="53"/>
        <v>4.5999999999999999E-3</v>
      </c>
      <c r="F904" s="7">
        <f t="shared" si="54"/>
        <v>0.22540000000000002</v>
      </c>
    </row>
    <row r="905" spans="1:6" ht="14.5" x14ac:dyDescent="0.35">
      <c r="A905" s="48"/>
      <c r="B905" s="5" t="s">
        <v>684</v>
      </c>
      <c r="C905" s="7">
        <v>0.19</v>
      </c>
      <c r="D905" s="7">
        <f t="shared" si="52"/>
        <v>0.15</v>
      </c>
      <c r="E905" s="7">
        <f t="shared" si="53"/>
        <v>3.0000000000000001E-3</v>
      </c>
      <c r="F905" s="7">
        <f t="shared" si="54"/>
        <v>0.14699999999999999</v>
      </c>
    </row>
    <row r="906" spans="1:6" ht="14.5" x14ac:dyDescent="0.35">
      <c r="A906" s="48"/>
      <c r="B906" s="5" t="s">
        <v>831</v>
      </c>
      <c r="C906" s="7">
        <v>0</v>
      </c>
      <c r="D906" s="7" t="s">
        <v>20</v>
      </c>
      <c r="E906" s="7" t="s">
        <v>20</v>
      </c>
      <c r="F906" s="7" t="s">
        <v>20</v>
      </c>
    </row>
    <row r="907" spans="1:6" ht="14.5" x14ac:dyDescent="0.35">
      <c r="A907" s="48" t="s">
        <v>851</v>
      </c>
      <c r="B907" s="5" t="s">
        <v>662</v>
      </c>
      <c r="C907" s="7">
        <v>0.28999999999999998</v>
      </c>
      <c r="D907" s="7">
        <f t="shared" si="52"/>
        <v>0.24999999999999997</v>
      </c>
      <c r="E907" s="7">
        <f t="shared" si="53"/>
        <v>4.9999999999999992E-3</v>
      </c>
      <c r="F907" s="7">
        <f t="shared" si="54"/>
        <v>0.24499999999999997</v>
      </c>
    </row>
    <row r="908" spans="1:6" ht="14.5" x14ac:dyDescent="0.35">
      <c r="A908" s="48"/>
      <c r="B908" s="5" t="s">
        <v>683</v>
      </c>
      <c r="C908" s="7">
        <v>0.27</v>
      </c>
      <c r="D908" s="7">
        <f t="shared" si="52"/>
        <v>0.23</v>
      </c>
      <c r="E908" s="7">
        <f t="shared" si="53"/>
        <v>4.5999999999999999E-3</v>
      </c>
      <c r="F908" s="7">
        <f t="shared" si="54"/>
        <v>0.22540000000000002</v>
      </c>
    </row>
    <row r="909" spans="1:6" ht="14.5" x14ac:dyDescent="0.35">
      <c r="A909" s="48"/>
      <c r="B909" s="5" t="s">
        <v>684</v>
      </c>
      <c r="C909" s="7">
        <v>0.05</v>
      </c>
      <c r="D909" s="7" t="s">
        <v>20</v>
      </c>
      <c r="E909" s="7" t="s">
        <v>20</v>
      </c>
      <c r="F909" s="7" t="s">
        <v>20</v>
      </c>
    </row>
    <row r="910" spans="1:6" ht="14.5" x14ac:dyDescent="0.35">
      <c r="A910" s="48"/>
      <c r="B910" s="5" t="s">
        <v>831</v>
      </c>
      <c r="C910" s="7">
        <v>0</v>
      </c>
      <c r="D910" s="7" t="s">
        <v>20</v>
      </c>
      <c r="E910" s="7" t="s">
        <v>20</v>
      </c>
      <c r="F910" s="7" t="s">
        <v>20</v>
      </c>
    </row>
    <row r="911" spans="1:6" ht="14.5" x14ac:dyDescent="0.35">
      <c r="A911" s="48" t="s">
        <v>852</v>
      </c>
      <c r="B911" s="5" t="s">
        <v>662</v>
      </c>
      <c r="C911" s="7">
        <v>0.4</v>
      </c>
      <c r="D911" s="7">
        <f t="shared" si="52"/>
        <v>0.36000000000000004</v>
      </c>
      <c r="E911" s="7">
        <f t="shared" si="53"/>
        <v>7.2000000000000007E-3</v>
      </c>
      <c r="F911" s="7">
        <f t="shared" si="54"/>
        <v>0.35280000000000006</v>
      </c>
    </row>
    <row r="912" spans="1:6" ht="14.5" x14ac:dyDescent="0.35">
      <c r="A912" s="48"/>
      <c r="B912" s="5" t="s">
        <v>683</v>
      </c>
      <c r="C912" s="7">
        <v>0.34</v>
      </c>
      <c r="D912" s="7">
        <f t="shared" si="52"/>
        <v>0.30000000000000004</v>
      </c>
      <c r="E912" s="7">
        <f t="shared" si="53"/>
        <v>6.000000000000001E-3</v>
      </c>
      <c r="F912" s="7">
        <f t="shared" si="54"/>
        <v>0.29400000000000004</v>
      </c>
    </row>
    <row r="913" spans="1:6" ht="14.5" x14ac:dyDescent="0.35">
      <c r="A913" s="48"/>
      <c r="B913" s="5" t="s">
        <v>684</v>
      </c>
      <c r="C913" s="7">
        <v>0.17</v>
      </c>
      <c r="D913" s="7">
        <f t="shared" si="52"/>
        <v>0.13</v>
      </c>
      <c r="E913" s="7">
        <f t="shared" si="53"/>
        <v>2.6000000000000003E-3</v>
      </c>
      <c r="F913" s="7">
        <f t="shared" si="54"/>
        <v>0.12740000000000001</v>
      </c>
    </row>
    <row r="914" spans="1:6" ht="14.5" x14ac:dyDescent="0.35">
      <c r="A914" s="48"/>
      <c r="B914" s="5" t="s">
        <v>831</v>
      </c>
      <c r="C914" s="7">
        <v>0</v>
      </c>
      <c r="D914" s="7" t="s">
        <v>20</v>
      </c>
      <c r="E914" s="7" t="s">
        <v>20</v>
      </c>
      <c r="F914" s="7" t="s">
        <v>20</v>
      </c>
    </row>
    <row r="915" spans="1:6" ht="14.5" x14ac:dyDescent="0.35">
      <c r="A915" s="48" t="s">
        <v>853</v>
      </c>
      <c r="B915" s="5" t="s">
        <v>32</v>
      </c>
      <c r="C915" s="7">
        <v>0.17499999999999999</v>
      </c>
      <c r="D915" s="7">
        <f t="shared" si="52"/>
        <v>0.13499999999999998</v>
      </c>
      <c r="E915" s="7">
        <f t="shared" si="53"/>
        <v>2.6999999999999997E-3</v>
      </c>
      <c r="F915" s="7">
        <f t="shared" si="54"/>
        <v>0.13229999999999997</v>
      </c>
    </row>
    <row r="916" spans="1:6" ht="14.5" x14ac:dyDescent="0.35">
      <c r="A916" s="48"/>
      <c r="B916" s="5" t="s">
        <v>108</v>
      </c>
      <c r="C916" s="7">
        <v>0.125</v>
      </c>
      <c r="D916" s="7">
        <f t="shared" si="52"/>
        <v>8.4999999999999992E-2</v>
      </c>
      <c r="E916" s="7">
        <f t="shared" si="53"/>
        <v>1.6999999999999999E-3</v>
      </c>
      <c r="F916" s="7">
        <f t="shared" si="54"/>
        <v>8.3299999999999999E-2</v>
      </c>
    </row>
    <row r="917" spans="1:6" ht="14.5" x14ac:dyDescent="0.35">
      <c r="A917" s="48" t="s">
        <v>854</v>
      </c>
      <c r="B917" s="5" t="s">
        <v>686</v>
      </c>
      <c r="C917" s="7">
        <v>0</v>
      </c>
      <c r="D917" s="7" t="s">
        <v>20</v>
      </c>
      <c r="E917" s="7" t="s">
        <v>20</v>
      </c>
      <c r="F917" s="7" t="s">
        <v>20</v>
      </c>
    </row>
    <row r="918" spans="1:6" ht="14.5" x14ac:dyDescent="0.35">
      <c r="A918" s="48"/>
      <c r="B918" s="5" t="s">
        <v>684</v>
      </c>
      <c r="C918" s="7">
        <v>0</v>
      </c>
      <c r="D918" s="7" t="s">
        <v>20</v>
      </c>
      <c r="E918" s="7" t="s">
        <v>20</v>
      </c>
      <c r="F918" s="7" t="s">
        <v>20</v>
      </c>
    </row>
    <row r="919" spans="1:6" ht="14.5" x14ac:dyDescent="0.35">
      <c r="A919" s="48"/>
      <c r="B919" s="5" t="s">
        <v>683</v>
      </c>
      <c r="C919" s="7">
        <v>0</v>
      </c>
      <c r="D919" s="7" t="s">
        <v>20</v>
      </c>
      <c r="E919" s="7" t="s">
        <v>20</v>
      </c>
      <c r="F919" s="7" t="s">
        <v>20</v>
      </c>
    </row>
    <row r="920" spans="1:6" ht="14.5" x14ac:dyDescent="0.35">
      <c r="A920" s="48"/>
      <c r="B920" s="5" t="s">
        <v>687</v>
      </c>
      <c r="C920" s="7">
        <v>0.65</v>
      </c>
      <c r="D920" s="7">
        <f t="shared" ref="D920:D991" si="58">C920-(4%)</f>
        <v>0.61</v>
      </c>
      <c r="E920" s="7">
        <f t="shared" ref="E920:E991" si="59">D920*2%</f>
        <v>1.2200000000000001E-2</v>
      </c>
      <c r="F920" s="7">
        <f t="shared" ref="F920:F991" si="60">D920-E920</f>
        <v>0.5978</v>
      </c>
    </row>
    <row r="921" spans="1:6" ht="14.5" x14ac:dyDescent="0.35">
      <c r="A921" s="48"/>
      <c r="B921" s="5" t="s">
        <v>688</v>
      </c>
      <c r="C921" s="7">
        <v>0.65</v>
      </c>
      <c r="D921" s="7">
        <f t="shared" si="58"/>
        <v>0.61</v>
      </c>
      <c r="E921" s="7">
        <f t="shared" si="59"/>
        <v>1.2200000000000001E-2</v>
      </c>
      <c r="F921" s="7">
        <f t="shared" si="60"/>
        <v>0.5978</v>
      </c>
    </row>
    <row r="922" spans="1:6" ht="14.5" x14ac:dyDescent="0.35">
      <c r="A922" s="48" t="s">
        <v>855</v>
      </c>
      <c r="B922" s="5" t="s">
        <v>686</v>
      </c>
      <c r="C922" s="7">
        <v>0</v>
      </c>
      <c r="D922" s="7" t="s">
        <v>20</v>
      </c>
      <c r="E922" s="7" t="s">
        <v>20</v>
      </c>
      <c r="F922" s="7" t="s">
        <v>20</v>
      </c>
    </row>
    <row r="923" spans="1:6" ht="14.5" x14ac:dyDescent="0.35">
      <c r="A923" s="48"/>
      <c r="B923" s="5" t="s">
        <v>684</v>
      </c>
      <c r="C923" s="7">
        <v>0</v>
      </c>
      <c r="D923" s="7" t="s">
        <v>20</v>
      </c>
      <c r="E923" s="7" t="s">
        <v>20</v>
      </c>
      <c r="F923" s="7" t="s">
        <v>20</v>
      </c>
    </row>
    <row r="924" spans="1:6" ht="14.5" x14ac:dyDescent="0.35">
      <c r="A924" s="48"/>
      <c r="B924" s="5" t="s">
        <v>683</v>
      </c>
      <c r="C924" s="7">
        <v>0.65</v>
      </c>
      <c r="D924" s="7">
        <f t="shared" si="58"/>
        <v>0.61</v>
      </c>
      <c r="E924" s="7">
        <f t="shared" si="59"/>
        <v>1.2200000000000001E-2</v>
      </c>
      <c r="F924" s="7">
        <f t="shared" si="60"/>
        <v>0.5978</v>
      </c>
    </row>
    <row r="925" spans="1:6" ht="14.5" x14ac:dyDescent="0.35">
      <c r="A925" s="48"/>
      <c r="B925" s="5" t="s">
        <v>687</v>
      </c>
      <c r="C925" s="7">
        <v>0.65</v>
      </c>
      <c r="D925" s="7">
        <f t="shared" si="58"/>
        <v>0.61</v>
      </c>
      <c r="E925" s="7">
        <f t="shared" si="59"/>
        <v>1.2200000000000001E-2</v>
      </c>
      <c r="F925" s="7">
        <f t="shared" si="60"/>
        <v>0.5978</v>
      </c>
    </row>
    <row r="926" spans="1:6" ht="14.5" x14ac:dyDescent="0.35">
      <c r="A926" s="48"/>
      <c r="B926" s="5" t="s">
        <v>688</v>
      </c>
      <c r="C926" s="7">
        <v>0</v>
      </c>
      <c r="D926" s="7" t="s">
        <v>20</v>
      </c>
      <c r="E926" s="7" t="s">
        <v>20</v>
      </c>
      <c r="F926" s="7" t="s">
        <v>20</v>
      </c>
    </row>
    <row r="927" spans="1:6" ht="14.5" x14ac:dyDescent="0.35">
      <c r="A927" s="48" t="s">
        <v>492</v>
      </c>
      <c r="B927" s="5" t="s">
        <v>686</v>
      </c>
      <c r="C927" s="7">
        <v>0.4</v>
      </c>
      <c r="D927" s="7">
        <f t="shared" si="58"/>
        <v>0.36000000000000004</v>
      </c>
      <c r="E927" s="7">
        <f t="shared" si="59"/>
        <v>7.2000000000000007E-3</v>
      </c>
      <c r="F927" s="7">
        <f t="shared" si="60"/>
        <v>0.35280000000000006</v>
      </c>
    </row>
    <row r="928" spans="1:6" ht="14.5" x14ac:dyDescent="0.35">
      <c r="A928" s="48"/>
      <c r="B928" s="5" t="s">
        <v>684</v>
      </c>
      <c r="C928" s="7">
        <v>0.1</v>
      </c>
      <c r="D928" s="7">
        <f t="shared" si="58"/>
        <v>6.0000000000000005E-2</v>
      </c>
      <c r="E928" s="7">
        <f t="shared" si="59"/>
        <v>1.2000000000000001E-3</v>
      </c>
      <c r="F928" s="7">
        <f t="shared" si="60"/>
        <v>5.8800000000000005E-2</v>
      </c>
    </row>
    <row r="929" spans="1:6" ht="14.5" x14ac:dyDescent="0.35">
      <c r="A929" s="48"/>
      <c r="B929" s="5" t="s">
        <v>683</v>
      </c>
      <c r="C929" s="7">
        <v>0</v>
      </c>
      <c r="D929" s="7" t="s">
        <v>20</v>
      </c>
      <c r="E929" s="7" t="s">
        <v>20</v>
      </c>
      <c r="F929" s="7" t="s">
        <v>20</v>
      </c>
    </row>
    <row r="930" spans="1:6" ht="14.5" x14ac:dyDescent="0.35">
      <c r="A930" s="48"/>
      <c r="B930" s="5" t="s">
        <v>687</v>
      </c>
      <c r="C930" s="7">
        <v>0.6</v>
      </c>
      <c r="D930" s="7">
        <f t="shared" si="58"/>
        <v>0.55999999999999994</v>
      </c>
      <c r="E930" s="7">
        <f t="shared" si="59"/>
        <v>1.12E-2</v>
      </c>
      <c r="F930" s="7">
        <f t="shared" si="60"/>
        <v>0.54879999999999995</v>
      </c>
    </row>
    <row r="931" spans="1:6" ht="14.5" x14ac:dyDescent="0.35">
      <c r="A931" s="48"/>
      <c r="B931" s="5" t="s">
        <v>688</v>
      </c>
      <c r="C931" s="7">
        <v>0.6</v>
      </c>
      <c r="D931" s="7">
        <f t="shared" si="58"/>
        <v>0.55999999999999994</v>
      </c>
      <c r="E931" s="7">
        <f t="shared" si="59"/>
        <v>1.12E-2</v>
      </c>
      <c r="F931" s="7">
        <f t="shared" si="60"/>
        <v>0.54879999999999995</v>
      </c>
    </row>
    <row r="932" spans="1:6" ht="14.5" x14ac:dyDescent="0.35">
      <c r="A932" s="48" t="s">
        <v>36</v>
      </c>
      <c r="B932" s="5" t="s">
        <v>686</v>
      </c>
      <c r="C932" s="7">
        <v>0.6</v>
      </c>
      <c r="D932" s="7">
        <f t="shared" si="58"/>
        <v>0.55999999999999994</v>
      </c>
      <c r="E932" s="7">
        <f t="shared" si="59"/>
        <v>1.12E-2</v>
      </c>
      <c r="F932" s="7">
        <f t="shared" si="60"/>
        <v>0.54879999999999995</v>
      </c>
    </row>
    <row r="933" spans="1:6" ht="14.5" x14ac:dyDescent="0.35">
      <c r="A933" s="48"/>
      <c r="B933" s="5" t="s">
        <v>684</v>
      </c>
      <c r="C933" s="7">
        <v>0</v>
      </c>
      <c r="D933" s="7" t="s">
        <v>20</v>
      </c>
      <c r="E933" s="7" t="s">
        <v>20</v>
      </c>
      <c r="F933" s="7" t="s">
        <v>20</v>
      </c>
    </row>
    <row r="934" spans="1:6" ht="14.5" x14ac:dyDescent="0.35">
      <c r="A934" s="48"/>
      <c r="B934" s="5" t="s">
        <v>683</v>
      </c>
      <c r="C934" s="7">
        <v>0.6</v>
      </c>
      <c r="D934" s="7">
        <f t="shared" si="58"/>
        <v>0.55999999999999994</v>
      </c>
      <c r="E934" s="7">
        <f t="shared" si="59"/>
        <v>1.12E-2</v>
      </c>
      <c r="F934" s="7">
        <f t="shared" si="60"/>
        <v>0.54879999999999995</v>
      </c>
    </row>
    <row r="935" spans="1:6" ht="14.5" x14ac:dyDescent="0.35">
      <c r="A935" s="48"/>
      <c r="B935" s="5" t="s">
        <v>687</v>
      </c>
      <c r="C935" s="7">
        <v>0.3</v>
      </c>
      <c r="D935" s="7">
        <f t="shared" si="58"/>
        <v>0.26</v>
      </c>
      <c r="E935" s="7">
        <f t="shared" si="59"/>
        <v>5.2000000000000006E-3</v>
      </c>
      <c r="F935" s="7">
        <f t="shared" si="60"/>
        <v>0.25480000000000003</v>
      </c>
    </row>
    <row r="936" spans="1:6" ht="14.5" x14ac:dyDescent="0.35">
      <c r="A936" s="48"/>
      <c r="B936" s="5" t="s">
        <v>688</v>
      </c>
      <c r="C936" s="7">
        <v>0.6</v>
      </c>
      <c r="D936" s="7">
        <f t="shared" si="58"/>
        <v>0.55999999999999994</v>
      </c>
      <c r="E936" s="7">
        <f t="shared" si="59"/>
        <v>1.12E-2</v>
      </c>
      <c r="F936" s="7">
        <f t="shared" si="60"/>
        <v>0.54879999999999995</v>
      </c>
    </row>
    <row r="937" spans="1:6" ht="14.5" x14ac:dyDescent="0.35">
      <c r="A937" s="48" t="s">
        <v>1211</v>
      </c>
      <c r="B937" s="5" t="s">
        <v>743</v>
      </c>
      <c r="C937" s="7">
        <v>0.48499999999999999</v>
      </c>
      <c r="D937" s="7">
        <f t="shared" si="58"/>
        <v>0.44500000000000001</v>
      </c>
      <c r="E937" s="7">
        <f t="shared" si="59"/>
        <v>8.8999999999999999E-3</v>
      </c>
      <c r="F937" s="7">
        <f t="shared" si="60"/>
        <v>0.43609999999999999</v>
      </c>
    </row>
    <row r="938" spans="1:6" ht="14.5" x14ac:dyDescent="0.35">
      <c r="A938" s="48"/>
      <c r="B938" s="5" t="s">
        <v>1212</v>
      </c>
      <c r="C938" s="7">
        <v>0.44500000000000001</v>
      </c>
      <c r="D938" s="7">
        <f t="shared" si="58"/>
        <v>0.40500000000000003</v>
      </c>
      <c r="E938" s="7">
        <f t="shared" si="59"/>
        <v>8.1000000000000013E-3</v>
      </c>
      <c r="F938" s="7">
        <f t="shared" si="60"/>
        <v>0.39690000000000003</v>
      </c>
    </row>
    <row r="939" spans="1:6" ht="14.5" x14ac:dyDescent="0.35">
      <c r="A939" s="48"/>
      <c r="B939" s="5" t="s">
        <v>686</v>
      </c>
      <c r="C939" s="7">
        <v>0.41199999999999998</v>
      </c>
      <c r="D939" s="7">
        <f t="shared" si="58"/>
        <v>0.372</v>
      </c>
      <c r="E939" s="7">
        <f t="shared" si="59"/>
        <v>7.4400000000000004E-3</v>
      </c>
      <c r="F939" s="7">
        <f t="shared" si="60"/>
        <v>0.36456</v>
      </c>
    </row>
    <row r="940" spans="1:6" ht="14.5" x14ac:dyDescent="0.35">
      <c r="A940" s="48"/>
      <c r="B940" s="5" t="s">
        <v>684</v>
      </c>
      <c r="C940" s="7">
        <v>0.41499999999999998</v>
      </c>
      <c r="D940" s="7">
        <f t="shared" si="58"/>
        <v>0.375</v>
      </c>
      <c r="E940" s="7">
        <f t="shared" si="59"/>
        <v>7.4999999999999997E-3</v>
      </c>
      <c r="F940" s="7">
        <f t="shared" si="60"/>
        <v>0.36749999999999999</v>
      </c>
    </row>
    <row r="941" spans="1:6" ht="14.5" x14ac:dyDescent="0.35">
      <c r="A941" s="48"/>
      <c r="B941" s="5" t="s">
        <v>683</v>
      </c>
      <c r="C941" s="7">
        <v>0.45500000000000002</v>
      </c>
      <c r="D941" s="7">
        <f t="shared" si="58"/>
        <v>0.41500000000000004</v>
      </c>
      <c r="E941" s="7">
        <f t="shared" si="59"/>
        <v>8.3000000000000001E-3</v>
      </c>
      <c r="F941" s="7">
        <f t="shared" si="60"/>
        <v>0.40670000000000006</v>
      </c>
    </row>
    <row r="942" spans="1:6" ht="14.5" x14ac:dyDescent="0.35">
      <c r="A942" s="5" t="s">
        <v>1473</v>
      </c>
      <c r="B942" s="5" t="s">
        <v>100</v>
      </c>
      <c r="C942" s="7">
        <v>0.56999999999999995</v>
      </c>
      <c r="D942" s="7">
        <f t="shared" si="58"/>
        <v>0.52999999999999992</v>
      </c>
      <c r="E942" s="7">
        <f t="shared" si="59"/>
        <v>1.0599999999999998E-2</v>
      </c>
      <c r="F942" s="7">
        <f t="shared" si="60"/>
        <v>0.51939999999999986</v>
      </c>
    </row>
    <row r="943" spans="1:6" ht="14.5" x14ac:dyDescent="0.35">
      <c r="A943" s="5" t="s">
        <v>1474</v>
      </c>
      <c r="B943" s="5" t="s">
        <v>100</v>
      </c>
      <c r="C943" s="7">
        <v>0.59</v>
      </c>
      <c r="D943" s="7">
        <f t="shared" si="58"/>
        <v>0.54999999999999993</v>
      </c>
      <c r="E943" s="7">
        <f t="shared" si="59"/>
        <v>1.0999999999999999E-2</v>
      </c>
      <c r="F943" s="7">
        <f t="shared" si="60"/>
        <v>0.53899999999999992</v>
      </c>
    </row>
    <row r="944" spans="1:6" ht="14.5" x14ac:dyDescent="0.35">
      <c r="A944" s="5" t="s">
        <v>1475</v>
      </c>
      <c r="B944" s="5" t="s">
        <v>662</v>
      </c>
      <c r="C944" s="7">
        <v>0.51</v>
      </c>
      <c r="D944" s="7">
        <f t="shared" si="58"/>
        <v>0.47000000000000003</v>
      </c>
      <c r="E944" s="7">
        <f t="shared" si="59"/>
        <v>9.4000000000000004E-3</v>
      </c>
      <c r="F944" s="7">
        <f t="shared" si="60"/>
        <v>0.46060000000000001</v>
      </c>
    </row>
    <row r="945" spans="1:6" ht="14.5" x14ac:dyDescent="0.35">
      <c r="A945" s="5" t="s">
        <v>1476</v>
      </c>
      <c r="B945" s="5" t="s">
        <v>662</v>
      </c>
      <c r="C945" s="7">
        <v>0.53</v>
      </c>
      <c r="D945" s="7">
        <f t="shared" si="58"/>
        <v>0.49000000000000005</v>
      </c>
      <c r="E945" s="7">
        <f t="shared" si="59"/>
        <v>9.8000000000000014E-3</v>
      </c>
      <c r="F945" s="7">
        <f t="shared" si="60"/>
        <v>0.48020000000000007</v>
      </c>
    </row>
    <row r="946" spans="1:6" ht="14.5" x14ac:dyDescent="0.35">
      <c r="A946" s="5" t="s">
        <v>1475</v>
      </c>
      <c r="B946" s="5" t="s">
        <v>663</v>
      </c>
      <c r="C946" s="7">
        <v>0.46</v>
      </c>
      <c r="D946" s="7">
        <f t="shared" si="58"/>
        <v>0.42000000000000004</v>
      </c>
      <c r="E946" s="7">
        <f t="shared" si="59"/>
        <v>8.4000000000000012E-3</v>
      </c>
      <c r="F946" s="7">
        <f t="shared" si="60"/>
        <v>0.41160000000000002</v>
      </c>
    </row>
    <row r="947" spans="1:6" ht="14.5" x14ac:dyDescent="0.35">
      <c r="A947" s="5" t="s">
        <v>1476</v>
      </c>
      <c r="B947" s="5" t="s">
        <v>663</v>
      </c>
      <c r="C947" s="7">
        <v>0.48</v>
      </c>
      <c r="D947" s="7">
        <f t="shared" si="58"/>
        <v>0.44</v>
      </c>
      <c r="E947" s="7">
        <f t="shared" si="59"/>
        <v>8.8000000000000005E-3</v>
      </c>
      <c r="F947" s="7">
        <f t="shared" si="60"/>
        <v>0.43120000000000003</v>
      </c>
    </row>
    <row r="948" spans="1:6" ht="14.5" x14ac:dyDescent="0.35">
      <c r="A948" s="5" t="s">
        <v>1477</v>
      </c>
      <c r="B948" s="5" t="s">
        <v>662</v>
      </c>
      <c r="C948" s="7">
        <v>0.55000000000000004</v>
      </c>
      <c r="D948" s="7">
        <f t="shared" si="58"/>
        <v>0.51</v>
      </c>
      <c r="E948" s="7">
        <f t="shared" si="59"/>
        <v>1.0200000000000001E-2</v>
      </c>
      <c r="F948" s="7">
        <f t="shared" si="60"/>
        <v>0.49980000000000002</v>
      </c>
    </row>
    <row r="949" spans="1:6" ht="14.5" x14ac:dyDescent="0.35">
      <c r="A949" s="5" t="s">
        <v>1478</v>
      </c>
      <c r="B949" s="5" t="s">
        <v>662</v>
      </c>
      <c r="C949" s="7">
        <v>0.56999999999999995</v>
      </c>
      <c r="D949" s="7">
        <f t="shared" si="58"/>
        <v>0.52999999999999992</v>
      </c>
      <c r="E949" s="7">
        <f t="shared" si="59"/>
        <v>1.0599999999999998E-2</v>
      </c>
      <c r="F949" s="7">
        <f t="shared" si="60"/>
        <v>0.51939999999999986</v>
      </c>
    </row>
    <row r="950" spans="1:6" ht="14.5" x14ac:dyDescent="0.35">
      <c r="A950" s="5" t="s">
        <v>1477</v>
      </c>
      <c r="B950" s="5" t="s">
        <v>663</v>
      </c>
      <c r="C950" s="7">
        <v>0.48</v>
      </c>
      <c r="D950" s="7">
        <f t="shared" si="58"/>
        <v>0.44</v>
      </c>
      <c r="E950" s="7">
        <f t="shared" si="59"/>
        <v>8.8000000000000005E-3</v>
      </c>
      <c r="F950" s="7">
        <f t="shared" si="60"/>
        <v>0.43120000000000003</v>
      </c>
    </row>
    <row r="951" spans="1:6" ht="14.5" x14ac:dyDescent="0.35">
      <c r="A951" s="5" t="s">
        <v>1478</v>
      </c>
      <c r="B951" s="5" t="s">
        <v>663</v>
      </c>
      <c r="C951" s="7">
        <v>0.5</v>
      </c>
      <c r="D951" s="7">
        <f t="shared" si="58"/>
        <v>0.46</v>
      </c>
      <c r="E951" s="7">
        <f t="shared" si="59"/>
        <v>9.1999999999999998E-3</v>
      </c>
      <c r="F951" s="7">
        <f t="shared" si="60"/>
        <v>0.45080000000000003</v>
      </c>
    </row>
    <row r="952" spans="1:6" ht="14.5" x14ac:dyDescent="0.35">
      <c r="A952" s="5" t="s">
        <v>1479</v>
      </c>
      <c r="B952" s="5" t="s">
        <v>100</v>
      </c>
      <c r="C952" s="7">
        <v>0.47</v>
      </c>
      <c r="D952" s="7">
        <f t="shared" ref="D952:D961" si="61">C952-(4%)</f>
        <v>0.43</v>
      </c>
      <c r="E952" s="7">
        <f t="shared" ref="E952:E961" si="62">D952*2%</f>
        <v>8.6E-3</v>
      </c>
      <c r="F952" s="7">
        <f t="shared" ref="F952:F961" si="63">D952-E952</f>
        <v>0.4214</v>
      </c>
    </row>
    <row r="953" spans="1:6" ht="14.5" x14ac:dyDescent="0.35">
      <c r="A953" s="5" t="s">
        <v>1480</v>
      </c>
      <c r="B953" s="5" t="s">
        <v>100</v>
      </c>
      <c r="C953" s="7">
        <v>0.49</v>
      </c>
      <c r="D953" s="7">
        <f t="shared" si="61"/>
        <v>0.45</v>
      </c>
      <c r="E953" s="7">
        <f t="shared" si="62"/>
        <v>9.0000000000000011E-3</v>
      </c>
      <c r="F953" s="7">
        <f t="shared" si="63"/>
        <v>0.441</v>
      </c>
    </row>
    <row r="954" spans="1:6" ht="14.5" x14ac:dyDescent="0.35">
      <c r="A954" s="5" t="s">
        <v>1481</v>
      </c>
      <c r="B954" s="5" t="s">
        <v>662</v>
      </c>
      <c r="C954" s="7">
        <v>0.41</v>
      </c>
      <c r="D954" s="7">
        <f t="shared" si="61"/>
        <v>0.37</v>
      </c>
      <c r="E954" s="7">
        <f t="shared" si="62"/>
        <v>7.4000000000000003E-3</v>
      </c>
      <c r="F954" s="7">
        <f t="shared" si="63"/>
        <v>0.36259999999999998</v>
      </c>
    </row>
    <row r="955" spans="1:6" ht="14.5" x14ac:dyDescent="0.35">
      <c r="A955" s="5" t="s">
        <v>1482</v>
      </c>
      <c r="B955" s="5" t="s">
        <v>662</v>
      </c>
      <c r="C955" s="7">
        <v>0.43</v>
      </c>
      <c r="D955" s="7">
        <f t="shared" si="61"/>
        <v>0.39</v>
      </c>
      <c r="E955" s="7">
        <f t="shared" si="62"/>
        <v>7.8000000000000005E-3</v>
      </c>
      <c r="F955" s="7">
        <f t="shared" si="63"/>
        <v>0.38220000000000004</v>
      </c>
    </row>
    <row r="956" spans="1:6" ht="14.5" x14ac:dyDescent="0.35">
      <c r="A956" s="5" t="s">
        <v>1481</v>
      </c>
      <c r="B956" s="5" t="s">
        <v>663</v>
      </c>
      <c r="C956" s="7">
        <v>0.36</v>
      </c>
      <c r="D956" s="7">
        <f t="shared" si="61"/>
        <v>0.32</v>
      </c>
      <c r="E956" s="7">
        <f t="shared" si="62"/>
        <v>6.4000000000000003E-3</v>
      </c>
      <c r="F956" s="7">
        <f t="shared" si="63"/>
        <v>0.31359999999999999</v>
      </c>
    </row>
    <row r="957" spans="1:6" ht="14.5" x14ac:dyDescent="0.35">
      <c r="A957" s="5" t="s">
        <v>1482</v>
      </c>
      <c r="B957" s="5" t="s">
        <v>663</v>
      </c>
      <c r="C957" s="7">
        <v>0.38</v>
      </c>
      <c r="D957" s="7">
        <f t="shared" si="61"/>
        <v>0.34</v>
      </c>
      <c r="E957" s="7">
        <f t="shared" si="62"/>
        <v>6.8000000000000005E-3</v>
      </c>
      <c r="F957" s="7">
        <f t="shared" si="63"/>
        <v>0.33320000000000005</v>
      </c>
    </row>
    <row r="958" spans="1:6" ht="14.5" x14ac:dyDescent="0.35">
      <c r="A958" s="5" t="s">
        <v>1483</v>
      </c>
      <c r="B958" s="5" t="s">
        <v>662</v>
      </c>
      <c r="C958" s="7">
        <v>0.45</v>
      </c>
      <c r="D958" s="7">
        <f t="shared" si="61"/>
        <v>0.41000000000000003</v>
      </c>
      <c r="E958" s="7">
        <f t="shared" si="62"/>
        <v>8.2000000000000007E-3</v>
      </c>
      <c r="F958" s="7">
        <f t="shared" si="63"/>
        <v>0.40180000000000005</v>
      </c>
    </row>
    <row r="959" spans="1:6" ht="14.5" x14ac:dyDescent="0.35">
      <c r="A959" s="5" t="s">
        <v>1484</v>
      </c>
      <c r="B959" s="5" t="s">
        <v>662</v>
      </c>
      <c r="C959" s="7">
        <v>0.47</v>
      </c>
      <c r="D959" s="7">
        <f t="shared" si="61"/>
        <v>0.43</v>
      </c>
      <c r="E959" s="7">
        <f t="shared" si="62"/>
        <v>8.6E-3</v>
      </c>
      <c r="F959" s="7">
        <f t="shared" si="63"/>
        <v>0.4214</v>
      </c>
    </row>
    <row r="960" spans="1:6" ht="14.5" x14ac:dyDescent="0.35">
      <c r="A960" s="5" t="s">
        <v>1483</v>
      </c>
      <c r="B960" s="5" t="s">
        <v>663</v>
      </c>
      <c r="C960" s="7">
        <v>0.38</v>
      </c>
      <c r="D960" s="7">
        <f t="shared" si="61"/>
        <v>0.34</v>
      </c>
      <c r="E960" s="7">
        <f t="shared" si="62"/>
        <v>6.8000000000000005E-3</v>
      </c>
      <c r="F960" s="7">
        <f t="shared" si="63"/>
        <v>0.33320000000000005</v>
      </c>
    </row>
    <row r="961" spans="1:6" ht="14.5" x14ac:dyDescent="0.35">
      <c r="A961" s="5" t="s">
        <v>1484</v>
      </c>
      <c r="B961" s="5" t="s">
        <v>663</v>
      </c>
      <c r="C961" s="7">
        <v>0.4</v>
      </c>
      <c r="D961" s="7">
        <f t="shared" si="61"/>
        <v>0.36000000000000004</v>
      </c>
      <c r="E961" s="7">
        <f t="shared" si="62"/>
        <v>7.2000000000000007E-3</v>
      </c>
      <c r="F961" s="7">
        <f t="shared" si="63"/>
        <v>0.35280000000000006</v>
      </c>
    </row>
    <row r="962" spans="1:6" ht="14.5" x14ac:dyDescent="0.35">
      <c r="A962" s="41" t="s">
        <v>693</v>
      </c>
      <c r="B962" s="5" t="s">
        <v>98</v>
      </c>
      <c r="C962" s="6">
        <v>0.19500000000000001</v>
      </c>
      <c r="D962" s="7">
        <f t="shared" si="58"/>
        <v>0.155</v>
      </c>
      <c r="E962" s="7">
        <f t="shared" si="59"/>
        <v>3.0999999999999999E-3</v>
      </c>
      <c r="F962" s="7">
        <f t="shared" si="60"/>
        <v>0.15190000000000001</v>
      </c>
    </row>
    <row r="963" spans="1:6" ht="14.5" x14ac:dyDescent="0.35">
      <c r="A963" s="43"/>
      <c r="B963" s="5" t="s">
        <v>99</v>
      </c>
      <c r="C963" s="6">
        <v>0.55000000000000004</v>
      </c>
      <c r="D963" s="7">
        <f t="shared" si="58"/>
        <v>0.51</v>
      </c>
      <c r="E963" s="7">
        <f t="shared" si="59"/>
        <v>1.0200000000000001E-2</v>
      </c>
      <c r="F963" s="7">
        <f t="shared" si="60"/>
        <v>0.49980000000000002</v>
      </c>
    </row>
    <row r="964" spans="1:6" ht="14.5" x14ac:dyDescent="0.35">
      <c r="A964" s="41" t="s">
        <v>690</v>
      </c>
      <c r="B964" s="5" t="s">
        <v>98</v>
      </c>
      <c r="C964" s="6">
        <v>0.19500000000000001</v>
      </c>
      <c r="D964" s="7">
        <f t="shared" si="58"/>
        <v>0.155</v>
      </c>
      <c r="E964" s="7">
        <f t="shared" si="59"/>
        <v>3.0999999999999999E-3</v>
      </c>
      <c r="F964" s="7">
        <f t="shared" si="60"/>
        <v>0.15190000000000001</v>
      </c>
    </row>
    <row r="965" spans="1:6" ht="14.5" x14ac:dyDescent="0.35">
      <c r="A965" s="43"/>
      <c r="B965" s="5" t="s">
        <v>99</v>
      </c>
      <c r="C965" s="6">
        <v>0.6</v>
      </c>
      <c r="D965" s="7">
        <f t="shared" si="58"/>
        <v>0.55999999999999994</v>
      </c>
      <c r="E965" s="7">
        <f t="shared" si="59"/>
        <v>1.12E-2</v>
      </c>
      <c r="F965" s="7">
        <f t="shared" si="60"/>
        <v>0.54879999999999995</v>
      </c>
    </row>
    <row r="966" spans="1:6" ht="14.5" x14ac:dyDescent="0.35">
      <c r="A966" s="2" t="s">
        <v>241</v>
      </c>
      <c r="B966" s="2" t="s">
        <v>1</v>
      </c>
      <c r="C966" s="3" t="s">
        <v>2</v>
      </c>
      <c r="D966" s="4" t="s">
        <v>4</v>
      </c>
      <c r="E966" s="4" t="s">
        <v>5</v>
      </c>
      <c r="F966" s="4" t="s">
        <v>6</v>
      </c>
    </row>
    <row r="967" spans="1:6" ht="14.5" x14ac:dyDescent="0.35">
      <c r="A967" s="5" t="s">
        <v>856</v>
      </c>
      <c r="B967" s="5" t="s">
        <v>570</v>
      </c>
      <c r="C967" s="7">
        <v>0.27500000000000002</v>
      </c>
      <c r="D967" s="7">
        <f t="shared" si="58"/>
        <v>0.23500000000000001</v>
      </c>
      <c r="E967" s="7">
        <f t="shared" si="59"/>
        <v>4.7000000000000002E-3</v>
      </c>
      <c r="F967" s="7">
        <f t="shared" si="60"/>
        <v>0.2303</v>
      </c>
    </row>
    <row r="968" spans="1:6" ht="14.5" x14ac:dyDescent="0.35">
      <c r="A968" s="5" t="s">
        <v>857</v>
      </c>
      <c r="B968" s="5" t="s">
        <v>858</v>
      </c>
      <c r="C968" s="7">
        <v>0.27500000000000002</v>
      </c>
      <c r="D968" s="7">
        <f t="shared" si="58"/>
        <v>0.23500000000000001</v>
      </c>
      <c r="E968" s="7">
        <f t="shared" si="59"/>
        <v>4.7000000000000002E-3</v>
      </c>
      <c r="F968" s="7">
        <f t="shared" si="60"/>
        <v>0.2303</v>
      </c>
    </row>
    <row r="969" spans="1:6" ht="24" x14ac:dyDescent="0.35">
      <c r="A969" s="5" t="s">
        <v>859</v>
      </c>
      <c r="B969" s="5" t="s">
        <v>570</v>
      </c>
      <c r="C969" s="7">
        <v>0.28999999999999998</v>
      </c>
      <c r="D969" s="7">
        <f t="shared" si="58"/>
        <v>0.24999999999999997</v>
      </c>
      <c r="E969" s="7">
        <f t="shared" si="59"/>
        <v>4.9999999999999992E-3</v>
      </c>
      <c r="F969" s="7">
        <f t="shared" si="60"/>
        <v>0.24499999999999997</v>
      </c>
    </row>
    <row r="970" spans="1:6" ht="14.5" x14ac:dyDescent="0.35">
      <c r="A970" s="5" t="s">
        <v>860</v>
      </c>
      <c r="B970" s="5" t="s">
        <v>570</v>
      </c>
      <c r="C970" s="7">
        <v>0.28999999999999998</v>
      </c>
      <c r="D970" s="7">
        <f t="shared" si="58"/>
        <v>0.24999999999999997</v>
      </c>
      <c r="E970" s="7">
        <f t="shared" si="59"/>
        <v>4.9999999999999992E-3</v>
      </c>
      <c r="F970" s="7">
        <f t="shared" si="60"/>
        <v>0.24499999999999997</v>
      </c>
    </row>
    <row r="971" spans="1:6" ht="14.5" x14ac:dyDescent="0.35">
      <c r="A971" s="5" t="s">
        <v>861</v>
      </c>
      <c r="B971" s="5" t="s">
        <v>862</v>
      </c>
      <c r="C971" s="7">
        <v>0.2</v>
      </c>
      <c r="D971" s="7">
        <f t="shared" si="58"/>
        <v>0.16</v>
      </c>
      <c r="E971" s="7">
        <f t="shared" si="59"/>
        <v>3.2000000000000002E-3</v>
      </c>
      <c r="F971" s="7">
        <f t="shared" si="60"/>
        <v>0.15679999999999999</v>
      </c>
    </row>
    <row r="972" spans="1:6" ht="14.5" x14ac:dyDescent="0.35">
      <c r="A972" s="5" t="s">
        <v>863</v>
      </c>
      <c r="B972" s="5" t="s">
        <v>864</v>
      </c>
      <c r="C972" s="7">
        <v>0.2</v>
      </c>
      <c r="D972" s="7">
        <f t="shared" si="58"/>
        <v>0.16</v>
      </c>
      <c r="E972" s="7">
        <f t="shared" si="59"/>
        <v>3.2000000000000002E-3</v>
      </c>
      <c r="F972" s="7">
        <f t="shared" si="60"/>
        <v>0.15679999999999999</v>
      </c>
    </row>
    <row r="973" spans="1:6" ht="14.5" x14ac:dyDescent="0.35">
      <c r="A973" s="5" t="s">
        <v>865</v>
      </c>
      <c r="B973" s="5" t="s">
        <v>570</v>
      </c>
      <c r="C973" s="7">
        <v>0.17499999999999999</v>
      </c>
      <c r="D973" s="7">
        <f t="shared" si="58"/>
        <v>0.13499999999999998</v>
      </c>
      <c r="E973" s="7">
        <f t="shared" si="59"/>
        <v>2.6999999999999997E-3</v>
      </c>
      <c r="F973" s="7">
        <f t="shared" si="60"/>
        <v>0.13229999999999997</v>
      </c>
    </row>
    <row r="974" spans="1:6" ht="24" x14ac:dyDescent="0.35">
      <c r="A974" s="29" t="s">
        <v>866</v>
      </c>
      <c r="B974" s="5" t="s">
        <v>683</v>
      </c>
      <c r="C974" s="6">
        <v>0.22500000000000001</v>
      </c>
      <c r="D974" s="7">
        <f t="shared" si="58"/>
        <v>0.185</v>
      </c>
      <c r="E974" s="7">
        <f t="shared" si="59"/>
        <v>3.7000000000000002E-3</v>
      </c>
      <c r="F974" s="7">
        <f t="shared" si="60"/>
        <v>0.18129999999999999</v>
      </c>
    </row>
    <row r="975" spans="1:6" ht="24" x14ac:dyDescent="0.35">
      <c r="A975" s="29" t="s">
        <v>867</v>
      </c>
      <c r="B975" s="5" t="s">
        <v>683</v>
      </c>
      <c r="C975" s="6">
        <v>0.1</v>
      </c>
      <c r="D975" s="7">
        <f t="shared" si="58"/>
        <v>6.0000000000000005E-2</v>
      </c>
      <c r="E975" s="7">
        <f t="shared" si="59"/>
        <v>1.2000000000000001E-3</v>
      </c>
      <c r="F975" s="7">
        <f t="shared" si="60"/>
        <v>5.8800000000000005E-2</v>
      </c>
    </row>
    <row r="976" spans="1:6" ht="24" x14ac:dyDescent="0.35">
      <c r="A976" s="29" t="s">
        <v>868</v>
      </c>
      <c r="B976" s="5" t="s">
        <v>683</v>
      </c>
      <c r="C976" s="6">
        <v>0.22500000000000001</v>
      </c>
      <c r="D976" s="7">
        <f t="shared" si="58"/>
        <v>0.185</v>
      </c>
      <c r="E976" s="7">
        <f t="shared" si="59"/>
        <v>3.7000000000000002E-3</v>
      </c>
      <c r="F976" s="7">
        <f t="shared" si="60"/>
        <v>0.18129999999999999</v>
      </c>
    </row>
    <row r="977" spans="1:6" ht="14.5" x14ac:dyDescent="0.35">
      <c r="A977" s="29" t="s">
        <v>209</v>
      </c>
      <c r="B977" s="5" t="s">
        <v>662</v>
      </c>
      <c r="C977" s="6">
        <v>0.17</v>
      </c>
      <c r="D977" s="7">
        <f t="shared" si="58"/>
        <v>0.13</v>
      </c>
      <c r="E977" s="7">
        <f t="shared" si="59"/>
        <v>2.6000000000000003E-3</v>
      </c>
      <c r="F977" s="7">
        <f t="shared" si="60"/>
        <v>0.12740000000000001</v>
      </c>
    </row>
    <row r="978" spans="1:6" ht="14.5" x14ac:dyDescent="0.35">
      <c r="A978" s="48" t="s">
        <v>210</v>
      </c>
      <c r="B978" s="5" t="s">
        <v>662</v>
      </c>
      <c r="C978" s="6">
        <v>0.26</v>
      </c>
      <c r="D978" s="7">
        <f t="shared" si="58"/>
        <v>0.22</v>
      </c>
      <c r="E978" s="7">
        <f t="shared" si="59"/>
        <v>4.4000000000000003E-3</v>
      </c>
      <c r="F978" s="7">
        <f t="shared" si="60"/>
        <v>0.21560000000000001</v>
      </c>
    </row>
    <row r="979" spans="1:6" ht="14.5" x14ac:dyDescent="0.35">
      <c r="A979" s="48"/>
      <c r="B979" s="5" t="s">
        <v>683</v>
      </c>
      <c r="C979" s="6">
        <v>0.23</v>
      </c>
      <c r="D979" s="7">
        <f t="shared" si="58"/>
        <v>0.19</v>
      </c>
      <c r="E979" s="7">
        <f t="shared" si="59"/>
        <v>3.8E-3</v>
      </c>
      <c r="F979" s="7">
        <f t="shared" si="60"/>
        <v>0.1862</v>
      </c>
    </row>
    <row r="980" spans="1:6" ht="14.5" x14ac:dyDescent="0.35">
      <c r="A980" s="48"/>
      <c r="B980" s="5" t="s">
        <v>684</v>
      </c>
      <c r="C980" s="6">
        <v>0</v>
      </c>
      <c r="D980" s="7" t="s">
        <v>20</v>
      </c>
      <c r="E980" s="7" t="s">
        <v>20</v>
      </c>
      <c r="F980" s="7" t="s">
        <v>20</v>
      </c>
    </row>
    <row r="981" spans="1:6" ht="14.5" x14ac:dyDescent="0.35">
      <c r="A981" s="48"/>
      <c r="B981" s="5" t="s">
        <v>685</v>
      </c>
      <c r="C981" s="6">
        <v>0</v>
      </c>
      <c r="D981" s="7" t="s">
        <v>20</v>
      </c>
      <c r="E981" s="7" t="s">
        <v>20</v>
      </c>
      <c r="F981" s="7" t="s">
        <v>20</v>
      </c>
    </row>
    <row r="982" spans="1:6" ht="48" x14ac:dyDescent="0.35">
      <c r="A982" s="5" t="s">
        <v>1485</v>
      </c>
      <c r="B982" s="5" t="s">
        <v>100</v>
      </c>
      <c r="C982" s="7">
        <v>0.17</v>
      </c>
      <c r="D982" s="7">
        <f t="shared" si="58"/>
        <v>0.13</v>
      </c>
      <c r="E982" s="7">
        <f t="shared" si="59"/>
        <v>2.6000000000000003E-3</v>
      </c>
      <c r="F982" s="7">
        <f t="shared" si="60"/>
        <v>0.12740000000000001</v>
      </c>
    </row>
    <row r="983" spans="1:6" ht="36" x14ac:dyDescent="0.35">
      <c r="A983" s="5" t="s">
        <v>1486</v>
      </c>
      <c r="B983" s="5" t="s">
        <v>100</v>
      </c>
      <c r="C983" s="7">
        <v>0.28000000000000003</v>
      </c>
      <c r="D983" s="7">
        <f t="shared" si="58"/>
        <v>0.24000000000000002</v>
      </c>
      <c r="E983" s="7">
        <f t="shared" si="59"/>
        <v>4.8000000000000004E-3</v>
      </c>
      <c r="F983" s="7">
        <f t="shared" si="60"/>
        <v>0.23520000000000002</v>
      </c>
    </row>
    <row r="984" spans="1:6" ht="36" x14ac:dyDescent="0.35">
      <c r="A984" s="5" t="s">
        <v>1487</v>
      </c>
      <c r="B984" s="5" t="s">
        <v>100</v>
      </c>
      <c r="C984" s="7">
        <v>0.25</v>
      </c>
      <c r="D984" s="7">
        <f t="shared" si="58"/>
        <v>0.21</v>
      </c>
      <c r="E984" s="7">
        <f t="shared" si="59"/>
        <v>4.1999999999999997E-3</v>
      </c>
      <c r="F984" s="7">
        <f t="shared" si="60"/>
        <v>0.20579999999999998</v>
      </c>
    </row>
    <row r="985" spans="1:6" ht="48" x14ac:dyDescent="0.35">
      <c r="A985" s="5" t="s">
        <v>1488</v>
      </c>
      <c r="B985" s="5" t="s">
        <v>100</v>
      </c>
      <c r="C985" s="7">
        <v>0.2</v>
      </c>
      <c r="D985" s="7">
        <f t="shared" si="58"/>
        <v>0.16</v>
      </c>
      <c r="E985" s="7">
        <f t="shared" si="59"/>
        <v>3.2000000000000002E-3</v>
      </c>
      <c r="F985" s="7">
        <f t="shared" si="60"/>
        <v>0.15679999999999999</v>
      </c>
    </row>
    <row r="986" spans="1:6" ht="36" x14ac:dyDescent="0.35">
      <c r="A986" s="5" t="s">
        <v>1489</v>
      </c>
      <c r="B986" s="5" t="s">
        <v>100</v>
      </c>
      <c r="C986" s="7">
        <v>0.31</v>
      </c>
      <c r="D986" s="7">
        <f t="shared" si="58"/>
        <v>0.27</v>
      </c>
      <c r="E986" s="7">
        <f t="shared" si="59"/>
        <v>5.4000000000000003E-3</v>
      </c>
      <c r="F986" s="7">
        <f t="shared" si="60"/>
        <v>0.2646</v>
      </c>
    </row>
    <row r="987" spans="1:6" ht="36" x14ac:dyDescent="0.35">
      <c r="A987" s="5" t="s">
        <v>1490</v>
      </c>
      <c r="B987" s="5" t="s">
        <v>100</v>
      </c>
      <c r="C987" s="7">
        <v>0.36</v>
      </c>
      <c r="D987" s="7">
        <f t="shared" si="58"/>
        <v>0.32</v>
      </c>
      <c r="E987" s="7">
        <f t="shared" si="59"/>
        <v>6.4000000000000003E-3</v>
      </c>
      <c r="F987" s="7">
        <f t="shared" si="60"/>
        <v>0.31359999999999999</v>
      </c>
    </row>
    <row r="988" spans="1:6" ht="48" x14ac:dyDescent="0.35">
      <c r="A988" s="5" t="s">
        <v>1491</v>
      </c>
      <c r="B988" s="5" t="s">
        <v>100</v>
      </c>
      <c r="C988" s="7">
        <v>0.22</v>
      </c>
      <c r="D988" s="7">
        <f t="shared" si="58"/>
        <v>0.18</v>
      </c>
      <c r="E988" s="7">
        <f t="shared" si="59"/>
        <v>3.5999999999999999E-3</v>
      </c>
      <c r="F988" s="7">
        <f t="shared" si="60"/>
        <v>0.1764</v>
      </c>
    </row>
    <row r="989" spans="1:6" ht="36" x14ac:dyDescent="0.35">
      <c r="A989" s="5" t="s">
        <v>1492</v>
      </c>
      <c r="B989" s="5" t="s">
        <v>100</v>
      </c>
      <c r="C989" s="7">
        <v>0.33</v>
      </c>
      <c r="D989" s="7">
        <f t="shared" si="58"/>
        <v>0.29000000000000004</v>
      </c>
      <c r="E989" s="7">
        <f t="shared" si="59"/>
        <v>5.8000000000000005E-3</v>
      </c>
      <c r="F989" s="7">
        <f t="shared" si="60"/>
        <v>0.28420000000000001</v>
      </c>
    </row>
    <row r="990" spans="1:6" ht="36" x14ac:dyDescent="0.35">
      <c r="A990" s="5" t="s">
        <v>1493</v>
      </c>
      <c r="B990" s="5" t="s">
        <v>100</v>
      </c>
      <c r="C990" s="7">
        <v>0.38</v>
      </c>
      <c r="D990" s="7">
        <f t="shared" si="58"/>
        <v>0.34</v>
      </c>
      <c r="E990" s="7">
        <f t="shared" si="59"/>
        <v>6.8000000000000005E-3</v>
      </c>
      <c r="F990" s="7">
        <f t="shared" si="60"/>
        <v>0.33320000000000005</v>
      </c>
    </row>
    <row r="991" spans="1:6" ht="24" x14ac:dyDescent="0.35">
      <c r="A991" s="48" t="s">
        <v>1494</v>
      </c>
      <c r="B991" s="5" t="s">
        <v>869</v>
      </c>
      <c r="C991" s="7">
        <v>0.24</v>
      </c>
      <c r="D991" s="7">
        <f t="shared" si="58"/>
        <v>0.19999999999999998</v>
      </c>
      <c r="E991" s="7">
        <f t="shared" si="59"/>
        <v>4.0000000000000001E-3</v>
      </c>
      <c r="F991" s="7">
        <f t="shared" si="60"/>
        <v>0.19599999999999998</v>
      </c>
    </row>
    <row r="992" spans="1:6" ht="24" x14ac:dyDescent="0.35">
      <c r="A992" s="48"/>
      <c r="B992" s="5" t="s">
        <v>870</v>
      </c>
      <c r="C992" s="7">
        <v>0.35</v>
      </c>
      <c r="D992" s="7">
        <f t="shared" ref="D992:D1067" si="64">C992-(4%)</f>
        <v>0.31</v>
      </c>
      <c r="E992" s="7">
        <f t="shared" ref="E992:E1067" si="65">D992*2%</f>
        <v>6.1999999999999998E-3</v>
      </c>
      <c r="F992" s="7">
        <f t="shared" ref="F992:F1067" si="66">D992-E992</f>
        <v>0.30380000000000001</v>
      </c>
    </row>
    <row r="993" spans="1:6" ht="14.5" x14ac:dyDescent="0.35">
      <c r="A993" s="48"/>
      <c r="B993" s="5" t="s">
        <v>871</v>
      </c>
      <c r="C993" s="7">
        <v>0.32</v>
      </c>
      <c r="D993" s="7">
        <f t="shared" si="64"/>
        <v>0.28000000000000003</v>
      </c>
      <c r="E993" s="7">
        <f t="shared" si="65"/>
        <v>5.6000000000000008E-3</v>
      </c>
      <c r="F993" s="7">
        <f t="shared" si="66"/>
        <v>0.27440000000000003</v>
      </c>
    </row>
    <row r="994" spans="1:6" ht="48" x14ac:dyDescent="0.35">
      <c r="A994" s="5" t="s">
        <v>1495</v>
      </c>
      <c r="B994" s="5" t="s">
        <v>100</v>
      </c>
      <c r="C994" s="7">
        <v>7.0000000000000007E-2</v>
      </c>
      <c r="D994" s="7">
        <f t="shared" ref="D994:D1005" si="67">C994-(4%)</f>
        <v>3.0000000000000006E-2</v>
      </c>
      <c r="E994" s="7">
        <f t="shared" ref="E994:E1005" si="68">D994*2%</f>
        <v>6.0000000000000016E-4</v>
      </c>
      <c r="F994" s="7">
        <f t="shared" ref="F994:F1005" si="69">D994-E994</f>
        <v>2.9400000000000006E-2</v>
      </c>
    </row>
    <row r="995" spans="1:6" ht="36" x14ac:dyDescent="0.35">
      <c r="A995" s="5" t="s">
        <v>1496</v>
      </c>
      <c r="B995" s="5" t="s">
        <v>100</v>
      </c>
      <c r="C995" s="7">
        <v>0.18</v>
      </c>
      <c r="D995" s="7">
        <f t="shared" si="67"/>
        <v>0.13999999999999999</v>
      </c>
      <c r="E995" s="7">
        <f t="shared" si="68"/>
        <v>2.8E-3</v>
      </c>
      <c r="F995" s="7">
        <f t="shared" si="69"/>
        <v>0.13719999999999999</v>
      </c>
    </row>
    <row r="996" spans="1:6" ht="36" x14ac:dyDescent="0.35">
      <c r="A996" s="5" t="s">
        <v>1497</v>
      </c>
      <c r="B996" s="5" t="s">
        <v>100</v>
      </c>
      <c r="C996" s="7">
        <v>0.15</v>
      </c>
      <c r="D996" s="7">
        <f t="shared" si="67"/>
        <v>0.10999999999999999</v>
      </c>
      <c r="E996" s="7">
        <f t="shared" si="68"/>
        <v>2.1999999999999997E-3</v>
      </c>
      <c r="F996" s="7">
        <f t="shared" si="69"/>
        <v>0.10779999999999999</v>
      </c>
    </row>
    <row r="997" spans="1:6" ht="48" x14ac:dyDescent="0.35">
      <c r="A997" s="5" t="s">
        <v>1498</v>
      </c>
      <c r="B997" s="5" t="s">
        <v>100</v>
      </c>
      <c r="C997" s="7">
        <v>0.1</v>
      </c>
      <c r="D997" s="7">
        <f t="shared" si="67"/>
        <v>6.0000000000000005E-2</v>
      </c>
      <c r="E997" s="7">
        <f t="shared" si="68"/>
        <v>1.2000000000000001E-3</v>
      </c>
      <c r="F997" s="7">
        <f t="shared" si="69"/>
        <v>5.8800000000000005E-2</v>
      </c>
    </row>
    <row r="998" spans="1:6" ht="36" x14ac:dyDescent="0.35">
      <c r="A998" s="5" t="s">
        <v>1499</v>
      </c>
      <c r="B998" s="5" t="s">
        <v>100</v>
      </c>
      <c r="C998" s="7">
        <v>0.21</v>
      </c>
      <c r="D998" s="7">
        <f t="shared" si="67"/>
        <v>0.16999999999999998</v>
      </c>
      <c r="E998" s="7">
        <f t="shared" si="68"/>
        <v>3.3999999999999998E-3</v>
      </c>
      <c r="F998" s="7">
        <f t="shared" si="69"/>
        <v>0.1666</v>
      </c>
    </row>
    <row r="999" spans="1:6" ht="36" x14ac:dyDescent="0.35">
      <c r="A999" s="5" t="s">
        <v>1500</v>
      </c>
      <c r="B999" s="5" t="s">
        <v>100</v>
      </c>
      <c r="C999" s="7">
        <v>0.26</v>
      </c>
      <c r="D999" s="7">
        <f t="shared" si="67"/>
        <v>0.22</v>
      </c>
      <c r="E999" s="7">
        <f t="shared" si="68"/>
        <v>4.4000000000000003E-3</v>
      </c>
      <c r="F999" s="7">
        <f t="shared" si="69"/>
        <v>0.21560000000000001</v>
      </c>
    </row>
    <row r="1000" spans="1:6" ht="48" x14ac:dyDescent="0.35">
      <c r="A1000" s="5" t="s">
        <v>1501</v>
      </c>
      <c r="B1000" s="5" t="s">
        <v>100</v>
      </c>
      <c r="C1000" s="7">
        <v>0.12</v>
      </c>
      <c r="D1000" s="7">
        <f t="shared" si="67"/>
        <v>7.9999999999999988E-2</v>
      </c>
      <c r="E1000" s="7">
        <f t="shared" si="68"/>
        <v>1.5999999999999999E-3</v>
      </c>
      <c r="F1000" s="7">
        <f t="shared" si="69"/>
        <v>7.8399999999999984E-2</v>
      </c>
    </row>
    <row r="1001" spans="1:6" ht="36" x14ac:dyDescent="0.35">
      <c r="A1001" s="5" t="s">
        <v>1502</v>
      </c>
      <c r="B1001" s="5" t="s">
        <v>100</v>
      </c>
      <c r="C1001" s="7">
        <v>0.23</v>
      </c>
      <c r="D1001" s="7">
        <f t="shared" si="67"/>
        <v>0.19</v>
      </c>
      <c r="E1001" s="7">
        <f t="shared" si="68"/>
        <v>3.8E-3</v>
      </c>
      <c r="F1001" s="7">
        <f t="shared" si="69"/>
        <v>0.1862</v>
      </c>
    </row>
    <row r="1002" spans="1:6" ht="36" x14ac:dyDescent="0.35">
      <c r="A1002" s="5" t="s">
        <v>1503</v>
      </c>
      <c r="B1002" s="5" t="s">
        <v>100</v>
      </c>
      <c r="C1002" s="7">
        <v>0.28000000000000003</v>
      </c>
      <c r="D1002" s="7">
        <f t="shared" si="67"/>
        <v>0.24000000000000002</v>
      </c>
      <c r="E1002" s="7">
        <f t="shared" si="68"/>
        <v>4.8000000000000004E-3</v>
      </c>
      <c r="F1002" s="7">
        <f t="shared" si="69"/>
        <v>0.23520000000000002</v>
      </c>
    </row>
    <row r="1003" spans="1:6" ht="24" x14ac:dyDescent="0.35">
      <c r="A1003" s="48" t="s">
        <v>1504</v>
      </c>
      <c r="B1003" s="5" t="s">
        <v>869</v>
      </c>
      <c r="C1003" s="7">
        <v>0.14000000000000001</v>
      </c>
      <c r="D1003" s="7">
        <f t="shared" si="67"/>
        <v>0.1</v>
      </c>
      <c r="E1003" s="7">
        <f t="shared" si="68"/>
        <v>2E-3</v>
      </c>
      <c r="F1003" s="7">
        <f t="shared" si="69"/>
        <v>9.8000000000000004E-2</v>
      </c>
    </row>
    <row r="1004" spans="1:6" ht="24" x14ac:dyDescent="0.35">
      <c r="A1004" s="48"/>
      <c r="B1004" s="5" t="s">
        <v>870</v>
      </c>
      <c r="C1004" s="7">
        <v>0.25</v>
      </c>
      <c r="D1004" s="7">
        <f t="shared" si="67"/>
        <v>0.21</v>
      </c>
      <c r="E1004" s="7">
        <f t="shared" si="68"/>
        <v>4.1999999999999997E-3</v>
      </c>
      <c r="F1004" s="7">
        <f t="shared" si="69"/>
        <v>0.20579999999999998</v>
      </c>
    </row>
    <row r="1005" spans="1:6" ht="14.5" x14ac:dyDescent="0.35">
      <c r="A1005" s="48"/>
      <c r="B1005" s="5" t="s">
        <v>871</v>
      </c>
      <c r="C1005" s="7">
        <v>0.22</v>
      </c>
      <c r="D1005" s="7">
        <f t="shared" si="67"/>
        <v>0.18</v>
      </c>
      <c r="E1005" s="7">
        <f t="shared" si="68"/>
        <v>3.5999999999999999E-3</v>
      </c>
      <c r="F1005" s="7">
        <f t="shared" si="69"/>
        <v>0.1764</v>
      </c>
    </row>
    <row r="1006" spans="1:6" ht="14.5" x14ac:dyDescent="0.35">
      <c r="A1006" s="5" t="s">
        <v>249</v>
      </c>
      <c r="B1006" s="5" t="s">
        <v>100</v>
      </c>
      <c r="C1006" s="6">
        <v>0.2</v>
      </c>
      <c r="D1006" s="7">
        <f t="shared" si="64"/>
        <v>0.16</v>
      </c>
      <c r="E1006" s="7">
        <f t="shared" si="65"/>
        <v>3.2000000000000002E-3</v>
      </c>
      <c r="F1006" s="7">
        <f t="shared" si="66"/>
        <v>0.15679999999999999</v>
      </c>
    </row>
    <row r="1007" spans="1:6" ht="14.5" x14ac:dyDescent="0.35">
      <c r="A1007" s="5" t="s">
        <v>250</v>
      </c>
      <c r="B1007" s="5" t="s">
        <v>100</v>
      </c>
      <c r="C1007" s="6">
        <v>0.11</v>
      </c>
      <c r="D1007" s="7">
        <f t="shared" si="64"/>
        <v>7.0000000000000007E-2</v>
      </c>
      <c r="E1007" s="7">
        <f t="shared" si="65"/>
        <v>1.4000000000000002E-3</v>
      </c>
      <c r="F1007" s="7">
        <f t="shared" si="66"/>
        <v>6.8600000000000008E-2</v>
      </c>
    </row>
    <row r="1008" spans="1:6" ht="14.5" x14ac:dyDescent="0.35">
      <c r="A1008" s="29" t="s">
        <v>251</v>
      </c>
      <c r="B1008" s="5" t="s">
        <v>100</v>
      </c>
      <c r="C1008" s="6">
        <v>0.25</v>
      </c>
      <c r="D1008" s="7">
        <f t="shared" si="64"/>
        <v>0.21</v>
      </c>
      <c r="E1008" s="7">
        <f t="shared" si="65"/>
        <v>4.1999999999999997E-3</v>
      </c>
      <c r="F1008" s="7">
        <f t="shared" si="66"/>
        <v>0.20579999999999998</v>
      </c>
    </row>
    <row r="1009" spans="1:6" ht="14.5" x14ac:dyDescent="0.35">
      <c r="A1009" s="2" t="s">
        <v>252</v>
      </c>
      <c r="B1009" s="2" t="s">
        <v>1</v>
      </c>
      <c r="C1009" s="3" t="s">
        <v>2</v>
      </c>
      <c r="D1009" s="4" t="s">
        <v>4</v>
      </c>
      <c r="E1009" s="4" t="s">
        <v>5</v>
      </c>
      <c r="F1009" s="4" t="s">
        <v>6</v>
      </c>
    </row>
    <row r="1010" spans="1:6" ht="14.5" x14ac:dyDescent="0.35">
      <c r="A1010" s="5" t="s">
        <v>504</v>
      </c>
      <c r="B1010" s="5" t="s">
        <v>872</v>
      </c>
      <c r="C1010" s="7">
        <v>0.25</v>
      </c>
      <c r="D1010" s="7">
        <f t="shared" si="64"/>
        <v>0.21</v>
      </c>
      <c r="E1010" s="7">
        <f t="shared" si="65"/>
        <v>4.1999999999999997E-3</v>
      </c>
      <c r="F1010" s="7">
        <f t="shared" si="66"/>
        <v>0.20579999999999998</v>
      </c>
    </row>
    <row r="1011" spans="1:6" ht="14.5" x14ac:dyDescent="0.35">
      <c r="A1011" s="5" t="s">
        <v>873</v>
      </c>
      <c r="B1011" s="5" t="s">
        <v>872</v>
      </c>
      <c r="C1011" s="7">
        <v>0.15</v>
      </c>
      <c r="D1011" s="7">
        <f t="shared" si="64"/>
        <v>0.10999999999999999</v>
      </c>
      <c r="E1011" s="7">
        <f t="shared" si="65"/>
        <v>2.1999999999999997E-3</v>
      </c>
      <c r="F1011" s="7">
        <f t="shared" si="66"/>
        <v>0.10779999999999999</v>
      </c>
    </row>
    <row r="1012" spans="1:6" ht="24" x14ac:dyDescent="0.35">
      <c r="A1012" s="5" t="s">
        <v>874</v>
      </c>
      <c r="B1012" s="5" t="s">
        <v>872</v>
      </c>
      <c r="C1012" s="7">
        <v>0.27500000000000002</v>
      </c>
      <c r="D1012" s="7">
        <f t="shared" si="64"/>
        <v>0.23500000000000001</v>
      </c>
      <c r="E1012" s="7">
        <f t="shared" si="65"/>
        <v>4.7000000000000002E-3</v>
      </c>
      <c r="F1012" s="7">
        <f t="shared" si="66"/>
        <v>0.2303</v>
      </c>
    </row>
    <row r="1013" spans="1:6" ht="14.5" x14ac:dyDescent="0.35">
      <c r="A1013" s="5" t="s">
        <v>875</v>
      </c>
      <c r="B1013" s="5" t="s">
        <v>876</v>
      </c>
      <c r="C1013" s="7">
        <v>0.25</v>
      </c>
      <c r="D1013" s="7">
        <f t="shared" si="64"/>
        <v>0.21</v>
      </c>
      <c r="E1013" s="7">
        <f t="shared" si="65"/>
        <v>4.1999999999999997E-3</v>
      </c>
      <c r="F1013" s="7">
        <f t="shared" si="66"/>
        <v>0.20579999999999998</v>
      </c>
    </row>
    <row r="1014" spans="1:6" ht="14.5" x14ac:dyDescent="0.35">
      <c r="A1014" s="5" t="s">
        <v>877</v>
      </c>
      <c r="B1014" s="5" t="s">
        <v>876</v>
      </c>
      <c r="C1014" s="7">
        <v>0.25</v>
      </c>
      <c r="D1014" s="7">
        <f t="shared" si="64"/>
        <v>0.21</v>
      </c>
      <c r="E1014" s="7">
        <f t="shared" si="65"/>
        <v>4.1999999999999997E-3</v>
      </c>
      <c r="F1014" s="7">
        <f t="shared" si="66"/>
        <v>0.20579999999999998</v>
      </c>
    </row>
    <row r="1015" spans="1:6" ht="14.5" x14ac:dyDescent="0.35">
      <c r="A1015" s="5" t="s">
        <v>878</v>
      </c>
      <c r="B1015" s="5" t="s">
        <v>876</v>
      </c>
      <c r="C1015" s="7">
        <v>0.15</v>
      </c>
      <c r="D1015" s="7">
        <f t="shared" si="64"/>
        <v>0.10999999999999999</v>
      </c>
      <c r="E1015" s="7">
        <f t="shared" si="65"/>
        <v>2.1999999999999997E-3</v>
      </c>
      <c r="F1015" s="7">
        <f t="shared" si="66"/>
        <v>0.10779999999999999</v>
      </c>
    </row>
    <row r="1016" spans="1:6" ht="24" x14ac:dyDescent="0.35">
      <c r="A1016" s="5" t="s">
        <v>874</v>
      </c>
      <c r="B1016" s="5" t="s">
        <v>876</v>
      </c>
      <c r="C1016" s="7">
        <v>0.3</v>
      </c>
      <c r="D1016" s="7">
        <f t="shared" si="64"/>
        <v>0.26</v>
      </c>
      <c r="E1016" s="7">
        <f t="shared" si="65"/>
        <v>5.2000000000000006E-3</v>
      </c>
      <c r="F1016" s="7">
        <f t="shared" si="66"/>
        <v>0.25480000000000003</v>
      </c>
    </row>
    <row r="1017" spans="1:6" ht="14.5" x14ac:dyDescent="0.35">
      <c r="A1017" s="48" t="s">
        <v>257</v>
      </c>
      <c r="B1017" s="5" t="s">
        <v>662</v>
      </c>
      <c r="C1017" s="7">
        <v>0.125</v>
      </c>
      <c r="D1017" s="7">
        <f t="shared" si="64"/>
        <v>8.4999999999999992E-2</v>
      </c>
      <c r="E1017" s="7">
        <f t="shared" si="65"/>
        <v>1.6999999999999999E-3</v>
      </c>
      <c r="F1017" s="7">
        <f t="shared" si="66"/>
        <v>8.3299999999999999E-2</v>
      </c>
    </row>
    <row r="1018" spans="1:6" ht="14.5" x14ac:dyDescent="0.35">
      <c r="A1018" s="48"/>
      <c r="B1018" s="5" t="s">
        <v>683</v>
      </c>
      <c r="C1018" s="7">
        <v>0.19500000000000001</v>
      </c>
      <c r="D1018" s="7">
        <f t="shared" si="64"/>
        <v>0.155</v>
      </c>
      <c r="E1018" s="7">
        <f t="shared" si="65"/>
        <v>3.0999999999999999E-3</v>
      </c>
      <c r="F1018" s="7">
        <f t="shared" si="66"/>
        <v>0.15190000000000001</v>
      </c>
    </row>
    <row r="1019" spans="1:6" ht="14.5" x14ac:dyDescent="0.35">
      <c r="A1019" s="48"/>
      <c r="B1019" s="5" t="s">
        <v>684</v>
      </c>
      <c r="C1019" s="7">
        <v>0.125</v>
      </c>
      <c r="D1019" s="7">
        <f t="shared" si="64"/>
        <v>8.4999999999999992E-2</v>
      </c>
      <c r="E1019" s="7">
        <f t="shared" si="65"/>
        <v>1.6999999999999999E-3</v>
      </c>
      <c r="F1019" s="7">
        <f t="shared" si="66"/>
        <v>8.3299999999999999E-2</v>
      </c>
    </row>
    <row r="1020" spans="1:6" ht="14.5" x14ac:dyDescent="0.35">
      <c r="A1020" s="5" t="s">
        <v>259</v>
      </c>
      <c r="B1020" s="5" t="s">
        <v>100</v>
      </c>
      <c r="C1020" s="7">
        <v>0.19500000000000001</v>
      </c>
      <c r="D1020" s="7">
        <f t="shared" si="64"/>
        <v>0.155</v>
      </c>
      <c r="E1020" s="7">
        <f t="shared" si="65"/>
        <v>3.0999999999999999E-3</v>
      </c>
      <c r="F1020" s="7">
        <f t="shared" si="66"/>
        <v>0.15190000000000001</v>
      </c>
    </row>
    <row r="1021" spans="1:6" ht="60" x14ac:dyDescent="0.35">
      <c r="A1021" s="5" t="s">
        <v>879</v>
      </c>
      <c r="B1021" s="5" t="s">
        <v>880</v>
      </c>
      <c r="C1021" s="7">
        <v>0.28000000000000003</v>
      </c>
      <c r="D1021" s="7">
        <f t="shared" si="64"/>
        <v>0.24000000000000002</v>
      </c>
      <c r="E1021" s="7">
        <f t="shared" si="65"/>
        <v>4.8000000000000004E-3</v>
      </c>
      <c r="F1021" s="7">
        <f t="shared" si="66"/>
        <v>0.23520000000000002</v>
      </c>
    </row>
    <row r="1022" spans="1:6" ht="60" x14ac:dyDescent="0.35">
      <c r="A1022" s="5" t="s">
        <v>515</v>
      </c>
      <c r="B1022" s="5" t="s">
        <v>881</v>
      </c>
      <c r="C1022" s="7">
        <v>0.28000000000000003</v>
      </c>
      <c r="D1022" s="7">
        <f t="shared" si="64"/>
        <v>0.24000000000000002</v>
      </c>
      <c r="E1022" s="7">
        <f t="shared" si="65"/>
        <v>4.8000000000000004E-3</v>
      </c>
      <c r="F1022" s="7">
        <f t="shared" si="66"/>
        <v>0.23520000000000002</v>
      </c>
    </row>
    <row r="1023" spans="1:6" ht="14.5" x14ac:dyDescent="0.35">
      <c r="A1023" s="48" t="s">
        <v>508</v>
      </c>
      <c r="B1023" s="5" t="s">
        <v>666</v>
      </c>
      <c r="C1023" s="7">
        <v>0.37</v>
      </c>
      <c r="D1023" s="7">
        <f t="shared" si="64"/>
        <v>0.33</v>
      </c>
      <c r="E1023" s="7">
        <f t="shared" si="65"/>
        <v>6.6000000000000008E-3</v>
      </c>
      <c r="F1023" s="7">
        <f t="shared" si="66"/>
        <v>0.32340000000000002</v>
      </c>
    </row>
    <row r="1024" spans="1:6" ht="14.5" x14ac:dyDescent="0.35">
      <c r="A1024" s="48"/>
      <c r="B1024" s="5" t="s">
        <v>882</v>
      </c>
      <c r="C1024" s="7">
        <v>0.35</v>
      </c>
      <c r="D1024" s="7">
        <f t="shared" si="64"/>
        <v>0.31</v>
      </c>
      <c r="E1024" s="7">
        <f t="shared" si="65"/>
        <v>6.1999999999999998E-3</v>
      </c>
      <c r="F1024" s="7">
        <f t="shared" si="66"/>
        <v>0.30380000000000001</v>
      </c>
    </row>
    <row r="1025" spans="1:6" ht="14.5" x14ac:dyDescent="0.35">
      <c r="A1025" s="48"/>
      <c r="B1025" s="5" t="s">
        <v>668</v>
      </c>
      <c r="C1025" s="7">
        <v>0.35</v>
      </c>
      <c r="D1025" s="7">
        <f t="shared" si="64"/>
        <v>0.31</v>
      </c>
      <c r="E1025" s="7">
        <f t="shared" si="65"/>
        <v>6.1999999999999998E-3</v>
      </c>
      <c r="F1025" s="7">
        <f t="shared" si="66"/>
        <v>0.30380000000000001</v>
      </c>
    </row>
    <row r="1026" spans="1:6" ht="14.5" x14ac:dyDescent="0.35">
      <c r="A1026" s="48"/>
      <c r="B1026" s="5" t="s">
        <v>883</v>
      </c>
      <c r="C1026" s="7">
        <v>0.35</v>
      </c>
      <c r="D1026" s="7">
        <f t="shared" si="64"/>
        <v>0.31</v>
      </c>
      <c r="E1026" s="7">
        <f t="shared" si="65"/>
        <v>6.1999999999999998E-3</v>
      </c>
      <c r="F1026" s="7">
        <f t="shared" si="66"/>
        <v>0.30380000000000001</v>
      </c>
    </row>
    <row r="1027" spans="1:6" ht="14.5" x14ac:dyDescent="0.35">
      <c r="A1027" s="48"/>
      <c r="B1027" s="5" t="s">
        <v>670</v>
      </c>
      <c r="C1027" s="7">
        <v>0.37</v>
      </c>
      <c r="D1027" s="7">
        <f t="shared" si="64"/>
        <v>0.33</v>
      </c>
      <c r="E1027" s="7">
        <f t="shared" si="65"/>
        <v>6.6000000000000008E-3</v>
      </c>
      <c r="F1027" s="7">
        <f t="shared" si="66"/>
        <v>0.32340000000000002</v>
      </c>
    </row>
    <row r="1028" spans="1:6" ht="14.5" x14ac:dyDescent="0.35">
      <c r="A1028" s="48"/>
      <c r="B1028" s="5" t="s">
        <v>884</v>
      </c>
      <c r="C1028" s="7">
        <v>0.37</v>
      </c>
      <c r="D1028" s="7">
        <f t="shared" si="64"/>
        <v>0.33</v>
      </c>
      <c r="E1028" s="7">
        <f t="shared" si="65"/>
        <v>6.6000000000000008E-3</v>
      </c>
      <c r="F1028" s="7">
        <f t="shared" si="66"/>
        <v>0.32340000000000002</v>
      </c>
    </row>
    <row r="1029" spans="1:6" ht="14.5" x14ac:dyDescent="0.35">
      <c r="A1029" s="48"/>
      <c r="B1029" s="5" t="s">
        <v>885</v>
      </c>
      <c r="C1029" s="7">
        <v>0.38</v>
      </c>
      <c r="D1029" s="7">
        <f t="shared" si="64"/>
        <v>0.34</v>
      </c>
      <c r="E1029" s="7">
        <f t="shared" si="65"/>
        <v>6.8000000000000005E-3</v>
      </c>
      <c r="F1029" s="7">
        <f t="shared" si="66"/>
        <v>0.33320000000000005</v>
      </c>
    </row>
    <row r="1030" spans="1:6" ht="14.5" x14ac:dyDescent="0.35">
      <c r="A1030" s="48"/>
      <c r="B1030" s="5" t="s">
        <v>675</v>
      </c>
      <c r="C1030" s="7">
        <v>0.46</v>
      </c>
      <c r="D1030" s="7">
        <f t="shared" si="64"/>
        <v>0.42000000000000004</v>
      </c>
      <c r="E1030" s="7">
        <f t="shared" si="65"/>
        <v>8.4000000000000012E-3</v>
      </c>
      <c r="F1030" s="7">
        <f t="shared" si="66"/>
        <v>0.41160000000000002</v>
      </c>
    </row>
    <row r="1031" spans="1:6" ht="14.5" x14ac:dyDescent="0.35">
      <c r="A1031" s="48"/>
      <c r="B1031" s="5" t="s">
        <v>677</v>
      </c>
      <c r="C1031" s="7">
        <v>0.42</v>
      </c>
      <c r="D1031" s="7">
        <f t="shared" si="64"/>
        <v>0.38</v>
      </c>
      <c r="E1031" s="7">
        <f t="shared" si="65"/>
        <v>7.6E-3</v>
      </c>
      <c r="F1031" s="7">
        <f t="shared" si="66"/>
        <v>0.37240000000000001</v>
      </c>
    </row>
    <row r="1032" spans="1:6" ht="14.5" x14ac:dyDescent="0.35">
      <c r="A1032" s="48"/>
      <c r="B1032" s="5" t="s">
        <v>886</v>
      </c>
      <c r="C1032" s="7">
        <v>0.38</v>
      </c>
      <c r="D1032" s="7">
        <f t="shared" si="64"/>
        <v>0.34</v>
      </c>
      <c r="E1032" s="7">
        <f t="shared" si="65"/>
        <v>6.8000000000000005E-3</v>
      </c>
      <c r="F1032" s="7">
        <f t="shared" si="66"/>
        <v>0.33320000000000005</v>
      </c>
    </row>
    <row r="1033" spans="1:6" ht="14.5" x14ac:dyDescent="0.35">
      <c r="A1033" s="48" t="s">
        <v>507</v>
      </c>
      <c r="B1033" s="5" t="s">
        <v>666</v>
      </c>
      <c r="C1033" s="7">
        <v>0.22</v>
      </c>
      <c r="D1033" s="7">
        <f t="shared" si="64"/>
        <v>0.18</v>
      </c>
      <c r="E1033" s="7">
        <f t="shared" si="65"/>
        <v>3.5999999999999999E-3</v>
      </c>
      <c r="F1033" s="7">
        <f t="shared" si="66"/>
        <v>0.1764</v>
      </c>
    </row>
    <row r="1034" spans="1:6" ht="14.5" x14ac:dyDescent="0.35">
      <c r="A1034" s="48"/>
      <c r="B1034" s="5" t="s">
        <v>882</v>
      </c>
      <c r="C1034" s="7">
        <v>0.25</v>
      </c>
      <c r="D1034" s="7">
        <f t="shared" si="64"/>
        <v>0.21</v>
      </c>
      <c r="E1034" s="7">
        <f t="shared" si="65"/>
        <v>4.1999999999999997E-3</v>
      </c>
      <c r="F1034" s="7">
        <f t="shared" si="66"/>
        <v>0.20579999999999998</v>
      </c>
    </row>
    <row r="1035" spans="1:6" ht="14.5" x14ac:dyDescent="0.35">
      <c r="A1035" s="48"/>
      <c r="B1035" s="5" t="s">
        <v>668</v>
      </c>
      <c r="C1035" s="7">
        <v>0.22</v>
      </c>
      <c r="D1035" s="7">
        <f t="shared" si="64"/>
        <v>0.18</v>
      </c>
      <c r="E1035" s="7">
        <f t="shared" si="65"/>
        <v>3.5999999999999999E-3</v>
      </c>
      <c r="F1035" s="7">
        <f t="shared" si="66"/>
        <v>0.1764</v>
      </c>
    </row>
    <row r="1036" spans="1:6" ht="14.5" x14ac:dyDescent="0.35">
      <c r="A1036" s="48"/>
      <c r="B1036" s="5" t="s">
        <v>883</v>
      </c>
      <c r="C1036" s="7">
        <v>0.22</v>
      </c>
      <c r="D1036" s="7">
        <f t="shared" si="64"/>
        <v>0.18</v>
      </c>
      <c r="E1036" s="7">
        <f t="shared" si="65"/>
        <v>3.5999999999999999E-3</v>
      </c>
      <c r="F1036" s="7">
        <f t="shared" si="66"/>
        <v>0.1764</v>
      </c>
    </row>
    <row r="1037" spans="1:6" ht="14.5" x14ac:dyDescent="0.35">
      <c r="A1037" s="48"/>
      <c r="B1037" s="5" t="s">
        <v>670</v>
      </c>
      <c r="C1037" s="7">
        <v>0.23</v>
      </c>
      <c r="D1037" s="7">
        <f t="shared" si="64"/>
        <v>0.19</v>
      </c>
      <c r="E1037" s="7">
        <f t="shared" si="65"/>
        <v>3.8E-3</v>
      </c>
      <c r="F1037" s="7">
        <f t="shared" si="66"/>
        <v>0.1862</v>
      </c>
    </row>
    <row r="1038" spans="1:6" ht="14.5" x14ac:dyDescent="0.35">
      <c r="A1038" s="48"/>
      <c r="B1038" s="5" t="s">
        <v>884</v>
      </c>
      <c r="C1038" s="7">
        <v>0.13</v>
      </c>
      <c r="D1038" s="7">
        <f t="shared" si="64"/>
        <v>0.09</v>
      </c>
      <c r="E1038" s="7">
        <f t="shared" si="65"/>
        <v>1.8E-3</v>
      </c>
      <c r="F1038" s="7">
        <f t="shared" si="66"/>
        <v>8.8200000000000001E-2</v>
      </c>
    </row>
    <row r="1039" spans="1:6" ht="14.5" x14ac:dyDescent="0.35">
      <c r="A1039" s="48"/>
      <c r="B1039" s="5" t="s">
        <v>885</v>
      </c>
      <c r="C1039" s="7">
        <v>0.25</v>
      </c>
      <c r="D1039" s="7">
        <f t="shared" si="64"/>
        <v>0.21</v>
      </c>
      <c r="E1039" s="7">
        <f t="shared" si="65"/>
        <v>4.1999999999999997E-3</v>
      </c>
      <c r="F1039" s="7">
        <f t="shared" si="66"/>
        <v>0.20579999999999998</v>
      </c>
    </row>
    <row r="1040" spans="1:6" ht="14.5" x14ac:dyDescent="0.35">
      <c r="A1040" s="48"/>
      <c r="B1040" s="5" t="s">
        <v>675</v>
      </c>
      <c r="C1040" s="7">
        <v>0.23</v>
      </c>
      <c r="D1040" s="7">
        <f t="shared" si="64"/>
        <v>0.19</v>
      </c>
      <c r="E1040" s="7">
        <f t="shared" si="65"/>
        <v>3.8E-3</v>
      </c>
      <c r="F1040" s="7">
        <f t="shared" si="66"/>
        <v>0.1862</v>
      </c>
    </row>
    <row r="1041" spans="1:6" ht="14.5" x14ac:dyDescent="0.35">
      <c r="A1041" s="48"/>
      <c r="B1041" s="5" t="s">
        <v>677</v>
      </c>
      <c r="C1041" s="7">
        <v>0.23</v>
      </c>
      <c r="D1041" s="7">
        <f t="shared" si="64"/>
        <v>0.19</v>
      </c>
      <c r="E1041" s="7">
        <f t="shared" si="65"/>
        <v>3.8E-3</v>
      </c>
      <c r="F1041" s="7">
        <f t="shared" si="66"/>
        <v>0.1862</v>
      </c>
    </row>
    <row r="1042" spans="1:6" ht="14.5" x14ac:dyDescent="0.35">
      <c r="A1042" s="48"/>
      <c r="B1042" s="5" t="s">
        <v>886</v>
      </c>
      <c r="C1042" s="7">
        <v>0.09</v>
      </c>
      <c r="D1042" s="7">
        <f t="shared" si="64"/>
        <v>4.9999999999999996E-2</v>
      </c>
      <c r="E1042" s="7">
        <f t="shared" si="65"/>
        <v>1E-3</v>
      </c>
      <c r="F1042" s="7">
        <f t="shared" si="66"/>
        <v>4.8999999999999995E-2</v>
      </c>
    </row>
    <row r="1043" spans="1:6" ht="14.5" x14ac:dyDescent="0.35">
      <c r="A1043" s="48" t="s">
        <v>514</v>
      </c>
      <c r="B1043" s="5" t="s">
        <v>666</v>
      </c>
      <c r="C1043" s="7">
        <v>0.33</v>
      </c>
      <c r="D1043" s="7">
        <f t="shared" si="64"/>
        <v>0.29000000000000004</v>
      </c>
      <c r="E1043" s="7">
        <f t="shared" si="65"/>
        <v>5.8000000000000005E-3</v>
      </c>
      <c r="F1043" s="7">
        <f t="shared" si="66"/>
        <v>0.28420000000000001</v>
      </c>
    </row>
    <row r="1044" spans="1:6" ht="14.5" x14ac:dyDescent="0.35">
      <c r="A1044" s="48"/>
      <c r="B1044" s="5" t="s">
        <v>882</v>
      </c>
      <c r="C1044" s="7">
        <v>0.33</v>
      </c>
      <c r="D1044" s="7">
        <f t="shared" si="64"/>
        <v>0.29000000000000004</v>
      </c>
      <c r="E1044" s="7">
        <f t="shared" si="65"/>
        <v>5.8000000000000005E-3</v>
      </c>
      <c r="F1044" s="7">
        <f t="shared" si="66"/>
        <v>0.28420000000000001</v>
      </c>
    </row>
    <row r="1045" spans="1:6" ht="14.5" x14ac:dyDescent="0.35">
      <c r="A1045" s="48"/>
      <c r="B1045" s="5" t="s">
        <v>668</v>
      </c>
      <c r="C1045" s="7">
        <v>0.33</v>
      </c>
      <c r="D1045" s="7">
        <f t="shared" si="64"/>
        <v>0.29000000000000004</v>
      </c>
      <c r="E1045" s="7">
        <f t="shared" si="65"/>
        <v>5.8000000000000005E-3</v>
      </c>
      <c r="F1045" s="7">
        <f t="shared" si="66"/>
        <v>0.28420000000000001</v>
      </c>
    </row>
    <row r="1046" spans="1:6" ht="14.5" x14ac:dyDescent="0.35">
      <c r="A1046" s="48"/>
      <c r="B1046" s="5" t="s">
        <v>883</v>
      </c>
      <c r="C1046" s="7">
        <v>0.33</v>
      </c>
      <c r="D1046" s="7">
        <f t="shared" si="64"/>
        <v>0.29000000000000004</v>
      </c>
      <c r="E1046" s="7">
        <f t="shared" si="65"/>
        <v>5.8000000000000005E-3</v>
      </c>
      <c r="F1046" s="7">
        <f t="shared" si="66"/>
        <v>0.28420000000000001</v>
      </c>
    </row>
    <row r="1047" spans="1:6" ht="14.5" x14ac:dyDescent="0.35">
      <c r="A1047" s="48"/>
      <c r="B1047" s="5" t="s">
        <v>670</v>
      </c>
      <c r="C1047" s="7">
        <v>0.33</v>
      </c>
      <c r="D1047" s="7">
        <f t="shared" si="64"/>
        <v>0.29000000000000004</v>
      </c>
      <c r="E1047" s="7">
        <f t="shared" si="65"/>
        <v>5.8000000000000005E-3</v>
      </c>
      <c r="F1047" s="7">
        <f t="shared" si="66"/>
        <v>0.28420000000000001</v>
      </c>
    </row>
    <row r="1048" spans="1:6" ht="14.5" x14ac:dyDescent="0.35">
      <c r="A1048" s="48"/>
      <c r="B1048" s="5" t="s">
        <v>884</v>
      </c>
      <c r="C1048" s="7">
        <v>0.33</v>
      </c>
      <c r="D1048" s="7">
        <f t="shared" si="64"/>
        <v>0.29000000000000004</v>
      </c>
      <c r="E1048" s="7">
        <f t="shared" si="65"/>
        <v>5.8000000000000005E-3</v>
      </c>
      <c r="F1048" s="7">
        <f t="shared" si="66"/>
        <v>0.28420000000000001</v>
      </c>
    </row>
    <row r="1049" spans="1:6" ht="14.5" x14ac:dyDescent="0.35">
      <c r="A1049" s="48"/>
      <c r="B1049" s="5" t="s">
        <v>885</v>
      </c>
      <c r="C1049" s="7">
        <v>0.4</v>
      </c>
      <c r="D1049" s="7">
        <f t="shared" si="64"/>
        <v>0.36000000000000004</v>
      </c>
      <c r="E1049" s="7">
        <f t="shared" si="65"/>
        <v>7.2000000000000007E-3</v>
      </c>
      <c r="F1049" s="7">
        <f t="shared" si="66"/>
        <v>0.35280000000000006</v>
      </c>
    </row>
    <row r="1050" spans="1:6" ht="14.5" x14ac:dyDescent="0.35">
      <c r="A1050" s="48"/>
      <c r="B1050" s="5" t="s">
        <v>675</v>
      </c>
      <c r="C1050" s="7">
        <v>0.41</v>
      </c>
      <c r="D1050" s="7">
        <f t="shared" si="64"/>
        <v>0.37</v>
      </c>
      <c r="E1050" s="7">
        <f t="shared" si="65"/>
        <v>7.4000000000000003E-3</v>
      </c>
      <c r="F1050" s="7">
        <f t="shared" si="66"/>
        <v>0.36259999999999998</v>
      </c>
    </row>
    <row r="1051" spans="1:6" ht="14.5" x14ac:dyDescent="0.35">
      <c r="A1051" s="48"/>
      <c r="B1051" s="5" t="s">
        <v>677</v>
      </c>
      <c r="C1051" s="7">
        <v>0.39</v>
      </c>
      <c r="D1051" s="7">
        <f t="shared" si="64"/>
        <v>0.35000000000000003</v>
      </c>
      <c r="E1051" s="7">
        <f t="shared" si="65"/>
        <v>7.000000000000001E-3</v>
      </c>
      <c r="F1051" s="7">
        <f t="shared" si="66"/>
        <v>0.34300000000000003</v>
      </c>
    </row>
    <row r="1052" spans="1:6" ht="14.5" x14ac:dyDescent="0.35">
      <c r="A1052" s="48"/>
      <c r="B1052" s="5" t="s">
        <v>886</v>
      </c>
      <c r="C1052" s="7">
        <v>0.37</v>
      </c>
      <c r="D1052" s="7">
        <f t="shared" si="64"/>
        <v>0.33</v>
      </c>
      <c r="E1052" s="7">
        <f t="shared" si="65"/>
        <v>6.6000000000000008E-3</v>
      </c>
      <c r="F1052" s="7">
        <f t="shared" si="66"/>
        <v>0.32340000000000002</v>
      </c>
    </row>
    <row r="1053" spans="1:6" ht="14.5" x14ac:dyDescent="0.35">
      <c r="A1053" s="48" t="s">
        <v>519</v>
      </c>
      <c r="B1053" s="5" t="s">
        <v>662</v>
      </c>
      <c r="C1053" s="6">
        <v>0.16999999999999998</v>
      </c>
      <c r="D1053" s="7">
        <f t="shared" si="64"/>
        <v>0.12999999999999998</v>
      </c>
      <c r="E1053" s="7">
        <f t="shared" si="65"/>
        <v>2.5999999999999994E-3</v>
      </c>
      <c r="F1053" s="7">
        <f t="shared" si="66"/>
        <v>0.12739999999999999</v>
      </c>
    </row>
    <row r="1054" spans="1:6" ht="14.5" x14ac:dyDescent="0.35">
      <c r="A1054" s="48"/>
      <c r="B1054" s="5" t="s">
        <v>683</v>
      </c>
      <c r="C1054" s="6">
        <v>0.19</v>
      </c>
      <c r="D1054" s="7">
        <f t="shared" si="64"/>
        <v>0.15</v>
      </c>
      <c r="E1054" s="7">
        <f t="shared" si="65"/>
        <v>3.0000000000000001E-3</v>
      </c>
      <c r="F1054" s="7">
        <f t="shared" si="66"/>
        <v>0.14699999999999999</v>
      </c>
    </row>
    <row r="1055" spans="1:6" ht="14.5" x14ac:dyDescent="0.35">
      <c r="A1055" s="48"/>
      <c r="B1055" s="5" t="s">
        <v>684</v>
      </c>
      <c r="C1055" s="6">
        <v>0.17499999999999999</v>
      </c>
      <c r="D1055" s="7">
        <f t="shared" si="64"/>
        <v>0.13499999999999998</v>
      </c>
      <c r="E1055" s="7">
        <f t="shared" si="65"/>
        <v>2.6999999999999997E-3</v>
      </c>
      <c r="F1055" s="7">
        <f t="shared" si="66"/>
        <v>0.13229999999999997</v>
      </c>
    </row>
    <row r="1056" spans="1:6" ht="14.5" x14ac:dyDescent="0.35">
      <c r="A1056" s="48"/>
      <c r="B1056" s="5" t="s">
        <v>685</v>
      </c>
      <c r="C1056" s="6">
        <v>0</v>
      </c>
      <c r="D1056" s="7" t="s">
        <v>20</v>
      </c>
      <c r="E1056" s="7" t="s">
        <v>20</v>
      </c>
      <c r="F1056" s="7" t="s">
        <v>20</v>
      </c>
    </row>
    <row r="1057" spans="1:6" ht="14.5" x14ac:dyDescent="0.35">
      <c r="A1057" s="48" t="s">
        <v>520</v>
      </c>
      <c r="B1057" s="5" t="s">
        <v>662</v>
      </c>
      <c r="C1057" s="6">
        <v>0.16</v>
      </c>
      <c r="D1057" s="7">
        <f t="shared" si="64"/>
        <v>0.12</v>
      </c>
      <c r="E1057" s="7">
        <f t="shared" si="65"/>
        <v>2.3999999999999998E-3</v>
      </c>
      <c r="F1057" s="7">
        <f t="shared" si="66"/>
        <v>0.1176</v>
      </c>
    </row>
    <row r="1058" spans="1:6" ht="14.5" x14ac:dyDescent="0.35">
      <c r="A1058" s="48"/>
      <c r="B1058" s="5" t="s">
        <v>683</v>
      </c>
      <c r="C1058" s="6">
        <v>0.17499999999999999</v>
      </c>
      <c r="D1058" s="7">
        <f t="shared" si="64"/>
        <v>0.13499999999999998</v>
      </c>
      <c r="E1058" s="7">
        <f t="shared" si="65"/>
        <v>2.6999999999999997E-3</v>
      </c>
      <c r="F1058" s="7">
        <f t="shared" si="66"/>
        <v>0.13229999999999997</v>
      </c>
    </row>
    <row r="1059" spans="1:6" ht="14.5" x14ac:dyDescent="0.35">
      <c r="A1059" s="48"/>
      <c r="B1059" s="5" t="s">
        <v>684</v>
      </c>
      <c r="C1059" s="6">
        <v>0.17499999999999999</v>
      </c>
      <c r="D1059" s="7">
        <f t="shared" si="64"/>
        <v>0.13499999999999998</v>
      </c>
      <c r="E1059" s="7">
        <f t="shared" si="65"/>
        <v>2.6999999999999997E-3</v>
      </c>
      <c r="F1059" s="7">
        <f t="shared" si="66"/>
        <v>0.13229999999999997</v>
      </c>
    </row>
    <row r="1060" spans="1:6" ht="14.5" x14ac:dyDescent="0.35">
      <c r="A1060" s="48"/>
      <c r="B1060" s="5" t="s">
        <v>685</v>
      </c>
      <c r="C1060" s="6">
        <v>0</v>
      </c>
      <c r="D1060" s="7" t="s">
        <v>20</v>
      </c>
      <c r="E1060" s="7" t="s">
        <v>20</v>
      </c>
      <c r="F1060" s="7" t="s">
        <v>20</v>
      </c>
    </row>
    <row r="1061" spans="1:6" ht="14.5" x14ac:dyDescent="0.35">
      <c r="A1061" s="48" t="s">
        <v>521</v>
      </c>
      <c r="B1061" s="5" t="s">
        <v>662</v>
      </c>
      <c r="C1061" s="6">
        <v>0.16</v>
      </c>
      <c r="D1061" s="7">
        <f t="shared" si="64"/>
        <v>0.12</v>
      </c>
      <c r="E1061" s="7">
        <f t="shared" si="65"/>
        <v>2.3999999999999998E-3</v>
      </c>
      <c r="F1061" s="7">
        <f t="shared" si="66"/>
        <v>0.1176</v>
      </c>
    </row>
    <row r="1062" spans="1:6" ht="14.5" x14ac:dyDescent="0.35">
      <c r="A1062" s="48"/>
      <c r="B1062" s="5" t="s">
        <v>683</v>
      </c>
      <c r="C1062" s="6">
        <v>0.18</v>
      </c>
      <c r="D1062" s="7">
        <f t="shared" si="64"/>
        <v>0.13999999999999999</v>
      </c>
      <c r="E1062" s="7">
        <f t="shared" si="65"/>
        <v>2.8E-3</v>
      </c>
      <c r="F1062" s="7">
        <f t="shared" si="66"/>
        <v>0.13719999999999999</v>
      </c>
    </row>
    <row r="1063" spans="1:6" ht="14.5" x14ac:dyDescent="0.35">
      <c r="A1063" s="48"/>
      <c r="B1063" s="5" t="s">
        <v>684</v>
      </c>
      <c r="C1063" s="6">
        <v>0.16</v>
      </c>
      <c r="D1063" s="7">
        <f t="shared" si="64"/>
        <v>0.12</v>
      </c>
      <c r="E1063" s="7">
        <f t="shared" si="65"/>
        <v>2.3999999999999998E-3</v>
      </c>
      <c r="F1063" s="7">
        <f t="shared" si="66"/>
        <v>0.1176</v>
      </c>
    </row>
    <row r="1064" spans="1:6" ht="14.5" x14ac:dyDescent="0.35">
      <c r="A1064" s="48"/>
      <c r="B1064" s="5" t="s">
        <v>685</v>
      </c>
      <c r="C1064" s="6">
        <v>0</v>
      </c>
      <c r="D1064" s="7" t="s">
        <v>20</v>
      </c>
      <c r="E1064" s="7" t="s">
        <v>20</v>
      </c>
      <c r="F1064" s="7" t="s">
        <v>20</v>
      </c>
    </row>
    <row r="1065" spans="1:6" ht="14.5" x14ac:dyDescent="0.35">
      <c r="A1065" s="48" t="s">
        <v>522</v>
      </c>
      <c r="B1065" s="5" t="s">
        <v>662</v>
      </c>
      <c r="C1065" s="6">
        <v>0.16</v>
      </c>
      <c r="D1065" s="7">
        <f t="shared" si="64"/>
        <v>0.12</v>
      </c>
      <c r="E1065" s="7">
        <f t="shared" si="65"/>
        <v>2.3999999999999998E-3</v>
      </c>
      <c r="F1065" s="7">
        <f t="shared" si="66"/>
        <v>0.1176</v>
      </c>
    </row>
    <row r="1066" spans="1:6" ht="14.5" x14ac:dyDescent="0.35">
      <c r="A1066" s="48"/>
      <c r="B1066" s="5" t="s">
        <v>683</v>
      </c>
      <c r="C1066" s="6">
        <v>0.14499999999999999</v>
      </c>
      <c r="D1066" s="7">
        <f t="shared" si="64"/>
        <v>0.10499999999999998</v>
      </c>
      <c r="E1066" s="7">
        <f t="shared" si="65"/>
        <v>2.0999999999999999E-3</v>
      </c>
      <c r="F1066" s="7">
        <f t="shared" si="66"/>
        <v>0.10289999999999998</v>
      </c>
    </row>
    <row r="1067" spans="1:6" ht="14.5" x14ac:dyDescent="0.35">
      <c r="A1067" s="48"/>
      <c r="B1067" s="5" t="s">
        <v>684</v>
      </c>
      <c r="C1067" s="6">
        <v>0.17499999999999999</v>
      </c>
      <c r="D1067" s="7">
        <f t="shared" si="64"/>
        <v>0.13499999999999998</v>
      </c>
      <c r="E1067" s="7">
        <f t="shared" si="65"/>
        <v>2.6999999999999997E-3</v>
      </c>
      <c r="F1067" s="7">
        <f t="shared" si="66"/>
        <v>0.13229999999999997</v>
      </c>
    </row>
    <row r="1068" spans="1:6" ht="14.5" x14ac:dyDescent="0.35">
      <c r="A1068" s="48"/>
      <c r="B1068" s="5" t="s">
        <v>685</v>
      </c>
      <c r="C1068" s="6">
        <v>0</v>
      </c>
      <c r="D1068" s="7" t="s">
        <v>20</v>
      </c>
      <c r="E1068" s="7" t="s">
        <v>20</v>
      </c>
      <c r="F1068" s="7" t="s">
        <v>20</v>
      </c>
    </row>
    <row r="1069" spans="1:6" ht="14.5" x14ac:dyDescent="0.35">
      <c r="A1069" s="5" t="s">
        <v>517</v>
      </c>
      <c r="B1069" s="5" t="s">
        <v>683</v>
      </c>
      <c r="C1069" s="6">
        <v>0.28000000000000003</v>
      </c>
      <c r="D1069" s="7">
        <f t="shared" ref="D1069:D1133" si="70">C1069-(4%)</f>
        <v>0.24000000000000002</v>
      </c>
      <c r="E1069" s="7">
        <f t="shared" ref="E1069:E1133" si="71">D1069*2%</f>
        <v>4.8000000000000004E-3</v>
      </c>
      <c r="F1069" s="7">
        <f t="shared" ref="F1069:F1133" si="72">D1069-E1069</f>
        <v>0.23520000000000002</v>
      </c>
    </row>
    <row r="1070" spans="1:6" ht="14.5" x14ac:dyDescent="0.35">
      <c r="A1070" s="48" t="s">
        <v>887</v>
      </c>
      <c r="B1070" s="5" t="s">
        <v>662</v>
      </c>
      <c r="C1070" s="6">
        <v>0.27</v>
      </c>
      <c r="D1070" s="7">
        <f t="shared" si="70"/>
        <v>0.23</v>
      </c>
      <c r="E1070" s="7">
        <f t="shared" si="71"/>
        <v>4.5999999999999999E-3</v>
      </c>
      <c r="F1070" s="7">
        <f t="shared" si="72"/>
        <v>0.22540000000000002</v>
      </c>
    </row>
    <row r="1071" spans="1:6" ht="14.5" x14ac:dyDescent="0.35">
      <c r="A1071" s="48"/>
      <c r="B1071" s="5" t="s">
        <v>683</v>
      </c>
      <c r="C1071" s="6">
        <v>0.27</v>
      </c>
      <c r="D1071" s="7">
        <f t="shared" si="70"/>
        <v>0.23</v>
      </c>
      <c r="E1071" s="7">
        <f t="shared" si="71"/>
        <v>4.5999999999999999E-3</v>
      </c>
      <c r="F1071" s="7">
        <f t="shared" si="72"/>
        <v>0.22540000000000002</v>
      </c>
    </row>
    <row r="1072" spans="1:6" ht="14.5" x14ac:dyDescent="0.35">
      <c r="A1072" s="48"/>
      <c r="B1072" s="5" t="s">
        <v>684</v>
      </c>
      <c r="C1072" s="6">
        <v>0</v>
      </c>
      <c r="D1072" s="7" t="s">
        <v>20</v>
      </c>
      <c r="E1072" s="7" t="s">
        <v>20</v>
      </c>
      <c r="F1072" s="7" t="s">
        <v>20</v>
      </c>
    </row>
    <row r="1073" spans="1:6" ht="14.5" x14ac:dyDescent="0.35">
      <c r="A1073" s="48"/>
      <c r="B1073" s="5" t="s">
        <v>685</v>
      </c>
      <c r="C1073" s="6">
        <v>0</v>
      </c>
      <c r="D1073" s="7" t="s">
        <v>20</v>
      </c>
      <c r="E1073" s="7" t="s">
        <v>20</v>
      </c>
      <c r="F1073" s="7" t="s">
        <v>20</v>
      </c>
    </row>
    <row r="1074" spans="1:6" ht="14.5" x14ac:dyDescent="0.35">
      <c r="A1074" s="48" t="s">
        <v>888</v>
      </c>
      <c r="B1074" s="5" t="s">
        <v>662</v>
      </c>
      <c r="C1074" s="6">
        <v>0.27</v>
      </c>
      <c r="D1074" s="7">
        <f t="shared" si="70"/>
        <v>0.23</v>
      </c>
      <c r="E1074" s="7">
        <f t="shared" si="71"/>
        <v>4.5999999999999999E-3</v>
      </c>
      <c r="F1074" s="7">
        <f t="shared" si="72"/>
        <v>0.22540000000000002</v>
      </c>
    </row>
    <row r="1075" spans="1:6" ht="14.5" x14ac:dyDescent="0.35">
      <c r="A1075" s="48"/>
      <c r="B1075" s="5" t="s">
        <v>683</v>
      </c>
      <c r="C1075" s="6">
        <v>0.3</v>
      </c>
      <c r="D1075" s="7">
        <f t="shared" si="70"/>
        <v>0.26</v>
      </c>
      <c r="E1075" s="7">
        <f t="shared" si="71"/>
        <v>5.2000000000000006E-3</v>
      </c>
      <c r="F1075" s="7">
        <f t="shared" si="72"/>
        <v>0.25480000000000003</v>
      </c>
    </row>
    <row r="1076" spans="1:6" ht="14.5" x14ac:dyDescent="0.35">
      <c r="A1076" s="48"/>
      <c r="B1076" s="5" t="s">
        <v>684</v>
      </c>
      <c r="C1076" s="6">
        <v>0</v>
      </c>
      <c r="D1076" s="7" t="s">
        <v>20</v>
      </c>
      <c r="E1076" s="7" t="s">
        <v>20</v>
      </c>
      <c r="F1076" s="7" t="s">
        <v>20</v>
      </c>
    </row>
    <row r="1077" spans="1:6" ht="14.5" x14ac:dyDescent="0.35">
      <c r="A1077" s="48"/>
      <c r="B1077" s="5" t="s">
        <v>685</v>
      </c>
      <c r="C1077" s="6">
        <v>0</v>
      </c>
      <c r="D1077" s="7" t="s">
        <v>20</v>
      </c>
      <c r="E1077" s="7" t="s">
        <v>20</v>
      </c>
      <c r="F1077" s="7" t="s">
        <v>20</v>
      </c>
    </row>
    <row r="1078" spans="1:6" ht="14.5" x14ac:dyDescent="0.35">
      <c r="A1078" s="48" t="s">
        <v>527</v>
      </c>
      <c r="B1078" s="5" t="s">
        <v>662</v>
      </c>
      <c r="C1078" s="6">
        <v>0.27</v>
      </c>
      <c r="D1078" s="7">
        <f t="shared" si="70"/>
        <v>0.23</v>
      </c>
      <c r="E1078" s="7">
        <f t="shared" si="71"/>
        <v>4.5999999999999999E-3</v>
      </c>
      <c r="F1078" s="7">
        <f t="shared" si="72"/>
        <v>0.22540000000000002</v>
      </c>
    </row>
    <row r="1079" spans="1:6" ht="14.5" x14ac:dyDescent="0.35">
      <c r="A1079" s="48"/>
      <c r="B1079" s="5" t="s">
        <v>683</v>
      </c>
      <c r="C1079" s="6">
        <v>0.51</v>
      </c>
      <c r="D1079" s="7">
        <f t="shared" si="70"/>
        <v>0.47000000000000003</v>
      </c>
      <c r="E1079" s="7">
        <f t="shared" si="71"/>
        <v>9.4000000000000004E-3</v>
      </c>
      <c r="F1079" s="7">
        <f t="shared" si="72"/>
        <v>0.46060000000000001</v>
      </c>
    </row>
    <row r="1080" spans="1:6" ht="14.5" x14ac:dyDescent="0.35">
      <c r="A1080" s="48"/>
      <c r="B1080" s="5" t="s">
        <v>684</v>
      </c>
      <c r="C1080" s="6">
        <v>0.25</v>
      </c>
      <c r="D1080" s="7">
        <f t="shared" si="70"/>
        <v>0.21</v>
      </c>
      <c r="E1080" s="7">
        <f t="shared" si="71"/>
        <v>4.1999999999999997E-3</v>
      </c>
      <c r="F1080" s="7">
        <f t="shared" si="72"/>
        <v>0.20579999999999998</v>
      </c>
    </row>
    <row r="1081" spans="1:6" ht="14.5" x14ac:dyDescent="0.35">
      <c r="A1081" s="48"/>
      <c r="B1081" s="5" t="s">
        <v>685</v>
      </c>
      <c r="C1081" s="6">
        <v>0</v>
      </c>
      <c r="D1081" s="7" t="s">
        <v>20</v>
      </c>
      <c r="E1081" s="7" t="s">
        <v>20</v>
      </c>
      <c r="F1081" s="7" t="s">
        <v>20</v>
      </c>
    </row>
    <row r="1082" spans="1:6" ht="14.5" x14ac:dyDescent="0.35">
      <c r="A1082" s="48" t="s">
        <v>526</v>
      </c>
      <c r="B1082" s="5" t="s">
        <v>662</v>
      </c>
      <c r="C1082" s="6">
        <v>0.04</v>
      </c>
      <c r="D1082" s="7" t="s">
        <v>20</v>
      </c>
      <c r="E1082" s="7" t="s">
        <v>20</v>
      </c>
      <c r="F1082" s="7" t="s">
        <v>20</v>
      </c>
    </row>
    <row r="1083" spans="1:6" ht="14.5" x14ac:dyDescent="0.35">
      <c r="A1083" s="48"/>
      <c r="B1083" s="5" t="s">
        <v>683</v>
      </c>
      <c r="C1083" s="6">
        <v>0.4</v>
      </c>
      <c r="D1083" s="7">
        <f t="shared" si="70"/>
        <v>0.36000000000000004</v>
      </c>
      <c r="E1083" s="7">
        <f t="shared" si="71"/>
        <v>7.2000000000000007E-3</v>
      </c>
      <c r="F1083" s="7">
        <f t="shared" si="72"/>
        <v>0.35280000000000006</v>
      </c>
    </row>
    <row r="1084" spans="1:6" ht="14.5" x14ac:dyDescent="0.35">
      <c r="A1084" s="48"/>
      <c r="B1084" s="5" t="s">
        <v>684</v>
      </c>
      <c r="C1084" s="6">
        <v>0.1</v>
      </c>
      <c r="D1084" s="7">
        <f t="shared" si="70"/>
        <v>6.0000000000000005E-2</v>
      </c>
      <c r="E1084" s="7">
        <f t="shared" si="71"/>
        <v>1.2000000000000001E-3</v>
      </c>
      <c r="F1084" s="7">
        <f t="shared" si="72"/>
        <v>5.8800000000000005E-2</v>
      </c>
    </row>
    <row r="1085" spans="1:6" ht="14.5" x14ac:dyDescent="0.35">
      <c r="A1085" s="48"/>
      <c r="B1085" s="5" t="s">
        <v>685</v>
      </c>
      <c r="C1085" s="6">
        <v>0</v>
      </c>
      <c r="D1085" s="7" t="s">
        <v>20</v>
      </c>
      <c r="E1085" s="7" t="s">
        <v>20</v>
      </c>
      <c r="F1085" s="7" t="s">
        <v>20</v>
      </c>
    </row>
    <row r="1086" spans="1:6" ht="14.5" x14ac:dyDescent="0.35">
      <c r="A1086" s="48" t="s">
        <v>889</v>
      </c>
      <c r="B1086" s="5" t="s">
        <v>662</v>
      </c>
      <c r="C1086" s="6">
        <v>0.28000000000000003</v>
      </c>
      <c r="D1086" s="7">
        <f t="shared" si="70"/>
        <v>0.24000000000000002</v>
      </c>
      <c r="E1086" s="7">
        <f t="shared" si="71"/>
        <v>4.8000000000000004E-3</v>
      </c>
      <c r="F1086" s="7">
        <f t="shared" si="72"/>
        <v>0.23520000000000002</v>
      </c>
    </row>
    <row r="1087" spans="1:6" ht="14.5" x14ac:dyDescent="0.35">
      <c r="A1087" s="48"/>
      <c r="B1087" s="5" t="s">
        <v>683</v>
      </c>
      <c r="C1087" s="6">
        <v>0.3</v>
      </c>
      <c r="D1087" s="7">
        <f t="shared" si="70"/>
        <v>0.26</v>
      </c>
      <c r="E1087" s="7">
        <f t="shared" si="71"/>
        <v>5.2000000000000006E-3</v>
      </c>
      <c r="F1087" s="7">
        <f t="shared" si="72"/>
        <v>0.25480000000000003</v>
      </c>
    </row>
    <row r="1088" spans="1:6" ht="14.5" x14ac:dyDescent="0.35">
      <c r="A1088" s="48"/>
      <c r="B1088" s="5" t="s">
        <v>684</v>
      </c>
      <c r="C1088" s="6">
        <v>0.17</v>
      </c>
      <c r="D1088" s="7">
        <f t="shared" si="70"/>
        <v>0.13</v>
      </c>
      <c r="E1088" s="7">
        <f t="shared" si="71"/>
        <v>2.6000000000000003E-3</v>
      </c>
      <c r="F1088" s="7">
        <f t="shared" si="72"/>
        <v>0.12740000000000001</v>
      </c>
    </row>
    <row r="1089" spans="1:6" ht="14.5" x14ac:dyDescent="0.35">
      <c r="A1089" s="48"/>
      <c r="B1089" s="5" t="s">
        <v>685</v>
      </c>
      <c r="C1089" s="6">
        <v>0</v>
      </c>
      <c r="D1089" s="7" t="s">
        <v>20</v>
      </c>
      <c r="E1089" s="7" t="s">
        <v>20</v>
      </c>
      <c r="F1089" s="7" t="s">
        <v>20</v>
      </c>
    </row>
    <row r="1090" spans="1:6" ht="14.5" x14ac:dyDescent="0.35">
      <c r="A1090" s="48" t="s">
        <v>890</v>
      </c>
      <c r="B1090" s="5" t="s">
        <v>662</v>
      </c>
      <c r="C1090" s="6">
        <v>0.23</v>
      </c>
      <c r="D1090" s="7">
        <f t="shared" si="70"/>
        <v>0.19</v>
      </c>
      <c r="E1090" s="7">
        <f t="shared" si="71"/>
        <v>3.8E-3</v>
      </c>
      <c r="F1090" s="7">
        <f t="shared" si="72"/>
        <v>0.1862</v>
      </c>
    </row>
    <row r="1091" spans="1:6" ht="14.5" x14ac:dyDescent="0.35">
      <c r="A1091" s="48"/>
      <c r="B1091" s="5" t="s">
        <v>683</v>
      </c>
      <c r="C1091" s="6">
        <v>0.45</v>
      </c>
      <c r="D1091" s="7">
        <f t="shared" si="70"/>
        <v>0.41000000000000003</v>
      </c>
      <c r="E1091" s="7">
        <f t="shared" si="71"/>
        <v>8.2000000000000007E-3</v>
      </c>
      <c r="F1091" s="7">
        <f t="shared" si="72"/>
        <v>0.40180000000000005</v>
      </c>
    </row>
    <row r="1092" spans="1:6" ht="14.5" x14ac:dyDescent="0.35">
      <c r="A1092" s="48"/>
      <c r="B1092" s="5" t="s">
        <v>684</v>
      </c>
      <c r="C1092" s="6">
        <v>0.13</v>
      </c>
      <c r="D1092" s="7">
        <f t="shared" si="70"/>
        <v>0.09</v>
      </c>
      <c r="E1092" s="7">
        <f t="shared" si="71"/>
        <v>1.8E-3</v>
      </c>
      <c r="F1092" s="7">
        <f t="shared" si="72"/>
        <v>8.8200000000000001E-2</v>
      </c>
    </row>
    <row r="1093" spans="1:6" ht="14.5" x14ac:dyDescent="0.35">
      <c r="A1093" s="48"/>
      <c r="B1093" s="5" t="s">
        <v>685</v>
      </c>
      <c r="C1093" s="6">
        <v>0</v>
      </c>
      <c r="D1093" s="7" t="s">
        <v>20</v>
      </c>
      <c r="E1093" s="7" t="s">
        <v>20</v>
      </c>
      <c r="F1093" s="7" t="s">
        <v>20</v>
      </c>
    </row>
    <row r="1094" spans="1:6" ht="14.5" x14ac:dyDescent="0.35">
      <c r="A1094" s="5" t="s">
        <v>272</v>
      </c>
      <c r="B1094" s="5" t="s">
        <v>273</v>
      </c>
      <c r="C1094" s="7">
        <v>0.3</v>
      </c>
      <c r="D1094" s="7">
        <f t="shared" si="70"/>
        <v>0.26</v>
      </c>
      <c r="E1094" s="7">
        <f t="shared" si="71"/>
        <v>5.2000000000000006E-3</v>
      </c>
      <c r="F1094" s="7">
        <f t="shared" si="72"/>
        <v>0.25480000000000003</v>
      </c>
    </row>
    <row r="1095" spans="1:6" ht="14.5" x14ac:dyDescent="0.35">
      <c r="A1095" s="5" t="s">
        <v>274</v>
      </c>
      <c r="B1095" s="5" t="s">
        <v>273</v>
      </c>
      <c r="C1095" s="7">
        <v>0.3</v>
      </c>
      <c r="D1095" s="7">
        <f t="shared" si="70"/>
        <v>0.26</v>
      </c>
      <c r="E1095" s="7">
        <f t="shared" si="71"/>
        <v>5.2000000000000006E-3</v>
      </c>
      <c r="F1095" s="7">
        <f t="shared" si="72"/>
        <v>0.25480000000000003</v>
      </c>
    </row>
    <row r="1096" spans="1:6" ht="14.5" x14ac:dyDescent="0.35">
      <c r="A1096" s="5" t="s">
        <v>891</v>
      </c>
      <c r="B1096" s="5" t="s">
        <v>273</v>
      </c>
      <c r="C1096" s="7">
        <v>0.2</v>
      </c>
      <c r="D1096" s="7">
        <f t="shared" si="70"/>
        <v>0.16</v>
      </c>
      <c r="E1096" s="7">
        <f t="shared" si="71"/>
        <v>3.2000000000000002E-3</v>
      </c>
      <c r="F1096" s="7">
        <f t="shared" si="72"/>
        <v>0.15679999999999999</v>
      </c>
    </row>
    <row r="1097" spans="1:6" ht="14.5" x14ac:dyDescent="0.35">
      <c r="A1097" s="5" t="s">
        <v>275</v>
      </c>
      <c r="B1097" s="5" t="s">
        <v>273</v>
      </c>
      <c r="C1097" s="7">
        <v>0.3</v>
      </c>
      <c r="D1097" s="7">
        <f t="shared" si="70"/>
        <v>0.26</v>
      </c>
      <c r="E1097" s="7">
        <f t="shared" si="71"/>
        <v>5.2000000000000006E-3</v>
      </c>
      <c r="F1097" s="7">
        <f t="shared" si="72"/>
        <v>0.25480000000000003</v>
      </c>
    </row>
    <row r="1098" spans="1:6" ht="14.5" x14ac:dyDescent="0.35">
      <c r="A1098" s="5" t="s">
        <v>530</v>
      </c>
      <c r="B1098" s="5" t="s">
        <v>273</v>
      </c>
      <c r="C1098" s="7">
        <v>0.2</v>
      </c>
      <c r="D1098" s="7">
        <f t="shared" si="70"/>
        <v>0.16</v>
      </c>
      <c r="E1098" s="7">
        <f t="shared" si="71"/>
        <v>3.2000000000000002E-3</v>
      </c>
      <c r="F1098" s="7">
        <f t="shared" si="72"/>
        <v>0.15679999999999999</v>
      </c>
    </row>
    <row r="1099" spans="1:6" ht="14.5" x14ac:dyDescent="0.35">
      <c r="A1099" s="5" t="s">
        <v>276</v>
      </c>
      <c r="B1099" s="5" t="s">
        <v>273</v>
      </c>
      <c r="C1099" s="7">
        <v>0.1</v>
      </c>
      <c r="D1099" s="7">
        <f t="shared" si="70"/>
        <v>6.0000000000000005E-2</v>
      </c>
      <c r="E1099" s="7">
        <f t="shared" si="71"/>
        <v>1.2000000000000001E-3</v>
      </c>
      <c r="F1099" s="7">
        <f t="shared" si="72"/>
        <v>5.8800000000000005E-2</v>
      </c>
    </row>
    <row r="1100" spans="1:6" ht="14.5" x14ac:dyDescent="0.35">
      <c r="A1100" s="5" t="s">
        <v>277</v>
      </c>
      <c r="B1100" s="5" t="s">
        <v>273</v>
      </c>
      <c r="C1100" s="7">
        <v>0.19</v>
      </c>
      <c r="D1100" s="7">
        <f t="shared" si="70"/>
        <v>0.15</v>
      </c>
      <c r="E1100" s="7">
        <f t="shared" si="71"/>
        <v>3.0000000000000001E-3</v>
      </c>
      <c r="F1100" s="7">
        <f t="shared" si="72"/>
        <v>0.14699999999999999</v>
      </c>
    </row>
    <row r="1101" spans="1:6" ht="14.5" x14ac:dyDescent="0.35">
      <c r="A1101" s="5" t="s">
        <v>278</v>
      </c>
      <c r="B1101" s="5" t="s">
        <v>273</v>
      </c>
      <c r="C1101" s="7">
        <v>0.2</v>
      </c>
      <c r="D1101" s="7">
        <f t="shared" si="70"/>
        <v>0.16</v>
      </c>
      <c r="E1101" s="7">
        <f t="shared" si="71"/>
        <v>3.2000000000000002E-3</v>
      </c>
      <c r="F1101" s="7">
        <f t="shared" si="72"/>
        <v>0.15679999999999999</v>
      </c>
    </row>
    <row r="1102" spans="1:6" ht="14.5" x14ac:dyDescent="0.35">
      <c r="A1102" s="5" t="s">
        <v>279</v>
      </c>
      <c r="B1102" s="5" t="s">
        <v>273</v>
      </c>
      <c r="C1102" s="7">
        <v>0.1</v>
      </c>
      <c r="D1102" s="7">
        <f t="shared" si="70"/>
        <v>6.0000000000000005E-2</v>
      </c>
      <c r="E1102" s="7">
        <f t="shared" si="71"/>
        <v>1.2000000000000001E-3</v>
      </c>
      <c r="F1102" s="7">
        <f t="shared" si="72"/>
        <v>5.8800000000000005E-2</v>
      </c>
    </row>
    <row r="1103" spans="1:6" ht="14.5" x14ac:dyDescent="0.35">
      <c r="A1103" s="5" t="s">
        <v>280</v>
      </c>
      <c r="B1103" s="5" t="s">
        <v>273</v>
      </c>
      <c r="C1103" s="7">
        <v>0.1</v>
      </c>
      <c r="D1103" s="7">
        <f t="shared" si="70"/>
        <v>6.0000000000000005E-2</v>
      </c>
      <c r="E1103" s="7">
        <f t="shared" si="71"/>
        <v>1.2000000000000001E-3</v>
      </c>
      <c r="F1103" s="7">
        <f t="shared" si="72"/>
        <v>5.8800000000000005E-2</v>
      </c>
    </row>
    <row r="1104" spans="1:6" ht="14.5" x14ac:dyDescent="0.35">
      <c r="A1104" s="5" t="s">
        <v>281</v>
      </c>
      <c r="B1104" s="5" t="s">
        <v>273</v>
      </c>
      <c r="C1104" s="7">
        <v>0.15</v>
      </c>
      <c r="D1104" s="7">
        <f t="shared" si="70"/>
        <v>0.10999999999999999</v>
      </c>
      <c r="E1104" s="7">
        <f t="shared" si="71"/>
        <v>2.1999999999999997E-3</v>
      </c>
      <c r="F1104" s="7">
        <f t="shared" si="72"/>
        <v>0.10779999999999999</v>
      </c>
    </row>
    <row r="1105" spans="1:6" ht="14.5" x14ac:dyDescent="0.35">
      <c r="A1105" s="5" t="s">
        <v>1297</v>
      </c>
      <c r="B1105" s="5" t="s">
        <v>100</v>
      </c>
      <c r="C1105" s="6">
        <v>0.25</v>
      </c>
      <c r="D1105" s="7">
        <f t="shared" ref="D1105:D1106" si="73">C1105-(4%)</f>
        <v>0.21</v>
      </c>
      <c r="E1105" s="7">
        <f t="shared" ref="E1105:E1106" si="74">D1105*2%</f>
        <v>4.1999999999999997E-3</v>
      </c>
      <c r="F1105" s="7">
        <f t="shared" ref="F1105:F1106" si="75">D1105-E1105</f>
        <v>0.20579999999999998</v>
      </c>
    </row>
    <row r="1106" spans="1:6" ht="14.5" x14ac:dyDescent="0.35">
      <c r="A1106" s="5" t="s">
        <v>1298</v>
      </c>
      <c r="B1106" s="5" t="s">
        <v>100</v>
      </c>
      <c r="C1106" s="6">
        <v>0.245</v>
      </c>
      <c r="D1106" s="7">
        <f t="shared" si="73"/>
        <v>0.20499999999999999</v>
      </c>
      <c r="E1106" s="7">
        <f t="shared" si="74"/>
        <v>4.0999999999999995E-3</v>
      </c>
      <c r="F1106" s="7">
        <f t="shared" si="75"/>
        <v>0.2009</v>
      </c>
    </row>
    <row r="1107" spans="1:6" ht="14.5" x14ac:dyDescent="0.35">
      <c r="A1107" s="5" t="s">
        <v>282</v>
      </c>
      <c r="B1107" s="5" t="s">
        <v>100</v>
      </c>
      <c r="C1107" s="6">
        <v>0.3</v>
      </c>
      <c r="D1107" s="7">
        <f t="shared" si="70"/>
        <v>0.26</v>
      </c>
      <c r="E1107" s="7">
        <f t="shared" si="71"/>
        <v>5.2000000000000006E-3</v>
      </c>
      <c r="F1107" s="7">
        <f t="shared" si="72"/>
        <v>0.25480000000000003</v>
      </c>
    </row>
    <row r="1108" spans="1:6" ht="14.5" x14ac:dyDescent="0.35">
      <c r="A1108" s="5" t="s">
        <v>283</v>
      </c>
      <c r="B1108" s="5" t="s">
        <v>100</v>
      </c>
      <c r="C1108" s="6">
        <v>0.27</v>
      </c>
      <c r="D1108" s="7">
        <f t="shared" si="70"/>
        <v>0.23</v>
      </c>
      <c r="E1108" s="7">
        <f t="shared" si="71"/>
        <v>4.5999999999999999E-3</v>
      </c>
      <c r="F1108" s="7">
        <f t="shared" si="72"/>
        <v>0.22540000000000002</v>
      </c>
    </row>
    <row r="1109" spans="1:6" ht="14.5" x14ac:dyDescent="0.35">
      <c r="A1109" s="5" t="s">
        <v>284</v>
      </c>
      <c r="B1109" s="5" t="s">
        <v>100</v>
      </c>
      <c r="C1109" s="6">
        <v>0.22</v>
      </c>
      <c r="D1109" s="7">
        <f t="shared" si="70"/>
        <v>0.18</v>
      </c>
      <c r="E1109" s="7">
        <f t="shared" si="71"/>
        <v>3.5999999999999999E-3</v>
      </c>
      <c r="F1109" s="7">
        <f t="shared" si="72"/>
        <v>0.1764</v>
      </c>
    </row>
    <row r="1110" spans="1:6" ht="14.5" x14ac:dyDescent="0.35">
      <c r="A1110" s="5" t="s">
        <v>285</v>
      </c>
      <c r="B1110" s="5" t="s">
        <v>100</v>
      </c>
      <c r="C1110" s="6">
        <v>0.19500000000000001</v>
      </c>
      <c r="D1110" s="7">
        <f t="shared" si="70"/>
        <v>0.155</v>
      </c>
      <c r="E1110" s="7">
        <f t="shared" si="71"/>
        <v>3.0999999999999999E-3</v>
      </c>
      <c r="F1110" s="7">
        <f t="shared" si="72"/>
        <v>0.15190000000000001</v>
      </c>
    </row>
    <row r="1111" spans="1:6" ht="14.5" x14ac:dyDescent="0.35">
      <c r="A1111" s="5" t="s">
        <v>286</v>
      </c>
      <c r="B1111" s="5" t="s">
        <v>100</v>
      </c>
      <c r="C1111" s="6">
        <v>0.15</v>
      </c>
      <c r="D1111" s="7">
        <f t="shared" si="70"/>
        <v>0.10999999999999999</v>
      </c>
      <c r="E1111" s="7">
        <f t="shared" si="71"/>
        <v>2.1999999999999997E-3</v>
      </c>
      <c r="F1111" s="7">
        <f t="shared" si="72"/>
        <v>0.10779999999999999</v>
      </c>
    </row>
    <row r="1112" spans="1:6" ht="48" customHeight="1" x14ac:dyDescent="0.35">
      <c r="A1112" s="48" t="s">
        <v>287</v>
      </c>
      <c r="B1112" s="5" t="s">
        <v>892</v>
      </c>
      <c r="C1112" s="6">
        <v>0.25</v>
      </c>
      <c r="D1112" s="7">
        <f t="shared" si="70"/>
        <v>0.21</v>
      </c>
      <c r="E1112" s="7">
        <f t="shared" si="71"/>
        <v>4.1999999999999997E-3</v>
      </c>
      <c r="F1112" s="7">
        <f t="shared" si="72"/>
        <v>0.20579999999999998</v>
      </c>
    </row>
    <row r="1113" spans="1:6" ht="14.5" x14ac:dyDescent="0.35">
      <c r="A1113" s="48"/>
      <c r="B1113" s="5" t="s">
        <v>687</v>
      </c>
      <c r="C1113" s="6">
        <v>0.25</v>
      </c>
      <c r="D1113" s="7">
        <f t="shared" si="70"/>
        <v>0.21</v>
      </c>
      <c r="E1113" s="7">
        <f t="shared" si="71"/>
        <v>4.1999999999999997E-3</v>
      </c>
      <c r="F1113" s="7">
        <f t="shared" si="72"/>
        <v>0.20579999999999998</v>
      </c>
    </row>
    <row r="1114" spans="1:6" ht="14.5" x14ac:dyDescent="0.35">
      <c r="A1114" s="48"/>
      <c r="B1114" s="5" t="s">
        <v>893</v>
      </c>
      <c r="C1114" s="6">
        <v>0.15</v>
      </c>
      <c r="D1114" s="7">
        <f t="shared" si="70"/>
        <v>0.10999999999999999</v>
      </c>
      <c r="E1114" s="7">
        <f t="shared" si="71"/>
        <v>2.1999999999999997E-3</v>
      </c>
      <c r="F1114" s="7">
        <f t="shared" si="72"/>
        <v>0.10779999999999999</v>
      </c>
    </row>
    <row r="1115" spans="1:6" ht="14.5" x14ac:dyDescent="0.35">
      <c r="A1115" s="48"/>
      <c r="B1115" s="5" t="s">
        <v>683</v>
      </c>
      <c r="C1115" s="6">
        <v>0.3</v>
      </c>
      <c r="D1115" s="7">
        <f t="shared" si="70"/>
        <v>0.26</v>
      </c>
      <c r="E1115" s="7">
        <f t="shared" si="71"/>
        <v>5.2000000000000006E-3</v>
      </c>
      <c r="F1115" s="7">
        <f t="shared" si="72"/>
        <v>0.25480000000000003</v>
      </c>
    </row>
    <row r="1116" spans="1:6" ht="14.5" x14ac:dyDescent="0.35">
      <c r="A1116" s="48"/>
      <c r="B1116" s="5" t="s">
        <v>663</v>
      </c>
      <c r="C1116" s="6">
        <v>0.15</v>
      </c>
      <c r="D1116" s="7">
        <f t="shared" si="70"/>
        <v>0.10999999999999999</v>
      </c>
      <c r="E1116" s="7">
        <f t="shared" si="71"/>
        <v>2.1999999999999997E-3</v>
      </c>
      <c r="F1116" s="7">
        <f t="shared" si="72"/>
        <v>0.10779999999999999</v>
      </c>
    </row>
    <row r="1117" spans="1:6" ht="14.5" x14ac:dyDescent="0.35">
      <c r="A1117" s="48" t="s">
        <v>531</v>
      </c>
      <c r="B1117" s="5" t="s">
        <v>894</v>
      </c>
      <c r="C1117" s="6">
        <v>0.25</v>
      </c>
      <c r="D1117" s="7">
        <f t="shared" si="70"/>
        <v>0.21</v>
      </c>
      <c r="E1117" s="7">
        <f t="shared" si="71"/>
        <v>4.1999999999999997E-3</v>
      </c>
      <c r="F1117" s="7">
        <f t="shared" si="72"/>
        <v>0.20579999999999998</v>
      </c>
    </row>
    <row r="1118" spans="1:6" ht="14.5" x14ac:dyDescent="0.35">
      <c r="A1118" s="48"/>
      <c r="B1118" s="5" t="s">
        <v>687</v>
      </c>
      <c r="C1118" s="6">
        <v>0.25</v>
      </c>
      <c r="D1118" s="7">
        <f t="shared" si="70"/>
        <v>0.21</v>
      </c>
      <c r="E1118" s="7">
        <f t="shared" si="71"/>
        <v>4.1999999999999997E-3</v>
      </c>
      <c r="F1118" s="7">
        <f t="shared" si="72"/>
        <v>0.20579999999999998</v>
      </c>
    </row>
    <row r="1119" spans="1:6" ht="14.5" x14ac:dyDescent="0.35">
      <c r="A1119" s="48"/>
      <c r="B1119" s="5" t="s">
        <v>893</v>
      </c>
      <c r="C1119" s="6">
        <v>0.25</v>
      </c>
      <c r="D1119" s="7">
        <f t="shared" si="70"/>
        <v>0.21</v>
      </c>
      <c r="E1119" s="7">
        <f t="shared" si="71"/>
        <v>4.1999999999999997E-3</v>
      </c>
      <c r="F1119" s="7">
        <f t="shared" si="72"/>
        <v>0.20579999999999998</v>
      </c>
    </row>
    <row r="1120" spans="1:6" ht="14.5" x14ac:dyDescent="0.35">
      <c r="A1120" s="48"/>
      <c r="B1120" s="5" t="s">
        <v>683</v>
      </c>
      <c r="C1120" s="6">
        <v>0.3</v>
      </c>
      <c r="D1120" s="7">
        <f t="shared" si="70"/>
        <v>0.26</v>
      </c>
      <c r="E1120" s="7">
        <f t="shared" si="71"/>
        <v>5.2000000000000006E-3</v>
      </c>
      <c r="F1120" s="7">
        <f t="shared" si="72"/>
        <v>0.25480000000000003</v>
      </c>
    </row>
    <row r="1121" spans="1:6" ht="14.5" x14ac:dyDescent="0.35">
      <c r="A1121" s="48"/>
      <c r="B1121" s="5" t="s">
        <v>663</v>
      </c>
      <c r="C1121" s="6">
        <v>0.15</v>
      </c>
      <c r="D1121" s="7">
        <f t="shared" si="70"/>
        <v>0.10999999999999999</v>
      </c>
      <c r="E1121" s="7">
        <f t="shared" si="71"/>
        <v>2.1999999999999997E-3</v>
      </c>
      <c r="F1121" s="7">
        <f t="shared" si="72"/>
        <v>0.10779999999999999</v>
      </c>
    </row>
    <row r="1122" spans="1:6" ht="14.5" x14ac:dyDescent="0.35">
      <c r="A1122" s="48" t="s">
        <v>532</v>
      </c>
      <c r="B1122" s="5" t="s">
        <v>892</v>
      </c>
      <c r="C1122" s="6">
        <v>0.15</v>
      </c>
      <c r="D1122" s="7">
        <f t="shared" si="70"/>
        <v>0.10999999999999999</v>
      </c>
      <c r="E1122" s="7">
        <f t="shared" si="71"/>
        <v>2.1999999999999997E-3</v>
      </c>
      <c r="F1122" s="7">
        <f t="shared" si="72"/>
        <v>0.10779999999999999</v>
      </c>
    </row>
    <row r="1123" spans="1:6" ht="14.5" x14ac:dyDescent="0.35">
      <c r="A1123" s="48"/>
      <c r="B1123" s="5" t="s">
        <v>687</v>
      </c>
      <c r="C1123" s="6">
        <v>0.25</v>
      </c>
      <c r="D1123" s="7">
        <f t="shared" si="70"/>
        <v>0.21</v>
      </c>
      <c r="E1123" s="7">
        <f t="shared" si="71"/>
        <v>4.1999999999999997E-3</v>
      </c>
      <c r="F1123" s="7">
        <f t="shared" si="72"/>
        <v>0.20579999999999998</v>
      </c>
    </row>
    <row r="1124" spans="1:6" ht="14.5" x14ac:dyDescent="0.35">
      <c r="A1124" s="48"/>
      <c r="B1124" s="5" t="s">
        <v>893</v>
      </c>
      <c r="C1124" s="6">
        <v>0.22500000000000001</v>
      </c>
      <c r="D1124" s="7">
        <f t="shared" si="70"/>
        <v>0.185</v>
      </c>
      <c r="E1124" s="7">
        <f t="shared" si="71"/>
        <v>3.7000000000000002E-3</v>
      </c>
      <c r="F1124" s="7">
        <f t="shared" si="72"/>
        <v>0.18129999999999999</v>
      </c>
    </row>
    <row r="1125" spans="1:6" ht="14.5" x14ac:dyDescent="0.35">
      <c r="A1125" s="48"/>
      <c r="B1125" s="5" t="s">
        <v>683</v>
      </c>
      <c r="C1125" s="6">
        <v>0.27500000000000002</v>
      </c>
      <c r="D1125" s="7">
        <f t="shared" si="70"/>
        <v>0.23500000000000001</v>
      </c>
      <c r="E1125" s="7">
        <f t="shared" si="71"/>
        <v>4.7000000000000002E-3</v>
      </c>
      <c r="F1125" s="7">
        <f t="shared" si="72"/>
        <v>0.2303</v>
      </c>
    </row>
    <row r="1126" spans="1:6" ht="14.5" x14ac:dyDescent="0.35">
      <c r="A1126" s="48"/>
      <c r="B1126" s="5" t="s">
        <v>663</v>
      </c>
      <c r="C1126" s="6">
        <v>0.15</v>
      </c>
      <c r="D1126" s="7">
        <f t="shared" si="70"/>
        <v>0.10999999999999999</v>
      </c>
      <c r="E1126" s="7">
        <f t="shared" si="71"/>
        <v>2.1999999999999997E-3</v>
      </c>
      <c r="F1126" s="7">
        <f t="shared" si="72"/>
        <v>0.10779999999999999</v>
      </c>
    </row>
    <row r="1127" spans="1:6" ht="14.5" x14ac:dyDescent="0.35">
      <c r="A1127" s="48" t="s">
        <v>291</v>
      </c>
      <c r="B1127" s="5" t="s">
        <v>892</v>
      </c>
      <c r="C1127" s="6">
        <v>0.22500000000000001</v>
      </c>
      <c r="D1127" s="7">
        <f t="shared" si="70"/>
        <v>0.185</v>
      </c>
      <c r="E1127" s="7">
        <f t="shared" si="71"/>
        <v>3.7000000000000002E-3</v>
      </c>
      <c r="F1127" s="7">
        <f t="shared" si="72"/>
        <v>0.18129999999999999</v>
      </c>
    </row>
    <row r="1128" spans="1:6" ht="14.5" x14ac:dyDescent="0.35">
      <c r="A1128" s="48"/>
      <c r="B1128" s="5" t="s">
        <v>687</v>
      </c>
      <c r="C1128" s="6">
        <v>0.25</v>
      </c>
      <c r="D1128" s="7">
        <f t="shared" si="70"/>
        <v>0.21</v>
      </c>
      <c r="E1128" s="7">
        <f t="shared" si="71"/>
        <v>4.1999999999999997E-3</v>
      </c>
      <c r="F1128" s="7">
        <f t="shared" si="72"/>
        <v>0.20579999999999998</v>
      </c>
    </row>
    <row r="1129" spans="1:6" ht="14.5" x14ac:dyDescent="0.35">
      <c r="A1129" s="48"/>
      <c r="B1129" s="5" t="s">
        <v>893</v>
      </c>
      <c r="C1129" s="6">
        <v>0.25</v>
      </c>
      <c r="D1129" s="7">
        <f t="shared" si="70"/>
        <v>0.21</v>
      </c>
      <c r="E1129" s="7">
        <f t="shared" si="71"/>
        <v>4.1999999999999997E-3</v>
      </c>
      <c r="F1129" s="7">
        <f t="shared" si="72"/>
        <v>0.20579999999999998</v>
      </c>
    </row>
    <row r="1130" spans="1:6" ht="14.5" x14ac:dyDescent="0.35">
      <c r="A1130" s="48"/>
      <c r="B1130" s="5" t="s">
        <v>683</v>
      </c>
      <c r="C1130" s="6">
        <v>0.27500000000000002</v>
      </c>
      <c r="D1130" s="7">
        <f t="shared" si="70"/>
        <v>0.23500000000000001</v>
      </c>
      <c r="E1130" s="7">
        <f t="shared" si="71"/>
        <v>4.7000000000000002E-3</v>
      </c>
      <c r="F1130" s="7">
        <f t="shared" si="72"/>
        <v>0.2303</v>
      </c>
    </row>
    <row r="1131" spans="1:6" ht="14.5" x14ac:dyDescent="0.35">
      <c r="A1131" s="48"/>
      <c r="B1131" s="5" t="s">
        <v>663</v>
      </c>
      <c r="C1131" s="6">
        <v>0.22500000000000001</v>
      </c>
      <c r="D1131" s="7">
        <f t="shared" si="70"/>
        <v>0.185</v>
      </c>
      <c r="E1131" s="7">
        <f t="shared" si="71"/>
        <v>3.7000000000000002E-3</v>
      </c>
      <c r="F1131" s="7">
        <f t="shared" si="72"/>
        <v>0.18129999999999999</v>
      </c>
    </row>
    <row r="1132" spans="1:6" ht="14.5" x14ac:dyDescent="0.35">
      <c r="A1132" s="48" t="s">
        <v>292</v>
      </c>
      <c r="B1132" s="5" t="s">
        <v>892</v>
      </c>
      <c r="C1132" s="6">
        <v>0.15</v>
      </c>
      <c r="D1132" s="7">
        <f t="shared" si="70"/>
        <v>0.10999999999999999</v>
      </c>
      <c r="E1132" s="7">
        <f t="shared" si="71"/>
        <v>2.1999999999999997E-3</v>
      </c>
      <c r="F1132" s="7">
        <f t="shared" si="72"/>
        <v>0.10779999999999999</v>
      </c>
    </row>
    <row r="1133" spans="1:6" ht="14.5" x14ac:dyDescent="0.35">
      <c r="A1133" s="48"/>
      <c r="B1133" s="5" t="s">
        <v>687</v>
      </c>
      <c r="C1133" s="6">
        <v>0.15</v>
      </c>
      <c r="D1133" s="7">
        <f t="shared" si="70"/>
        <v>0.10999999999999999</v>
      </c>
      <c r="E1133" s="7">
        <f t="shared" si="71"/>
        <v>2.1999999999999997E-3</v>
      </c>
      <c r="F1133" s="7">
        <f t="shared" si="72"/>
        <v>0.10779999999999999</v>
      </c>
    </row>
    <row r="1134" spans="1:6" ht="14.5" x14ac:dyDescent="0.35">
      <c r="A1134" s="48"/>
      <c r="B1134" s="5" t="s">
        <v>893</v>
      </c>
      <c r="C1134" s="6">
        <v>0.15</v>
      </c>
      <c r="D1134" s="7">
        <f t="shared" ref="D1134:D1239" si="76">C1134-(4%)</f>
        <v>0.10999999999999999</v>
      </c>
      <c r="E1134" s="7">
        <f t="shared" ref="E1134:E1239" si="77">D1134*2%</f>
        <v>2.1999999999999997E-3</v>
      </c>
      <c r="F1134" s="7">
        <f t="shared" ref="F1134:F1239" si="78">D1134-E1134</f>
        <v>0.10779999999999999</v>
      </c>
    </row>
    <row r="1135" spans="1:6" ht="14.5" x14ac:dyDescent="0.35">
      <c r="A1135" s="48"/>
      <c r="B1135" s="5" t="s">
        <v>683</v>
      </c>
      <c r="C1135" s="6">
        <v>0.15</v>
      </c>
      <c r="D1135" s="7">
        <f t="shared" si="76"/>
        <v>0.10999999999999999</v>
      </c>
      <c r="E1135" s="7">
        <f t="shared" si="77"/>
        <v>2.1999999999999997E-3</v>
      </c>
      <c r="F1135" s="7">
        <f t="shared" si="78"/>
        <v>0.10779999999999999</v>
      </c>
    </row>
    <row r="1136" spans="1:6" ht="14.5" x14ac:dyDescent="0.35">
      <c r="A1136" s="48"/>
      <c r="B1136" s="5" t="s">
        <v>663</v>
      </c>
      <c r="C1136" s="6">
        <v>0.15</v>
      </c>
      <c r="D1136" s="7">
        <f t="shared" si="76"/>
        <v>0.10999999999999999</v>
      </c>
      <c r="E1136" s="7">
        <f t="shared" si="77"/>
        <v>2.1999999999999997E-3</v>
      </c>
      <c r="F1136" s="7">
        <f t="shared" si="78"/>
        <v>0.10779999999999999</v>
      </c>
    </row>
    <row r="1137" spans="1:6" ht="14.5" x14ac:dyDescent="0.35">
      <c r="A1137" s="48" t="s">
        <v>293</v>
      </c>
      <c r="B1137" s="5" t="s">
        <v>892</v>
      </c>
      <c r="C1137" s="6">
        <v>0.185</v>
      </c>
      <c r="D1137" s="7">
        <f t="shared" si="76"/>
        <v>0.14499999999999999</v>
      </c>
      <c r="E1137" s="7">
        <f t="shared" si="77"/>
        <v>2.8999999999999998E-3</v>
      </c>
      <c r="F1137" s="7">
        <f t="shared" si="78"/>
        <v>0.1421</v>
      </c>
    </row>
    <row r="1138" spans="1:6" ht="14.5" x14ac:dyDescent="0.35">
      <c r="A1138" s="48"/>
      <c r="B1138" s="5" t="s">
        <v>687</v>
      </c>
      <c r="C1138" s="6">
        <v>0.18</v>
      </c>
      <c r="D1138" s="7">
        <f t="shared" si="76"/>
        <v>0.13999999999999999</v>
      </c>
      <c r="E1138" s="7">
        <f t="shared" si="77"/>
        <v>2.8E-3</v>
      </c>
      <c r="F1138" s="7">
        <f t="shared" si="78"/>
        <v>0.13719999999999999</v>
      </c>
    </row>
    <row r="1139" spans="1:6" ht="14.5" x14ac:dyDescent="0.35">
      <c r="A1139" s="48"/>
      <c r="B1139" s="5" t="s">
        <v>893</v>
      </c>
      <c r="C1139" s="6">
        <v>0.18</v>
      </c>
      <c r="D1139" s="7">
        <f t="shared" si="76"/>
        <v>0.13999999999999999</v>
      </c>
      <c r="E1139" s="7">
        <f t="shared" si="77"/>
        <v>2.8E-3</v>
      </c>
      <c r="F1139" s="7">
        <f t="shared" si="78"/>
        <v>0.13719999999999999</v>
      </c>
    </row>
    <row r="1140" spans="1:6" ht="14.5" x14ac:dyDescent="0.35">
      <c r="A1140" s="48"/>
      <c r="B1140" s="5" t="s">
        <v>683</v>
      </c>
      <c r="C1140" s="6">
        <v>0.18</v>
      </c>
      <c r="D1140" s="7">
        <f t="shared" si="76"/>
        <v>0.13999999999999999</v>
      </c>
      <c r="E1140" s="7">
        <f t="shared" si="77"/>
        <v>2.8E-3</v>
      </c>
      <c r="F1140" s="7">
        <f t="shared" si="78"/>
        <v>0.13719999999999999</v>
      </c>
    </row>
    <row r="1141" spans="1:6" ht="14.5" x14ac:dyDescent="0.35">
      <c r="A1141" s="48"/>
      <c r="B1141" s="5" t="s">
        <v>663</v>
      </c>
      <c r="C1141" s="6">
        <v>0.185</v>
      </c>
      <c r="D1141" s="7">
        <f t="shared" si="76"/>
        <v>0.14499999999999999</v>
      </c>
      <c r="E1141" s="7">
        <f t="shared" si="77"/>
        <v>2.8999999999999998E-3</v>
      </c>
      <c r="F1141" s="7">
        <f t="shared" si="78"/>
        <v>0.1421</v>
      </c>
    </row>
    <row r="1142" spans="1:6" ht="14.5" x14ac:dyDescent="0.35">
      <c r="A1142" s="48" t="s">
        <v>294</v>
      </c>
      <c r="B1142" s="5" t="s">
        <v>892</v>
      </c>
      <c r="C1142" s="6">
        <v>0.185</v>
      </c>
      <c r="D1142" s="7">
        <f t="shared" si="76"/>
        <v>0.14499999999999999</v>
      </c>
      <c r="E1142" s="7">
        <f t="shared" si="77"/>
        <v>2.8999999999999998E-3</v>
      </c>
      <c r="F1142" s="7">
        <f t="shared" si="78"/>
        <v>0.1421</v>
      </c>
    </row>
    <row r="1143" spans="1:6" ht="14.5" x14ac:dyDescent="0.35">
      <c r="A1143" s="48"/>
      <c r="B1143" s="5" t="s">
        <v>687</v>
      </c>
      <c r="C1143" s="6">
        <v>0.18</v>
      </c>
      <c r="D1143" s="7">
        <f t="shared" si="76"/>
        <v>0.13999999999999999</v>
      </c>
      <c r="E1143" s="7">
        <f t="shared" si="77"/>
        <v>2.8E-3</v>
      </c>
      <c r="F1143" s="7">
        <f t="shared" si="78"/>
        <v>0.13719999999999999</v>
      </c>
    </row>
    <row r="1144" spans="1:6" ht="14.5" x14ac:dyDescent="0.35">
      <c r="A1144" s="48"/>
      <c r="B1144" s="5" t="s">
        <v>893</v>
      </c>
      <c r="C1144" s="6">
        <v>0.18</v>
      </c>
      <c r="D1144" s="7">
        <f t="shared" si="76"/>
        <v>0.13999999999999999</v>
      </c>
      <c r="E1144" s="7">
        <f t="shared" si="77"/>
        <v>2.8E-3</v>
      </c>
      <c r="F1144" s="7">
        <f t="shared" si="78"/>
        <v>0.13719999999999999</v>
      </c>
    </row>
    <row r="1145" spans="1:6" ht="14.5" x14ac:dyDescent="0.35">
      <c r="A1145" s="48"/>
      <c r="B1145" s="5" t="s">
        <v>683</v>
      </c>
      <c r="C1145" s="6">
        <v>0.18</v>
      </c>
      <c r="D1145" s="7">
        <f t="shared" si="76"/>
        <v>0.13999999999999999</v>
      </c>
      <c r="E1145" s="7">
        <f t="shared" si="77"/>
        <v>2.8E-3</v>
      </c>
      <c r="F1145" s="7">
        <f t="shared" si="78"/>
        <v>0.13719999999999999</v>
      </c>
    </row>
    <row r="1146" spans="1:6" ht="14.5" x14ac:dyDescent="0.35">
      <c r="A1146" s="48"/>
      <c r="B1146" s="5" t="s">
        <v>663</v>
      </c>
      <c r="C1146" s="6">
        <v>0.185</v>
      </c>
      <c r="D1146" s="7">
        <f t="shared" si="76"/>
        <v>0.14499999999999999</v>
      </c>
      <c r="E1146" s="7">
        <f t="shared" si="77"/>
        <v>2.8999999999999998E-3</v>
      </c>
      <c r="F1146" s="7">
        <f t="shared" si="78"/>
        <v>0.1421</v>
      </c>
    </row>
    <row r="1147" spans="1:6" ht="14.5" x14ac:dyDescent="0.35">
      <c r="A1147" s="5" t="s">
        <v>300</v>
      </c>
      <c r="B1147" s="5" t="s">
        <v>301</v>
      </c>
      <c r="C1147" s="7">
        <v>0.22500000000000001</v>
      </c>
      <c r="D1147" s="7">
        <f t="shared" si="76"/>
        <v>0.185</v>
      </c>
      <c r="E1147" s="7">
        <f t="shared" si="77"/>
        <v>3.7000000000000002E-3</v>
      </c>
      <c r="F1147" s="7">
        <f t="shared" si="78"/>
        <v>0.18129999999999999</v>
      </c>
    </row>
    <row r="1148" spans="1:6" ht="14.5" x14ac:dyDescent="0.35">
      <c r="A1148" s="5" t="s">
        <v>302</v>
      </c>
      <c r="B1148" s="5" t="s">
        <v>301</v>
      </c>
      <c r="C1148" s="7">
        <v>0.19500000000000001</v>
      </c>
      <c r="D1148" s="7">
        <f t="shared" si="76"/>
        <v>0.155</v>
      </c>
      <c r="E1148" s="7">
        <f t="shared" si="77"/>
        <v>3.0999999999999999E-3</v>
      </c>
      <c r="F1148" s="7">
        <f t="shared" si="78"/>
        <v>0.15190000000000001</v>
      </c>
    </row>
    <row r="1149" spans="1:6" ht="14.5" x14ac:dyDescent="0.35">
      <c r="A1149" s="5" t="s">
        <v>303</v>
      </c>
      <c r="B1149" s="5" t="s">
        <v>301</v>
      </c>
      <c r="C1149" s="7">
        <v>0.19500000000000001</v>
      </c>
      <c r="D1149" s="7">
        <f t="shared" si="76"/>
        <v>0.155</v>
      </c>
      <c r="E1149" s="7">
        <f t="shared" si="77"/>
        <v>3.0999999999999999E-3</v>
      </c>
      <c r="F1149" s="7">
        <f t="shared" si="78"/>
        <v>0.15190000000000001</v>
      </c>
    </row>
    <row r="1150" spans="1:6" ht="14.5" x14ac:dyDescent="0.35">
      <c r="A1150" s="5" t="s">
        <v>895</v>
      </c>
      <c r="B1150" s="5" t="s">
        <v>100</v>
      </c>
      <c r="C1150" s="7">
        <v>0.19500000000000001</v>
      </c>
      <c r="D1150" s="7">
        <f t="shared" si="76"/>
        <v>0.155</v>
      </c>
      <c r="E1150" s="7">
        <f t="shared" si="77"/>
        <v>3.0999999999999999E-3</v>
      </c>
      <c r="F1150" s="7">
        <f t="shared" si="78"/>
        <v>0.15190000000000001</v>
      </c>
    </row>
    <row r="1151" spans="1:6" ht="14.5" x14ac:dyDescent="0.35">
      <c r="A1151" s="5" t="s">
        <v>309</v>
      </c>
      <c r="B1151" s="5" t="s">
        <v>100</v>
      </c>
      <c r="C1151" s="7">
        <v>0.37</v>
      </c>
      <c r="D1151" s="7">
        <f t="shared" si="76"/>
        <v>0.33</v>
      </c>
      <c r="E1151" s="7">
        <f t="shared" si="77"/>
        <v>6.6000000000000008E-3</v>
      </c>
      <c r="F1151" s="7">
        <f t="shared" si="78"/>
        <v>0.32340000000000002</v>
      </c>
    </row>
    <row r="1152" spans="1:6" ht="14.5" x14ac:dyDescent="0.35">
      <c r="A1152" s="5" t="s">
        <v>312</v>
      </c>
      <c r="B1152" s="5" t="s">
        <v>100</v>
      </c>
      <c r="C1152" s="7">
        <v>0.32</v>
      </c>
      <c r="D1152" s="7">
        <f t="shared" si="76"/>
        <v>0.28000000000000003</v>
      </c>
      <c r="E1152" s="7">
        <f t="shared" si="77"/>
        <v>5.6000000000000008E-3</v>
      </c>
      <c r="F1152" s="7">
        <f t="shared" si="78"/>
        <v>0.27440000000000003</v>
      </c>
    </row>
    <row r="1153" spans="1:6" ht="14.5" x14ac:dyDescent="0.35">
      <c r="A1153" s="5" t="s">
        <v>896</v>
      </c>
      <c r="B1153" s="5" t="s">
        <v>100</v>
      </c>
      <c r="C1153" s="7">
        <v>0.2</v>
      </c>
      <c r="D1153" s="7">
        <f t="shared" si="76"/>
        <v>0.16</v>
      </c>
      <c r="E1153" s="7">
        <f t="shared" si="77"/>
        <v>3.2000000000000002E-3</v>
      </c>
      <c r="F1153" s="7">
        <f t="shared" si="78"/>
        <v>0.15679999999999999</v>
      </c>
    </row>
    <row r="1154" spans="1:6" ht="14.5" x14ac:dyDescent="0.35">
      <c r="A1154" s="5" t="s">
        <v>897</v>
      </c>
      <c r="B1154" s="5" t="s">
        <v>100</v>
      </c>
      <c r="C1154" s="7">
        <v>0.25</v>
      </c>
      <c r="D1154" s="7">
        <f t="shared" si="76"/>
        <v>0.21</v>
      </c>
      <c r="E1154" s="7">
        <f t="shared" si="77"/>
        <v>4.1999999999999997E-3</v>
      </c>
      <c r="F1154" s="7">
        <f t="shared" si="78"/>
        <v>0.20579999999999998</v>
      </c>
    </row>
    <row r="1155" spans="1:6" ht="24" x14ac:dyDescent="0.35">
      <c r="A1155" s="5" t="s">
        <v>315</v>
      </c>
      <c r="B1155" s="5" t="s">
        <v>898</v>
      </c>
      <c r="C1155" s="7">
        <v>0.2</v>
      </c>
      <c r="D1155" s="7">
        <f t="shared" si="76"/>
        <v>0.16</v>
      </c>
      <c r="E1155" s="7">
        <f t="shared" si="77"/>
        <v>3.2000000000000002E-3</v>
      </c>
      <c r="F1155" s="7">
        <f t="shared" si="78"/>
        <v>0.15679999999999999</v>
      </c>
    </row>
    <row r="1156" spans="1:6" ht="14.5" x14ac:dyDescent="0.35">
      <c r="A1156" s="41" t="s">
        <v>1159</v>
      </c>
      <c r="B1156" s="5" t="s">
        <v>683</v>
      </c>
      <c r="C1156" s="7">
        <v>0.22500000000000001</v>
      </c>
      <c r="D1156" s="7">
        <f t="shared" si="76"/>
        <v>0.185</v>
      </c>
      <c r="E1156" s="7">
        <f t="shared" si="77"/>
        <v>3.7000000000000002E-3</v>
      </c>
      <c r="F1156" s="7">
        <f t="shared" si="78"/>
        <v>0.18129999999999999</v>
      </c>
    </row>
    <row r="1157" spans="1:6" ht="14.5" x14ac:dyDescent="0.35">
      <c r="A1157" s="43"/>
      <c r="B1157" s="5" t="s">
        <v>1172</v>
      </c>
      <c r="C1157" s="7">
        <v>0.15</v>
      </c>
      <c r="D1157" s="7">
        <f t="shared" si="76"/>
        <v>0.10999999999999999</v>
      </c>
      <c r="E1157" s="7">
        <f t="shared" si="77"/>
        <v>2.1999999999999997E-3</v>
      </c>
      <c r="F1157" s="7">
        <f t="shared" si="78"/>
        <v>0.10779999999999999</v>
      </c>
    </row>
    <row r="1158" spans="1:6" ht="14.5" x14ac:dyDescent="0.35">
      <c r="A1158" s="41" t="s">
        <v>1160</v>
      </c>
      <c r="B1158" s="5" t="s">
        <v>683</v>
      </c>
      <c r="C1158" s="7">
        <v>0.1</v>
      </c>
      <c r="D1158" s="7">
        <f t="shared" si="76"/>
        <v>6.0000000000000005E-2</v>
      </c>
      <c r="E1158" s="7">
        <f t="shared" si="77"/>
        <v>1.2000000000000001E-3</v>
      </c>
      <c r="F1158" s="7">
        <f t="shared" si="78"/>
        <v>5.8800000000000005E-2</v>
      </c>
    </row>
    <row r="1159" spans="1:6" ht="14.5" x14ac:dyDescent="0.35">
      <c r="A1159" s="43"/>
      <c r="B1159" s="5" t="s">
        <v>1172</v>
      </c>
      <c r="C1159" s="7">
        <v>0.05</v>
      </c>
      <c r="D1159" s="7" t="s">
        <v>20</v>
      </c>
      <c r="E1159" s="7" t="s">
        <v>20</v>
      </c>
      <c r="F1159" s="7" t="s">
        <v>20</v>
      </c>
    </row>
    <row r="1160" spans="1:6" ht="14.5" x14ac:dyDescent="0.35">
      <c r="A1160" s="5" t="s">
        <v>334</v>
      </c>
      <c r="B1160" s="5" t="s">
        <v>100</v>
      </c>
      <c r="C1160" s="7">
        <v>0.25</v>
      </c>
      <c r="D1160" s="7">
        <f t="shared" si="76"/>
        <v>0.21</v>
      </c>
      <c r="E1160" s="7">
        <f t="shared" si="77"/>
        <v>4.1999999999999997E-3</v>
      </c>
      <c r="F1160" s="7">
        <f t="shared" si="78"/>
        <v>0.20579999999999998</v>
      </c>
    </row>
    <row r="1161" spans="1:6" ht="14.5" x14ac:dyDescent="0.35">
      <c r="A1161" s="5" t="s">
        <v>1457</v>
      </c>
      <c r="B1161" s="5" t="s">
        <v>100</v>
      </c>
      <c r="C1161" s="7">
        <v>0.28000000000000003</v>
      </c>
      <c r="D1161" s="7">
        <f t="shared" si="76"/>
        <v>0.24000000000000002</v>
      </c>
      <c r="E1161" s="7">
        <f t="shared" si="77"/>
        <v>4.8000000000000004E-3</v>
      </c>
      <c r="F1161" s="7">
        <f t="shared" si="78"/>
        <v>0.23520000000000002</v>
      </c>
    </row>
    <row r="1162" spans="1:6" ht="14.5" x14ac:dyDescent="0.35">
      <c r="A1162" s="5" t="s">
        <v>1505</v>
      </c>
      <c r="B1162" s="5" t="s">
        <v>100</v>
      </c>
      <c r="C1162" s="7">
        <v>0.25</v>
      </c>
      <c r="D1162" s="7">
        <f t="shared" si="76"/>
        <v>0.21</v>
      </c>
      <c r="E1162" s="7">
        <f t="shared" si="77"/>
        <v>4.1999999999999997E-3</v>
      </c>
      <c r="F1162" s="7">
        <f t="shared" si="78"/>
        <v>0.20579999999999998</v>
      </c>
    </row>
    <row r="1163" spans="1:6" ht="14.5" x14ac:dyDescent="0.35">
      <c r="A1163" s="2" t="s">
        <v>318</v>
      </c>
      <c r="B1163" s="2" t="s">
        <v>1</v>
      </c>
      <c r="C1163" s="3" t="s">
        <v>2</v>
      </c>
      <c r="D1163" s="4" t="s">
        <v>4</v>
      </c>
      <c r="E1163" s="4" t="s">
        <v>5</v>
      </c>
      <c r="F1163" s="4" t="s">
        <v>6</v>
      </c>
    </row>
    <row r="1164" spans="1:6" ht="14.5" x14ac:dyDescent="0.35">
      <c r="A1164" s="5" t="s">
        <v>899</v>
      </c>
      <c r="B1164" s="5" t="s">
        <v>419</v>
      </c>
      <c r="C1164" s="7">
        <v>0.22500000000000001</v>
      </c>
      <c r="D1164" s="7">
        <f t="shared" si="76"/>
        <v>0.185</v>
      </c>
      <c r="E1164" s="7">
        <f t="shared" si="77"/>
        <v>3.7000000000000002E-3</v>
      </c>
      <c r="F1164" s="7">
        <f t="shared" si="78"/>
        <v>0.18129999999999999</v>
      </c>
    </row>
    <row r="1165" spans="1:6" ht="14.5" x14ac:dyDescent="0.35">
      <c r="A1165" s="5" t="s">
        <v>320</v>
      </c>
      <c r="B1165" s="5" t="s">
        <v>100</v>
      </c>
      <c r="C1165" s="7">
        <v>0.5</v>
      </c>
      <c r="D1165" s="7">
        <f t="shared" si="76"/>
        <v>0.46</v>
      </c>
      <c r="E1165" s="7">
        <f t="shared" si="77"/>
        <v>9.1999999999999998E-3</v>
      </c>
      <c r="F1165" s="7">
        <f t="shared" si="78"/>
        <v>0.45080000000000003</v>
      </c>
    </row>
    <row r="1166" spans="1:6" ht="24" x14ac:dyDescent="0.35">
      <c r="A1166" s="5" t="s">
        <v>900</v>
      </c>
      <c r="B1166" s="5" t="s">
        <v>662</v>
      </c>
      <c r="C1166" s="7">
        <v>0.17</v>
      </c>
      <c r="D1166" s="7">
        <f t="shared" si="76"/>
        <v>0.13</v>
      </c>
      <c r="E1166" s="7">
        <f t="shared" si="77"/>
        <v>2.6000000000000003E-3</v>
      </c>
      <c r="F1166" s="7">
        <f t="shared" si="78"/>
        <v>0.12740000000000001</v>
      </c>
    </row>
    <row r="1167" spans="1:6" ht="14.5" x14ac:dyDescent="0.35">
      <c r="A1167" s="5" t="s">
        <v>901</v>
      </c>
      <c r="B1167" s="5" t="s">
        <v>662</v>
      </c>
      <c r="C1167" s="7">
        <v>0.15</v>
      </c>
      <c r="D1167" s="7">
        <f t="shared" si="76"/>
        <v>0.10999999999999999</v>
      </c>
      <c r="E1167" s="7">
        <f t="shared" si="77"/>
        <v>2.1999999999999997E-3</v>
      </c>
      <c r="F1167" s="7">
        <f t="shared" si="78"/>
        <v>0.10779999999999999</v>
      </c>
    </row>
    <row r="1168" spans="1:6" ht="14.5" x14ac:dyDescent="0.35">
      <c r="A1168" s="21" t="s">
        <v>902</v>
      </c>
      <c r="B1168" s="21" t="s">
        <v>663</v>
      </c>
      <c r="C1168" s="7">
        <v>0.1</v>
      </c>
      <c r="D1168" s="7">
        <f t="shared" si="76"/>
        <v>6.0000000000000005E-2</v>
      </c>
      <c r="E1168" s="7">
        <f t="shared" si="77"/>
        <v>1.2000000000000001E-3</v>
      </c>
      <c r="F1168" s="7">
        <f t="shared" si="78"/>
        <v>5.8800000000000005E-2</v>
      </c>
    </row>
    <row r="1169" spans="1:6" ht="14.5" x14ac:dyDescent="0.35">
      <c r="A1169" s="48" t="s">
        <v>903</v>
      </c>
      <c r="B1169" s="5" t="s">
        <v>352</v>
      </c>
      <c r="C1169" s="7">
        <v>0.38500000000000001</v>
      </c>
      <c r="D1169" s="7">
        <f t="shared" si="76"/>
        <v>0.34500000000000003</v>
      </c>
      <c r="E1169" s="7">
        <f t="shared" si="77"/>
        <v>6.9000000000000008E-3</v>
      </c>
      <c r="F1169" s="7">
        <f t="shared" si="78"/>
        <v>0.33810000000000001</v>
      </c>
    </row>
    <row r="1170" spans="1:6" ht="14.5" x14ac:dyDescent="0.35">
      <c r="A1170" s="48"/>
      <c r="B1170" s="5" t="s">
        <v>323</v>
      </c>
      <c r="C1170" s="7">
        <v>0.27</v>
      </c>
      <c r="D1170" s="7">
        <f t="shared" si="76"/>
        <v>0.23</v>
      </c>
      <c r="E1170" s="7">
        <f t="shared" si="77"/>
        <v>4.5999999999999999E-3</v>
      </c>
      <c r="F1170" s="7">
        <f t="shared" si="78"/>
        <v>0.22540000000000002</v>
      </c>
    </row>
    <row r="1171" spans="1:6" ht="14.5" x14ac:dyDescent="0.35">
      <c r="A1171" s="48"/>
      <c r="B1171" s="5" t="s">
        <v>324</v>
      </c>
      <c r="C1171" s="7">
        <v>0.4</v>
      </c>
      <c r="D1171" s="7">
        <f t="shared" si="76"/>
        <v>0.36000000000000004</v>
      </c>
      <c r="E1171" s="7">
        <f t="shared" si="77"/>
        <v>7.2000000000000007E-3</v>
      </c>
      <c r="F1171" s="7">
        <f t="shared" si="78"/>
        <v>0.35280000000000006</v>
      </c>
    </row>
    <row r="1172" spans="1:6" ht="14.5" x14ac:dyDescent="0.35">
      <c r="A1172" s="48"/>
      <c r="B1172" s="5" t="s">
        <v>353</v>
      </c>
      <c r="C1172" s="7">
        <v>0.31</v>
      </c>
      <c r="D1172" s="7">
        <f t="shared" si="76"/>
        <v>0.27</v>
      </c>
      <c r="E1172" s="7">
        <f t="shared" si="77"/>
        <v>5.4000000000000003E-3</v>
      </c>
      <c r="F1172" s="7">
        <f t="shared" si="78"/>
        <v>0.2646</v>
      </c>
    </row>
    <row r="1173" spans="1:6" ht="14.5" x14ac:dyDescent="0.35">
      <c r="A1173" s="48"/>
      <c r="B1173" s="5" t="s">
        <v>325</v>
      </c>
      <c r="C1173" s="7">
        <v>0.17</v>
      </c>
      <c r="D1173" s="7">
        <f t="shared" si="76"/>
        <v>0.13</v>
      </c>
      <c r="E1173" s="7">
        <f t="shared" si="77"/>
        <v>2.6000000000000003E-3</v>
      </c>
      <c r="F1173" s="7">
        <f t="shared" si="78"/>
        <v>0.12740000000000001</v>
      </c>
    </row>
    <row r="1174" spans="1:6" ht="14.5" x14ac:dyDescent="0.35">
      <c r="A1174" s="48"/>
      <c r="B1174" s="5" t="s">
        <v>330</v>
      </c>
      <c r="C1174" s="7">
        <v>0.13</v>
      </c>
      <c r="D1174" s="7">
        <f t="shared" si="76"/>
        <v>0.09</v>
      </c>
      <c r="E1174" s="7">
        <f t="shared" si="77"/>
        <v>1.8E-3</v>
      </c>
      <c r="F1174" s="7">
        <f t="shared" si="78"/>
        <v>8.8200000000000001E-2</v>
      </c>
    </row>
    <row r="1175" spans="1:6" ht="14.5" x14ac:dyDescent="0.35">
      <c r="A1175" s="48"/>
      <c r="B1175" s="5" t="s">
        <v>327</v>
      </c>
      <c r="C1175" s="7">
        <v>0.11</v>
      </c>
      <c r="D1175" s="7">
        <f t="shared" si="76"/>
        <v>7.0000000000000007E-2</v>
      </c>
      <c r="E1175" s="7">
        <f t="shared" si="77"/>
        <v>1.4000000000000002E-3</v>
      </c>
      <c r="F1175" s="7">
        <f t="shared" si="78"/>
        <v>6.8600000000000008E-2</v>
      </c>
    </row>
    <row r="1176" spans="1:6" ht="24" x14ac:dyDescent="0.35">
      <c r="A1176" s="5" t="s">
        <v>904</v>
      </c>
      <c r="B1176" s="5" t="s">
        <v>331</v>
      </c>
      <c r="C1176" s="7">
        <v>0.17</v>
      </c>
      <c r="D1176" s="7">
        <f t="shared" si="76"/>
        <v>0.13</v>
      </c>
      <c r="E1176" s="7">
        <f t="shared" si="77"/>
        <v>2.6000000000000003E-3</v>
      </c>
      <c r="F1176" s="7">
        <f t="shared" si="78"/>
        <v>0.12740000000000001</v>
      </c>
    </row>
    <row r="1177" spans="1:6" ht="14.5" x14ac:dyDescent="0.35">
      <c r="A1177" s="48" t="s">
        <v>905</v>
      </c>
      <c r="B1177" s="5" t="s">
        <v>906</v>
      </c>
      <c r="C1177" s="7">
        <v>0.1</v>
      </c>
      <c r="D1177" s="7">
        <f t="shared" si="76"/>
        <v>6.0000000000000005E-2</v>
      </c>
      <c r="E1177" s="7">
        <f t="shared" si="77"/>
        <v>1.2000000000000001E-3</v>
      </c>
      <c r="F1177" s="7">
        <f t="shared" si="78"/>
        <v>5.8800000000000005E-2</v>
      </c>
    </row>
    <row r="1178" spans="1:6" ht="14.5" x14ac:dyDescent="0.35">
      <c r="A1178" s="48"/>
      <c r="B1178" s="5" t="s">
        <v>353</v>
      </c>
      <c r="C1178" s="7">
        <v>0.06</v>
      </c>
      <c r="D1178" s="7">
        <f t="shared" si="76"/>
        <v>1.9999999999999997E-2</v>
      </c>
      <c r="E1178" s="7">
        <f t="shared" si="77"/>
        <v>3.9999999999999996E-4</v>
      </c>
      <c r="F1178" s="7">
        <f t="shared" si="78"/>
        <v>1.9599999999999996E-2</v>
      </c>
    </row>
    <row r="1179" spans="1:6" ht="14.5" x14ac:dyDescent="0.35">
      <c r="A1179" s="48" t="s">
        <v>907</v>
      </c>
      <c r="B1179" s="5" t="s">
        <v>352</v>
      </c>
      <c r="C1179" s="7">
        <v>0.38</v>
      </c>
      <c r="D1179" s="7">
        <f t="shared" si="76"/>
        <v>0.34</v>
      </c>
      <c r="E1179" s="7">
        <f t="shared" si="77"/>
        <v>6.8000000000000005E-3</v>
      </c>
      <c r="F1179" s="7">
        <f t="shared" si="78"/>
        <v>0.33320000000000005</v>
      </c>
    </row>
    <row r="1180" spans="1:6" ht="14.5" x14ac:dyDescent="0.35">
      <c r="A1180" s="48"/>
      <c r="B1180" s="5" t="s">
        <v>323</v>
      </c>
      <c r="C1180" s="7">
        <v>0.27</v>
      </c>
      <c r="D1180" s="7">
        <f t="shared" si="76"/>
        <v>0.23</v>
      </c>
      <c r="E1180" s="7">
        <f t="shared" si="77"/>
        <v>4.5999999999999999E-3</v>
      </c>
      <c r="F1180" s="7">
        <f t="shared" si="78"/>
        <v>0.22540000000000002</v>
      </c>
    </row>
    <row r="1181" spans="1:6" ht="14.5" x14ac:dyDescent="0.35">
      <c r="A1181" s="48"/>
      <c r="B1181" s="5" t="s">
        <v>324</v>
      </c>
      <c r="C1181" s="7">
        <v>0.4</v>
      </c>
      <c r="D1181" s="7">
        <f t="shared" si="76"/>
        <v>0.36000000000000004</v>
      </c>
      <c r="E1181" s="7">
        <f t="shared" si="77"/>
        <v>7.2000000000000007E-3</v>
      </c>
      <c r="F1181" s="7">
        <f t="shared" si="78"/>
        <v>0.35280000000000006</v>
      </c>
    </row>
    <row r="1182" spans="1:6" ht="14.5" x14ac:dyDescent="0.35">
      <c r="A1182" s="48"/>
      <c r="B1182" s="5" t="s">
        <v>353</v>
      </c>
      <c r="C1182" s="7">
        <v>0.39</v>
      </c>
      <c r="D1182" s="7">
        <f t="shared" si="76"/>
        <v>0.35000000000000003</v>
      </c>
      <c r="E1182" s="7">
        <f t="shared" si="77"/>
        <v>7.000000000000001E-3</v>
      </c>
      <c r="F1182" s="7">
        <f t="shared" si="78"/>
        <v>0.34300000000000003</v>
      </c>
    </row>
    <row r="1183" spans="1:6" ht="14.5" x14ac:dyDescent="0.35">
      <c r="A1183" s="48"/>
      <c r="B1183" s="5" t="s">
        <v>327</v>
      </c>
      <c r="C1183" s="7">
        <v>0.185</v>
      </c>
      <c r="D1183" s="7">
        <f t="shared" si="76"/>
        <v>0.14499999999999999</v>
      </c>
      <c r="E1183" s="7">
        <f t="shared" si="77"/>
        <v>2.8999999999999998E-3</v>
      </c>
      <c r="F1183" s="7">
        <f t="shared" si="78"/>
        <v>0.1421</v>
      </c>
    </row>
    <row r="1184" spans="1:6" ht="14.5" x14ac:dyDescent="0.35">
      <c r="A1184" s="48"/>
      <c r="B1184" s="5" t="s">
        <v>325</v>
      </c>
      <c r="C1184" s="7">
        <v>0.17</v>
      </c>
      <c r="D1184" s="7">
        <f t="shared" si="76"/>
        <v>0.13</v>
      </c>
      <c r="E1184" s="7">
        <f t="shared" si="77"/>
        <v>2.6000000000000003E-3</v>
      </c>
      <c r="F1184" s="7">
        <f t="shared" si="78"/>
        <v>0.12740000000000001</v>
      </c>
    </row>
    <row r="1185" spans="1:6" ht="14.5" x14ac:dyDescent="0.35">
      <c r="A1185" s="48"/>
      <c r="B1185" s="5" t="s">
        <v>330</v>
      </c>
      <c r="C1185" s="7">
        <v>0.13</v>
      </c>
      <c r="D1185" s="7">
        <f t="shared" si="76"/>
        <v>0.09</v>
      </c>
      <c r="E1185" s="7">
        <f t="shared" si="77"/>
        <v>1.8E-3</v>
      </c>
      <c r="F1185" s="7">
        <f t="shared" si="78"/>
        <v>8.8200000000000001E-2</v>
      </c>
    </row>
    <row r="1186" spans="1:6" ht="24" x14ac:dyDescent="0.35">
      <c r="A1186" s="5" t="s">
        <v>908</v>
      </c>
      <c r="B1186" s="5" t="s">
        <v>331</v>
      </c>
      <c r="C1186" s="7">
        <v>0.17</v>
      </c>
      <c r="D1186" s="7">
        <f t="shared" si="76"/>
        <v>0.13</v>
      </c>
      <c r="E1186" s="7">
        <f t="shared" si="77"/>
        <v>2.6000000000000003E-3</v>
      </c>
      <c r="F1186" s="7">
        <f t="shared" si="78"/>
        <v>0.12740000000000001</v>
      </c>
    </row>
    <row r="1187" spans="1:6" ht="14.5" x14ac:dyDescent="0.35">
      <c r="A1187" s="29" t="s">
        <v>334</v>
      </c>
      <c r="B1187" s="5" t="s">
        <v>100</v>
      </c>
      <c r="C1187" s="6">
        <v>0.47499999999999998</v>
      </c>
      <c r="D1187" s="7">
        <f t="shared" si="76"/>
        <v>0.435</v>
      </c>
      <c r="E1187" s="7">
        <f t="shared" si="77"/>
        <v>8.6999999999999994E-3</v>
      </c>
      <c r="F1187" s="7">
        <f t="shared" si="78"/>
        <v>0.42630000000000001</v>
      </c>
    </row>
    <row r="1188" spans="1:6" ht="14.5" x14ac:dyDescent="0.35">
      <c r="A1188" s="48" t="s">
        <v>909</v>
      </c>
      <c r="B1188" s="5" t="s">
        <v>662</v>
      </c>
      <c r="C1188" s="7">
        <v>0.2</v>
      </c>
      <c r="D1188" s="7">
        <f t="shared" si="76"/>
        <v>0.16</v>
      </c>
      <c r="E1188" s="7">
        <f t="shared" si="77"/>
        <v>3.2000000000000002E-3</v>
      </c>
      <c r="F1188" s="7">
        <f t="shared" si="78"/>
        <v>0.15679999999999999</v>
      </c>
    </row>
    <row r="1189" spans="1:6" ht="14.5" x14ac:dyDescent="0.35">
      <c r="A1189" s="48"/>
      <c r="B1189" s="5" t="s">
        <v>683</v>
      </c>
      <c r="C1189" s="7">
        <v>0.2</v>
      </c>
      <c r="D1189" s="7">
        <f t="shared" si="76"/>
        <v>0.16</v>
      </c>
      <c r="E1189" s="7">
        <f t="shared" si="77"/>
        <v>3.2000000000000002E-3</v>
      </c>
      <c r="F1189" s="7">
        <f t="shared" si="78"/>
        <v>0.15679999999999999</v>
      </c>
    </row>
    <row r="1190" spans="1:6" ht="14.5" x14ac:dyDescent="0.35">
      <c r="A1190" s="48"/>
      <c r="B1190" s="5" t="s">
        <v>684</v>
      </c>
      <c r="C1190" s="7">
        <v>0.25</v>
      </c>
      <c r="D1190" s="7">
        <f t="shared" si="76"/>
        <v>0.21</v>
      </c>
      <c r="E1190" s="7">
        <f t="shared" si="77"/>
        <v>4.1999999999999997E-3</v>
      </c>
      <c r="F1190" s="7">
        <f t="shared" si="78"/>
        <v>0.20579999999999998</v>
      </c>
    </row>
    <row r="1191" spans="1:6" ht="14.5" x14ac:dyDescent="0.35">
      <c r="A1191" s="48"/>
      <c r="B1191" s="5" t="s">
        <v>685</v>
      </c>
      <c r="C1191" s="7">
        <v>0</v>
      </c>
      <c r="D1191" s="7" t="s">
        <v>20</v>
      </c>
      <c r="E1191" s="7" t="s">
        <v>20</v>
      </c>
      <c r="F1191" s="7" t="s">
        <v>20</v>
      </c>
    </row>
    <row r="1192" spans="1:6" ht="14.5" x14ac:dyDescent="0.35">
      <c r="A1192" s="48" t="s">
        <v>1411</v>
      </c>
      <c r="B1192" s="5" t="s">
        <v>686</v>
      </c>
      <c r="C1192" s="7">
        <v>0.36</v>
      </c>
      <c r="D1192" s="7">
        <f t="shared" ref="D1192" si="79">C1192-(4%)</f>
        <v>0.32</v>
      </c>
      <c r="E1192" s="7">
        <f t="shared" ref="E1192" si="80">D1192*2%</f>
        <v>6.4000000000000003E-3</v>
      </c>
      <c r="F1192" s="7">
        <f t="shared" ref="F1192" si="81">D1192-E1192</f>
        <v>0.31359999999999999</v>
      </c>
    </row>
    <row r="1193" spans="1:6" ht="14.5" x14ac:dyDescent="0.35">
      <c r="A1193" s="48"/>
      <c r="B1193" s="5" t="s">
        <v>684</v>
      </c>
      <c r="C1193" s="7">
        <v>0.22</v>
      </c>
      <c r="D1193" s="7">
        <f t="shared" ref="D1193:D1231" si="82">C1193-(4%)</f>
        <v>0.18</v>
      </c>
      <c r="E1193" s="7">
        <f t="shared" ref="E1193:E1231" si="83">D1193*2%</f>
        <v>3.5999999999999999E-3</v>
      </c>
      <c r="F1193" s="7">
        <f t="shared" ref="F1193:F1231" si="84">D1193-E1193</f>
        <v>0.1764</v>
      </c>
    </row>
    <row r="1194" spans="1:6" ht="14.5" x14ac:dyDescent="0.35">
      <c r="A1194" s="48"/>
      <c r="B1194" s="5" t="s">
        <v>683</v>
      </c>
      <c r="C1194" s="7">
        <v>0.26</v>
      </c>
      <c r="D1194" s="7">
        <f t="shared" si="82"/>
        <v>0.22</v>
      </c>
      <c r="E1194" s="7">
        <f t="shared" si="83"/>
        <v>4.4000000000000003E-3</v>
      </c>
      <c r="F1194" s="7">
        <f t="shared" si="84"/>
        <v>0.21560000000000001</v>
      </c>
    </row>
    <row r="1195" spans="1:6" ht="14.5" x14ac:dyDescent="0.35">
      <c r="A1195" s="48"/>
      <c r="B1195" s="5" t="s">
        <v>687</v>
      </c>
      <c r="C1195" s="7">
        <v>0.15</v>
      </c>
      <c r="D1195" s="7">
        <f t="shared" si="82"/>
        <v>0.10999999999999999</v>
      </c>
      <c r="E1195" s="7">
        <f t="shared" si="83"/>
        <v>2.1999999999999997E-3</v>
      </c>
      <c r="F1195" s="7">
        <f t="shared" si="84"/>
        <v>0.10779999999999999</v>
      </c>
    </row>
    <row r="1196" spans="1:6" ht="14.5" x14ac:dyDescent="0.35">
      <c r="A1196" s="48"/>
      <c r="B1196" s="5" t="s">
        <v>688</v>
      </c>
      <c r="C1196" s="7">
        <v>0.23</v>
      </c>
      <c r="D1196" s="7">
        <f t="shared" si="82"/>
        <v>0.19</v>
      </c>
      <c r="E1196" s="7">
        <f t="shared" si="83"/>
        <v>3.8E-3</v>
      </c>
      <c r="F1196" s="7">
        <f t="shared" si="84"/>
        <v>0.1862</v>
      </c>
    </row>
    <row r="1197" spans="1:6" ht="14.5" x14ac:dyDescent="0.35">
      <c r="A1197" s="48" t="s">
        <v>1412</v>
      </c>
      <c r="B1197" s="5" t="s">
        <v>686</v>
      </c>
      <c r="C1197" s="7">
        <v>0.42</v>
      </c>
      <c r="D1197" s="7">
        <f t="shared" si="82"/>
        <v>0.38</v>
      </c>
      <c r="E1197" s="7">
        <f t="shared" si="83"/>
        <v>7.6E-3</v>
      </c>
      <c r="F1197" s="7">
        <f t="shared" si="84"/>
        <v>0.37240000000000001</v>
      </c>
    </row>
    <row r="1198" spans="1:6" ht="14.5" x14ac:dyDescent="0.35">
      <c r="A1198" s="48"/>
      <c r="B1198" s="5" t="s">
        <v>684</v>
      </c>
      <c r="C1198" s="7">
        <v>0.41</v>
      </c>
      <c r="D1198" s="7">
        <f t="shared" si="82"/>
        <v>0.37</v>
      </c>
      <c r="E1198" s="7">
        <f t="shared" si="83"/>
        <v>7.4000000000000003E-3</v>
      </c>
      <c r="F1198" s="7">
        <f t="shared" si="84"/>
        <v>0.36259999999999998</v>
      </c>
    </row>
    <row r="1199" spans="1:6" ht="14.5" x14ac:dyDescent="0.35">
      <c r="A1199" s="48"/>
      <c r="B1199" s="5" t="s">
        <v>683</v>
      </c>
      <c r="C1199" s="7">
        <v>0.32</v>
      </c>
      <c r="D1199" s="7">
        <f t="shared" si="82"/>
        <v>0.28000000000000003</v>
      </c>
      <c r="E1199" s="7">
        <f t="shared" si="83"/>
        <v>5.6000000000000008E-3</v>
      </c>
      <c r="F1199" s="7">
        <f t="shared" si="84"/>
        <v>0.27440000000000003</v>
      </c>
    </row>
    <row r="1200" spans="1:6" ht="14.5" x14ac:dyDescent="0.35">
      <c r="A1200" s="48"/>
      <c r="B1200" s="5" t="s">
        <v>687</v>
      </c>
      <c r="C1200" s="7">
        <v>0.25</v>
      </c>
      <c r="D1200" s="7">
        <f t="shared" si="82"/>
        <v>0.21</v>
      </c>
      <c r="E1200" s="7">
        <f t="shared" si="83"/>
        <v>4.1999999999999997E-3</v>
      </c>
      <c r="F1200" s="7">
        <f t="shared" si="84"/>
        <v>0.20579999999999998</v>
      </c>
    </row>
    <row r="1201" spans="1:6" ht="14.5" x14ac:dyDescent="0.35">
      <c r="A1201" s="48"/>
      <c r="B1201" s="5" t="s">
        <v>688</v>
      </c>
      <c r="C1201" s="7">
        <v>0.3</v>
      </c>
      <c r="D1201" s="7">
        <f t="shared" si="82"/>
        <v>0.26</v>
      </c>
      <c r="E1201" s="7">
        <f t="shared" si="83"/>
        <v>5.2000000000000006E-3</v>
      </c>
      <c r="F1201" s="7">
        <f t="shared" si="84"/>
        <v>0.25480000000000003</v>
      </c>
    </row>
    <row r="1202" spans="1:6" ht="14.5" x14ac:dyDescent="0.35">
      <c r="A1202" s="48" t="s">
        <v>1413</v>
      </c>
      <c r="B1202" s="5" t="s">
        <v>686</v>
      </c>
      <c r="C1202" s="7">
        <v>0.28000000000000003</v>
      </c>
      <c r="D1202" s="7">
        <f t="shared" si="82"/>
        <v>0.24000000000000002</v>
      </c>
      <c r="E1202" s="7">
        <f t="shared" si="83"/>
        <v>4.8000000000000004E-3</v>
      </c>
      <c r="F1202" s="7">
        <f t="shared" si="84"/>
        <v>0.23520000000000002</v>
      </c>
    </row>
    <row r="1203" spans="1:6" ht="14.5" x14ac:dyDescent="0.35">
      <c r="A1203" s="48"/>
      <c r="B1203" s="5" t="s">
        <v>684</v>
      </c>
      <c r="C1203" s="7">
        <v>0.11</v>
      </c>
      <c r="D1203" s="7">
        <f t="shared" si="82"/>
        <v>7.0000000000000007E-2</v>
      </c>
      <c r="E1203" s="7">
        <f t="shared" si="83"/>
        <v>1.4000000000000002E-3</v>
      </c>
      <c r="F1203" s="7">
        <f t="shared" si="84"/>
        <v>6.8600000000000008E-2</v>
      </c>
    </row>
    <row r="1204" spans="1:6" ht="14.5" x14ac:dyDescent="0.35">
      <c r="A1204" s="48"/>
      <c r="B1204" s="5" t="s">
        <v>683</v>
      </c>
      <c r="C1204" s="7">
        <v>0.33</v>
      </c>
      <c r="D1204" s="7">
        <f t="shared" si="82"/>
        <v>0.29000000000000004</v>
      </c>
      <c r="E1204" s="7">
        <f t="shared" si="83"/>
        <v>5.8000000000000005E-3</v>
      </c>
      <c r="F1204" s="7">
        <f t="shared" si="84"/>
        <v>0.28420000000000001</v>
      </c>
    </row>
    <row r="1205" spans="1:6" ht="14.5" x14ac:dyDescent="0.35">
      <c r="A1205" s="48"/>
      <c r="B1205" s="5" t="s">
        <v>687</v>
      </c>
      <c r="C1205" s="7">
        <v>0</v>
      </c>
      <c r="D1205" s="7" t="s">
        <v>20</v>
      </c>
      <c r="E1205" s="7" t="s">
        <v>20</v>
      </c>
      <c r="F1205" s="7" t="s">
        <v>20</v>
      </c>
    </row>
    <row r="1206" spans="1:6" ht="14.5" x14ac:dyDescent="0.35">
      <c r="A1206" s="48"/>
      <c r="B1206" s="5" t="s">
        <v>688</v>
      </c>
      <c r="C1206" s="7">
        <v>0.06</v>
      </c>
      <c r="D1206" s="7">
        <f t="shared" si="82"/>
        <v>1.9999999999999997E-2</v>
      </c>
      <c r="E1206" s="7">
        <f t="shared" si="83"/>
        <v>3.9999999999999996E-4</v>
      </c>
      <c r="F1206" s="7">
        <f t="shared" si="84"/>
        <v>1.9599999999999996E-2</v>
      </c>
    </row>
    <row r="1207" spans="1:6" ht="14.5" x14ac:dyDescent="0.35">
      <c r="A1207" s="48" t="s">
        <v>1414</v>
      </c>
      <c r="B1207" s="5" t="s">
        <v>686</v>
      </c>
      <c r="C1207" s="7">
        <v>0.12</v>
      </c>
      <c r="D1207" s="7">
        <f t="shared" si="82"/>
        <v>7.9999999999999988E-2</v>
      </c>
      <c r="E1207" s="7">
        <f t="shared" si="83"/>
        <v>1.5999999999999999E-3</v>
      </c>
      <c r="F1207" s="7">
        <f t="shared" si="84"/>
        <v>7.8399999999999984E-2</v>
      </c>
    </row>
    <row r="1208" spans="1:6" ht="14.5" x14ac:dyDescent="0.35">
      <c r="A1208" s="48"/>
      <c r="B1208" s="5" t="s">
        <v>684</v>
      </c>
      <c r="C1208" s="7">
        <v>0.04</v>
      </c>
      <c r="D1208" s="7" t="s">
        <v>20</v>
      </c>
      <c r="E1208" s="7" t="s">
        <v>20</v>
      </c>
      <c r="F1208" s="7" t="s">
        <v>20</v>
      </c>
    </row>
    <row r="1209" spans="1:6" ht="14.5" x14ac:dyDescent="0.35">
      <c r="A1209" s="48"/>
      <c r="B1209" s="5" t="s">
        <v>683</v>
      </c>
      <c r="C1209" s="7">
        <v>0.4</v>
      </c>
      <c r="D1209" s="7">
        <f t="shared" si="82"/>
        <v>0.36000000000000004</v>
      </c>
      <c r="E1209" s="7">
        <f t="shared" si="83"/>
        <v>7.2000000000000007E-3</v>
      </c>
      <c r="F1209" s="7">
        <f t="shared" si="84"/>
        <v>0.35280000000000006</v>
      </c>
    </row>
    <row r="1210" spans="1:6" ht="14.5" x14ac:dyDescent="0.35">
      <c r="A1210" s="48"/>
      <c r="B1210" s="5" t="s">
        <v>687</v>
      </c>
      <c r="C1210" s="7">
        <v>0.4</v>
      </c>
      <c r="D1210" s="7">
        <f t="shared" si="82"/>
        <v>0.36000000000000004</v>
      </c>
      <c r="E1210" s="7">
        <f t="shared" si="83"/>
        <v>7.2000000000000007E-3</v>
      </c>
      <c r="F1210" s="7">
        <f t="shared" si="84"/>
        <v>0.35280000000000006</v>
      </c>
    </row>
    <row r="1211" spans="1:6" ht="14.5" x14ac:dyDescent="0.35">
      <c r="A1211" s="48"/>
      <c r="B1211" s="5" t="s">
        <v>688</v>
      </c>
      <c r="C1211" s="7">
        <v>0.41</v>
      </c>
      <c r="D1211" s="7">
        <f t="shared" si="82"/>
        <v>0.37</v>
      </c>
      <c r="E1211" s="7">
        <f t="shared" si="83"/>
        <v>7.4000000000000003E-3</v>
      </c>
      <c r="F1211" s="7">
        <f t="shared" si="84"/>
        <v>0.36259999999999998</v>
      </c>
    </row>
    <row r="1212" spans="1:6" ht="14.5" x14ac:dyDescent="0.35">
      <c r="A1212" s="48" t="s">
        <v>1415</v>
      </c>
      <c r="B1212" s="5" t="s">
        <v>686</v>
      </c>
      <c r="C1212" s="7">
        <v>0.5</v>
      </c>
      <c r="D1212" s="7">
        <f t="shared" si="82"/>
        <v>0.46</v>
      </c>
      <c r="E1212" s="7">
        <f t="shared" si="83"/>
        <v>9.1999999999999998E-3</v>
      </c>
      <c r="F1212" s="7">
        <f t="shared" si="84"/>
        <v>0.45080000000000003</v>
      </c>
    </row>
    <row r="1213" spans="1:6" ht="14.5" x14ac:dyDescent="0.35">
      <c r="A1213" s="48"/>
      <c r="B1213" s="5" t="s">
        <v>684</v>
      </c>
      <c r="C1213" s="7">
        <v>0.45</v>
      </c>
      <c r="D1213" s="7">
        <f t="shared" si="82"/>
        <v>0.41000000000000003</v>
      </c>
      <c r="E1213" s="7">
        <f t="shared" si="83"/>
        <v>8.2000000000000007E-3</v>
      </c>
      <c r="F1213" s="7">
        <f t="shared" si="84"/>
        <v>0.40180000000000005</v>
      </c>
    </row>
    <row r="1214" spans="1:6" ht="14.5" x14ac:dyDescent="0.35">
      <c r="A1214" s="48"/>
      <c r="B1214" s="5" t="s">
        <v>683</v>
      </c>
      <c r="C1214" s="7">
        <v>0.27999999999999997</v>
      </c>
      <c r="D1214" s="7">
        <f t="shared" si="82"/>
        <v>0.23999999999999996</v>
      </c>
      <c r="E1214" s="7">
        <f t="shared" si="83"/>
        <v>4.7999999999999996E-3</v>
      </c>
      <c r="F1214" s="7">
        <f t="shared" si="84"/>
        <v>0.23519999999999996</v>
      </c>
    </row>
    <row r="1215" spans="1:6" ht="14.5" x14ac:dyDescent="0.35">
      <c r="A1215" s="48"/>
      <c r="B1215" s="5" t="s">
        <v>687</v>
      </c>
      <c r="C1215" s="7">
        <v>0.27999999999999997</v>
      </c>
      <c r="D1215" s="7">
        <f t="shared" si="82"/>
        <v>0.23999999999999996</v>
      </c>
      <c r="E1215" s="7">
        <f t="shared" si="83"/>
        <v>4.7999999999999996E-3</v>
      </c>
      <c r="F1215" s="7">
        <f t="shared" si="84"/>
        <v>0.23519999999999996</v>
      </c>
    </row>
    <row r="1216" spans="1:6" ht="14.5" x14ac:dyDescent="0.35">
      <c r="A1216" s="48"/>
      <c r="B1216" s="5" t="s">
        <v>688</v>
      </c>
      <c r="C1216" s="7">
        <v>0.27999999999999997</v>
      </c>
      <c r="D1216" s="7">
        <f t="shared" si="82"/>
        <v>0.23999999999999996</v>
      </c>
      <c r="E1216" s="7">
        <f t="shared" si="83"/>
        <v>4.7999999999999996E-3</v>
      </c>
      <c r="F1216" s="7">
        <f t="shared" si="84"/>
        <v>0.23519999999999996</v>
      </c>
    </row>
    <row r="1217" spans="1:6" ht="14.5" x14ac:dyDescent="0.35">
      <c r="A1217" s="48" t="s">
        <v>1416</v>
      </c>
      <c r="B1217" s="5" t="s">
        <v>686</v>
      </c>
      <c r="C1217" s="7">
        <v>0.26</v>
      </c>
      <c r="D1217" s="7">
        <f t="shared" si="82"/>
        <v>0.22</v>
      </c>
      <c r="E1217" s="7">
        <f t="shared" si="83"/>
        <v>4.4000000000000003E-3</v>
      </c>
      <c r="F1217" s="7">
        <f t="shared" si="84"/>
        <v>0.21560000000000001</v>
      </c>
    </row>
    <row r="1218" spans="1:6" ht="14.5" x14ac:dyDescent="0.35">
      <c r="A1218" s="48"/>
      <c r="B1218" s="5" t="s">
        <v>684</v>
      </c>
      <c r="C1218" s="7">
        <v>0.3</v>
      </c>
      <c r="D1218" s="7">
        <f t="shared" si="82"/>
        <v>0.26</v>
      </c>
      <c r="E1218" s="7">
        <f t="shared" si="83"/>
        <v>5.2000000000000006E-3</v>
      </c>
      <c r="F1218" s="7">
        <f t="shared" si="84"/>
        <v>0.25480000000000003</v>
      </c>
    </row>
    <row r="1219" spans="1:6" ht="14.5" x14ac:dyDescent="0.35">
      <c r="A1219" s="48"/>
      <c r="B1219" s="5" t="s">
        <v>683</v>
      </c>
      <c r="C1219" s="7">
        <v>0.38</v>
      </c>
      <c r="D1219" s="7">
        <f t="shared" si="82"/>
        <v>0.34</v>
      </c>
      <c r="E1219" s="7">
        <f t="shared" si="83"/>
        <v>6.8000000000000005E-3</v>
      </c>
      <c r="F1219" s="7">
        <f t="shared" si="84"/>
        <v>0.33320000000000005</v>
      </c>
    </row>
    <row r="1220" spans="1:6" ht="14.5" x14ac:dyDescent="0.35">
      <c r="A1220" s="48"/>
      <c r="B1220" s="5" t="s">
        <v>687</v>
      </c>
      <c r="C1220" s="7">
        <v>0.33</v>
      </c>
      <c r="D1220" s="7">
        <f t="shared" si="82"/>
        <v>0.29000000000000004</v>
      </c>
      <c r="E1220" s="7">
        <f t="shared" si="83"/>
        <v>5.8000000000000005E-3</v>
      </c>
      <c r="F1220" s="7">
        <f t="shared" si="84"/>
        <v>0.28420000000000001</v>
      </c>
    </row>
    <row r="1221" spans="1:6" ht="14.5" x14ac:dyDescent="0.35">
      <c r="A1221" s="48"/>
      <c r="B1221" s="5" t="s">
        <v>688</v>
      </c>
      <c r="C1221" s="7">
        <v>0.33</v>
      </c>
      <c r="D1221" s="7">
        <f t="shared" si="82"/>
        <v>0.29000000000000004</v>
      </c>
      <c r="E1221" s="7">
        <f t="shared" si="83"/>
        <v>5.8000000000000005E-3</v>
      </c>
      <c r="F1221" s="7">
        <f t="shared" si="84"/>
        <v>0.28420000000000001</v>
      </c>
    </row>
    <row r="1222" spans="1:6" ht="14.5" x14ac:dyDescent="0.35">
      <c r="A1222" s="48" t="s">
        <v>1417</v>
      </c>
      <c r="B1222" s="5" t="s">
        <v>686</v>
      </c>
      <c r="C1222" s="7">
        <v>0</v>
      </c>
      <c r="D1222" s="7" t="s">
        <v>20</v>
      </c>
      <c r="E1222" s="7" t="s">
        <v>20</v>
      </c>
      <c r="F1222" s="7" t="s">
        <v>20</v>
      </c>
    </row>
    <row r="1223" spans="1:6" ht="14.5" x14ac:dyDescent="0.35">
      <c r="A1223" s="48"/>
      <c r="B1223" s="5" t="s">
        <v>684</v>
      </c>
      <c r="C1223" s="7">
        <v>0</v>
      </c>
      <c r="D1223" s="7" t="s">
        <v>20</v>
      </c>
      <c r="E1223" s="7" t="s">
        <v>20</v>
      </c>
      <c r="F1223" s="7" t="s">
        <v>20</v>
      </c>
    </row>
    <row r="1224" spans="1:6" ht="14.5" x14ac:dyDescent="0.35">
      <c r="A1224" s="48"/>
      <c r="B1224" s="5" t="s">
        <v>683</v>
      </c>
      <c r="C1224" s="7">
        <v>0.33</v>
      </c>
      <c r="D1224" s="7">
        <f t="shared" si="82"/>
        <v>0.29000000000000004</v>
      </c>
      <c r="E1224" s="7">
        <f t="shared" si="83"/>
        <v>5.8000000000000005E-3</v>
      </c>
      <c r="F1224" s="7">
        <f t="shared" si="84"/>
        <v>0.28420000000000001</v>
      </c>
    </row>
    <row r="1225" spans="1:6" ht="14.5" x14ac:dyDescent="0.35">
      <c r="A1225" s="48"/>
      <c r="B1225" s="5" t="s">
        <v>687</v>
      </c>
      <c r="C1225" s="7">
        <v>0.38</v>
      </c>
      <c r="D1225" s="7">
        <f t="shared" si="82"/>
        <v>0.34</v>
      </c>
      <c r="E1225" s="7">
        <f t="shared" si="83"/>
        <v>6.8000000000000005E-3</v>
      </c>
      <c r="F1225" s="7">
        <f t="shared" si="84"/>
        <v>0.33320000000000005</v>
      </c>
    </row>
    <row r="1226" spans="1:6" ht="14.5" x14ac:dyDescent="0.35">
      <c r="A1226" s="48"/>
      <c r="B1226" s="5" t="s">
        <v>688</v>
      </c>
      <c r="C1226" s="7">
        <v>0.14000000000000001</v>
      </c>
      <c r="D1226" s="7">
        <f t="shared" si="82"/>
        <v>0.1</v>
      </c>
      <c r="E1226" s="7">
        <f t="shared" si="83"/>
        <v>2E-3</v>
      </c>
      <c r="F1226" s="7">
        <f t="shared" si="84"/>
        <v>9.8000000000000004E-2</v>
      </c>
    </row>
    <row r="1227" spans="1:6" ht="14.5" x14ac:dyDescent="0.35">
      <c r="A1227" s="48" t="s">
        <v>1403</v>
      </c>
      <c r="B1227" s="5" t="s">
        <v>686</v>
      </c>
      <c r="C1227" s="7">
        <v>0.35</v>
      </c>
      <c r="D1227" s="7">
        <f t="shared" si="82"/>
        <v>0.31</v>
      </c>
      <c r="E1227" s="7">
        <f t="shared" si="83"/>
        <v>6.1999999999999998E-3</v>
      </c>
      <c r="F1227" s="7">
        <f t="shared" si="84"/>
        <v>0.30380000000000001</v>
      </c>
    </row>
    <row r="1228" spans="1:6" ht="14.5" x14ac:dyDescent="0.35">
      <c r="A1228" s="48"/>
      <c r="B1228" s="5" t="s">
        <v>684</v>
      </c>
      <c r="C1228" s="7">
        <v>0.35</v>
      </c>
      <c r="D1228" s="7">
        <f t="shared" si="82"/>
        <v>0.31</v>
      </c>
      <c r="E1228" s="7">
        <f t="shared" si="83"/>
        <v>6.1999999999999998E-3</v>
      </c>
      <c r="F1228" s="7">
        <f t="shared" si="84"/>
        <v>0.30380000000000001</v>
      </c>
    </row>
    <row r="1229" spans="1:6" ht="14.5" x14ac:dyDescent="0.35">
      <c r="A1229" s="48"/>
      <c r="B1229" s="5" t="s">
        <v>683</v>
      </c>
      <c r="C1229" s="7">
        <v>0.32999999999999996</v>
      </c>
      <c r="D1229" s="7">
        <f t="shared" si="82"/>
        <v>0.28999999999999998</v>
      </c>
      <c r="E1229" s="7">
        <f t="shared" si="83"/>
        <v>5.7999999999999996E-3</v>
      </c>
      <c r="F1229" s="7">
        <f t="shared" si="84"/>
        <v>0.28420000000000001</v>
      </c>
    </row>
    <row r="1230" spans="1:6" ht="14.5" x14ac:dyDescent="0.35">
      <c r="A1230" s="48"/>
      <c r="B1230" s="5" t="s">
        <v>687</v>
      </c>
      <c r="C1230" s="7">
        <v>0.32999999999999996</v>
      </c>
      <c r="D1230" s="7">
        <f t="shared" si="82"/>
        <v>0.28999999999999998</v>
      </c>
      <c r="E1230" s="7">
        <f t="shared" si="83"/>
        <v>5.7999999999999996E-3</v>
      </c>
      <c r="F1230" s="7">
        <f t="shared" si="84"/>
        <v>0.28420000000000001</v>
      </c>
    </row>
    <row r="1231" spans="1:6" ht="14.5" x14ac:dyDescent="0.35">
      <c r="A1231" s="48"/>
      <c r="B1231" s="5" t="s">
        <v>688</v>
      </c>
      <c r="C1231" s="7">
        <v>0.32999999999999996</v>
      </c>
      <c r="D1231" s="7">
        <f t="shared" si="82"/>
        <v>0.28999999999999998</v>
      </c>
      <c r="E1231" s="7">
        <f t="shared" si="83"/>
        <v>5.7999999999999996E-3</v>
      </c>
      <c r="F1231" s="7">
        <f t="shared" si="84"/>
        <v>0.28420000000000001</v>
      </c>
    </row>
    <row r="1232" spans="1:6" ht="14.5" x14ac:dyDescent="0.35">
      <c r="A1232" s="2" t="s">
        <v>340</v>
      </c>
      <c r="B1232" s="2" t="s">
        <v>1</v>
      </c>
      <c r="C1232" s="3" t="s">
        <v>2</v>
      </c>
      <c r="D1232" s="4" t="s">
        <v>4</v>
      </c>
      <c r="E1232" s="4" t="s">
        <v>5</v>
      </c>
      <c r="F1232" s="4" t="s">
        <v>6</v>
      </c>
    </row>
    <row r="1233" spans="1:6" ht="14.5" x14ac:dyDescent="0.35">
      <c r="A1233" s="48" t="s">
        <v>343</v>
      </c>
      <c r="B1233" s="5" t="s">
        <v>683</v>
      </c>
      <c r="C1233" s="7">
        <v>0.2</v>
      </c>
      <c r="D1233" s="7">
        <f t="shared" si="76"/>
        <v>0.16</v>
      </c>
      <c r="E1233" s="7">
        <f t="shared" si="77"/>
        <v>3.2000000000000002E-3</v>
      </c>
      <c r="F1233" s="7">
        <f t="shared" si="78"/>
        <v>0.15679999999999999</v>
      </c>
    </row>
    <row r="1234" spans="1:6" ht="14.5" x14ac:dyDescent="0.35">
      <c r="A1234" s="48"/>
      <c r="B1234" s="5" t="s">
        <v>910</v>
      </c>
      <c r="C1234" s="7">
        <v>0.24</v>
      </c>
      <c r="D1234" s="7">
        <f t="shared" si="76"/>
        <v>0.19999999999999998</v>
      </c>
      <c r="E1234" s="7">
        <f t="shared" si="77"/>
        <v>4.0000000000000001E-3</v>
      </c>
      <c r="F1234" s="7">
        <f t="shared" si="78"/>
        <v>0.19599999999999998</v>
      </c>
    </row>
    <row r="1235" spans="1:6" ht="14.5" x14ac:dyDescent="0.35">
      <c r="A1235" s="48" t="s">
        <v>341</v>
      </c>
      <c r="B1235" s="5" t="s">
        <v>683</v>
      </c>
      <c r="C1235" s="7">
        <v>0.27</v>
      </c>
      <c r="D1235" s="7">
        <f t="shared" si="76"/>
        <v>0.23</v>
      </c>
      <c r="E1235" s="7">
        <f t="shared" si="77"/>
        <v>4.5999999999999999E-3</v>
      </c>
      <c r="F1235" s="7">
        <f t="shared" si="78"/>
        <v>0.22540000000000002</v>
      </c>
    </row>
    <row r="1236" spans="1:6" ht="14.5" x14ac:dyDescent="0.35">
      <c r="A1236" s="48"/>
      <c r="B1236" s="5" t="s">
        <v>910</v>
      </c>
      <c r="C1236" s="7">
        <v>0.32</v>
      </c>
      <c r="D1236" s="7">
        <f t="shared" si="76"/>
        <v>0.28000000000000003</v>
      </c>
      <c r="E1236" s="7">
        <f t="shared" si="77"/>
        <v>5.6000000000000008E-3</v>
      </c>
      <c r="F1236" s="7">
        <f t="shared" si="78"/>
        <v>0.27440000000000003</v>
      </c>
    </row>
    <row r="1237" spans="1:6" ht="14.5" x14ac:dyDescent="0.35">
      <c r="A1237" s="5" t="s">
        <v>320</v>
      </c>
      <c r="B1237" s="5" t="s">
        <v>100</v>
      </c>
      <c r="C1237" s="7">
        <v>0.48499999999999999</v>
      </c>
      <c r="D1237" s="7">
        <f t="shared" si="76"/>
        <v>0.44500000000000001</v>
      </c>
      <c r="E1237" s="7">
        <f t="shared" si="77"/>
        <v>8.8999999999999999E-3</v>
      </c>
      <c r="F1237" s="7">
        <f t="shared" si="78"/>
        <v>0.43609999999999999</v>
      </c>
    </row>
    <row r="1238" spans="1:6" ht="14.5" x14ac:dyDescent="0.35">
      <c r="A1238" s="48" t="s">
        <v>349</v>
      </c>
      <c r="B1238" s="5" t="s">
        <v>683</v>
      </c>
      <c r="C1238" s="7">
        <v>0.17499999999999999</v>
      </c>
      <c r="D1238" s="7">
        <f t="shared" si="76"/>
        <v>0.13499999999999998</v>
      </c>
      <c r="E1238" s="7">
        <f t="shared" si="77"/>
        <v>2.6999999999999997E-3</v>
      </c>
      <c r="F1238" s="7">
        <f t="shared" si="78"/>
        <v>0.13229999999999997</v>
      </c>
    </row>
    <row r="1239" spans="1:6" ht="14.5" x14ac:dyDescent="0.35">
      <c r="A1239" s="48"/>
      <c r="B1239" s="5" t="s">
        <v>684</v>
      </c>
      <c r="C1239" s="7">
        <v>0.17499999999999999</v>
      </c>
      <c r="D1239" s="7">
        <f t="shared" si="76"/>
        <v>0.13499999999999998</v>
      </c>
      <c r="E1239" s="7">
        <f t="shared" si="77"/>
        <v>2.6999999999999997E-3</v>
      </c>
      <c r="F1239" s="7">
        <f t="shared" si="78"/>
        <v>0.13229999999999997</v>
      </c>
    </row>
    <row r="1240" spans="1:6" ht="14.5" x14ac:dyDescent="0.35">
      <c r="A1240" s="48"/>
      <c r="B1240" s="5" t="s">
        <v>685</v>
      </c>
      <c r="C1240" s="7">
        <v>0</v>
      </c>
      <c r="D1240" s="7" t="s">
        <v>20</v>
      </c>
      <c r="E1240" s="7" t="s">
        <v>20</v>
      </c>
      <c r="F1240" s="7" t="s">
        <v>20</v>
      </c>
    </row>
    <row r="1241" spans="1:6" ht="14.5" x14ac:dyDescent="0.35">
      <c r="A1241" s="48" t="s">
        <v>350</v>
      </c>
      <c r="B1241" s="5" t="s">
        <v>662</v>
      </c>
      <c r="C1241" s="7">
        <v>0.4</v>
      </c>
      <c r="D1241" s="7">
        <f t="shared" ref="D1241:D1279" si="85">C1241-(4%)</f>
        <v>0.36000000000000004</v>
      </c>
      <c r="E1241" s="7">
        <f t="shared" ref="E1241:E1279" si="86">D1241*2%</f>
        <v>7.2000000000000007E-3</v>
      </c>
      <c r="F1241" s="7">
        <f t="shared" ref="F1241:F1279" si="87">D1241-E1241</f>
        <v>0.35280000000000006</v>
      </c>
    </row>
    <row r="1242" spans="1:6" ht="14.5" x14ac:dyDescent="0.35">
      <c r="A1242" s="48"/>
      <c r="B1242" s="5" t="s">
        <v>683</v>
      </c>
      <c r="C1242" s="7">
        <v>0</v>
      </c>
      <c r="D1242" s="7" t="s">
        <v>20</v>
      </c>
      <c r="E1242" s="7" t="s">
        <v>20</v>
      </c>
      <c r="F1242" s="7" t="s">
        <v>20</v>
      </c>
    </row>
    <row r="1243" spans="1:6" ht="14.5" x14ac:dyDescent="0.35">
      <c r="A1243" s="48"/>
      <c r="B1243" s="5" t="s">
        <v>684</v>
      </c>
      <c r="C1243" s="7">
        <v>0.28999999999999998</v>
      </c>
      <c r="D1243" s="7">
        <f t="shared" si="85"/>
        <v>0.24999999999999997</v>
      </c>
      <c r="E1243" s="7">
        <f t="shared" si="86"/>
        <v>4.9999999999999992E-3</v>
      </c>
      <c r="F1243" s="7">
        <f t="shared" si="87"/>
        <v>0.24499999999999997</v>
      </c>
    </row>
    <row r="1244" spans="1:6" ht="14.5" x14ac:dyDescent="0.35">
      <c r="A1244" s="48"/>
      <c r="B1244" s="5" t="s">
        <v>685</v>
      </c>
      <c r="C1244" s="7">
        <v>0.28999999999999998</v>
      </c>
      <c r="D1244" s="7">
        <f t="shared" si="85"/>
        <v>0.24999999999999997</v>
      </c>
      <c r="E1244" s="7">
        <f t="shared" si="86"/>
        <v>4.9999999999999992E-3</v>
      </c>
      <c r="F1244" s="7">
        <f t="shared" si="87"/>
        <v>0.24499999999999997</v>
      </c>
    </row>
    <row r="1245" spans="1:6" ht="14.5" x14ac:dyDescent="0.35">
      <c r="A1245" s="48" t="s">
        <v>911</v>
      </c>
      <c r="B1245" s="5" t="s">
        <v>352</v>
      </c>
      <c r="C1245" s="7">
        <v>0.38500000000000001</v>
      </c>
      <c r="D1245" s="7">
        <f t="shared" si="85"/>
        <v>0.34500000000000003</v>
      </c>
      <c r="E1245" s="7">
        <f t="shared" si="86"/>
        <v>6.9000000000000008E-3</v>
      </c>
      <c r="F1245" s="7">
        <f t="shared" si="87"/>
        <v>0.33810000000000001</v>
      </c>
    </row>
    <row r="1246" spans="1:6" ht="14.5" x14ac:dyDescent="0.35">
      <c r="A1246" s="48"/>
      <c r="B1246" s="5" t="s">
        <v>912</v>
      </c>
      <c r="C1246" s="7">
        <v>0.37</v>
      </c>
      <c r="D1246" s="7">
        <f t="shared" si="85"/>
        <v>0.33</v>
      </c>
      <c r="E1246" s="7">
        <f t="shared" si="86"/>
        <v>6.6000000000000008E-3</v>
      </c>
      <c r="F1246" s="7">
        <f t="shared" si="87"/>
        <v>0.32340000000000002</v>
      </c>
    </row>
    <row r="1247" spans="1:6" ht="14.5" x14ac:dyDescent="0.35">
      <c r="A1247" s="48"/>
      <c r="B1247" s="5" t="s">
        <v>325</v>
      </c>
      <c r="C1247" s="7">
        <v>0.34499999999999997</v>
      </c>
      <c r="D1247" s="7">
        <f t="shared" si="85"/>
        <v>0.30499999999999999</v>
      </c>
      <c r="E1247" s="7">
        <f t="shared" si="86"/>
        <v>6.1000000000000004E-3</v>
      </c>
      <c r="F1247" s="7">
        <f t="shared" si="87"/>
        <v>0.2989</v>
      </c>
    </row>
    <row r="1248" spans="1:6" ht="14.5" x14ac:dyDescent="0.35">
      <c r="A1248" s="48"/>
      <c r="B1248" s="5" t="s">
        <v>324</v>
      </c>
      <c r="C1248" s="7">
        <v>0.4</v>
      </c>
      <c r="D1248" s="7">
        <f t="shared" si="85"/>
        <v>0.36000000000000004</v>
      </c>
      <c r="E1248" s="7">
        <f t="shared" si="86"/>
        <v>7.2000000000000007E-3</v>
      </c>
      <c r="F1248" s="7">
        <f t="shared" si="87"/>
        <v>0.35280000000000006</v>
      </c>
    </row>
    <row r="1249" spans="1:6" ht="14.5" x14ac:dyDescent="0.35">
      <c r="A1249" s="48"/>
      <c r="B1249" s="5" t="s">
        <v>353</v>
      </c>
      <c r="C1249" s="7">
        <v>0.36</v>
      </c>
      <c r="D1249" s="7">
        <f t="shared" si="85"/>
        <v>0.32</v>
      </c>
      <c r="E1249" s="7">
        <f t="shared" si="86"/>
        <v>6.4000000000000003E-3</v>
      </c>
      <c r="F1249" s="7">
        <f t="shared" si="87"/>
        <v>0.31359999999999999</v>
      </c>
    </row>
    <row r="1250" spans="1:6" ht="14.5" x14ac:dyDescent="0.35">
      <c r="A1250" s="48"/>
      <c r="B1250" s="5" t="s">
        <v>330</v>
      </c>
      <c r="C1250" s="7">
        <v>0.30499999999999999</v>
      </c>
      <c r="D1250" s="7">
        <f t="shared" si="85"/>
        <v>0.26500000000000001</v>
      </c>
      <c r="E1250" s="7">
        <f t="shared" si="86"/>
        <v>5.3E-3</v>
      </c>
      <c r="F1250" s="7">
        <f t="shared" si="87"/>
        <v>0.25969999999999999</v>
      </c>
    </row>
    <row r="1251" spans="1:6" ht="14.5" x14ac:dyDescent="0.35">
      <c r="A1251" s="48"/>
      <c r="B1251" s="5" t="s">
        <v>331</v>
      </c>
      <c r="C1251" s="7">
        <v>0.39500000000000002</v>
      </c>
      <c r="D1251" s="7">
        <f t="shared" si="85"/>
        <v>0.35500000000000004</v>
      </c>
      <c r="E1251" s="7">
        <f t="shared" si="86"/>
        <v>7.1000000000000013E-3</v>
      </c>
      <c r="F1251" s="7">
        <f t="shared" si="87"/>
        <v>0.34790000000000004</v>
      </c>
    </row>
    <row r="1252" spans="1:6" ht="14.5" x14ac:dyDescent="0.35">
      <c r="A1252" s="5" t="s">
        <v>913</v>
      </c>
      <c r="B1252" s="5" t="s">
        <v>355</v>
      </c>
      <c r="C1252" s="7">
        <v>0.4</v>
      </c>
      <c r="D1252" s="7">
        <f t="shared" si="85"/>
        <v>0.36000000000000004</v>
      </c>
      <c r="E1252" s="7">
        <f t="shared" si="86"/>
        <v>7.2000000000000007E-3</v>
      </c>
      <c r="F1252" s="7">
        <f t="shared" si="87"/>
        <v>0.35280000000000006</v>
      </c>
    </row>
    <row r="1253" spans="1:6" ht="14.5" x14ac:dyDescent="0.35">
      <c r="A1253" s="5" t="s">
        <v>913</v>
      </c>
      <c r="B1253" s="5" t="s">
        <v>914</v>
      </c>
      <c r="C1253" s="7">
        <v>0.375</v>
      </c>
      <c r="D1253" s="7">
        <f t="shared" si="85"/>
        <v>0.33500000000000002</v>
      </c>
      <c r="E1253" s="7">
        <f t="shared" si="86"/>
        <v>6.7000000000000002E-3</v>
      </c>
      <c r="F1253" s="7">
        <f t="shared" si="87"/>
        <v>0.32830000000000004</v>
      </c>
    </row>
    <row r="1254" spans="1:6" ht="14.5" x14ac:dyDescent="0.35">
      <c r="A1254" s="5" t="s">
        <v>915</v>
      </c>
      <c r="B1254" s="5" t="s">
        <v>355</v>
      </c>
      <c r="C1254" s="7">
        <v>0.3</v>
      </c>
      <c r="D1254" s="7">
        <f t="shared" si="85"/>
        <v>0.26</v>
      </c>
      <c r="E1254" s="7">
        <f t="shared" si="86"/>
        <v>5.2000000000000006E-3</v>
      </c>
      <c r="F1254" s="7">
        <f t="shared" si="87"/>
        <v>0.25480000000000003</v>
      </c>
    </row>
    <row r="1255" spans="1:6" ht="14.5" x14ac:dyDescent="0.35">
      <c r="A1255" s="5" t="s">
        <v>915</v>
      </c>
      <c r="B1255" s="5" t="s">
        <v>355</v>
      </c>
      <c r="C1255" s="7">
        <v>0.27500000000000002</v>
      </c>
      <c r="D1255" s="7">
        <f t="shared" si="85"/>
        <v>0.23500000000000001</v>
      </c>
      <c r="E1255" s="7">
        <f t="shared" si="86"/>
        <v>4.7000000000000002E-3</v>
      </c>
      <c r="F1255" s="7">
        <f t="shared" si="87"/>
        <v>0.2303</v>
      </c>
    </row>
    <row r="1256" spans="1:6" ht="24" x14ac:dyDescent="0.35">
      <c r="A1256" s="5" t="s">
        <v>916</v>
      </c>
      <c r="B1256" s="5"/>
      <c r="C1256" s="7">
        <v>0.32</v>
      </c>
      <c r="D1256" s="7">
        <f t="shared" si="85"/>
        <v>0.28000000000000003</v>
      </c>
      <c r="E1256" s="7">
        <f t="shared" si="86"/>
        <v>5.6000000000000008E-3</v>
      </c>
      <c r="F1256" s="7">
        <f t="shared" si="87"/>
        <v>0.27440000000000003</v>
      </c>
    </row>
    <row r="1257" spans="1:6" ht="14.5" x14ac:dyDescent="0.35">
      <c r="A1257" s="48" t="s">
        <v>917</v>
      </c>
      <c r="B1257" s="5" t="s">
        <v>352</v>
      </c>
      <c r="C1257" s="7">
        <v>0.38</v>
      </c>
      <c r="D1257" s="7">
        <f t="shared" si="85"/>
        <v>0.34</v>
      </c>
      <c r="E1257" s="7">
        <f t="shared" si="86"/>
        <v>6.8000000000000005E-3</v>
      </c>
      <c r="F1257" s="7">
        <f t="shared" si="87"/>
        <v>0.33320000000000005</v>
      </c>
    </row>
    <row r="1258" spans="1:6" ht="14.5" x14ac:dyDescent="0.35">
      <c r="A1258" s="48"/>
      <c r="B1258" s="5" t="s">
        <v>323</v>
      </c>
      <c r="C1258" s="7">
        <v>0.37</v>
      </c>
      <c r="D1258" s="7">
        <f t="shared" si="85"/>
        <v>0.33</v>
      </c>
      <c r="E1258" s="7">
        <f t="shared" si="86"/>
        <v>6.6000000000000008E-3</v>
      </c>
      <c r="F1258" s="7">
        <f t="shared" si="87"/>
        <v>0.32340000000000002</v>
      </c>
    </row>
    <row r="1259" spans="1:6" ht="14.5" x14ac:dyDescent="0.35">
      <c r="A1259" s="48"/>
      <c r="B1259" s="5" t="s">
        <v>324</v>
      </c>
      <c r="C1259" s="7">
        <v>0.4</v>
      </c>
      <c r="D1259" s="7">
        <f t="shared" si="85"/>
        <v>0.36000000000000004</v>
      </c>
      <c r="E1259" s="7">
        <f t="shared" si="86"/>
        <v>7.2000000000000007E-3</v>
      </c>
      <c r="F1259" s="7">
        <f t="shared" si="87"/>
        <v>0.35280000000000006</v>
      </c>
    </row>
    <row r="1260" spans="1:6" ht="14.5" x14ac:dyDescent="0.35">
      <c r="A1260" s="48"/>
      <c r="B1260" s="5" t="s">
        <v>353</v>
      </c>
      <c r="C1260" s="7">
        <v>0.39</v>
      </c>
      <c r="D1260" s="7">
        <f t="shared" si="85"/>
        <v>0.35000000000000003</v>
      </c>
      <c r="E1260" s="7">
        <f t="shared" si="86"/>
        <v>7.000000000000001E-3</v>
      </c>
      <c r="F1260" s="7">
        <f t="shared" si="87"/>
        <v>0.34300000000000003</v>
      </c>
    </row>
    <row r="1261" spans="1:6" ht="14.5" x14ac:dyDescent="0.35">
      <c r="A1261" s="48"/>
      <c r="B1261" s="5" t="s">
        <v>330</v>
      </c>
      <c r="C1261" s="7">
        <v>0.30499999999999999</v>
      </c>
      <c r="D1261" s="7">
        <f t="shared" si="85"/>
        <v>0.26500000000000001</v>
      </c>
      <c r="E1261" s="7">
        <f t="shared" si="86"/>
        <v>5.3E-3</v>
      </c>
      <c r="F1261" s="7">
        <f t="shared" si="87"/>
        <v>0.25969999999999999</v>
      </c>
    </row>
    <row r="1262" spans="1:6" ht="14.5" x14ac:dyDescent="0.35">
      <c r="A1262" s="48"/>
      <c r="B1262" s="5" t="s">
        <v>325</v>
      </c>
      <c r="C1262" s="7">
        <v>0.34499999999999997</v>
      </c>
      <c r="D1262" s="7">
        <f t="shared" si="85"/>
        <v>0.30499999999999999</v>
      </c>
      <c r="E1262" s="7">
        <f t="shared" si="86"/>
        <v>6.1000000000000004E-3</v>
      </c>
      <c r="F1262" s="7">
        <f t="shared" si="87"/>
        <v>0.2989</v>
      </c>
    </row>
    <row r="1263" spans="1:6" ht="14.5" x14ac:dyDescent="0.35">
      <c r="A1263" s="48"/>
      <c r="B1263" s="5" t="s">
        <v>331</v>
      </c>
      <c r="C1263" s="7">
        <v>0.39500000000000002</v>
      </c>
      <c r="D1263" s="7">
        <f t="shared" si="85"/>
        <v>0.35500000000000004</v>
      </c>
      <c r="E1263" s="7">
        <f t="shared" si="86"/>
        <v>7.1000000000000013E-3</v>
      </c>
      <c r="F1263" s="7">
        <f t="shared" si="87"/>
        <v>0.34790000000000004</v>
      </c>
    </row>
    <row r="1264" spans="1:6" ht="14.5" x14ac:dyDescent="0.35">
      <c r="A1264" s="41" t="s">
        <v>918</v>
      </c>
      <c r="B1264" s="5" t="s">
        <v>919</v>
      </c>
      <c r="C1264" s="7">
        <v>0.4</v>
      </c>
      <c r="D1264" s="7">
        <f t="shared" si="85"/>
        <v>0.36000000000000004</v>
      </c>
      <c r="E1264" s="7">
        <f t="shared" si="86"/>
        <v>7.2000000000000007E-3</v>
      </c>
      <c r="F1264" s="7">
        <f t="shared" si="87"/>
        <v>0.35280000000000006</v>
      </c>
    </row>
    <row r="1265" spans="1:8" ht="14.5" x14ac:dyDescent="0.35">
      <c r="A1265" s="43"/>
      <c r="B1265" s="5" t="s">
        <v>920</v>
      </c>
      <c r="C1265" s="7">
        <v>0.375</v>
      </c>
      <c r="D1265" s="7">
        <f t="shared" si="85"/>
        <v>0.33500000000000002</v>
      </c>
      <c r="E1265" s="7">
        <f t="shared" si="86"/>
        <v>6.7000000000000002E-3</v>
      </c>
      <c r="F1265" s="7">
        <f t="shared" si="87"/>
        <v>0.32830000000000004</v>
      </c>
    </row>
    <row r="1266" spans="1:8" ht="14.5" x14ac:dyDescent="0.35">
      <c r="A1266" s="41" t="s">
        <v>921</v>
      </c>
      <c r="B1266" s="5" t="s">
        <v>919</v>
      </c>
      <c r="C1266" s="7">
        <v>0.3</v>
      </c>
      <c r="D1266" s="7">
        <f t="shared" si="85"/>
        <v>0.26</v>
      </c>
      <c r="E1266" s="7">
        <f t="shared" si="86"/>
        <v>5.2000000000000006E-3</v>
      </c>
      <c r="F1266" s="7">
        <f t="shared" si="87"/>
        <v>0.25480000000000003</v>
      </c>
    </row>
    <row r="1267" spans="1:8" ht="14.5" x14ac:dyDescent="0.35">
      <c r="A1267" s="43"/>
      <c r="B1267" s="5" t="s">
        <v>920</v>
      </c>
      <c r="C1267" s="7">
        <v>0.27500000000000002</v>
      </c>
      <c r="D1267" s="7">
        <f t="shared" si="85"/>
        <v>0.23500000000000001</v>
      </c>
      <c r="E1267" s="7">
        <f t="shared" si="86"/>
        <v>4.7000000000000002E-3</v>
      </c>
      <c r="F1267" s="7">
        <f t="shared" si="87"/>
        <v>0.2303</v>
      </c>
    </row>
    <row r="1268" spans="1:8" ht="36" x14ac:dyDescent="0.35">
      <c r="A1268" s="5" t="s">
        <v>1164</v>
      </c>
      <c r="B1268" s="5" t="s">
        <v>100</v>
      </c>
      <c r="C1268" s="6">
        <v>0.22500000000000001</v>
      </c>
      <c r="D1268" s="7">
        <f t="shared" si="85"/>
        <v>0.185</v>
      </c>
      <c r="E1268" s="7">
        <f t="shared" si="86"/>
        <v>3.7000000000000002E-3</v>
      </c>
      <c r="F1268" s="7">
        <f t="shared" si="87"/>
        <v>0.18129999999999999</v>
      </c>
      <c r="H1268" s="10"/>
    </row>
    <row r="1269" spans="1:8" ht="36" x14ac:dyDescent="0.35">
      <c r="A1269" s="5" t="s">
        <v>1165</v>
      </c>
      <c r="B1269" s="5" t="s">
        <v>100</v>
      </c>
      <c r="C1269" s="6">
        <v>0.125</v>
      </c>
      <c r="D1269" s="7">
        <f t="shared" si="85"/>
        <v>8.4999999999999992E-2</v>
      </c>
      <c r="E1269" s="7">
        <f t="shared" si="86"/>
        <v>1.6999999999999999E-3</v>
      </c>
      <c r="F1269" s="7">
        <f t="shared" si="87"/>
        <v>8.3299999999999999E-2</v>
      </c>
      <c r="H1269" s="10"/>
    </row>
    <row r="1270" spans="1:8" ht="36" x14ac:dyDescent="0.35">
      <c r="A1270" s="5" t="s">
        <v>1166</v>
      </c>
      <c r="B1270" s="5" t="s">
        <v>100</v>
      </c>
      <c r="C1270" s="6">
        <v>0.21249999999999999</v>
      </c>
      <c r="D1270" s="7">
        <f t="shared" si="85"/>
        <v>0.17249999999999999</v>
      </c>
      <c r="E1270" s="7">
        <f t="shared" si="86"/>
        <v>3.4499999999999999E-3</v>
      </c>
      <c r="F1270" s="7">
        <f t="shared" si="87"/>
        <v>0.16904999999999998</v>
      </c>
      <c r="H1270" s="10"/>
    </row>
    <row r="1271" spans="1:8" ht="36" x14ac:dyDescent="0.35">
      <c r="A1271" s="5" t="s">
        <v>1167</v>
      </c>
      <c r="B1271" s="5" t="s">
        <v>100</v>
      </c>
      <c r="C1271" s="6">
        <v>0.2</v>
      </c>
      <c r="D1271" s="7">
        <f t="shared" si="85"/>
        <v>0.16</v>
      </c>
      <c r="E1271" s="7">
        <f t="shared" si="86"/>
        <v>3.2000000000000002E-3</v>
      </c>
      <c r="F1271" s="7">
        <f t="shared" si="87"/>
        <v>0.15679999999999999</v>
      </c>
      <c r="H1271" s="10"/>
    </row>
    <row r="1272" spans="1:8" ht="36" x14ac:dyDescent="0.35">
      <c r="A1272" s="5" t="s">
        <v>1168</v>
      </c>
      <c r="B1272" s="5" t="s">
        <v>100</v>
      </c>
      <c r="C1272" s="6">
        <v>0.125</v>
      </c>
      <c r="D1272" s="7">
        <f t="shared" si="85"/>
        <v>8.4999999999999992E-2</v>
      </c>
      <c r="E1272" s="7">
        <f t="shared" si="86"/>
        <v>1.6999999999999999E-3</v>
      </c>
      <c r="F1272" s="7">
        <f t="shared" si="87"/>
        <v>8.3299999999999999E-2</v>
      </c>
      <c r="H1272" s="10"/>
    </row>
    <row r="1273" spans="1:8" ht="36" x14ac:dyDescent="0.35">
      <c r="A1273" s="5" t="s">
        <v>1169</v>
      </c>
      <c r="B1273" s="5" t="s">
        <v>100</v>
      </c>
      <c r="C1273" s="6">
        <v>0.1875</v>
      </c>
      <c r="D1273" s="7">
        <f t="shared" si="85"/>
        <v>0.14749999999999999</v>
      </c>
      <c r="E1273" s="7">
        <f t="shared" si="86"/>
        <v>2.9499999999999999E-3</v>
      </c>
      <c r="F1273" s="7">
        <f t="shared" si="87"/>
        <v>0.14454999999999998</v>
      </c>
      <c r="H1273" s="10"/>
    </row>
    <row r="1274" spans="1:8" ht="14.5" x14ac:dyDescent="0.35">
      <c r="A1274" s="5" t="s">
        <v>1161</v>
      </c>
      <c r="B1274" s="5" t="s">
        <v>100</v>
      </c>
      <c r="C1274" s="6">
        <v>0.5</v>
      </c>
      <c r="D1274" s="7">
        <f t="shared" si="85"/>
        <v>0.46</v>
      </c>
      <c r="E1274" s="7">
        <f t="shared" si="86"/>
        <v>9.1999999999999998E-3</v>
      </c>
      <c r="F1274" s="7">
        <f t="shared" si="87"/>
        <v>0.45080000000000003</v>
      </c>
    </row>
    <row r="1275" spans="1:8" ht="14.5" x14ac:dyDescent="0.35">
      <c r="A1275" s="5" t="s">
        <v>1162</v>
      </c>
      <c r="B1275" s="5" t="s">
        <v>100</v>
      </c>
      <c r="C1275" s="6">
        <v>0.47499999999999998</v>
      </c>
      <c r="D1275" s="7">
        <f t="shared" si="85"/>
        <v>0.435</v>
      </c>
      <c r="E1275" s="7">
        <f t="shared" si="86"/>
        <v>8.6999999999999994E-3</v>
      </c>
      <c r="F1275" s="7">
        <f t="shared" si="87"/>
        <v>0.42630000000000001</v>
      </c>
    </row>
    <row r="1276" spans="1:8" ht="14.5" x14ac:dyDescent="0.35">
      <c r="A1276" s="5" t="s">
        <v>1163</v>
      </c>
      <c r="B1276" s="5" t="s">
        <v>100</v>
      </c>
      <c r="C1276" s="6">
        <v>0.3</v>
      </c>
      <c r="D1276" s="7">
        <f t="shared" si="85"/>
        <v>0.26</v>
      </c>
      <c r="E1276" s="7">
        <f t="shared" si="86"/>
        <v>5.2000000000000006E-3</v>
      </c>
      <c r="F1276" s="7">
        <f t="shared" si="87"/>
        <v>0.25480000000000003</v>
      </c>
    </row>
    <row r="1277" spans="1:8" ht="24" x14ac:dyDescent="0.35">
      <c r="A1277" s="5" t="s">
        <v>900</v>
      </c>
      <c r="B1277" s="5" t="s">
        <v>662</v>
      </c>
      <c r="C1277" s="7">
        <v>0.17</v>
      </c>
      <c r="D1277" s="7">
        <f t="shared" si="85"/>
        <v>0.13</v>
      </c>
      <c r="E1277" s="7">
        <f t="shared" si="86"/>
        <v>2.6000000000000003E-3</v>
      </c>
      <c r="F1277" s="7">
        <f t="shared" si="87"/>
        <v>0.12740000000000001</v>
      </c>
    </row>
    <row r="1278" spans="1:8" ht="14.5" x14ac:dyDescent="0.35">
      <c r="A1278" s="5" t="s">
        <v>901</v>
      </c>
      <c r="B1278" s="5" t="s">
        <v>662</v>
      </c>
      <c r="C1278" s="7">
        <v>0.15</v>
      </c>
      <c r="D1278" s="7">
        <f t="shared" si="85"/>
        <v>0.10999999999999999</v>
      </c>
      <c r="E1278" s="7">
        <f t="shared" si="86"/>
        <v>2.1999999999999997E-3</v>
      </c>
      <c r="F1278" s="7">
        <f t="shared" si="87"/>
        <v>0.10779999999999999</v>
      </c>
    </row>
    <row r="1279" spans="1:8" ht="14.5" x14ac:dyDescent="0.35">
      <c r="A1279" s="21" t="s">
        <v>902</v>
      </c>
      <c r="B1279" s="21" t="s">
        <v>663</v>
      </c>
      <c r="C1279" s="7">
        <v>0.15</v>
      </c>
      <c r="D1279" s="7">
        <f t="shared" si="85"/>
        <v>0.10999999999999999</v>
      </c>
      <c r="E1279" s="7">
        <f t="shared" si="86"/>
        <v>2.1999999999999997E-3</v>
      </c>
      <c r="F1279" s="7">
        <f t="shared" si="87"/>
        <v>0.10779999999999999</v>
      </c>
    </row>
    <row r="1280" spans="1:8" ht="24" x14ac:dyDescent="0.35">
      <c r="A1280" s="5" t="s">
        <v>1312</v>
      </c>
      <c r="B1280" s="5" t="s">
        <v>1314</v>
      </c>
      <c r="C1280" s="6">
        <v>0.42499999999999999</v>
      </c>
      <c r="D1280" s="7">
        <f t="shared" ref="D1280" si="88">C1280-(4%)</f>
        <v>0.38500000000000001</v>
      </c>
      <c r="E1280" s="7">
        <f t="shared" ref="E1280" si="89">D1280*2%</f>
        <v>7.7000000000000002E-3</v>
      </c>
      <c r="F1280" s="7">
        <f t="shared" ref="F1280" si="90">D1280-E1280</f>
        <v>0.37730000000000002</v>
      </c>
    </row>
    <row r="1281" spans="1:6" ht="15" customHeight="1" x14ac:dyDescent="0.35">
      <c r="A1281" s="48" t="s">
        <v>1418</v>
      </c>
      <c r="B1281" s="5" t="s">
        <v>686</v>
      </c>
      <c r="C1281" s="7">
        <v>0.45</v>
      </c>
      <c r="D1281" s="7">
        <f t="shared" ref="D1281:D1330" si="91">C1281-(4%)</f>
        <v>0.41000000000000003</v>
      </c>
      <c r="E1281" s="7">
        <f t="shared" ref="E1281:E1330" si="92">D1281*2%</f>
        <v>8.2000000000000007E-3</v>
      </c>
      <c r="F1281" s="7">
        <f t="shared" ref="F1281:F1330" si="93">D1281-E1281</f>
        <v>0.40180000000000005</v>
      </c>
    </row>
    <row r="1282" spans="1:6" ht="15" customHeight="1" x14ac:dyDescent="0.35">
      <c r="A1282" s="48"/>
      <c r="B1282" s="5" t="s">
        <v>684</v>
      </c>
      <c r="C1282" s="7">
        <v>0.44</v>
      </c>
      <c r="D1282" s="7">
        <f t="shared" si="91"/>
        <v>0.4</v>
      </c>
      <c r="E1282" s="7">
        <f t="shared" si="92"/>
        <v>8.0000000000000002E-3</v>
      </c>
      <c r="F1282" s="7">
        <f t="shared" si="93"/>
        <v>0.39200000000000002</v>
      </c>
    </row>
    <row r="1283" spans="1:6" ht="15" customHeight="1" x14ac:dyDescent="0.35">
      <c r="A1283" s="48"/>
      <c r="B1283" s="5" t="s">
        <v>683</v>
      </c>
      <c r="C1283" s="7">
        <v>0.37</v>
      </c>
      <c r="D1283" s="7">
        <f t="shared" si="91"/>
        <v>0.33</v>
      </c>
      <c r="E1283" s="7">
        <f t="shared" si="92"/>
        <v>6.6000000000000008E-3</v>
      </c>
      <c r="F1283" s="7">
        <f t="shared" si="93"/>
        <v>0.32340000000000002</v>
      </c>
    </row>
    <row r="1284" spans="1:6" ht="15" customHeight="1" x14ac:dyDescent="0.35">
      <c r="A1284" s="48"/>
      <c r="B1284" s="5" t="s">
        <v>687</v>
      </c>
      <c r="C1284" s="7">
        <v>0.35</v>
      </c>
      <c r="D1284" s="7">
        <f t="shared" si="91"/>
        <v>0.31</v>
      </c>
      <c r="E1284" s="7">
        <f t="shared" si="92"/>
        <v>6.1999999999999998E-3</v>
      </c>
      <c r="F1284" s="7">
        <f t="shared" si="93"/>
        <v>0.30380000000000001</v>
      </c>
    </row>
    <row r="1285" spans="1:6" ht="15" customHeight="1" x14ac:dyDescent="0.35">
      <c r="A1285" s="48"/>
      <c r="B1285" s="5" t="s">
        <v>688</v>
      </c>
      <c r="C1285" s="7">
        <v>0.38</v>
      </c>
      <c r="D1285" s="7">
        <f t="shared" si="91"/>
        <v>0.34</v>
      </c>
      <c r="E1285" s="7">
        <f t="shared" si="92"/>
        <v>6.8000000000000005E-3</v>
      </c>
      <c r="F1285" s="7">
        <f t="shared" si="93"/>
        <v>0.33320000000000005</v>
      </c>
    </row>
    <row r="1286" spans="1:6" ht="15" customHeight="1" x14ac:dyDescent="0.35">
      <c r="A1286" s="48" t="s">
        <v>1419</v>
      </c>
      <c r="B1286" s="5" t="s">
        <v>686</v>
      </c>
      <c r="C1286" s="7">
        <v>0.4</v>
      </c>
      <c r="D1286" s="7">
        <f t="shared" si="91"/>
        <v>0.36000000000000004</v>
      </c>
      <c r="E1286" s="7">
        <f t="shared" si="92"/>
        <v>7.2000000000000007E-3</v>
      </c>
      <c r="F1286" s="7">
        <f t="shared" si="93"/>
        <v>0.35280000000000006</v>
      </c>
    </row>
    <row r="1287" spans="1:6" ht="15" customHeight="1" x14ac:dyDescent="0.35">
      <c r="A1287" s="48"/>
      <c r="B1287" s="5" t="s">
        <v>684</v>
      </c>
      <c r="C1287" s="7">
        <v>0.45</v>
      </c>
      <c r="D1287" s="7">
        <f t="shared" si="91"/>
        <v>0.41000000000000003</v>
      </c>
      <c r="E1287" s="7">
        <f t="shared" si="92"/>
        <v>8.2000000000000007E-3</v>
      </c>
      <c r="F1287" s="7">
        <f t="shared" si="93"/>
        <v>0.40180000000000005</v>
      </c>
    </row>
    <row r="1288" spans="1:6" ht="15" customHeight="1" x14ac:dyDescent="0.35">
      <c r="A1288" s="48"/>
      <c r="B1288" s="5" t="s">
        <v>683</v>
      </c>
      <c r="C1288" s="7">
        <v>0.4</v>
      </c>
      <c r="D1288" s="7">
        <f t="shared" si="91"/>
        <v>0.36000000000000004</v>
      </c>
      <c r="E1288" s="7">
        <f t="shared" si="92"/>
        <v>7.2000000000000007E-3</v>
      </c>
      <c r="F1288" s="7">
        <f t="shared" si="93"/>
        <v>0.35280000000000006</v>
      </c>
    </row>
    <row r="1289" spans="1:6" ht="15" customHeight="1" x14ac:dyDescent="0.35">
      <c r="A1289" s="48"/>
      <c r="B1289" s="5" t="s">
        <v>687</v>
      </c>
      <c r="C1289" s="7">
        <v>0.4</v>
      </c>
      <c r="D1289" s="7">
        <f t="shared" si="91"/>
        <v>0.36000000000000004</v>
      </c>
      <c r="E1289" s="7">
        <f t="shared" si="92"/>
        <v>7.2000000000000007E-3</v>
      </c>
      <c r="F1289" s="7">
        <f t="shared" si="93"/>
        <v>0.35280000000000006</v>
      </c>
    </row>
    <row r="1290" spans="1:6" ht="15" customHeight="1" x14ac:dyDescent="0.35">
      <c r="A1290" s="48"/>
      <c r="B1290" s="5" t="s">
        <v>688</v>
      </c>
      <c r="C1290" s="7">
        <v>0.45</v>
      </c>
      <c r="D1290" s="7">
        <f t="shared" si="91"/>
        <v>0.41000000000000003</v>
      </c>
      <c r="E1290" s="7">
        <f t="shared" si="92"/>
        <v>8.2000000000000007E-3</v>
      </c>
      <c r="F1290" s="7">
        <f t="shared" si="93"/>
        <v>0.40180000000000005</v>
      </c>
    </row>
    <row r="1291" spans="1:6" ht="15" customHeight="1" x14ac:dyDescent="0.35">
      <c r="A1291" s="48" t="s">
        <v>1420</v>
      </c>
      <c r="B1291" s="5" t="s">
        <v>686</v>
      </c>
      <c r="C1291" s="7">
        <v>0.38</v>
      </c>
      <c r="D1291" s="7">
        <f t="shared" si="91"/>
        <v>0.34</v>
      </c>
      <c r="E1291" s="7">
        <f t="shared" si="92"/>
        <v>6.8000000000000005E-3</v>
      </c>
      <c r="F1291" s="7">
        <f t="shared" si="93"/>
        <v>0.33320000000000005</v>
      </c>
    </row>
    <row r="1292" spans="1:6" ht="15" customHeight="1" x14ac:dyDescent="0.35">
      <c r="A1292" s="48"/>
      <c r="B1292" s="5" t="s">
        <v>684</v>
      </c>
      <c r="C1292" s="7">
        <v>0.38</v>
      </c>
      <c r="D1292" s="7">
        <f t="shared" si="91"/>
        <v>0.34</v>
      </c>
      <c r="E1292" s="7">
        <f t="shared" si="92"/>
        <v>6.8000000000000005E-3</v>
      </c>
      <c r="F1292" s="7">
        <f t="shared" si="93"/>
        <v>0.33320000000000005</v>
      </c>
    </row>
    <row r="1293" spans="1:6" ht="15" customHeight="1" x14ac:dyDescent="0.35">
      <c r="A1293" s="48"/>
      <c r="B1293" s="5" t="s">
        <v>683</v>
      </c>
      <c r="C1293" s="7">
        <v>0.38</v>
      </c>
      <c r="D1293" s="7">
        <f t="shared" si="91"/>
        <v>0.34</v>
      </c>
      <c r="E1293" s="7">
        <f t="shared" si="92"/>
        <v>6.8000000000000005E-3</v>
      </c>
      <c r="F1293" s="7">
        <f t="shared" si="93"/>
        <v>0.33320000000000005</v>
      </c>
    </row>
    <row r="1294" spans="1:6" ht="15" customHeight="1" x14ac:dyDescent="0.35">
      <c r="A1294" s="48"/>
      <c r="B1294" s="5" t="s">
        <v>687</v>
      </c>
      <c r="C1294" s="7">
        <v>0.45</v>
      </c>
      <c r="D1294" s="7">
        <f t="shared" si="91"/>
        <v>0.41000000000000003</v>
      </c>
      <c r="E1294" s="7">
        <f t="shared" si="92"/>
        <v>8.2000000000000007E-3</v>
      </c>
      <c r="F1294" s="7">
        <f t="shared" si="93"/>
        <v>0.40180000000000005</v>
      </c>
    </row>
    <row r="1295" spans="1:6" ht="15" customHeight="1" x14ac:dyDescent="0.35">
      <c r="A1295" s="48"/>
      <c r="B1295" s="5" t="s">
        <v>688</v>
      </c>
      <c r="C1295" s="7">
        <v>0.37</v>
      </c>
      <c r="D1295" s="7">
        <f t="shared" si="91"/>
        <v>0.33</v>
      </c>
      <c r="E1295" s="7">
        <f t="shared" si="92"/>
        <v>6.6000000000000008E-3</v>
      </c>
      <c r="F1295" s="7">
        <f t="shared" si="93"/>
        <v>0.32340000000000002</v>
      </c>
    </row>
    <row r="1296" spans="1:6" ht="15" customHeight="1" x14ac:dyDescent="0.35">
      <c r="A1296" s="48" t="s">
        <v>1408</v>
      </c>
      <c r="B1296" s="5" t="s">
        <v>686</v>
      </c>
      <c r="C1296" s="7">
        <v>0.42</v>
      </c>
      <c r="D1296" s="7">
        <f t="shared" si="91"/>
        <v>0.38</v>
      </c>
      <c r="E1296" s="7">
        <f t="shared" si="92"/>
        <v>7.6E-3</v>
      </c>
      <c r="F1296" s="7">
        <f t="shared" si="93"/>
        <v>0.37240000000000001</v>
      </c>
    </row>
    <row r="1297" spans="1:6" ht="15" customHeight="1" x14ac:dyDescent="0.35">
      <c r="A1297" s="48"/>
      <c r="B1297" s="5" t="s">
        <v>684</v>
      </c>
      <c r="C1297" s="7">
        <v>0.38</v>
      </c>
      <c r="D1297" s="7">
        <f t="shared" si="91"/>
        <v>0.34</v>
      </c>
      <c r="E1297" s="7">
        <f t="shared" si="92"/>
        <v>6.8000000000000005E-3</v>
      </c>
      <c r="F1297" s="7">
        <f t="shared" si="93"/>
        <v>0.33320000000000005</v>
      </c>
    </row>
    <row r="1298" spans="1:6" ht="15" customHeight="1" x14ac:dyDescent="0.35">
      <c r="A1298" s="48"/>
      <c r="B1298" s="5" t="s">
        <v>683</v>
      </c>
      <c r="C1298" s="7">
        <v>0.33</v>
      </c>
      <c r="D1298" s="7">
        <f t="shared" si="91"/>
        <v>0.29000000000000004</v>
      </c>
      <c r="E1298" s="7">
        <f t="shared" si="92"/>
        <v>5.8000000000000005E-3</v>
      </c>
      <c r="F1298" s="7">
        <f t="shared" si="93"/>
        <v>0.28420000000000001</v>
      </c>
    </row>
    <row r="1299" spans="1:6" ht="15" customHeight="1" x14ac:dyDescent="0.35">
      <c r="A1299" s="48"/>
      <c r="B1299" s="5" t="s">
        <v>687</v>
      </c>
      <c r="C1299" s="7">
        <v>0.38</v>
      </c>
      <c r="D1299" s="7">
        <f t="shared" si="91"/>
        <v>0.34</v>
      </c>
      <c r="E1299" s="7">
        <f t="shared" si="92"/>
        <v>6.8000000000000005E-3</v>
      </c>
      <c r="F1299" s="7">
        <f t="shared" si="93"/>
        <v>0.33320000000000005</v>
      </c>
    </row>
    <row r="1300" spans="1:6" ht="15" customHeight="1" x14ac:dyDescent="0.35">
      <c r="A1300" s="48"/>
      <c r="B1300" s="5" t="s">
        <v>688</v>
      </c>
      <c r="C1300" s="7">
        <v>0.45</v>
      </c>
      <c r="D1300" s="7">
        <f t="shared" si="91"/>
        <v>0.41000000000000003</v>
      </c>
      <c r="E1300" s="7">
        <f t="shared" si="92"/>
        <v>8.2000000000000007E-3</v>
      </c>
      <c r="F1300" s="7">
        <f t="shared" si="93"/>
        <v>0.40180000000000005</v>
      </c>
    </row>
    <row r="1301" spans="1:6" ht="15" customHeight="1" x14ac:dyDescent="0.35">
      <c r="A1301" s="48" t="s">
        <v>1421</v>
      </c>
      <c r="B1301" s="5" t="s">
        <v>686</v>
      </c>
      <c r="C1301" s="7">
        <v>0</v>
      </c>
      <c r="D1301" s="7" t="s">
        <v>20</v>
      </c>
      <c r="E1301" s="7" t="s">
        <v>20</v>
      </c>
      <c r="F1301" s="7" t="s">
        <v>20</v>
      </c>
    </row>
    <row r="1302" spans="1:6" ht="15" customHeight="1" x14ac:dyDescent="0.35">
      <c r="A1302" s="48"/>
      <c r="B1302" s="5" t="s">
        <v>684</v>
      </c>
      <c r="C1302" s="7">
        <v>0</v>
      </c>
      <c r="D1302" s="7" t="s">
        <v>20</v>
      </c>
      <c r="E1302" s="7" t="s">
        <v>20</v>
      </c>
      <c r="F1302" s="7" t="s">
        <v>20</v>
      </c>
    </row>
    <row r="1303" spans="1:6" ht="15" customHeight="1" x14ac:dyDescent="0.35">
      <c r="A1303" s="48"/>
      <c r="B1303" s="5" t="s">
        <v>683</v>
      </c>
      <c r="C1303" s="7">
        <v>0</v>
      </c>
      <c r="D1303" s="7" t="s">
        <v>20</v>
      </c>
      <c r="E1303" s="7" t="s">
        <v>20</v>
      </c>
      <c r="F1303" s="7" t="s">
        <v>20</v>
      </c>
    </row>
    <row r="1304" spans="1:6" ht="15" customHeight="1" x14ac:dyDescent="0.35">
      <c r="A1304" s="48"/>
      <c r="B1304" s="5" t="s">
        <v>687</v>
      </c>
      <c r="C1304" s="7">
        <v>0.35</v>
      </c>
      <c r="D1304" s="7">
        <f t="shared" si="91"/>
        <v>0.31</v>
      </c>
      <c r="E1304" s="7">
        <f t="shared" si="92"/>
        <v>6.1999999999999998E-3</v>
      </c>
      <c r="F1304" s="7">
        <f t="shared" si="93"/>
        <v>0.30380000000000001</v>
      </c>
    </row>
    <row r="1305" spans="1:6" ht="15" customHeight="1" x14ac:dyDescent="0.35">
      <c r="A1305" s="48"/>
      <c r="B1305" s="5" t="s">
        <v>688</v>
      </c>
      <c r="C1305" s="7">
        <v>0.35</v>
      </c>
      <c r="D1305" s="7">
        <f t="shared" si="91"/>
        <v>0.31</v>
      </c>
      <c r="E1305" s="7">
        <f t="shared" si="92"/>
        <v>6.1999999999999998E-3</v>
      </c>
      <c r="F1305" s="7">
        <f t="shared" si="93"/>
        <v>0.30380000000000001</v>
      </c>
    </row>
    <row r="1306" spans="1:6" ht="15" customHeight="1" x14ac:dyDescent="0.35">
      <c r="A1306" s="48" t="s">
        <v>1409</v>
      </c>
      <c r="B1306" s="5" t="s">
        <v>686</v>
      </c>
      <c r="C1306" s="7">
        <v>0.4</v>
      </c>
      <c r="D1306" s="7">
        <f t="shared" si="91"/>
        <v>0.36000000000000004</v>
      </c>
      <c r="E1306" s="7">
        <f t="shared" si="92"/>
        <v>7.2000000000000007E-3</v>
      </c>
      <c r="F1306" s="7">
        <f t="shared" si="93"/>
        <v>0.35280000000000006</v>
      </c>
    </row>
    <row r="1307" spans="1:6" ht="15" customHeight="1" x14ac:dyDescent="0.35">
      <c r="A1307" s="48"/>
      <c r="B1307" s="5" t="s">
        <v>684</v>
      </c>
      <c r="C1307" s="7">
        <v>0.4</v>
      </c>
      <c r="D1307" s="7">
        <f t="shared" si="91"/>
        <v>0.36000000000000004</v>
      </c>
      <c r="E1307" s="7">
        <f t="shared" si="92"/>
        <v>7.2000000000000007E-3</v>
      </c>
      <c r="F1307" s="7">
        <f t="shared" si="93"/>
        <v>0.35280000000000006</v>
      </c>
    </row>
    <row r="1308" spans="1:6" ht="15" customHeight="1" x14ac:dyDescent="0.35">
      <c r="A1308" s="48"/>
      <c r="B1308" s="5" t="s">
        <v>683</v>
      </c>
      <c r="C1308" s="7">
        <v>0.4</v>
      </c>
      <c r="D1308" s="7">
        <f t="shared" si="91"/>
        <v>0.36000000000000004</v>
      </c>
      <c r="E1308" s="7">
        <f t="shared" si="92"/>
        <v>7.2000000000000007E-3</v>
      </c>
      <c r="F1308" s="7">
        <f t="shared" si="93"/>
        <v>0.35280000000000006</v>
      </c>
    </row>
    <row r="1309" spans="1:6" ht="15" customHeight="1" x14ac:dyDescent="0.35">
      <c r="A1309" s="48"/>
      <c r="B1309" s="5" t="s">
        <v>687</v>
      </c>
      <c r="C1309" s="7">
        <v>0.4</v>
      </c>
      <c r="D1309" s="7">
        <f t="shared" si="91"/>
        <v>0.36000000000000004</v>
      </c>
      <c r="E1309" s="7">
        <f t="shared" si="92"/>
        <v>7.2000000000000007E-3</v>
      </c>
      <c r="F1309" s="7">
        <f t="shared" si="93"/>
        <v>0.35280000000000006</v>
      </c>
    </row>
    <row r="1310" spans="1:6" ht="15" customHeight="1" x14ac:dyDescent="0.35">
      <c r="A1310" s="48"/>
      <c r="B1310" s="5" t="s">
        <v>688</v>
      </c>
      <c r="C1310" s="7">
        <v>0.35</v>
      </c>
      <c r="D1310" s="7">
        <f t="shared" si="91"/>
        <v>0.31</v>
      </c>
      <c r="E1310" s="7">
        <f t="shared" si="92"/>
        <v>6.1999999999999998E-3</v>
      </c>
      <c r="F1310" s="7">
        <f t="shared" si="93"/>
        <v>0.30380000000000001</v>
      </c>
    </row>
    <row r="1311" spans="1:6" ht="15" customHeight="1" x14ac:dyDescent="0.35">
      <c r="A1311" s="48" t="s">
        <v>1395</v>
      </c>
      <c r="B1311" s="5" t="s">
        <v>686</v>
      </c>
      <c r="C1311" s="7">
        <v>0.4</v>
      </c>
      <c r="D1311" s="7">
        <f t="shared" si="91"/>
        <v>0.36000000000000004</v>
      </c>
      <c r="E1311" s="7">
        <f t="shared" si="92"/>
        <v>7.2000000000000007E-3</v>
      </c>
      <c r="F1311" s="7">
        <f t="shared" si="93"/>
        <v>0.35280000000000006</v>
      </c>
    </row>
    <row r="1312" spans="1:6" ht="15" customHeight="1" x14ac:dyDescent="0.35">
      <c r="A1312" s="48"/>
      <c r="B1312" s="5" t="s">
        <v>684</v>
      </c>
      <c r="C1312" s="7">
        <v>0.4</v>
      </c>
      <c r="D1312" s="7">
        <f t="shared" si="91"/>
        <v>0.36000000000000004</v>
      </c>
      <c r="E1312" s="7">
        <f t="shared" si="92"/>
        <v>7.2000000000000007E-3</v>
      </c>
      <c r="F1312" s="7">
        <f t="shared" si="93"/>
        <v>0.35280000000000006</v>
      </c>
    </row>
    <row r="1313" spans="1:6" ht="15" customHeight="1" x14ac:dyDescent="0.35">
      <c r="A1313" s="48"/>
      <c r="B1313" s="5" t="s">
        <v>683</v>
      </c>
      <c r="C1313" s="7">
        <v>0.48</v>
      </c>
      <c r="D1313" s="7">
        <f t="shared" si="91"/>
        <v>0.44</v>
      </c>
      <c r="E1313" s="7">
        <f t="shared" si="92"/>
        <v>8.8000000000000005E-3</v>
      </c>
      <c r="F1313" s="7">
        <f t="shared" si="93"/>
        <v>0.43120000000000003</v>
      </c>
    </row>
    <row r="1314" spans="1:6" ht="15" customHeight="1" x14ac:dyDescent="0.35">
      <c r="A1314" s="48"/>
      <c r="B1314" s="5" t="s">
        <v>687</v>
      </c>
      <c r="C1314" s="7">
        <v>0.43</v>
      </c>
      <c r="D1314" s="7">
        <f t="shared" si="91"/>
        <v>0.39</v>
      </c>
      <c r="E1314" s="7">
        <f t="shared" si="92"/>
        <v>7.8000000000000005E-3</v>
      </c>
      <c r="F1314" s="7">
        <f t="shared" si="93"/>
        <v>0.38220000000000004</v>
      </c>
    </row>
    <row r="1315" spans="1:6" ht="15" customHeight="1" x14ac:dyDescent="0.35">
      <c r="A1315" s="48"/>
      <c r="B1315" s="5" t="s">
        <v>688</v>
      </c>
      <c r="C1315" s="7">
        <v>0.43</v>
      </c>
      <c r="D1315" s="7">
        <f t="shared" si="91"/>
        <v>0.39</v>
      </c>
      <c r="E1315" s="7">
        <f t="shared" si="92"/>
        <v>7.8000000000000005E-3</v>
      </c>
      <c r="F1315" s="7">
        <f t="shared" si="93"/>
        <v>0.38220000000000004</v>
      </c>
    </row>
    <row r="1316" spans="1:6" ht="15" customHeight="1" x14ac:dyDescent="0.35">
      <c r="A1316" s="48" t="s">
        <v>1396</v>
      </c>
      <c r="B1316" s="5" t="s">
        <v>686</v>
      </c>
      <c r="C1316" s="7">
        <v>0.5</v>
      </c>
      <c r="D1316" s="7">
        <f t="shared" si="91"/>
        <v>0.46</v>
      </c>
      <c r="E1316" s="7">
        <f t="shared" si="92"/>
        <v>9.1999999999999998E-3</v>
      </c>
      <c r="F1316" s="7">
        <f t="shared" si="93"/>
        <v>0.45080000000000003</v>
      </c>
    </row>
    <row r="1317" spans="1:6" ht="15" customHeight="1" x14ac:dyDescent="0.35">
      <c r="A1317" s="48"/>
      <c r="B1317" s="5" t="s">
        <v>684</v>
      </c>
      <c r="C1317" s="7">
        <v>0.45</v>
      </c>
      <c r="D1317" s="7">
        <f t="shared" si="91"/>
        <v>0.41000000000000003</v>
      </c>
      <c r="E1317" s="7">
        <f t="shared" si="92"/>
        <v>8.2000000000000007E-3</v>
      </c>
      <c r="F1317" s="7">
        <f t="shared" si="93"/>
        <v>0.40180000000000005</v>
      </c>
    </row>
    <row r="1318" spans="1:6" ht="15" customHeight="1" x14ac:dyDescent="0.35">
      <c r="A1318" s="48"/>
      <c r="B1318" s="5" t="s">
        <v>683</v>
      </c>
      <c r="C1318" s="7">
        <v>0.32999999999999996</v>
      </c>
      <c r="D1318" s="7">
        <f t="shared" si="91"/>
        <v>0.28999999999999998</v>
      </c>
      <c r="E1318" s="7">
        <f t="shared" si="92"/>
        <v>5.7999999999999996E-3</v>
      </c>
      <c r="F1318" s="7">
        <f t="shared" si="93"/>
        <v>0.28420000000000001</v>
      </c>
    </row>
    <row r="1319" spans="1:6" ht="15" customHeight="1" x14ac:dyDescent="0.35">
      <c r="A1319" s="48"/>
      <c r="B1319" s="5" t="s">
        <v>687</v>
      </c>
      <c r="C1319" s="7">
        <v>0.32999999999999996</v>
      </c>
      <c r="D1319" s="7">
        <f t="shared" si="91"/>
        <v>0.28999999999999998</v>
      </c>
      <c r="E1319" s="7">
        <f t="shared" si="92"/>
        <v>5.7999999999999996E-3</v>
      </c>
      <c r="F1319" s="7">
        <f t="shared" si="93"/>
        <v>0.28420000000000001</v>
      </c>
    </row>
    <row r="1320" spans="1:6" ht="15" customHeight="1" x14ac:dyDescent="0.35">
      <c r="A1320" s="48"/>
      <c r="B1320" s="5" t="s">
        <v>688</v>
      </c>
      <c r="C1320" s="7">
        <v>0.32999999999999996</v>
      </c>
      <c r="D1320" s="7">
        <f t="shared" si="91"/>
        <v>0.28999999999999998</v>
      </c>
      <c r="E1320" s="7">
        <f t="shared" si="92"/>
        <v>5.7999999999999996E-3</v>
      </c>
      <c r="F1320" s="7">
        <f t="shared" si="93"/>
        <v>0.28420000000000001</v>
      </c>
    </row>
    <row r="1321" spans="1:6" ht="15" customHeight="1" x14ac:dyDescent="0.35">
      <c r="A1321" s="48" t="s">
        <v>1397</v>
      </c>
      <c r="B1321" s="5" t="s">
        <v>686</v>
      </c>
      <c r="C1321" s="7">
        <v>0.1</v>
      </c>
      <c r="D1321" s="7">
        <f t="shared" si="91"/>
        <v>6.0000000000000005E-2</v>
      </c>
      <c r="E1321" s="7">
        <f t="shared" si="92"/>
        <v>1.2000000000000001E-3</v>
      </c>
      <c r="F1321" s="7">
        <f t="shared" si="93"/>
        <v>5.8800000000000005E-2</v>
      </c>
    </row>
    <row r="1322" spans="1:6" ht="15" customHeight="1" x14ac:dyDescent="0.35">
      <c r="A1322" s="48"/>
      <c r="B1322" s="5" t="s">
        <v>684</v>
      </c>
      <c r="C1322" s="7">
        <v>0.2</v>
      </c>
      <c r="D1322" s="7">
        <f t="shared" si="91"/>
        <v>0.16</v>
      </c>
      <c r="E1322" s="7">
        <f t="shared" si="92"/>
        <v>3.2000000000000002E-3</v>
      </c>
      <c r="F1322" s="7">
        <f t="shared" si="93"/>
        <v>0.15679999999999999</v>
      </c>
    </row>
    <row r="1323" spans="1:6" ht="15" customHeight="1" x14ac:dyDescent="0.35">
      <c r="A1323" s="48"/>
      <c r="B1323" s="5" t="s">
        <v>683</v>
      </c>
      <c r="C1323" s="7">
        <v>0.38</v>
      </c>
      <c r="D1323" s="7">
        <f t="shared" si="91"/>
        <v>0.34</v>
      </c>
      <c r="E1323" s="7">
        <f t="shared" si="92"/>
        <v>6.8000000000000005E-3</v>
      </c>
      <c r="F1323" s="7">
        <f t="shared" si="93"/>
        <v>0.33320000000000005</v>
      </c>
    </row>
    <row r="1324" spans="1:6" ht="15" customHeight="1" x14ac:dyDescent="0.35">
      <c r="A1324" s="48"/>
      <c r="B1324" s="5" t="s">
        <v>687</v>
      </c>
      <c r="C1324" s="7">
        <v>0.38</v>
      </c>
      <c r="D1324" s="7">
        <f t="shared" si="91"/>
        <v>0.34</v>
      </c>
      <c r="E1324" s="7">
        <f t="shared" si="92"/>
        <v>6.8000000000000005E-3</v>
      </c>
      <c r="F1324" s="7">
        <f t="shared" si="93"/>
        <v>0.33320000000000005</v>
      </c>
    </row>
    <row r="1325" spans="1:6" ht="15" customHeight="1" x14ac:dyDescent="0.35">
      <c r="A1325" s="48"/>
      <c r="B1325" s="5" t="s">
        <v>688</v>
      </c>
      <c r="C1325" s="7">
        <v>0.38</v>
      </c>
      <c r="D1325" s="7">
        <f t="shared" si="91"/>
        <v>0.34</v>
      </c>
      <c r="E1325" s="7">
        <f t="shared" si="92"/>
        <v>6.8000000000000005E-3</v>
      </c>
      <c r="F1325" s="7">
        <f t="shared" si="93"/>
        <v>0.33320000000000005</v>
      </c>
    </row>
    <row r="1326" spans="1:6" ht="15" customHeight="1" x14ac:dyDescent="0.35">
      <c r="A1326" s="48" t="s">
        <v>1403</v>
      </c>
      <c r="B1326" s="5" t="s">
        <v>686</v>
      </c>
      <c r="C1326" s="7">
        <v>0.3</v>
      </c>
      <c r="D1326" s="7">
        <f t="shared" si="91"/>
        <v>0.26</v>
      </c>
      <c r="E1326" s="7">
        <f t="shared" si="92"/>
        <v>5.2000000000000006E-3</v>
      </c>
      <c r="F1326" s="7">
        <f t="shared" si="93"/>
        <v>0.25480000000000003</v>
      </c>
    </row>
    <row r="1327" spans="1:6" ht="15" customHeight="1" x14ac:dyDescent="0.35">
      <c r="A1327" s="48"/>
      <c r="B1327" s="5" t="s">
        <v>684</v>
      </c>
      <c r="C1327" s="7">
        <v>0</v>
      </c>
      <c r="D1327" s="7" t="s">
        <v>20</v>
      </c>
      <c r="E1327" s="7" t="s">
        <v>20</v>
      </c>
      <c r="F1327" s="7" t="s">
        <v>20</v>
      </c>
    </row>
    <row r="1328" spans="1:6" ht="15" customHeight="1" x14ac:dyDescent="0.35">
      <c r="A1328" s="48"/>
      <c r="B1328" s="5" t="s">
        <v>683</v>
      </c>
      <c r="C1328" s="7">
        <v>0.28000000000000003</v>
      </c>
      <c r="D1328" s="7">
        <f t="shared" si="91"/>
        <v>0.24000000000000002</v>
      </c>
      <c r="E1328" s="7">
        <f t="shared" si="92"/>
        <v>4.8000000000000004E-3</v>
      </c>
      <c r="F1328" s="7">
        <f t="shared" si="93"/>
        <v>0.23520000000000002</v>
      </c>
    </row>
    <row r="1329" spans="1:6" ht="15" customHeight="1" x14ac:dyDescent="0.35">
      <c r="A1329" s="48"/>
      <c r="B1329" s="5" t="s">
        <v>687</v>
      </c>
      <c r="C1329" s="7">
        <v>0.13</v>
      </c>
      <c r="D1329" s="7">
        <f t="shared" si="91"/>
        <v>0.09</v>
      </c>
      <c r="E1329" s="7">
        <f t="shared" si="92"/>
        <v>1.8E-3</v>
      </c>
      <c r="F1329" s="7">
        <f t="shared" si="93"/>
        <v>8.8200000000000001E-2</v>
      </c>
    </row>
    <row r="1330" spans="1:6" ht="15" customHeight="1" x14ac:dyDescent="0.35">
      <c r="A1330" s="48"/>
      <c r="B1330" s="5" t="s">
        <v>688</v>
      </c>
      <c r="C1330" s="7">
        <v>0.28000000000000003</v>
      </c>
      <c r="D1330" s="7">
        <f t="shared" si="91"/>
        <v>0.24000000000000002</v>
      </c>
      <c r="E1330" s="7">
        <f t="shared" si="92"/>
        <v>4.8000000000000004E-3</v>
      </c>
      <c r="F1330" s="7">
        <f t="shared" si="93"/>
        <v>0.23520000000000002</v>
      </c>
    </row>
  </sheetData>
  <mergeCells count="197">
    <mergeCell ref="A263:A264"/>
    <mergeCell ref="A337:A338"/>
    <mergeCell ref="A339:A340"/>
    <mergeCell ref="A1003:A1005"/>
    <mergeCell ref="A1286:A1290"/>
    <mergeCell ref="A1291:A1295"/>
    <mergeCell ref="A1296:A1300"/>
    <mergeCell ref="A1301:A1305"/>
    <mergeCell ref="A1306:A1310"/>
    <mergeCell ref="A319:A323"/>
    <mergeCell ref="A324:A328"/>
    <mergeCell ref="A459:A463"/>
    <mergeCell ref="A876:A880"/>
    <mergeCell ref="A1188:A1191"/>
    <mergeCell ref="A1169:A1175"/>
    <mergeCell ref="A1177:A1178"/>
    <mergeCell ref="A1179:A1185"/>
    <mergeCell ref="A1117:A1121"/>
    <mergeCell ref="A1122:A1126"/>
    <mergeCell ref="A1127:A1131"/>
    <mergeCell ref="A1132:A1136"/>
    <mergeCell ref="A1137:A1141"/>
    <mergeCell ref="A1142:A1146"/>
    <mergeCell ref="A1156:A1157"/>
    <mergeCell ref="A1311:A1315"/>
    <mergeCell ref="A1316:A1320"/>
    <mergeCell ref="A1321:A1325"/>
    <mergeCell ref="A1326:A1330"/>
    <mergeCell ref="A1192:A1196"/>
    <mergeCell ref="A1197:A1201"/>
    <mergeCell ref="A1202:A1206"/>
    <mergeCell ref="A1207:A1211"/>
    <mergeCell ref="A1212:A1216"/>
    <mergeCell ref="A1217:A1221"/>
    <mergeCell ref="A1222:A1226"/>
    <mergeCell ref="A1227:A1231"/>
    <mergeCell ref="A1281:A1285"/>
    <mergeCell ref="A1266:A1267"/>
    <mergeCell ref="A1233:A1234"/>
    <mergeCell ref="A1235:A1236"/>
    <mergeCell ref="A1238:A1240"/>
    <mergeCell ref="A1241:A1244"/>
    <mergeCell ref="A1245:A1251"/>
    <mergeCell ref="A1257:A1263"/>
    <mergeCell ref="A1264:A1265"/>
    <mergeCell ref="A1158:A1159"/>
    <mergeCell ref="A1070:A1073"/>
    <mergeCell ref="A1074:A1077"/>
    <mergeCell ref="A1078:A1081"/>
    <mergeCell ref="A1086:A1089"/>
    <mergeCell ref="A1090:A1093"/>
    <mergeCell ref="A1112:A1116"/>
    <mergeCell ref="A1082:A1085"/>
    <mergeCell ref="A1033:A1042"/>
    <mergeCell ref="A1043:A1052"/>
    <mergeCell ref="A1053:A1056"/>
    <mergeCell ref="A1057:A1060"/>
    <mergeCell ref="A1061:A1064"/>
    <mergeCell ref="A1065:A1068"/>
    <mergeCell ref="A937:A941"/>
    <mergeCell ref="A991:A993"/>
    <mergeCell ref="A1017:A1019"/>
    <mergeCell ref="A1023:A1032"/>
    <mergeCell ref="A978:A981"/>
    <mergeCell ref="A911:A914"/>
    <mergeCell ref="A915:A916"/>
    <mergeCell ref="A917:A921"/>
    <mergeCell ref="A922:A926"/>
    <mergeCell ref="A927:A931"/>
    <mergeCell ref="A932:A936"/>
    <mergeCell ref="A962:A963"/>
    <mergeCell ref="A964:A965"/>
    <mergeCell ref="A892:A894"/>
    <mergeCell ref="A895:A897"/>
    <mergeCell ref="A900:A901"/>
    <mergeCell ref="A903:A906"/>
    <mergeCell ref="A907:A910"/>
    <mergeCell ref="A831:A835"/>
    <mergeCell ref="A836:A840"/>
    <mergeCell ref="A841:A845"/>
    <mergeCell ref="A857:A860"/>
    <mergeCell ref="A806:A809"/>
    <mergeCell ref="A810:A813"/>
    <mergeCell ref="A814:A817"/>
    <mergeCell ref="A818:A821"/>
    <mergeCell ref="A822:A825"/>
    <mergeCell ref="A827:A828"/>
    <mergeCell ref="A774:A775"/>
    <mergeCell ref="A776:A777"/>
    <mergeCell ref="A794:A795"/>
    <mergeCell ref="A796:A797"/>
    <mergeCell ref="A800:A801"/>
    <mergeCell ref="A802:A805"/>
    <mergeCell ref="A778:A792"/>
    <mergeCell ref="A762:A763"/>
    <mergeCell ref="A764:A765"/>
    <mergeCell ref="A766:A767"/>
    <mergeCell ref="A768:A769"/>
    <mergeCell ref="A770:A771"/>
    <mergeCell ref="A772:A773"/>
    <mergeCell ref="A751:A754"/>
    <mergeCell ref="A755:A758"/>
    <mergeCell ref="A759:A760"/>
    <mergeCell ref="A381:A396"/>
    <mergeCell ref="A397:A412"/>
    <mergeCell ref="A524:A539"/>
    <mergeCell ref="A540:A555"/>
    <mergeCell ref="A508:A523"/>
    <mergeCell ref="A744:A745"/>
    <mergeCell ref="A556:A570"/>
    <mergeCell ref="A571:A574"/>
    <mergeCell ref="A575:A578"/>
    <mergeCell ref="A579:A582"/>
    <mergeCell ref="A605:A619"/>
    <mergeCell ref="A717:A720"/>
    <mergeCell ref="A721:A724"/>
    <mergeCell ref="A725:A728"/>
    <mergeCell ref="A636:A651"/>
    <mergeCell ref="A652:A667"/>
    <mergeCell ref="A668:A683"/>
    <mergeCell ref="A684:A699"/>
    <mergeCell ref="A700:A715"/>
    <mergeCell ref="A620:A635"/>
    <mergeCell ref="A729:A730"/>
    <mergeCell ref="A583:A586"/>
    <mergeCell ref="A602:A603"/>
    <mergeCell ref="A275:A279"/>
    <mergeCell ref="A167:A170"/>
    <mergeCell ref="A171:A174"/>
    <mergeCell ref="A175:A179"/>
    <mergeCell ref="A180:A184"/>
    <mergeCell ref="A190:A191"/>
    <mergeCell ref="A192:A193"/>
    <mergeCell ref="A200:A201"/>
    <mergeCell ref="A202:A203"/>
    <mergeCell ref="A185:A189"/>
    <mergeCell ref="A204:A219"/>
    <mergeCell ref="A220:A234"/>
    <mergeCell ref="A253:A254"/>
    <mergeCell ref="A255:A256"/>
    <mergeCell ref="A257:A258"/>
    <mergeCell ref="A259:A260"/>
    <mergeCell ref="A265:A269"/>
    <mergeCell ref="A270:A274"/>
    <mergeCell ref="A237:A240"/>
    <mergeCell ref="A241:A244"/>
    <mergeCell ref="A245:A248"/>
    <mergeCell ref="A249:A252"/>
    <mergeCell ref="A235:A236"/>
    <mergeCell ref="A261:A262"/>
    <mergeCell ref="A2:A3"/>
    <mergeCell ref="A10:A24"/>
    <mergeCell ref="A25:A39"/>
    <mergeCell ref="A40:A54"/>
    <mergeCell ref="A55:A69"/>
    <mergeCell ref="A72:A75"/>
    <mergeCell ref="A149:A150"/>
    <mergeCell ref="A151:A152"/>
    <mergeCell ref="A153:A154"/>
    <mergeCell ref="A102:A117"/>
    <mergeCell ref="A91:A95"/>
    <mergeCell ref="A155:A156"/>
    <mergeCell ref="A165:A166"/>
    <mergeCell ref="A76:A80"/>
    <mergeCell ref="A81:A85"/>
    <mergeCell ref="A86:A90"/>
    <mergeCell ref="A118:A132"/>
    <mergeCell ref="A97:A98"/>
    <mergeCell ref="A99:A100"/>
    <mergeCell ref="A157:A158"/>
    <mergeCell ref="A159:A160"/>
    <mergeCell ref="A161:A162"/>
    <mergeCell ref="A163:A164"/>
    <mergeCell ref="A283:A298"/>
    <mergeCell ref="A476:A491"/>
    <mergeCell ref="A492:A507"/>
    <mergeCell ref="A329:A330"/>
    <mergeCell ref="A331:A332"/>
    <mergeCell ref="A333:A334"/>
    <mergeCell ref="A335:A336"/>
    <mergeCell ref="A342:A343"/>
    <mergeCell ref="A444:A448"/>
    <mergeCell ref="A449:A453"/>
    <mergeCell ref="A454:A458"/>
    <mergeCell ref="A464:A465"/>
    <mergeCell ref="A466:A467"/>
    <mergeCell ref="A469:A470"/>
    <mergeCell ref="A413:A427"/>
    <mergeCell ref="A428:A431"/>
    <mergeCell ref="A432:A435"/>
    <mergeCell ref="A299:A313"/>
    <mergeCell ref="A314:A315"/>
    <mergeCell ref="A317:A318"/>
    <mergeCell ref="A436:A437"/>
    <mergeCell ref="A439:A443"/>
    <mergeCell ref="A349:A364"/>
    <mergeCell ref="A365:A380"/>
  </mergeCells>
  <printOptions horizontalCentered="1" verticalCentered="1"/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6020-B230-45E3-8AD8-EEE8056AD8DD}">
  <dimension ref="A2:N117"/>
  <sheetViews>
    <sheetView showGridLines="0" topLeftCell="A36" zoomScaleNormal="100" workbookViewId="0">
      <selection activeCell="A40" sqref="A40"/>
    </sheetView>
  </sheetViews>
  <sheetFormatPr defaultRowHeight="14.5" x14ac:dyDescent="0.35"/>
  <cols>
    <col min="1" max="1" width="39.1796875" style="9" customWidth="1"/>
    <col min="2" max="2" width="8.08984375" style="9" bestFit="1" customWidth="1"/>
    <col min="3" max="3" width="5.7265625" bestFit="1" customWidth="1"/>
    <col min="4" max="4" width="7.7265625" bestFit="1" customWidth="1"/>
    <col min="5" max="5" width="9.81640625" bestFit="1" customWidth="1"/>
    <col min="6" max="6" width="6.453125" bestFit="1" customWidth="1"/>
    <col min="7" max="7" width="9.1796875" bestFit="1" customWidth="1"/>
    <col min="10" max="10" width="10.1796875" bestFit="1" customWidth="1"/>
    <col min="12" max="12" width="15.1796875" bestFit="1" customWidth="1"/>
    <col min="14" max="14" width="10.1796875" bestFit="1" customWidth="1"/>
    <col min="15" max="15" width="11.81640625" bestFit="1" customWidth="1"/>
  </cols>
  <sheetData>
    <row r="2" spans="1:14" ht="46.5" customHeight="1" x14ac:dyDescent="0.35">
      <c r="A2" s="46" t="s">
        <v>1288</v>
      </c>
      <c r="B2" s="22"/>
      <c r="C2" s="12"/>
      <c r="D2" s="12"/>
      <c r="E2" s="12"/>
      <c r="F2" s="12"/>
      <c r="G2" s="12"/>
      <c r="N2" s="30"/>
    </row>
    <row r="3" spans="1:14" ht="24.65" customHeight="1" x14ac:dyDescent="0.35">
      <c r="A3" s="46"/>
      <c r="B3" s="22"/>
      <c r="C3" s="12"/>
      <c r="D3" s="12"/>
      <c r="E3" s="12"/>
      <c r="F3" s="12"/>
      <c r="G3" s="12"/>
    </row>
    <row r="5" spans="1:14" x14ac:dyDescent="0.35">
      <c r="A5" s="2" t="s">
        <v>0</v>
      </c>
      <c r="B5" s="2" t="s">
        <v>1</v>
      </c>
      <c r="C5" s="3" t="s">
        <v>2</v>
      </c>
      <c r="D5" s="4" t="s">
        <v>922</v>
      </c>
      <c r="E5" s="4" t="s">
        <v>4</v>
      </c>
      <c r="F5" s="4" t="s">
        <v>5</v>
      </c>
      <c r="G5" s="4" t="s">
        <v>6</v>
      </c>
      <c r="J5" s="30"/>
    </row>
    <row r="6" spans="1:14" x14ac:dyDescent="0.35">
      <c r="A6" s="5" t="s">
        <v>923</v>
      </c>
      <c r="B6" s="5" t="s">
        <v>100</v>
      </c>
      <c r="C6" s="6">
        <v>0.22</v>
      </c>
      <c r="D6" s="7">
        <f>(C6-(C6*10%))</f>
        <v>0.19800000000000001</v>
      </c>
      <c r="E6" s="7">
        <f>D6-(3%)</f>
        <v>0.16800000000000001</v>
      </c>
      <c r="F6" s="7">
        <f t="shared" ref="F6" si="0">E6*2%</f>
        <v>3.3600000000000001E-3</v>
      </c>
      <c r="G6" s="7">
        <f t="shared" ref="G6" si="1">E6-F6</f>
        <v>0.16464000000000001</v>
      </c>
    </row>
    <row r="7" spans="1:14" x14ac:dyDescent="0.35">
      <c r="A7" s="2" t="s">
        <v>924</v>
      </c>
      <c r="B7" s="2" t="s">
        <v>1</v>
      </c>
      <c r="C7" s="3" t="s">
        <v>2</v>
      </c>
      <c r="D7" s="4" t="s">
        <v>922</v>
      </c>
      <c r="E7" s="4" t="s">
        <v>4</v>
      </c>
      <c r="F7" s="4" t="s">
        <v>5</v>
      </c>
      <c r="G7" s="4" t="s">
        <v>6</v>
      </c>
    </row>
    <row r="8" spans="1:14" x14ac:dyDescent="0.35">
      <c r="A8" s="5" t="s">
        <v>925</v>
      </c>
      <c r="B8" s="5" t="s">
        <v>926</v>
      </c>
      <c r="C8" s="6">
        <v>0.22</v>
      </c>
      <c r="D8" s="7">
        <f t="shared" ref="D8:D30" si="2">(C8-(C8*10%))</f>
        <v>0.19800000000000001</v>
      </c>
      <c r="E8" s="7">
        <f t="shared" ref="E8:E30" si="3">D8-(3%)</f>
        <v>0.16800000000000001</v>
      </c>
      <c r="F8" s="7">
        <f t="shared" ref="F8:F30" si="4">E8*2%</f>
        <v>3.3600000000000001E-3</v>
      </c>
      <c r="G8" s="7">
        <f t="shared" ref="G8:G30" si="5">E8-F8</f>
        <v>0.16464000000000001</v>
      </c>
    </row>
    <row r="9" spans="1:14" x14ac:dyDescent="0.35">
      <c r="A9" s="2" t="s">
        <v>927</v>
      </c>
      <c r="B9" s="2" t="s">
        <v>1</v>
      </c>
      <c r="C9" s="3" t="s">
        <v>2</v>
      </c>
      <c r="D9" s="4" t="s">
        <v>922</v>
      </c>
      <c r="E9" s="4" t="s">
        <v>4</v>
      </c>
      <c r="F9" s="4" t="s">
        <v>5</v>
      </c>
      <c r="G9" s="4" t="s">
        <v>6</v>
      </c>
    </row>
    <row r="10" spans="1:14" x14ac:dyDescent="0.35">
      <c r="A10" s="5" t="s">
        <v>928</v>
      </c>
      <c r="B10" s="5" t="s">
        <v>926</v>
      </c>
      <c r="C10" s="6">
        <v>0.22</v>
      </c>
      <c r="D10" s="7">
        <f t="shared" si="2"/>
        <v>0.19800000000000001</v>
      </c>
      <c r="E10" s="7">
        <f t="shared" si="3"/>
        <v>0.16800000000000001</v>
      </c>
      <c r="F10" s="7">
        <f t="shared" si="4"/>
        <v>3.3600000000000001E-3</v>
      </c>
      <c r="G10" s="7">
        <f t="shared" si="5"/>
        <v>0.16464000000000001</v>
      </c>
    </row>
    <row r="11" spans="1:14" x14ac:dyDescent="0.35">
      <c r="A11" s="2" t="s">
        <v>929</v>
      </c>
      <c r="B11" s="2" t="s">
        <v>1</v>
      </c>
      <c r="C11" s="3" t="s">
        <v>2</v>
      </c>
      <c r="D11" s="4" t="s">
        <v>922</v>
      </c>
      <c r="E11" s="4" t="s">
        <v>4</v>
      </c>
      <c r="F11" s="4" t="s">
        <v>5</v>
      </c>
      <c r="G11" s="4" t="s">
        <v>6</v>
      </c>
    </row>
    <row r="12" spans="1:14" x14ac:dyDescent="0.35">
      <c r="A12" s="5" t="s">
        <v>930</v>
      </c>
      <c r="B12" s="5" t="s">
        <v>926</v>
      </c>
      <c r="C12" s="6">
        <v>0.22</v>
      </c>
      <c r="D12" s="7">
        <f t="shared" si="2"/>
        <v>0.19800000000000001</v>
      </c>
      <c r="E12" s="7">
        <f t="shared" si="3"/>
        <v>0.16800000000000001</v>
      </c>
      <c r="F12" s="7">
        <f t="shared" si="4"/>
        <v>3.3600000000000001E-3</v>
      </c>
      <c r="G12" s="7">
        <f t="shared" si="5"/>
        <v>0.16464000000000001</v>
      </c>
    </row>
    <row r="13" spans="1:14" x14ac:dyDescent="0.35">
      <c r="A13" s="2" t="s">
        <v>931</v>
      </c>
      <c r="B13" s="2" t="s">
        <v>1</v>
      </c>
      <c r="C13" s="3" t="s">
        <v>2</v>
      </c>
      <c r="D13" s="4" t="s">
        <v>922</v>
      </c>
      <c r="E13" s="4" t="s">
        <v>4</v>
      </c>
      <c r="F13" s="4" t="s">
        <v>5</v>
      </c>
      <c r="G13" s="4" t="s">
        <v>6</v>
      </c>
    </row>
    <row r="14" spans="1:14" x14ac:dyDescent="0.35">
      <c r="A14" s="5" t="s">
        <v>932</v>
      </c>
      <c r="B14" s="5" t="s">
        <v>926</v>
      </c>
      <c r="C14" s="6">
        <v>0.22</v>
      </c>
      <c r="D14" s="7">
        <f t="shared" si="2"/>
        <v>0.19800000000000001</v>
      </c>
      <c r="E14" s="7">
        <f t="shared" si="3"/>
        <v>0.16800000000000001</v>
      </c>
      <c r="F14" s="7">
        <f t="shared" si="4"/>
        <v>3.3600000000000001E-3</v>
      </c>
      <c r="G14" s="7">
        <f t="shared" si="5"/>
        <v>0.16464000000000001</v>
      </c>
    </row>
    <row r="15" spans="1:14" x14ac:dyDescent="0.35">
      <c r="A15" s="2" t="s">
        <v>141</v>
      </c>
      <c r="B15" s="2" t="s">
        <v>1</v>
      </c>
      <c r="C15" s="3" t="s">
        <v>2</v>
      </c>
      <c r="D15" s="4" t="s">
        <v>922</v>
      </c>
      <c r="E15" s="4" t="s">
        <v>4</v>
      </c>
      <c r="F15" s="4" t="s">
        <v>5</v>
      </c>
      <c r="G15" s="4" t="s">
        <v>6</v>
      </c>
    </row>
    <row r="16" spans="1:14" x14ac:dyDescent="0.35">
      <c r="A16" s="5" t="s">
        <v>933</v>
      </c>
      <c r="B16" s="5" t="s">
        <v>926</v>
      </c>
      <c r="C16" s="6">
        <v>0.22</v>
      </c>
      <c r="D16" s="7">
        <f t="shared" si="2"/>
        <v>0.19800000000000001</v>
      </c>
      <c r="E16" s="7">
        <f t="shared" si="3"/>
        <v>0.16800000000000001</v>
      </c>
      <c r="F16" s="7">
        <f t="shared" si="4"/>
        <v>3.3600000000000001E-3</v>
      </c>
      <c r="G16" s="7">
        <f t="shared" si="5"/>
        <v>0.16464000000000001</v>
      </c>
    </row>
    <row r="17" spans="1:12" x14ac:dyDescent="0.35">
      <c r="A17" s="2" t="s">
        <v>159</v>
      </c>
      <c r="B17" s="2" t="s">
        <v>1</v>
      </c>
      <c r="C17" s="3" t="s">
        <v>2</v>
      </c>
      <c r="D17" s="4" t="s">
        <v>922</v>
      </c>
      <c r="E17" s="4" t="s">
        <v>4</v>
      </c>
      <c r="F17" s="4" t="s">
        <v>5</v>
      </c>
      <c r="G17" s="4" t="s">
        <v>6</v>
      </c>
    </row>
    <row r="18" spans="1:12" x14ac:dyDescent="0.35">
      <c r="A18" s="5" t="s">
        <v>934</v>
      </c>
      <c r="B18" s="5" t="s">
        <v>926</v>
      </c>
      <c r="C18" s="6">
        <v>0.22</v>
      </c>
      <c r="D18" s="7">
        <f t="shared" si="2"/>
        <v>0.19800000000000001</v>
      </c>
      <c r="E18" s="7">
        <f t="shared" si="3"/>
        <v>0.16800000000000001</v>
      </c>
      <c r="F18" s="7">
        <f t="shared" si="4"/>
        <v>3.3600000000000001E-3</v>
      </c>
      <c r="G18" s="7">
        <f t="shared" si="5"/>
        <v>0.16464000000000001</v>
      </c>
    </row>
    <row r="19" spans="1:12" x14ac:dyDescent="0.35">
      <c r="A19" s="2" t="s">
        <v>175</v>
      </c>
      <c r="B19" s="2" t="s">
        <v>1</v>
      </c>
      <c r="C19" s="3" t="s">
        <v>2</v>
      </c>
      <c r="D19" s="4" t="s">
        <v>922</v>
      </c>
      <c r="E19" s="4" t="s">
        <v>4</v>
      </c>
      <c r="F19" s="4" t="s">
        <v>5</v>
      </c>
      <c r="G19" s="4" t="s">
        <v>6</v>
      </c>
    </row>
    <row r="20" spans="1:12" x14ac:dyDescent="0.35">
      <c r="A20" s="5" t="s">
        <v>935</v>
      </c>
      <c r="B20" s="5" t="s">
        <v>926</v>
      </c>
      <c r="C20" s="6">
        <v>0.22</v>
      </c>
      <c r="D20" s="7">
        <f t="shared" si="2"/>
        <v>0.19800000000000001</v>
      </c>
      <c r="E20" s="7">
        <f t="shared" si="3"/>
        <v>0.16800000000000001</v>
      </c>
      <c r="F20" s="7">
        <f t="shared" si="4"/>
        <v>3.3600000000000001E-3</v>
      </c>
      <c r="G20" s="7">
        <f t="shared" si="5"/>
        <v>0.16464000000000001</v>
      </c>
      <c r="J20" s="30"/>
      <c r="L20" s="30"/>
    </row>
    <row r="21" spans="1:12" x14ac:dyDescent="0.35">
      <c r="A21" s="2" t="s">
        <v>185</v>
      </c>
      <c r="B21" s="2" t="s">
        <v>1</v>
      </c>
      <c r="C21" s="3" t="s">
        <v>2</v>
      </c>
      <c r="D21" s="4" t="s">
        <v>922</v>
      </c>
      <c r="E21" s="4" t="s">
        <v>4</v>
      </c>
      <c r="F21" s="4" t="s">
        <v>5</v>
      </c>
      <c r="G21" s="4" t="s">
        <v>6</v>
      </c>
    </row>
    <row r="22" spans="1:12" x14ac:dyDescent="0.35">
      <c r="A22" s="5" t="s">
        <v>936</v>
      </c>
      <c r="B22" s="5" t="s">
        <v>100</v>
      </c>
      <c r="C22" s="6">
        <v>0.22</v>
      </c>
      <c r="D22" s="7">
        <f t="shared" si="2"/>
        <v>0.19800000000000001</v>
      </c>
      <c r="E22" s="7">
        <f t="shared" si="3"/>
        <v>0.16800000000000001</v>
      </c>
      <c r="F22" s="7">
        <f t="shared" si="4"/>
        <v>3.3600000000000001E-3</v>
      </c>
      <c r="G22" s="7">
        <f t="shared" si="5"/>
        <v>0.16464000000000001</v>
      </c>
    </row>
    <row r="23" spans="1:12" x14ac:dyDescent="0.35">
      <c r="A23" s="2" t="s">
        <v>225</v>
      </c>
      <c r="B23" s="2" t="s">
        <v>1</v>
      </c>
      <c r="C23" s="3" t="s">
        <v>2</v>
      </c>
      <c r="D23" s="4" t="s">
        <v>922</v>
      </c>
      <c r="E23" s="4" t="s">
        <v>4</v>
      </c>
      <c r="F23" s="4" t="s">
        <v>5</v>
      </c>
      <c r="G23" s="4" t="s">
        <v>6</v>
      </c>
    </row>
    <row r="24" spans="1:12" x14ac:dyDescent="0.35">
      <c r="A24" s="5" t="s">
        <v>937</v>
      </c>
      <c r="B24" s="5" t="s">
        <v>926</v>
      </c>
      <c r="C24" s="6">
        <v>0.22</v>
      </c>
      <c r="D24" s="7">
        <f t="shared" si="2"/>
        <v>0.19800000000000001</v>
      </c>
      <c r="E24" s="7">
        <f t="shared" si="3"/>
        <v>0.16800000000000001</v>
      </c>
      <c r="F24" s="7">
        <f t="shared" si="4"/>
        <v>3.3600000000000001E-3</v>
      </c>
      <c r="G24" s="7">
        <f t="shared" si="5"/>
        <v>0.16464000000000001</v>
      </c>
    </row>
    <row r="25" spans="1:12" x14ac:dyDescent="0.35">
      <c r="A25" s="5" t="s">
        <v>938</v>
      </c>
      <c r="B25" s="5" t="s">
        <v>926</v>
      </c>
      <c r="C25" s="6">
        <v>0.22</v>
      </c>
      <c r="D25" s="7">
        <f t="shared" si="2"/>
        <v>0.19800000000000001</v>
      </c>
      <c r="E25" s="7">
        <f t="shared" si="3"/>
        <v>0.16800000000000001</v>
      </c>
      <c r="F25" s="7">
        <f t="shared" si="4"/>
        <v>3.3600000000000001E-3</v>
      </c>
      <c r="G25" s="7">
        <f t="shared" si="5"/>
        <v>0.16464000000000001</v>
      </c>
    </row>
    <row r="26" spans="1:12" x14ac:dyDescent="0.35">
      <c r="A26" s="2" t="s">
        <v>241</v>
      </c>
      <c r="B26" s="2" t="s">
        <v>1</v>
      </c>
      <c r="C26" s="3" t="s">
        <v>2</v>
      </c>
      <c r="D26" s="4" t="s">
        <v>922</v>
      </c>
      <c r="E26" s="4" t="s">
        <v>4</v>
      </c>
      <c r="F26" s="4" t="s">
        <v>5</v>
      </c>
      <c r="G26" s="4" t="s">
        <v>6</v>
      </c>
    </row>
    <row r="27" spans="1:12" x14ac:dyDescent="0.35">
      <c r="A27" s="5" t="s">
        <v>939</v>
      </c>
      <c r="B27" s="5" t="s">
        <v>100</v>
      </c>
      <c r="C27" s="6">
        <v>0.22</v>
      </c>
      <c r="D27" s="7">
        <f t="shared" si="2"/>
        <v>0.19800000000000001</v>
      </c>
      <c r="E27" s="7">
        <f t="shared" si="3"/>
        <v>0.16800000000000001</v>
      </c>
      <c r="F27" s="7">
        <f t="shared" si="4"/>
        <v>3.3600000000000001E-3</v>
      </c>
      <c r="G27" s="7">
        <f t="shared" si="5"/>
        <v>0.16464000000000001</v>
      </c>
    </row>
    <row r="28" spans="1:12" x14ac:dyDescent="0.35">
      <c r="A28" s="2" t="s">
        <v>252</v>
      </c>
      <c r="B28" s="2" t="s">
        <v>1</v>
      </c>
      <c r="C28" s="3" t="s">
        <v>2</v>
      </c>
      <c r="D28" s="4" t="s">
        <v>922</v>
      </c>
      <c r="E28" s="4" t="s">
        <v>4</v>
      </c>
      <c r="F28" s="4" t="s">
        <v>5</v>
      </c>
      <c r="G28" s="4" t="s">
        <v>6</v>
      </c>
    </row>
    <row r="29" spans="1:12" x14ac:dyDescent="0.35">
      <c r="A29" s="5" t="s">
        <v>940</v>
      </c>
      <c r="B29" s="5" t="s">
        <v>100</v>
      </c>
      <c r="C29" s="6">
        <v>0.2</v>
      </c>
      <c r="D29" s="7">
        <f t="shared" si="2"/>
        <v>0.18</v>
      </c>
      <c r="E29" s="7">
        <f t="shared" si="3"/>
        <v>0.15</v>
      </c>
      <c r="F29" s="7">
        <f t="shared" si="4"/>
        <v>3.0000000000000001E-3</v>
      </c>
      <c r="G29" s="7">
        <f t="shared" si="5"/>
        <v>0.14699999999999999</v>
      </c>
    </row>
    <row r="30" spans="1:12" x14ac:dyDescent="0.35">
      <c r="A30" s="5" t="s">
        <v>941</v>
      </c>
      <c r="B30" s="5" t="s">
        <v>100</v>
      </c>
      <c r="C30" s="6">
        <v>0.15</v>
      </c>
      <c r="D30" s="7">
        <f t="shared" si="2"/>
        <v>0.13500000000000001</v>
      </c>
      <c r="E30" s="7">
        <f t="shared" si="3"/>
        <v>0.10500000000000001</v>
      </c>
      <c r="F30" s="7">
        <f t="shared" si="4"/>
        <v>2.1000000000000003E-3</v>
      </c>
      <c r="G30" s="7">
        <f t="shared" si="5"/>
        <v>0.10290000000000001</v>
      </c>
    </row>
    <row r="35" spans="1:7" x14ac:dyDescent="0.35">
      <c r="A35" s="46" t="s">
        <v>1278</v>
      </c>
      <c r="B35" s="1"/>
      <c r="C35" s="8"/>
      <c r="D35" s="8"/>
      <c r="E35" s="8"/>
      <c r="F35" s="8"/>
      <c r="G35" s="8"/>
    </row>
    <row r="36" spans="1:7" ht="36" customHeight="1" x14ac:dyDescent="0.35">
      <c r="A36" s="46"/>
      <c r="B36" s="1"/>
      <c r="C36" s="8"/>
      <c r="D36" s="8"/>
      <c r="E36" s="8"/>
      <c r="F36" s="8"/>
      <c r="G36" s="8"/>
    </row>
    <row r="37" spans="1:7" x14ac:dyDescent="0.35">
      <c r="C37" s="10"/>
      <c r="D37" s="10"/>
      <c r="E37" s="10"/>
      <c r="F37" s="10"/>
      <c r="G37" s="10"/>
    </row>
    <row r="38" spans="1:7" x14ac:dyDescent="0.35">
      <c r="A38" s="2" t="s">
        <v>0</v>
      </c>
      <c r="B38" s="2" t="s">
        <v>1</v>
      </c>
      <c r="C38" s="3" t="s">
        <v>2</v>
      </c>
      <c r="D38" s="4" t="s">
        <v>922</v>
      </c>
      <c r="E38" s="4" t="s">
        <v>4</v>
      </c>
      <c r="F38" s="4" t="s">
        <v>5</v>
      </c>
      <c r="G38" s="4" t="s">
        <v>6</v>
      </c>
    </row>
    <row r="39" spans="1:7" x14ac:dyDescent="0.35">
      <c r="A39" s="5" t="s">
        <v>923</v>
      </c>
      <c r="B39" s="5" t="s">
        <v>942</v>
      </c>
      <c r="C39" s="7">
        <v>0.22</v>
      </c>
      <c r="D39" s="7">
        <f>(C39-(C39*10%))</f>
        <v>0.19800000000000001</v>
      </c>
      <c r="E39" s="7">
        <f>D39-(3%)</f>
        <v>0.16800000000000001</v>
      </c>
      <c r="F39" s="7">
        <f t="shared" ref="F39" si="6">E39*2%</f>
        <v>3.3600000000000001E-3</v>
      </c>
      <c r="G39" s="7">
        <f t="shared" ref="G39" si="7">E39-F39</f>
        <v>0.16464000000000001</v>
      </c>
    </row>
    <row r="40" spans="1:7" x14ac:dyDescent="0.35">
      <c r="A40" s="2" t="s">
        <v>924</v>
      </c>
      <c r="B40" s="2" t="s">
        <v>1</v>
      </c>
      <c r="C40" s="3" t="s">
        <v>2</v>
      </c>
      <c r="D40" s="4" t="s">
        <v>922</v>
      </c>
      <c r="E40" s="4" t="s">
        <v>4</v>
      </c>
      <c r="F40" s="4" t="s">
        <v>5</v>
      </c>
      <c r="G40" s="4" t="s">
        <v>6</v>
      </c>
    </row>
    <row r="41" spans="1:7" x14ac:dyDescent="0.35">
      <c r="A41" s="5" t="s">
        <v>943</v>
      </c>
      <c r="B41" s="5" t="s">
        <v>942</v>
      </c>
      <c r="C41" s="7">
        <v>0.22</v>
      </c>
      <c r="D41" s="7">
        <f t="shared" ref="D41:D52" si="8">(C41-(C41*10%))</f>
        <v>0.19800000000000001</v>
      </c>
      <c r="E41" s="7">
        <f t="shared" ref="E41:E52" si="9">D41-(3%)</f>
        <v>0.16800000000000001</v>
      </c>
      <c r="F41" s="7">
        <f t="shared" ref="F41:F52" si="10">E41*2%</f>
        <v>3.3600000000000001E-3</v>
      </c>
      <c r="G41" s="7">
        <f t="shared" ref="G41:G52" si="11">E41-F41</f>
        <v>0.16464000000000001</v>
      </c>
    </row>
    <row r="42" spans="1:7" x14ac:dyDescent="0.35">
      <c r="A42" s="2" t="s">
        <v>927</v>
      </c>
      <c r="B42" s="2" t="s">
        <v>1</v>
      </c>
      <c r="C42" s="3" t="s">
        <v>2</v>
      </c>
      <c r="D42" s="4" t="s">
        <v>922</v>
      </c>
      <c r="E42" s="4" t="s">
        <v>4</v>
      </c>
      <c r="F42" s="4" t="s">
        <v>5</v>
      </c>
      <c r="G42" s="4" t="s">
        <v>6</v>
      </c>
    </row>
    <row r="43" spans="1:7" x14ac:dyDescent="0.35">
      <c r="A43" s="5" t="s">
        <v>928</v>
      </c>
      <c r="B43" s="5" t="s">
        <v>942</v>
      </c>
      <c r="C43" s="7">
        <v>0.22</v>
      </c>
      <c r="D43" s="7">
        <f t="shared" si="8"/>
        <v>0.19800000000000001</v>
      </c>
      <c r="E43" s="7">
        <f t="shared" si="9"/>
        <v>0.16800000000000001</v>
      </c>
      <c r="F43" s="7">
        <f t="shared" si="10"/>
        <v>3.3600000000000001E-3</v>
      </c>
      <c r="G43" s="7">
        <f t="shared" si="11"/>
        <v>0.16464000000000001</v>
      </c>
    </row>
    <row r="44" spans="1:7" x14ac:dyDescent="0.35">
      <c r="A44" s="2" t="s">
        <v>929</v>
      </c>
      <c r="B44" s="2" t="s">
        <v>1</v>
      </c>
      <c r="C44" s="3" t="s">
        <v>2</v>
      </c>
      <c r="D44" s="4" t="s">
        <v>922</v>
      </c>
      <c r="E44" s="4" t="s">
        <v>4</v>
      </c>
      <c r="F44" s="4" t="s">
        <v>5</v>
      </c>
      <c r="G44" s="4" t="s">
        <v>6</v>
      </c>
    </row>
    <row r="45" spans="1:7" x14ac:dyDescent="0.35">
      <c r="A45" s="5" t="s">
        <v>930</v>
      </c>
      <c r="B45" s="5" t="s">
        <v>942</v>
      </c>
      <c r="C45" s="7">
        <v>0.22</v>
      </c>
      <c r="D45" s="7">
        <f t="shared" si="8"/>
        <v>0.19800000000000001</v>
      </c>
      <c r="E45" s="7">
        <f t="shared" si="9"/>
        <v>0.16800000000000001</v>
      </c>
      <c r="F45" s="7">
        <f t="shared" si="10"/>
        <v>3.3600000000000001E-3</v>
      </c>
      <c r="G45" s="7">
        <f t="shared" si="11"/>
        <v>0.16464000000000001</v>
      </c>
    </row>
    <row r="46" spans="1:7" x14ac:dyDescent="0.35">
      <c r="A46" s="2" t="s">
        <v>225</v>
      </c>
      <c r="B46" s="2" t="s">
        <v>1</v>
      </c>
      <c r="C46" s="3" t="s">
        <v>2</v>
      </c>
      <c r="D46" s="4" t="s">
        <v>922</v>
      </c>
      <c r="E46" s="4" t="s">
        <v>4</v>
      </c>
      <c r="F46" s="4" t="s">
        <v>5</v>
      </c>
      <c r="G46" s="4" t="s">
        <v>6</v>
      </c>
    </row>
    <row r="47" spans="1:7" x14ac:dyDescent="0.35">
      <c r="A47" s="5" t="s">
        <v>944</v>
      </c>
      <c r="B47" s="5" t="s">
        <v>942</v>
      </c>
      <c r="C47" s="7">
        <v>0.22</v>
      </c>
      <c r="D47" s="7">
        <f t="shared" si="8"/>
        <v>0.19800000000000001</v>
      </c>
      <c r="E47" s="7">
        <f t="shared" si="9"/>
        <v>0.16800000000000001</v>
      </c>
      <c r="F47" s="7">
        <f t="shared" si="10"/>
        <v>3.3600000000000001E-3</v>
      </c>
      <c r="G47" s="7">
        <f t="shared" si="11"/>
        <v>0.16464000000000001</v>
      </c>
    </row>
    <row r="48" spans="1:7" x14ac:dyDescent="0.35">
      <c r="A48" s="2" t="s">
        <v>241</v>
      </c>
      <c r="B48" s="2" t="s">
        <v>1</v>
      </c>
      <c r="C48" s="3" t="s">
        <v>2</v>
      </c>
      <c r="D48" s="4" t="s">
        <v>922</v>
      </c>
      <c r="E48" s="4" t="s">
        <v>4</v>
      </c>
      <c r="F48" s="4" t="s">
        <v>5</v>
      </c>
      <c r="G48" s="4" t="s">
        <v>6</v>
      </c>
    </row>
    <row r="49" spans="1:7" x14ac:dyDescent="0.35">
      <c r="A49" s="5" t="s">
        <v>945</v>
      </c>
      <c r="B49" s="5" t="s">
        <v>926</v>
      </c>
      <c r="C49" s="6">
        <v>0.22</v>
      </c>
      <c r="D49" s="7">
        <f t="shared" si="8"/>
        <v>0.19800000000000001</v>
      </c>
      <c r="E49" s="7">
        <f t="shared" si="9"/>
        <v>0.16800000000000001</v>
      </c>
      <c r="F49" s="7">
        <f t="shared" si="10"/>
        <v>3.3600000000000001E-3</v>
      </c>
      <c r="G49" s="7">
        <f t="shared" si="11"/>
        <v>0.16464000000000001</v>
      </c>
    </row>
    <row r="50" spans="1:7" x14ac:dyDescent="0.35">
      <c r="A50" s="2" t="s">
        <v>252</v>
      </c>
      <c r="B50" s="2" t="s">
        <v>1</v>
      </c>
      <c r="C50" s="3" t="s">
        <v>2</v>
      </c>
      <c r="D50" s="4" t="s">
        <v>922</v>
      </c>
      <c r="E50" s="4" t="s">
        <v>4</v>
      </c>
      <c r="F50" s="4" t="s">
        <v>5</v>
      </c>
      <c r="G50" s="4" t="s">
        <v>6</v>
      </c>
    </row>
    <row r="51" spans="1:7" x14ac:dyDescent="0.35">
      <c r="A51" s="5" t="s">
        <v>940</v>
      </c>
      <c r="B51" s="5" t="s">
        <v>100</v>
      </c>
      <c r="C51" s="6">
        <v>0.2</v>
      </c>
      <c r="D51" s="7">
        <f t="shared" si="8"/>
        <v>0.18</v>
      </c>
      <c r="E51" s="7">
        <f t="shared" si="9"/>
        <v>0.15</v>
      </c>
      <c r="F51" s="7">
        <f t="shared" si="10"/>
        <v>3.0000000000000001E-3</v>
      </c>
      <c r="G51" s="7">
        <f t="shared" si="11"/>
        <v>0.14699999999999999</v>
      </c>
    </row>
    <row r="52" spans="1:7" x14ac:dyDescent="0.35">
      <c r="A52" s="5" t="s">
        <v>941</v>
      </c>
      <c r="B52" s="5" t="s">
        <v>100</v>
      </c>
      <c r="C52" s="6">
        <v>0.15</v>
      </c>
      <c r="D52" s="7">
        <f t="shared" si="8"/>
        <v>0.13500000000000001</v>
      </c>
      <c r="E52" s="7">
        <f t="shared" si="9"/>
        <v>0.10500000000000001</v>
      </c>
      <c r="F52" s="7">
        <f t="shared" si="10"/>
        <v>2.1000000000000003E-3</v>
      </c>
      <c r="G52" s="7">
        <f t="shared" si="11"/>
        <v>0.10290000000000001</v>
      </c>
    </row>
    <row r="56" spans="1:7" x14ac:dyDescent="0.35">
      <c r="A56" s="46" t="s">
        <v>1279</v>
      </c>
      <c r="B56" s="1"/>
      <c r="C56" s="8"/>
      <c r="D56" s="8"/>
      <c r="E56" s="8"/>
      <c r="F56" s="8"/>
      <c r="G56" s="8"/>
    </row>
    <row r="57" spans="1:7" x14ac:dyDescent="0.35">
      <c r="A57" s="46"/>
      <c r="B57" s="1"/>
      <c r="C57" s="8"/>
      <c r="D57" s="8"/>
      <c r="E57" s="8"/>
      <c r="F57" s="8"/>
      <c r="G57" s="8"/>
    </row>
    <row r="58" spans="1:7" x14ac:dyDescent="0.35">
      <c r="C58" s="10"/>
      <c r="D58" s="10"/>
      <c r="E58" s="10"/>
      <c r="F58" s="10"/>
      <c r="G58" s="10"/>
    </row>
    <row r="59" spans="1:7" x14ac:dyDescent="0.35">
      <c r="A59" s="2" t="s">
        <v>0</v>
      </c>
      <c r="B59" s="2" t="s">
        <v>1</v>
      </c>
      <c r="C59" s="3" t="s">
        <v>2</v>
      </c>
      <c r="D59" s="4" t="s">
        <v>922</v>
      </c>
      <c r="E59" s="4" t="s">
        <v>4</v>
      </c>
      <c r="F59" s="4" t="s">
        <v>5</v>
      </c>
      <c r="G59" s="4" t="s">
        <v>6</v>
      </c>
    </row>
    <row r="60" spans="1:7" x14ac:dyDescent="0.35">
      <c r="A60" s="5" t="s">
        <v>923</v>
      </c>
      <c r="B60" s="5" t="s">
        <v>942</v>
      </c>
      <c r="C60" s="7">
        <v>0.22</v>
      </c>
      <c r="D60" s="7">
        <f>(C60-(C60*10%))</f>
        <v>0.19800000000000001</v>
      </c>
      <c r="E60" s="7">
        <f>D60-(3%)</f>
        <v>0.16800000000000001</v>
      </c>
      <c r="F60" s="7">
        <f t="shared" ref="F60" si="12">E60*2%</f>
        <v>3.3600000000000001E-3</v>
      </c>
      <c r="G60" s="7">
        <f t="shared" ref="G60" si="13">E60-F60</f>
        <v>0.16464000000000001</v>
      </c>
    </row>
    <row r="61" spans="1:7" x14ac:dyDescent="0.35">
      <c r="A61" s="2" t="s">
        <v>924</v>
      </c>
      <c r="B61" s="2" t="s">
        <v>1</v>
      </c>
      <c r="C61" s="3" t="s">
        <v>2</v>
      </c>
      <c r="D61" s="4" t="s">
        <v>922</v>
      </c>
      <c r="E61" s="4" t="s">
        <v>4</v>
      </c>
      <c r="F61" s="4" t="s">
        <v>5</v>
      </c>
      <c r="G61" s="4" t="s">
        <v>6</v>
      </c>
    </row>
    <row r="62" spans="1:7" x14ac:dyDescent="0.35">
      <c r="A62" s="5" t="s">
        <v>925</v>
      </c>
      <c r="B62" s="5" t="s">
        <v>926</v>
      </c>
      <c r="C62" s="6">
        <v>0.22</v>
      </c>
      <c r="D62" s="7">
        <f t="shared" ref="D62:D83" si="14">(C62-(C62*10%))</f>
        <v>0.19800000000000001</v>
      </c>
      <c r="E62" s="7">
        <f t="shared" ref="E62:E83" si="15">D62-(3%)</f>
        <v>0.16800000000000001</v>
      </c>
      <c r="F62" s="7">
        <f t="shared" ref="F62:F83" si="16">E62*2%</f>
        <v>3.3600000000000001E-3</v>
      </c>
      <c r="G62" s="7">
        <f t="shared" ref="G62:G83" si="17">E62-F62</f>
        <v>0.16464000000000001</v>
      </c>
    </row>
    <row r="63" spans="1:7" x14ac:dyDescent="0.35">
      <c r="A63" s="2" t="s">
        <v>927</v>
      </c>
      <c r="B63" s="2" t="s">
        <v>1</v>
      </c>
      <c r="C63" s="3" t="s">
        <v>2</v>
      </c>
      <c r="D63" s="4" t="s">
        <v>922</v>
      </c>
      <c r="E63" s="4" t="s">
        <v>4</v>
      </c>
      <c r="F63" s="4" t="s">
        <v>5</v>
      </c>
      <c r="G63" s="4" t="s">
        <v>6</v>
      </c>
    </row>
    <row r="64" spans="1:7" x14ac:dyDescent="0.35">
      <c r="A64" s="5" t="s">
        <v>928</v>
      </c>
      <c r="B64" s="5" t="s">
        <v>926</v>
      </c>
      <c r="C64" s="6">
        <v>0.22</v>
      </c>
      <c r="D64" s="7">
        <f t="shared" si="14"/>
        <v>0.19800000000000001</v>
      </c>
      <c r="E64" s="7">
        <f t="shared" si="15"/>
        <v>0.16800000000000001</v>
      </c>
      <c r="F64" s="7">
        <f t="shared" si="16"/>
        <v>3.3600000000000001E-3</v>
      </c>
      <c r="G64" s="7">
        <f t="shared" si="17"/>
        <v>0.16464000000000001</v>
      </c>
    </row>
    <row r="65" spans="1:7" x14ac:dyDescent="0.35">
      <c r="A65" s="2" t="s">
        <v>929</v>
      </c>
      <c r="B65" s="2" t="s">
        <v>1</v>
      </c>
      <c r="C65" s="3" t="s">
        <v>2</v>
      </c>
      <c r="D65" s="4" t="s">
        <v>922</v>
      </c>
      <c r="E65" s="4" t="s">
        <v>4</v>
      </c>
      <c r="F65" s="4" t="s">
        <v>5</v>
      </c>
      <c r="G65" s="4" t="s">
        <v>6</v>
      </c>
    </row>
    <row r="66" spans="1:7" x14ac:dyDescent="0.35">
      <c r="A66" s="5" t="s">
        <v>930</v>
      </c>
      <c r="B66" s="5" t="s">
        <v>926</v>
      </c>
      <c r="C66" s="6">
        <v>0.22</v>
      </c>
      <c r="D66" s="7">
        <f t="shared" si="14"/>
        <v>0.19800000000000001</v>
      </c>
      <c r="E66" s="7">
        <f t="shared" si="15"/>
        <v>0.16800000000000001</v>
      </c>
      <c r="F66" s="7">
        <f t="shared" si="16"/>
        <v>3.3600000000000001E-3</v>
      </c>
      <c r="G66" s="7">
        <f t="shared" si="17"/>
        <v>0.16464000000000001</v>
      </c>
    </row>
    <row r="67" spans="1:7" x14ac:dyDescent="0.35">
      <c r="A67" s="2" t="s">
        <v>931</v>
      </c>
      <c r="B67" s="2" t="s">
        <v>1</v>
      </c>
      <c r="C67" s="3" t="s">
        <v>2</v>
      </c>
      <c r="D67" s="4" t="s">
        <v>922</v>
      </c>
      <c r="E67" s="4" t="s">
        <v>4</v>
      </c>
      <c r="F67" s="4" t="s">
        <v>5</v>
      </c>
      <c r="G67" s="4" t="s">
        <v>6</v>
      </c>
    </row>
    <row r="68" spans="1:7" x14ac:dyDescent="0.35">
      <c r="A68" s="5" t="s">
        <v>932</v>
      </c>
      <c r="B68" s="5" t="s">
        <v>926</v>
      </c>
      <c r="C68" s="6">
        <v>0.22</v>
      </c>
      <c r="D68" s="7">
        <f t="shared" si="14"/>
        <v>0.19800000000000001</v>
      </c>
      <c r="E68" s="7">
        <f t="shared" si="15"/>
        <v>0.16800000000000001</v>
      </c>
      <c r="F68" s="7">
        <f t="shared" si="16"/>
        <v>3.3600000000000001E-3</v>
      </c>
      <c r="G68" s="7">
        <f t="shared" si="17"/>
        <v>0.16464000000000001</v>
      </c>
    </row>
    <row r="69" spans="1:7" x14ac:dyDescent="0.35">
      <c r="A69" s="2" t="s">
        <v>946</v>
      </c>
      <c r="B69" s="2" t="s">
        <v>1</v>
      </c>
      <c r="C69" s="3" t="s">
        <v>2</v>
      </c>
      <c r="D69" s="4" t="s">
        <v>922</v>
      </c>
      <c r="E69" s="4" t="s">
        <v>4</v>
      </c>
      <c r="F69" s="4" t="s">
        <v>5</v>
      </c>
      <c r="G69" s="4" t="s">
        <v>6</v>
      </c>
    </row>
    <row r="70" spans="1:7" x14ac:dyDescent="0.35">
      <c r="A70" s="5" t="s">
        <v>947</v>
      </c>
      <c r="B70" s="5" t="s">
        <v>926</v>
      </c>
      <c r="C70" s="6">
        <v>0.22</v>
      </c>
      <c r="D70" s="7">
        <f t="shared" si="14"/>
        <v>0.19800000000000001</v>
      </c>
      <c r="E70" s="7">
        <f t="shared" si="15"/>
        <v>0.16800000000000001</v>
      </c>
      <c r="F70" s="7">
        <f t="shared" si="16"/>
        <v>3.3600000000000001E-3</v>
      </c>
      <c r="G70" s="7">
        <f t="shared" si="17"/>
        <v>0.16464000000000001</v>
      </c>
    </row>
    <row r="71" spans="1:7" x14ac:dyDescent="0.35">
      <c r="A71" s="2" t="s">
        <v>948</v>
      </c>
      <c r="B71" s="2" t="s">
        <v>1</v>
      </c>
      <c r="C71" s="3" t="s">
        <v>2</v>
      </c>
      <c r="D71" s="4" t="s">
        <v>922</v>
      </c>
      <c r="E71" s="4" t="s">
        <v>4</v>
      </c>
      <c r="F71" s="4" t="s">
        <v>5</v>
      </c>
      <c r="G71" s="4" t="s">
        <v>6</v>
      </c>
    </row>
    <row r="72" spans="1:7" x14ac:dyDescent="0.35">
      <c r="A72" s="5" t="s">
        <v>949</v>
      </c>
      <c r="B72" s="5" t="s">
        <v>926</v>
      </c>
      <c r="C72" s="6">
        <v>0.22</v>
      </c>
      <c r="D72" s="7">
        <f t="shared" si="14"/>
        <v>0.19800000000000001</v>
      </c>
      <c r="E72" s="7">
        <f t="shared" si="15"/>
        <v>0.16800000000000001</v>
      </c>
      <c r="F72" s="7">
        <f t="shared" si="16"/>
        <v>3.3600000000000001E-3</v>
      </c>
      <c r="G72" s="7">
        <f t="shared" si="17"/>
        <v>0.16464000000000001</v>
      </c>
    </row>
    <row r="73" spans="1:7" x14ac:dyDescent="0.35">
      <c r="A73" s="2" t="s">
        <v>175</v>
      </c>
      <c r="B73" s="2" t="s">
        <v>1</v>
      </c>
      <c r="C73" s="3" t="s">
        <v>2</v>
      </c>
      <c r="D73" s="4" t="s">
        <v>922</v>
      </c>
      <c r="E73" s="4" t="s">
        <v>4</v>
      </c>
      <c r="F73" s="4" t="s">
        <v>5</v>
      </c>
      <c r="G73" s="4" t="s">
        <v>6</v>
      </c>
    </row>
    <row r="74" spans="1:7" x14ac:dyDescent="0.35">
      <c r="A74" s="5" t="s">
        <v>935</v>
      </c>
      <c r="B74" s="5" t="s">
        <v>926</v>
      </c>
      <c r="C74" s="6">
        <v>0.22</v>
      </c>
      <c r="D74" s="7">
        <f t="shared" si="14"/>
        <v>0.19800000000000001</v>
      </c>
      <c r="E74" s="7">
        <f t="shared" si="15"/>
        <v>0.16800000000000001</v>
      </c>
      <c r="F74" s="7">
        <f t="shared" si="16"/>
        <v>3.3600000000000001E-3</v>
      </c>
      <c r="G74" s="7">
        <f t="shared" si="17"/>
        <v>0.16464000000000001</v>
      </c>
    </row>
    <row r="75" spans="1:7" x14ac:dyDescent="0.35">
      <c r="A75" s="2" t="s">
        <v>185</v>
      </c>
      <c r="B75" s="2" t="s">
        <v>1</v>
      </c>
      <c r="C75" s="3" t="s">
        <v>2</v>
      </c>
      <c r="D75" s="4" t="s">
        <v>922</v>
      </c>
      <c r="E75" s="4" t="s">
        <v>4</v>
      </c>
      <c r="F75" s="4" t="s">
        <v>5</v>
      </c>
      <c r="G75" s="4" t="s">
        <v>6</v>
      </c>
    </row>
    <row r="76" spans="1:7" x14ac:dyDescent="0.35">
      <c r="A76" s="5" t="s">
        <v>950</v>
      </c>
      <c r="B76" s="5" t="s">
        <v>926</v>
      </c>
      <c r="C76" s="7">
        <v>0.22</v>
      </c>
      <c r="D76" s="7">
        <f t="shared" si="14"/>
        <v>0.19800000000000001</v>
      </c>
      <c r="E76" s="7">
        <f t="shared" si="15"/>
        <v>0.16800000000000001</v>
      </c>
      <c r="F76" s="7">
        <f t="shared" si="16"/>
        <v>3.3600000000000001E-3</v>
      </c>
      <c r="G76" s="7">
        <f t="shared" si="17"/>
        <v>0.16464000000000001</v>
      </c>
    </row>
    <row r="77" spans="1:7" x14ac:dyDescent="0.35">
      <c r="A77" s="2" t="s">
        <v>225</v>
      </c>
      <c r="B77" s="2" t="s">
        <v>1</v>
      </c>
      <c r="C77" s="3" t="s">
        <v>2</v>
      </c>
      <c r="D77" s="4" t="s">
        <v>922</v>
      </c>
      <c r="E77" s="4" t="s">
        <v>4</v>
      </c>
      <c r="F77" s="4" t="s">
        <v>5</v>
      </c>
      <c r="G77" s="4" t="s">
        <v>6</v>
      </c>
    </row>
    <row r="78" spans="1:7" x14ac:dyDescent="0.35">
      <c r="A78" s="5" t="s">
        <v>951</v>
      </c>
      <c r="B78" s="5" t="s">
        <v>942</v>
      </c>
      <c r="C78" s="7">
        <v>0.22</v>
      </c>
      <c r="D78" s="7">
        <f t="shared" si="14"/>
        <v>0.19800000000000001</v>
      </c>
      <c r="E78" s="7">
        <f t="shared" si="15"/>
        <v>0.16800000000000001</v>
      </c>
      <c r="F78" s="7">
        <f t="shared" si="16"/>
        <v>3.3600000000000001E-3</v>
      </c>
      <c r="G78" s="7">
        <f t="shared" si="17"/>
        <v>0.16464000000000001</v>
      </c>
    </row>
    <row r="79" spans="1:7" x14ac:dyDescent="0.35">
      <c r="A79" s="2" t="s">
        <v>241</v>
      </c>
      <c r="B79" s="2" t="s">
        <v>1</v>
      </c>
      <c r="C79" s="3" t="s">
        <v>2</v>
      </c>
      <c r="D79" s="4" t="s">
        <v>922</v>
      </c>
      <c r="E79" s="4" t="s">
        <v>4</v>
      </c>
      <c r="F79" s="4" t="s">
        <v>5</v>
      </c>
      <c r="G79" s="4" t="s">
        <v>6</v>
      </c>
    </row>
    <row r="80" spans="1:7" x14ac:dyDescent="0.35">
      <c r="A80" s="5" t="s">
        <v>952</v>
      </c>
      <c r="B80" s="5" t="s">
        <v>926</v>
      </c>
      <c r="C80" s="7">
        <v>0.22</v>
      </c>
      <c r="D80" s="7">
        <f t="shared" si="14"/>
        <v>0.19800000000000001</v>
      </c>
      <c r="E80" s="7">
        <f t="shared" si="15"/>
        <v>0.16800000000000001</v>
      </c>
      <c r="F80" s="7">
        <f t="shared" si="16"/>
        <v>3.3600000000000001E-3</v>
      </c>
      <c r="G80" s="7">
        <f t="shared" si="17"/>
        <v>0.16464000000000001</v>
      </c>
    </row>
    <row r="81" spans="1:7" x14ac:dyDescent="0.35">
      <c r="A81" s="2" t="s">
        <v>252</v>
      </c>
      <c r="B81" s="2" t="s">
        <v>1</v>
      </c>
      <c r="C81" s="3" t="s">
        <v>2</v>
      </c>
      <c r="D81" s="4" t="s">
        <v>922</v>
      </c>
      <c r="E81" s="4" t="s">
        <v>4</v>
      </c>
      <c r="F81" s="4" t="s">
        <v>5</v>
      </c>
      <c r="G81" s="4" t="s">
        <v>6</v>
      </c>
    </row>
    <row r="82" spans="1:7" x14ac:dyDescent="0.35">
      <c r="A82" s="5" t="s">
        <v>940</v>
      </c>
      <c r="B82" s="5" t="s">
        <v>100</v>
      </c>
      <c r="C82" s="6">
        <v>0.2</v>
      </c>
      <c r="D82" s="7">
        <f t="shared" si="14"/>
        <v>0.18</v>
      </c>
      <c r="E82" s="7">
        <f t="shared" si="15"/>
        <v>0.15</v>
      </c>
      <c r="F82" s="7">
        <f t="shared" si="16"/>
        <v>3.0000000000000001E-3</v>
      </c>
      <c r="G82" s="7">
        <f t="shared" si="17"/>
        <v>0.14699999999999999</v>
      </c>
    </row>
    <row r="83" spans="1:7" x14ac:dyDescent="0.35">
      <c r="A83" s="5" t="s">
        <v>941</v>
      </c>
      <c r="B83" s="5" t="s">
        <v>100</v>
      </c>
      <c r="C83" s="6">
        <v>0.15</v>
      </c>
      <c r="D83" s="7">
        <f t="shared" si="14"/>
        <v>0.13500000000000001</v>
      </c>
      <c r="E83" s="7">
        <f t="shared" si="15"/>
        <v>0.10500000000000001</v>
      </c>
      <c r="F83" s="7">
        <f t="shared" si="16"/>
        <v>2.1000000000000003E-3</v>
      </c>
      <c r="G83" s="7">
        <f t="shared" si="17"/>
        <v>0.10290000000000001</v>
      </c>
    </row>
    <row r="86" spans="1:7" x14ac:dyDescent="0.35">
      <c r="A86" s="46" t="s">
        <v>1280</v>
      </c>
      <c r="B86" s="1"/>
      <c r="C86" s="8"/>
      <c r="D86" s="8"/>
      <c r="E86" s="8"/>
      <c r="F86" s="8"/>
      <c r="G86" s="8"/>
    </row>
    <row r="87" spans="1:7" x14ac:dyDescent="0.35">
      <c r="A87" s="46"/>
      <c r="B87" s="1"/>
      <c r="C87" s="8"/>
      <c r="D87" s="8"/>
      <c r="E87" s="8"/>
      <c r="F87" s="8"/>
      <c r="G87" s="8"/>
    </row>
    <row r="88" spans="1:7" x14ac:dyDescent="0.35">
      <c r="C88" s="10"/>
      <c r="D88" s="10"/>
      <c r="E88" s="10"/>
      <c r="F88" s="10"/>
      <c r="G88" s="10"/>
    </row>
    <row r="89" spans="1:7" x14ac:dyDescent="0.35">
      <c r="A89" s="2" t="s">
        <v>0</v>
      </c>
      <c r="B89" s="2" t="s">
        <v>1</v>
      </c>
      <c r="C89" s="3" t="s">
        <v>2</v>
      </c>
      <c r="D89" s="4" t="s">
        <v>922</v>
      </c>
      <c r="E89" s="4" t="s">
        <v>4</v>
      </c>
      <c r="F89" s="4" t="s">
        <v>5</v>
      </c>
      <c r="G89" s="4" t="s">
        <v>6</v>
      </c>
    </row>
    <row r="90" spans="1:7" ht="24" x14ac:dyDescent="0.35">
      <c r="A90" s="5" t="s">
        <v>923</v>
      </c>
      <c r="B90" s="5" t="s">
        <v>660</v>
      </c>
      <c r="C90" s="7">
        <v>0.22</v>
      </c>
      <c r="D90" s="7">
        <f>(C90-(C90*10%))</f>
        <v>0.19800000000000001</v>
      </c>
      <c r="E90" s="7">
        <f>D90-(3%)</f>
        <v>0.16800000000000001</v>
      </c>
      <c r="F90" s="7">
        <f t="shared" ref="F90" si="18">E90*2%</f>
        <v>3.3600000000000001E-3</v>
      </c>
      <c r="G90" s="7">
        <f t="shared" ref="G90" si="19">E90-F90</f>
        <v>0.16464000000000001</v>
      </c>
    </row>
    <row r="91" spans="1:7" x14ac:dyDescent="0.35">
      <c r="A91" s="2" t="s">
        <v>67</v>
      </c>
      <c r="B91" s="2" t="s">
        <v>1</v>
      </c>
      <c r="C91" s="3" t="s">
        <v>2</v>
      </c>
      <c r="D91" s="4" t="s">
        <v>922</v>
      </c>
      <c r="E91" s="4" t="s">
        <v>4</v>
      </c>
      <c r="F91" s="4" t="s">
        <v>5</v>
      </c>
      <c r="G91" s="4" t="s">
        <v>6</v>
      </c>
    </row>
    <row r="92" spans="1:7" ht="24" x14ac:dyDescent="0.35">
      <c r="A92" s="5" t="s">
        <v>953</v>
      </c>
      <c r="B92" s="5" t="s">
        <v>660</v>
      </c>
      <c r="C92" s="6">
        <v>0.22</v>
      </c>
      <c r="D92" s="7">
        <f t="shared" ref="D92:D117" si="20">(C92-(C92*10%))</f>
        <v>0.19800000000000001</v>
      </c>
      <c r="E92" s="7">
        <f t="shared" ref="E92:E117" si="21">D92-(3%)</f>
        <v>0.16800000000000001</v>
      </c>
      <c r="F92" s="7">
        <f t="shared" ref="F92:F117" si="22">E92*2%</f>
        <v>3.3600000000000001E-3</v>
      </c>
      <c r="G92" s="7">
        <f t="shared" ref="G92:G117" si="23">E92-F92</f>
        <v>0.16464000000000001</v>
      </c>
    </row>
    <row r="93" spans="1:7" x14ac:dyDescent="0.35">
      <c r="A93" s="5" t="s">
        <v>954</v>
      </c>
      <c r="B93" s="5" t="s">
        <v>663</v>
      </c>
      <c r="C93" s="6">
        <v>0.22</v>
      </c>
      <c r="D93" s="7">
        <f t="shared" si="20"/>
        <v>0.19800000000000001</v>
      </c>
      <c r="E93" s="7">
        <f t="shared" si="21"/>
        <v>0.16800000000000001</v>
      </c>
      <c r="F93" s="7">
        <f t="shared" si="22"/>
        <v>3.3600000000000001E-3</v>
      </c>
      <c r="G93" s="7">
        <f t="shared" si="23"/>
        <v>0.16464000000000001</v>
      </c>
    </row>
    <row r="94" spans="1:7" x14ac:dyDescent="0.35">
      <c r="A94" s="2" t="s">
        <v>104</v>
      </c>
      <c r="B94" s="2" t="s">
        <v>1</v>
      </c>
      <c r="C94" s="3" t="s">
        <v>2</v>
      </c>
      <c r="D94" s="4" t="s">
        <v>922</v>
      </c>
      <c r="E94" s="4" t="s">
        <v>4</v>
      </c>
      <c r="F94" s="4" t="s">
        <v>5</v>
      </c>
      <c r="G94" s="4" t="s">
        <v>6</v>
      </c>
    </row>
    <row r="95" spans="1:7" ht="24" x14ac:dyDescent="0.35">
      <c r="A95" s="5" t="s">
        <v>955</v>
      </c>
      <c r="B95" s="5" t="s">
        <v>660</v>
      </c>
      <c r="C95" s="6">
        <v>0.22</v>
      </c>
      <c r="D95" s="7">
        <f t="shared" si="20"/>
        <v>0.19800000000000001</v>
      </c>
      <c r="E95" s="7">
        <f t="shared" si="21"/>
        <v>0.16800000000000001</v>
      </c>
      <c r="F95" s="7">
        <f t="shared" si="22"/>
        <v>3.3600000000000001E-3</v>
      </c>
      <c r="G95" s="7">
        <f t="shared" si="23"/>
        <v>0.16464000000000001</v>
      </c>
    </row>
    <row r="96" spans="1:7" x14ac:dyDescent="0.35">
      <c r="A96" s="5" t="s">
        <v>956</v>
      </c>
      <c r="B96" s="5" t="s">
        <v>663</v>
      </c>
      <c r="C96" s="6">
        <v>0.22</v>
      </c>
      <c r="D96" s="7">
        <f t="shared" si="20"/>
        <v>0.19800000000000001</v>
      </c>
      <c r="E96" s="7">
        <f t="shared" si="21"/>
        <v>0.16800000000000001</v>
      </c>
      <c r="F96" s="7">
        <f t="shared" si="22"/>
        <v>3.3600000000000001E-3</v>
      </c>
      <c r="G96" s="7">
        <f t="shared" si="23"/>
        <v>0.16464000000000001</v>
      </c>
    </row>
    <row r="97" spans="1:7" x14ac:dyDescent="0.35">
      <c r="A97" s="2" t="s">
        <v>117</v>
      </c>
      <c r="B97" s="2" t="s">
        <v>1</v>
      </c>
      <c r="C97" s="3" t="s">
        <v>2</v>
      </c>
      <c r="D97" s="4" t="s">
        <v>922</v>
      </c>
      <c r="E97" s="4" t="s">
        <v>4</v>
      </c>
      <c r="F97" s="4" t="s">
        <v>5</v>
      </c>
      <c r="G97" s="4" t="s">
        <v>6</v>
      </c>
    </row>
    <row r="98" spans="1:7" ht="24" x14ac:dyDescent="0.35">
      <c r="A98" s="5" t="s">
        <v>957</v>
      </c>
      <c r="B98" s="5" t="s">
        <v>660</v>
      </c>
      <c r="C98" s="6">
        <v>0.22</v>
      </c>
      <c r="D98" s="7">
        <f t="shared" si="20"/>
        <v>0.19800000000000001</v>
      </c>
      <c r="E98" s="7">
        <f t="shared" si="21"/>
        <v>0.16800000000000001</v>
      </c>
      <c r="F98" s="7">
        <f t="shared" si="22"/>
        <v>3.3600000000000001E-3</v>
      </c>
      <c r="G98" s="7">
        <f t="shared" si="23"/>
        <v>0.16464000000000001</v>
      </c>
    </row>
    <row r="99" spans="1:7" x14ac:dyDescent="0.35">
      <c r="A99" s="5" t="s">
        <v>958</v>
      </c>
      <c r="B99" s="5" t="s">
        <v>663</v>
      </c>
      <c r="C99" s="6">
        <v>0.22</v>
      </c>
      <c r="D99" s="7">
        <f t="shared" si="20"/>
        <v>0.19800000000000001</v>
      </c>
      <c r="E99" s="7">
        <f t="shared" si="21"/>
        <v>0.16800000000000001</v>
      </c>
      <c r="F99" s="7">
        <f t="shared" si="22"/>
        <v>3.3600000000000001E-3</v>
      </c>
      <c r="G99" s="7">
        <f t="shared" si="23"/>
        <v>0.16464000000000001</v>
      </c>
    </row>
    <row r="100" spans="1:7" x14ac:dyDescent="0.35">
      <c r="A100" s="2" t="s">
        <v>133</v>
      </c>
      <c r="B100" s="2" t="s">
        <v>1</v>
      </c>
      <c r="C100" s="3" t="s">
        <v>2</v>
      </c>
      <c r="D100" s="4" t="s">
        <v>922</v>
      </c>
      <c r="E100" s="4" t="s">
        <v>4</v>
      </c>
      <c r="F100" s="4" t="s">
        <v>5</v>
      </c>
      <c r="G100" s="4" t="s">
        <v>6</v>
      </c>
    </row>
    <row r="101" spans="1:7" ht="24" x14ac:dyDescent="0.35">
      <c r="A101" s="5" t="s">
        <v>932</v>
      </c>
      <c r="B101" s="5" t="s">
        <v>660</v>
      </c>
      <c r="C101" s="6">
        <v>0.22</v>
      </c>
      <c r="D101" s="7">
        <f t="shared" si="20"/>
        <v>0.19800000000000001</v>
      </c>
      <c r="E101" s="7">
        <f t="shared" si="21"/>
        <v>0.16800000000000001</v>
      </c>
      <c r="F101" s="7">
        <f t="shared" si="22"/>
        <v>3.3600000000000001E-3</v>
      </c>
      <c r="G101" s="7">
        <f t="shared" si="23"/>
        <v>0.16464000000000001</v>
      </c>
    </row>
    <row r="102" spans="1:7" x14ac:dyDescent="0.35">
      <c r="A102" s="2" t="s">
        <v>141</v>
      </c>
      <c r="B102" s="2" t="s">
        <v>1</v>
      </c>
      <c r="C102" s="3" t="s">
        <v>2</v>
      </c>
      <c r="D102" s="4" t="s">
        <v>922</v>
      </c>
      <c r="E102" s="4" t="s">
        <v>4</v>
      </c>
      <c r="F102" s="4" t="s">
        <v>5</v>
      </c>
      <c r="G102" s="4" t="s">
        <v>6</v>
      </c>
    </row>
    <row r="103" spans="1:7" ht="24" x14ac:dyDescent="0.35">
      <c r="A103" s="5" t="s">
        <v>947</v>
      </c>
      <c r="B103" s="5" t="s">
        <v>660</v>
      </c>
      <c r="C103" s="6">
        <v>0.22</v>
      </c>
      <c r="D103" s="7">
        <f t="shared" si="20"/>
        <v>0.19800000000000001</v>
      </c>
      <c r="E103" s="7">
        <f t="shared" si="21"/>
        <v>0.16800000000000001</v>
      </c>
      <c r="F103" s="7">
        <f t="shared" si="22"/>
        <v>3.3600000000000001E-3</v>
      </c>
      <c r="G103" s="7">
        <f t="shared" si="23"/>
        <v>0.16464000000000001</v>
      </c>
    </row>
    <row r="104" spans="1:7" x14ac:dyDescent="0.35">
      <c r="A104" s="2" t="s">
        <v>159</v>
      </c>
      <c r="B104" s="2" t="s">
        <v>1</v>
      </c>
      <c r="C104" s="3" t="s">
        <v>2</v>
      </c>
      <c r="D104" s="4" t="s">
        <v>922</v>
      </c>
      <c r="E104" s="4" t="s">
        <v>4</v>
      </c>
      <c r="F104" s="4" t="s">
        <v>5</v>
      </c>
      <c r="G104" s="4" t="s">
        <v>6</v>
      </c>
    </row>
    <row r="105" spans="1:7" ht="24" x14ac:dyDescent="0.35">
      <c r="A105" s="5" t="s">
        <v>949</v>
      </c>
      <c r="B105" s="5" t="s">
        <v>660</v>
      </c>
      <c r="C105" s="6">
        <v>0.22</v>
      </c>
      <c r="D105" s="7">
        <f t="shared" si="20"/>
        <v>0.19800000000000001</v>
      </c>
      <c r="E105" s="7">
        <f t="shared" si="21"/>
        <v>0.16800000000000001</v>
      </c>
      <c r="F105" s="7">
        <f t="shared" si="22"/>
        <v>3.3600000000000001E-3</v>
      </c>
      <c r="G105" s="7">
        <f t="shared" si="23"/>
        <v>0.16464000000000001</v>
      </c>
    </row>
    <row r="106" spans="1:7" x14ac:dyDescent="0.35">
      <c r="A106" s="2" t="s">
        <v>175</v>
      </c>
      <c r="B106" s="2" t="s">
        <v>1</v>
      </c>
      <c r="C106" s="3" t="s">
        <v>2</v>
      </c>
      <c r="D106" s="4" t="s">
        <v>922</v>
      </c>
      <c r="E106" s="4" t="s">
        <v>4</v>
      </c>
      <c r="F106" s="4" t="s">
        <v>5</v>
      </c>
      <c r="G106" s="4" t="s">
        <v>6</v>
      </c>
    </row>
    <row r="107" spans="1:7" ht="24" x14ac:dyDescent="0.35">
      <c r="A107" s="5" t="s">
        <v>959</v>
      </c>
      <c r="B107" s="5" t="s">
        <v>660</v>
      </c>
      <c r="C107" s="6">
        <v>0.22</v>
      </c>
      <c r="D107" s="7">
        <f t="shared" si="20"/>
        <v>0.19800000000000001</v>
      </c>
      <c r="E107" s="7">
        <f t="shared" si="21"/>
        <v>0.16800000000000001</v>
      </c>
      <c r="F107" s="7">
        <f t="shared" si="22"/>
        <v>3.3600000000000001E-3</v>
      </c>
      <c r="G107" s="7">
        <f t="shared" si="23"/>
        <v>0.16464000000000001</v>
      </c>
    </row>
    <row r="108" spans="1:7" x14ac:dyDescent="0.35">
      <c r="A108" s="2" t="s">
        <v>185</v>
      </c>
      <c r="B108" s="2" t="s">
        <v>1</v>
      </c>
      <c r="C108" s="3" t="s">
        <v>2</v>
      </c>
      <c r="D108" s="4" t="s">
        <v>922</v>
      </c>
      <c r="E108" s="4" t="s">
        <v>4</v>
      </c>
      <c r="F108" s="4" t="s">
        <v>5</v>
      </c>
      <c r="G108" s="4" t="s">
        <v>6</v>
      </c>
    </row>
    <row r="109" spans="1:7" ht="24" x14ac:dyDescent="0.35">
      <c r="A109" s="5" t="s">
        <v>940</v>
      </c>
      <c r="B109" s="5" t="s">
        <v>960</v>
      </c>
      <c r="C109" s="6">
        <v>0.22</v>
      </c>
      <c r="D109" s="7">
        <f t="shared" si="20"/>
        <v>0.19800000000000001</v>
      </c>
      <c r="E109" s="7">
        <f t="shared" si="21"/>
        <v>0.16800000000000001</v>
      </c>
      <c r="F109" s="7">
        <f t="shared" si="22"/>
        <v>3.3600000000000001E-3</v>
      </c>
      <c r="G109" s="7">
        <f t="shared" si="23"/>
        <v>0.16464000000000001</v>
      </c>
    </row>
    <row r="110" spans="1:7" x14ac:dyDescent="0.35">
      <c r="A110" s="5" t="s">
        <v>961</v>
      </c>
      <c r="B110" s="5" t="s">
        <v>662</v>
      </c>
      <c r="C110" s="6">
        <v>0.22</v>
      </c>
      <c r="D110" s="7">
        <f t="shared" si="20"/>
        <v>0.19800000000000001</v>
      </c>
      <c r="E110" s="7">
        <f t="shared" si="21"/>
        <v>0.16800000000000001</v>
      </c>
      <c r="F110" s="7">
        <f t="shared" si="22"/>
        <v>3.3600000000000001E-3</v>
      </c>
      <c r="G110" s="7">
        <f t="shared" si="23"/>
        <v>0.16464000000000001</v>
      </c>
    </row>
    <row r="111" spans="1:7" x14ac:dyDescent="0.35">
      <c r="A111" s="2" t="s">
        <v>225</v>
      </c>
      <c r="B111" s="2" t="s">
        <v>1</v>
      </c>
      <c r="C111" s="3" t="s">
        <v>2</v>
      </c>
      <c r="D111" s="4" t="s">
        <v>922</v>
      </c>
      <c r="E111" s="4" t="s">
        <v>4</v>
      </c>
      <c r="F111" s="4" t="s">
        <v>5</v>
      </c>
      <c r="G111" s="4" t="s">
        <v>6</v>
      </c>
    </row>
    <row r="112" spans="1:7" ht="24" x14ac:dyDescent="0.35">
      <c r="A112" s="5" t="s">
        <v>962</v>
      </c>
      <c r="B112" s="5" t="s">
        <v>963</v>
      </c>
      <c r="C112" s="7">
        <v>0.22</v>
      </c>
      <c r="D112" s="7">
        <f t="shared" si="20"/>
        <v>0.19800000000000001</v>
      </c>
      <c r="E112" s="7">
        <f t="shared" si="21"/>
        <v>0.16800000000000001</v>
      </c>
      <c r="F112" s="7">
        <f t="shared" si="22"/>
        <v>3.3600000000000001E-3</v>
      </c>
      <c r="G112" s="7">
        <f t="shared" si="23"/>
        <v>0.16464000000000001</v>
      </c>
    </row>
    <row r="113" spans="1:7" x14ac:dyDescent="0.35">
      <c r="A113" s="2" t="s">
        <v>241</v>
      </c>
      <c r="B113" s="2" t="s">
        <v>1</v>
      </c>
      <c r="C113" s="3" t="s">
        <v>2</v>
      </c>
      <c r="D113" s="4" t="s">
        <v>922</v>
      </c>
      <c r="E113" s="4" t="s">
        <v>4</v>
      </c>
      <c r="F113" s="4" t="s">
        <v>5</v>
      </c>
      <c r="G113" s="4" t="s">
        <v>6</v>
      </c>
    </row>
    <row r="114" spans="1:7" ht="24" x14ac:dyDescent="0.35">
      <c r="A114" s="5" t="s">
        <v>939</v>
      </c>
      <c r="B114" s="5" t="s">
        <v>963</v>
      </c>
      <c r="C114" s="7">
        <v>0.22</v>
      </c>
      <c r="D114" s="7">
        <f t="shared" si="20"/>
        <v>0.19800000000000001</v>
      </c>
      <c r="E114" s="7">
        <f t="shared" si="21"/>
        <v>0.16800000000000001</v>
      </c>
      <c r="F114" s="7">
        <f t="shared" si="22"/>
        <v>3.3600000000000001E-3</v>
      </c>
      <c r="G114" s="7">
        <f t="shared" si="23"/>
        <v>0.16464000000000001</v>
      </c>
    </row>
    <row r="115" spans="1:7" x14ac:dyDescent="0.35">
      <c r="A115" s="2" t="s">
        <v>252</v>
      </c>
      <c r="B115" s="2" t="s">
        <v>1</v>
      </c>
      <c r="C115" s="3" t="s">
        <v>2</v>
      </c>
      <c r="D115" s="4" t="s">
        <v>922</v>
      </c>
      <c r="E115" s="4" t="s">
        <v>4</v>
      </c>
      <c r="F115" s="4" t="s">
        <v>5</v>
      </c>
      <c r="G115" s="4" t="s">
        <v>6</v>
      </c>
    </row>
    <row r="116" spans="1:7" x14ac:dyDescent="0.35">
      <c r="A116" s="5" t="s">
        <v>940</v>
      </c>
      <c r="B116" s="5" t="s">
        <v>100</v>
      </c>
      <c r="C116" s="6">
        <v>0.2</v>
      </c>
      <c r="D116" s="7">
        <f t="shared" si="20"/>
        <v>0.18</v>
      </c>
      <c r="E116" s="7">
        <f t="shared" si="21"/>
        <v>0.15</v>
      </c>
      <c r="F116" s="7">
        <f t="shared" si="22"/>
        <v>3.0000000000000001E-3</v>
      </c>
      <c r="G116" s="7">
        <f t="shared" si="23"/>
        <v>0.14699999999999999</v>
      </c>
    </row>
    <row r="117" spans="1:7" x14ac:dyDescent="0.35">
      <c r="A117" s="5" t="s">
        <v>941</v>
      </c>
      <c r="B117" s="5" t="s">
        <v>100</v>
      </c>
      <c r="C117" s="6">
        <v>0.15</v>
      </c>
      <c r="D117" s="7">
        <f t="shared" si="20"/>
        <v>0.13500000000000001</v>
      </c>
      <c r="E117" s="7">
        <f t="shared" si="21"/>
        <v>0.10500000000000001</v>
      </c>
      <c r="F117" s="7">
        <f t="shared" si="22"/>
        <v>2.1000000000000003E-3</v>
      </c>
      <c r="G117" s="7">
        <f t="shared" si="23"/>
        <v>0.10290000000000001</v>
      </c>
    </row>
  </sheetData>
  <mergeCells count="4">
    <mergeCell ref="A56:A57"/>
    <mergeCell ref="A35:A36"/>
    <mergeCell ref="A2:A3"/>
    <mergeCell ref="A86:A87"/>
  </mergeCells>
  <printOptions horizontalCentered="1" verticalCentered="1"/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26F2-D3BB-4780-9D8B-5F9B8F6EE4C0}">
  <dimension ref="A2:N60"/>
  <sheetViews>
    <sheetView showGridLines="0" topLeftCell="A60" zoomScaleNormal="100" workbookViewId="0">
      <selection activeCell="A2" sqref="A2:G60"/>
    </sheetView>
  </sheetViews>
  <sheetFormatPr defaultRowHeight="14.5" x14ac:dyDescent="0.35"/>
  <cols>
    <col min="1" max="1" width="39.1796875" style="9" customWidth="1"/>
    <col min="2" max="2" width="15.36328125" style="9" bestFit="1" customWidth="1"/>
    <col min="3" max="3" width="5.7265625" hidden="1" customWidth="1"/>
    <col min="4" max="4" width="7.7265625" hidden="1" customWidth="1"/>
    <col min="5" max="5" width="10.453125" hidden="1" customWidth="1"/>
    <col min="6" max="6" width="9.81640625" hidden="1" customWidth="1"/>
    <col min="7" max="7" width="7.08984375" customWidth="1"/>
    <col min="10" max="10" width="10.1796875" bestFit="1" customWidth="1"/>
    <col min="14" max="14" width="10.1796875" bestFit="1" customWidth="1"/>
    <col min="15" max="15" width="11.81640625" bestFit="1" customWidth="1"/>
  </cols>
  <sheetData>
    <row r="2" spans="1:14" ht="46.5" customHeight="1" x14ac:dyDescent="0.35">
      <c r="A2" s="46" t="s">
        <v>1289</v>
      </c>
      <c r="B2" s="22"/>
      <c r="C2" s="12"/>
      <c r="D2" s="12"/>
      <c r="E2" s="12"/>
      <c r="F2" s="12"/>
      <c r="G2" s="12"/>
      <c r="N2" s="30"/>
    </row>
    <row r="3" spans="1:14" ht="24.65" customHeight="1" x14ac:dyDescent="0.35">
      <c r="A3" s="46"/>
      <c r="B3" s="22"/>
      <c r="C3" s="12"/>
      <c r="D3" s="12"/>
      <c r="E3" s="12"/>
      <c r="F3" s="12"/>
      <c r="G3" s="12"/>
    </row>
    <row r="5" spans="1:14" x14ac:dyDescent="0.35">
      <c r="A5" s="2" t="s">
        <v>0</v>
      </c>
      <c r="B5" s="2" t="s">
        <v>1</v>
      </c>
      <c r="C5" s="3" t="s">
        <v>2</v>
      </c>
      <c r="D5" s="4" t="s">
        <v>922</v>
      </c>
      <c r="E5" s="4" t="s">
        <v>1276</v>
      </c>
      <c r="F5" s="4" t="s">
        <v>363</v>
      </c>
      <c r="G5" s="4" t="s">
        <v>364</v>
      </c>
      <c r="J5" s="30"/>
    </row>
    <row r="6" spans="1:14" x14ac:dyDescent="0.35">
      <c r="A6" s="5" t="s">
        <v>923</v>
      </c>
      <c r="B6" s="5" t="s">
        <v>100</v>
      </c>
      <c r="C6" s="6">
        <v>0.22</v>
      </c>
      <c r="D6" s="7">
        <f>(C6-(C6*10%))</f>
        <v>0.19800000000000001</v>
      </c>
      <c r="E6" s="7">
        <f>D6-(2.5%)</f>
        <v>0.17300000000000001</v>
      </c>
      <c r="F6" s="7">
        <f>E6*(2%)</f>
        <v>3.4600000000000004E-3</v>
      </c>
      <c r="G6" s="7">
        <f t="shared" ref="G6" si="0">E6-F6</f>
        <v>0.16954000000000002</v>
      </c>
    </row>
    <row r="7" spans="1:14" x14ac:dyDescent="0.35">
      <c r="A7" s="2" t="s">
        <v>924</v>
      </c>
      <c r="B7" s="2" t="s">
        <v>1</v>
      </c>
      <c r="C7" s="3" t="s">
        <v>2</v>
      </c>
      <c r="D7" s="4" t="s">
        <v>922</v>
      </c>
      <c r="E7" s="4" t="s">
        <v>1276</v>
      </c>
      <c r="F7" s="4" t="s">
        <v>363</v>
      </c>
      <c r="G7" s="4" t="s">
        <v>364</v>
      </c>
    </row>
    <row r="8" spans="1:14" x14ac:dyDescent="0.35">
      <c r="A8" s="5" t="s">
        <v>925</v>
      </c>
      <c r="B8" s="5" t="s">
        <v>926</v>
      </c>
      <c r="C8" s="6">
        <v>0.22</v>
      </c>
      <c r="D8" s="7">
        <f t="shared" ref="D8:D30" si="1">(C8-(C8*10%))</f>
        <v>0.19800000000000001</v>
      </c>
      <c r="E8" s="7">
        <f t="shared" ref="E8:E47" si="2">D8-(2.5%)</f>
        <v>0.17300000000000001</v>
      </c>
      <c r="F8" s="7">
        <f t="shared" ref="F8:F47" si="3">E8*(2%)</f>
        <v>3.4600000000000004E-3</v>
      </c>
      <c r="G8" s="7">
        <f t="shared" ref="G8:G47" si="4">E8-F8</f>
        <v>0.16954000000000002</v>
      </c>
    </row>
    <row r="9" spans="1:14" x14ac:dyDescent="0.35">
      <c r="A9" s="2" t="s">
        <v>927</v>
      </c>
      <c r="B9" s="2" t="s">
        <v>1</v>
      </c>
      <c r="C9" s="3" t="s">
        <v>2</v>
      </c>
      <c r="D9" s="4" t="s">
        <v>922</v>
      </c>
      <c r="E9" s="4" t="s">
        <v>1276</v>
      </c>
      <c r="F9" s="4" t="s">
        <v>363</v>
      </c>
      <c r="G9" s="4" t="s">
        <v>364</v>
      </c>
    </row>
    <row r="10" spans="1:14" x14ac:dyDescent="0.35">
      <c r="A10" s="5" t="s">
        <v>928</v>
      </c>
      <c r="B10" s="5" t="s">
        <v>926</v>
      </c>
      <c r="C10" s="6">
        <v>0.22</v>
      </c>
      <c r="D10" s="7">
        <f t="shared" si="1"/>
        <v>0.19800000000000001</v>
      </c>
      <c r="E10" s="7">
        <f t="shared" si="2"/>
        <v>0.17300000000000001</v>
      </c>
      <c r="F10" s="7">
        <f t="shared" si="3"/>
        <v>3.4600000000000004E-3</v>
      </c>
      <c r="G10" s="7">
        <f t="shared" si="4"/>
        <v>0.16954000000000002</v>
      </c>
    </row>
    <row r="11" spans="1:14" x14ac:dyDescent="0.35">
      <c r="A11" s="2" t="s">
        <v>929</v>
      </c>
      <c r="B11" s="2" t="s">
        <v>1</v>
      </c>
      <c r="C11" s="3" t="s">
        <v>2</v>
      </c>
      <c r="D11" s="4" t="s">
        <v>922</v>
      </c>
      <c r="E11" s="4" t="s">
        <v>1276</v>
      </c>
      <c r="F11" s="4" t="s">
        <v>363</v>
      </c>
      <c r="G11" s="4" t="s">
        <v>364</v>
      </c>
    </row>
    <row r="12" spans="1:14" x14ac:dyDescent="0.35">
      <c r="A12" s="5" t="s">
        <v>930</v>
      </c>
      <c r="B12" s="5" t="s">
        <v>926</v>
      </c>
      <c r="C12" s="6">
        <v>0.22</v>
      </c>
      <c r="D12" s="7">
        <f t="shared" si="1"/>
        <v>0.19800000000000001</v>
      </c>
      <c r="E12" s="7">
        <f t="shared" si="2"/>
        <v>0.17300000000000001</v>
      </c>
      <c r="F12" s="7">
        <f t="shared" si="3"/>
        <v>3.4600000000000004E-3</v>
      </c>
      <c r="G12" s="7">
        <f t="shared" si="4"/>
        <v>0.16954000000000002</v>
      </c>
    </row>
    <row r="13" spans="1:14" x14ac:dyDescent="0.35">
      <c r="A13" s="2" t="s">
        <v>931</v>
      </c>
      <c r="B13" s="2" t="s">
        <v>1</v>
      </c>
      <c r="C13" s="3" t="s">
        <v>2</v>
      </c>
      <c r="D13" s="4" t="s">
        <v>922</v>
      </c>
      <c r="E13" s="4" t="s">
        <v>1276</v>
      </c>
      <c r="F13" s="4" t="s">
        <v>363</v>
      </c>
      <c r="G13" s="4" t="s">
        <v>364</v>
      </c>
    </row>
    <row r="14" spans="1:14" x14ac:dyDescent="0.35">
      <c r="A14" s="5" t="s">
        <v>932</v>
      </c>
      <c r="B14" s="5" t="s">
        <v>926</v>
      </c>
      <c r="C14" s="6">
        <v>0.22</v>
      </c>
      <c r="D14" s="7">
        <f t="shared" si="1"/>
        <v>0.19800000000000001</v>
      </c>
      <c r="E14" s="7">
        <f t="shared" si="2"/>
        <v>0.17300000000000001</v>
      </c>
      <c r="F14" s="7">
        <f t="shared" si="3"/>
        <v>3.4600000000000004E-3</v>
      </c>
      <c r="G14" s="7">
        <f t="shared" si="4"/>
        <v>0.16954000000000002</v>
      </c>
    </row>
    <row r="15" spans="1:14" x14ac:dyDescent="0.35">
      <c r="A15" s="2" t="s">
        <v>141</v>
      </c>
      <c r="B15" s="2" t="s">
        <v>1</v>
      </c>
      <c r="C15" s="3" t="s">
        <v>2</v>
      </c>
      <c r="D15" s="4" t="s">
        <v>922</v>
      </c>
      <c r="E15" s="4" t="s">
        <v>1276</v>
      </c>
      <c r="F15" s="4" t="s">
        <v>363</v>
      </c>
      <c r="G15" s="4" t="s">
        <v>364</v>
      </c>
    </row>
    <row r="16" spans="1:14" x14ac:dyDescent="0.35">
      <c r="A16" s="5" t="s">
        <v>933</v>
      </c>
      <c r="B16" s="5" t="s">
        <v>926</v>
      </c>
      <c r="C16" s="6">
        <v>0.22</v>
      </c>
      <c r="D16" s="7">
        <f t="shared" si="1"/>
        <v>0.19800000000000001</v>
      </c>
      <c r="E16" s="7">
        <f t="shared" si="2"/>
        <v>0.17300000000000001</v>
      </c>
      <c r="F16" s="7">
        <f t="shared" si="3"/>
        <v>3.4600000000000004E-3</v>
      </c>
      <c r="G16" s="7">
        <f t="shared" si="4"/>
        <v>0.16954000000000002</v>
      </c>
    </row>
    <row r="17" spans="1:7" x14ac:dyDescent="0.35">
      <c r="A17" s="2" t="s">
        <v>159</v>
      </c>
      <c r="B17" s="2" t="s">
        <v>1</v>
      </c>
      <c r="C17" s="3" t="s">
        <v>2</v>
      </c>
      <c r="D17" s="4" t="s">
        <v>922</v>
      </c>
      <c r="E17" s="4" t="s">
        <v>1276</v>
      </c>
      <c r="F17" s="4" t="s">
        <v>363</v>
      </c>
      <c r="G17" s="4" t="s">
        <v>364</v>
      </c>
    </row>
    <row r="18" spans="1:7" x14ac:dyDescent="0.35">
      <c r="A18" s="5" t="s">
        <v>934</v>
      </c>
      <c r="B18" s="5" t="s">
        <v>926</v>
      </c>
      <c r="C18" s="6">
        <v>0.22</v>
      </c>
      <c r="D18" s="7">
        <f t="shared" si="1"/>
        <v>0.19800000000000001</v>
      </c>
      <c r="E18" s="7">
        <f t="shared" si="2"/>
        <v>0.17300000000000001</v>
      </c>
      <c r="F18" s="7">
        <f t="shared" si="3"/>
        <v>3.4600000000000004E-3</v>
      </c>
      <c r="G18" s="7">
        <f t="shared" si="4"/>
        <v>0.16954000000000002</v>
      </c>
    </row>
    <row r="19" spans="1:7" x14ac:dyDescent="0.35">
      <c r="A19" s="2" t="s">
        <v>175</v>
      </c>
      <c r="B19" s="2" t="s">
        <v>1</v>
      </c>
      <c r="C19" s="3" t="s">
        <v>2</v>
      </c>
      <c r="D19" s="4" t="s">
        <v>922</v>
      </c>
      <c r="E19" s="4" t="s">
        <v>1276</v>
      </c>
      <c r="F19" s="4" t="s">
        <v>363</v>
      </c>
      <c r="G19" s="4" t="s">
        <v>364</v>
      </c>
    </row>
    <row r="20" spans="1:7" x14ac:dyDescent="0.35">
      <c r="A20" s="5" t="s">
        <v>935</v>
      </c>
      <c r="B20" s="5" t="s">
        <v>926</v>
      </c>
      <c r="C20" s="6">
        <v>0.22</v>
      </c>
      <c r="D20" s="7">
        <f t="shared" si="1"/>
        <v>0.19800000000000001</v>
      </c>
      <c r="E20" s="7">
        <f t="shared" si="2"/>
        <v>0.17300000000000001</v>
      </c>
      <c r="F20" s="7">
        <f t="shared" si="3"/>
        <v>3.4600000000000004E-3</v>
      </c>
      <c r="G20" s="7">
        <f t="shared" si="4"/>
        <v>0.16954000000000002</v>
      </c>
    </row>
    <row r="21" spans="1:7" x14ac:dyDescent="0.35">
      <c r="A21" s="2" t="s">
        <v>185</v>
      </c>
      <c r="B21" s="2" t="s">
        <v>1</v>
      </c>
      <c r="C21" s="3" t="s">
        <v>2</v>
      </c>
      <c r="D21" s="4" t="s">
        <v>922</v>
      </c>
      <c r="E21" s="4" t="s">
        <v>1276</v>
      </c>
      <c r="F21" s="4" t="s">
        <v>363</v>
      </c>
      <c r="G21" s="4" t="s">
        <v>364</v>
      </c>
    </row>
    <row r="22" spans="1:7" x14ac:dyDescent="0.35">
      <c r="A22" s="5" t="s">
        <v>936</v>
      </c>
      <c r="B22" s="5" t="s">
        <v>100</v>
      </c>
      <c r="C22" s="6">
        <v>0.22</v>
      </c>
      <c r="D22" s="7">
        <f t="shared" si="1"/>
        <v>0.19800000000000001</v>
      </c>
      <c r="E22" s="7">
        <f t="shared" si="2"/>
        <v>0.17300000000000001</v>
      </c>
      <c r="F22" s="7">
        <f t="shared" si="3"/>
        <v>3.4600000000000004E-3</v>
      </c>
      <c r="G22" s="7">
        <f t="shared" si="4"/>
        <v>0.16954000000000002</v>
      </c>
    </row>
    <row r="23" spans="1:7" x14ac:dyDescent="0.35">
      <c r="A23" s="2" t="s">
        <v>225</v>
      </c>
      <c r="B23" s="2" t="s">
        <v>1</v>
      </c>
      <c r="C23" s="3" t="s">
        <v>2</v>
      </c>
      <c r="D23" s="4" t="s">
        <v>922</v>
      </c>
      <c r="E23" s="4" t="s">
        <v>1276</v>
      </c>
      <c r="F23" s="4" t="s">
        <v>363</v>
      </c>
      <c r="G23" s="4" t="s">
        <v>364</v>
      </c>
    </row>
    <row r="24" spans="1:7" x14ac:dyDescent="0.35">
      <c r="A24" s="5" t="s">
        <v>937</v>
      </c>
      <c r="B24" s="5" t="s">
        <v>926</v>
      </c>
      <c r="C24" s="6">
        <v>0.22</v>
      </c>
      <c r="D24" s="7">
        <f t="shared" si="1"/>
        <v>0.19800000000000001</v>
      </c>
      <c r="E24" s="7">
        <f t="shared" si="2"/>
        <v>0.17300000000000001</v>
      </c>
      <c r="F24" s="7">
        <f t="shared" si="3"/>
        <v>3.4600000000000004E-3</v>
      </c>
      <c r="G24" s="7">
        <f t="shared" si="4"/>
        <v>0.16954000000000002</v>
      </c>
    </row>
    <row r="25" spans="1:7" x14ac:dyDescent="0.35">
      <c r="A25" s="5" t="s">
        <v>938</v>
      </c>
      <c r="B25" s="5" t="s">
        <v>926</v>
      </c>
      <c r="C25" s="6">
        <v>0.22</v>
      </c>
      <c r="D25" s="7">
        <f t="shared" si="1"/>
        <v>0.19800000000000001</v>
      </c>
      <c r="E25" s="7">
        <f t="shared" si="2"/>
        <v>0.17300000000000001</v>
      </c>
      <c r="F25" s="7">
        <f t="shared" si="3"/>
        <v>3.4600000000000004E-3</v>
      </c>
      <c r="G25" s="7">
        <f t="shared" si="4"/>
        <v>0.16954000000000002</v>
      </c>
    </row>
    <row r="26" spans="1:7" x14ac:dyDescent="0.35">
      <c r="A26" s="2" t="s">
        <v>241</v>
      </c>
      <c r="B26" s="2" t="s">
        <v>1</v>
      </c>
      <c r="C26" s="3" t="s">
        <v>2</v>
      </c>
      <c r="D26" s="4" t="s">
        <v>922</v>
      </c>
      <c r="E26" s="4" t="s">
        <v>1276</v>
      </c>
      <c r="F26" s="4" t="s">
        <v>363</v>
      </c>
      <c r="G26" s="4" t="s">
        <v>364</v>
      </c>
    </row>
    <row r="27" spans="1:7" x14ac:dyDescent="0.35">
      <c r="A27" s="5" t="s">
        <v>939</v>
      </c>
      <c r="B27" s="5" t="s">
        <v>100</v>
      </c>
      <c r="C27" s="6">
        <v>0.22</v>
      </c>
      <c r="D27" s="7">
        <f t="shared" si="1"/>
        <v>0.19800000000000001</v>
      </c>
      <c r="E27" s="7">
        <f t="shared" si="2"/>
        <v>0.17300000000000001</v>
      </c>
      <c r="F27" s="7">
        <f t="shared" si="3"/>
        <v>3.4600000000000004E-3</v>
      </c>
      <c r="G27" s="7">
        <f t="shared" si="4"/>
        <v>0.16954000000000002</v>
      </c>
    </row>
    <row r="28" spans="1:7" x14ac:dyDescent="0.35">
      <c r="A28" s="2" t="s">
        <v>252</v>
      </c>
      <c r="B28" s="2" t="s">
        <v>1</v>
      </c>
      <c r="C28" s="3" t="s">
        <v>2</v>
      </c>
      <c r="D28" s="4" t="s">
        <v>922</v>
      </c>
      <c r="E28" s="4" t="s">
        <v>1276</v>
      </c>
      <c r="F28" s="4" t="s">
        <v>363</v>
      </c>
      <c r="G28" s="4" t="s">
        <v>364</v>
      </c>
    </row>
    <row r="29" spans="1:7" x14ac:dyDescent="0.35">
      <c r="A29" s="5" t="s">
        <v>940</v>
      </c>
      <c r="B29" s="5" t="s">
        <v>100</v>
      </c>
      <c r="C29" s="6">
        <v>0.2</v>
      </c>
      <c r="D29" s="7">
        <f t="shared" si="1"/>
        <v>0.18</v>
      </c>
      <c r="E29" s="7">
        <f t="shared" si="2"/>
        <v>0.155</v>
      </c>
      <c r="F29" s="7">
        <f t="shared" si="3"/>
        <v>3.0999999999999999E-3</v>
      </c>
      <c r="G29" s="7">
        <f t="shared" si="4"/>
        <v>0.15190000000000001</v>
      </c>
    </row>
    <row r="30" spans="1:7" x14ac:dyDescent="0.35">
      <c r="A30" s="5" t="s">
        <v>941</v>
      </c>
      <c r="B30" s="5" t="s">
        <v>100</v>
      </c>
      <c r="C30" s="6">
        <v>0.15</v>
      </c>
      <c r="D30" s="7">
        <f t="shared" si="1"/>
        <v>0.13500000000000001</v>
      </c>
      <c r="E30" s="7">
        <f t="shared" si="2"/>
        <v>0.11000000000000001</v>
      </c>
      <c r="F30" s="7">
        <f t="shared" si="3"/>
        <v>2.2000000000000001E-3</v>
      </c>
      <c r="G30" s="7">
        <f t="shared" si="4"/>
        <v>0.10780000000000002</v>
      </c>
    </row>
    <row r="31" spans="1:7" x14ac:dyDescent="0.35">
      <c r="E31" s="26"/>
      <c r="F31" s="26"/>
      <c r="G31" s="26"/>
    </row>
    <row r="32" spans="1:7" x14ac:dyDescent="0.35">
      <c r="E32" s="26"/>
      <c r="F32" s="26"/>
      <c r="G32" s="26"/>
    </row>
    <row r="33" spans="1:7" x14ac:dyDescent="0.35">
      <c r="A33" s="46" t="s">
        <v>1281</v>
      </c>
      <c r="B33" s="1"/>
      <c r="C33" s="8"/>
      <c r="D33" s="8"/>
      <c r="E33" s="39"/>
      <c r="F33" s="39"/>
      <c r="G33" s="39"/>
    </row>
    <row r="34" spans="1:7" x14ac:dyDescent="0.35">
      <c r="A34" s="46"/>
      <c r="B34" s="1"/>
      <c r="C34" s="8"/>
      <c r="D34" s="8"/>
      <c r="E34" s="39"/>
      <c r="F34" s="39"/>
      <c r="G34" s="39"/>
    </row>
    <row r="35" spans="1:7" x14ac:dyDescent="0.35">
      <c r="C35" s="10"/>
      <c r="D35" s="10"/>
      <c r="E35" s="26"/>
      <c r="F35" s="26"/>
      <c r="G35" s="26"/>
    </row>
    <row r="36" spans="1:7" x14ac:dyDescent="0.35">
      <c r="A36" s="2" t="s">
        <v>0</v>
      </c>
      <c r="B36" s="2" t="s">
        <v>1</v>
      </c>
      <c r="C36" s="3" t="s">
        <v>2</v>
      </c>
      <c r="D36" s="4" t="s">
        <v>922</v>
      </c>
      <c r="E36" s="4" t="s">
        <v>1276</v>
      </c>
      <c r="F36" s="4" t="s">
        <v>363</v>
      </c>
      <c r="G36" s="4" t="s">
        <v>364</v>
      </c>
    </row>
    <row r="37" spans="1:7" x14ac:dyDescent="0.35">
      <c r="A37" s="5" t="s">
        <v>923</v>
      </c>
      <c r="B37" s="5" t="s">
        <v>942</v>
      </c>
      <c r="C37" s="7">
        <v>0.22</v>
      </c>
      <c r="D37" s="7">
        <f>(C37-(C37*10%))</f>
        <v>0.19800000000000001</v>
      </c>
      <c r="E37" s="7">
        <f t="shared" si="2"/>
        <v>0.17300000000000001</v>
      </c>
      <c r="F37" s="7">
        <f t="shared" si="3"/>
        <v>3.4600000000000004E-3</v>
      </c>
      <c r="G37" s="7">
        <f t="shared" si="4"/>
        <v>0.16954000000000002</v>
      </c>
    </row>
    <row r="38" spans="1:7" x14ac:dyDescent="0.35">
      <c r="A38" s="2" t="s">
        <v>924</v>
      </c>
      <c r="B38" s="2" t="s">
        <v>1</v>
      </c>
      <c r="C38" s="3" t="s">
        <v>2</v>
      </c>
      <c r="D38" s="4" t="s">
        <v>922</v>
      </c>
      <c r="E38" s="4" t="s">
        <v>1276</v>
      </c>
      <c r="F38" s="4" t="s">
        <v>363</v>
      </c>
      <c r="G38" s="4" t="s">
        <v>364</v>
      </c>
    </row>
    <row r="39" spans="1:7" x14ac:dyDescent="0.35">
      <c r="A39" s="5" t="s">
        <v>925</v>
      </c>
      <c r="B39" s="5" t="s">
        <v>926</v>
      </c>
      <c r="C39" s="6">
        <v>0.22</v>
      </c>
      <c r="D39" s="7">
        <f t="shared" ref="D39:D60" si="5">(C39-(C39*10%))</f>
        <v>0.19800000000000001</v>
      </c>
      <c r="E39" s="7">
        <f t="shared" si="2"/>
        <v>0.17300000000000001</v>
      </c>
      <c r="F39" s="7">
        <f t="shared" si="3"/>
        <v>3.4600000000000004E-3</v>
      </c>
      <c r="G39" s="7">
        <f t="shared" si="4"/>
        <v>0.16954000000000002</v>
      </c>
    </row>
    <row r="40" spans="1:7" x14ac:dyDescent="0.35">
      <c r="A40" s="2" t="s">
        <v>927</v>
      </c>
      <c r="B40" s="2" t="s">
        <v>1</v>
      </c>
      <c r="C40" s="3" t="s">
        <v>2</v>
      </c>
      <c r="D40" s="4" t="s">
        <v>922</v>
      </c>
      <c r="E40" s="4" t="s">
        <v>1276</v>
      </c>
      <c r="F40" s="4" t="s">
        <v>363</v>
      </c>
      <c r="G40" s="4" t="s">
        <v>364</v>
      </c>
    </row>
    <row r="41" spans="1:7" x14ac:dyDescent="0.35">
      <c r="A41" s="5" t="s">
        <v>928</v>
      </c>
      <c r="B41" s="5" t="s">
        <v>926</v>
      </c>
      <c r="C41" s="6">
        <v>0.22</v>
      </c>
      <c r="D41" s="7">
        <f t="shared" si="5"/>
        <v>0.19800000000000001</v>
      </c>
      <c r="E41" s="7">
        <f t="shared" si="2"/>
        <v>0.17300000000000001</v>
      </c>
      <c r="F41" s="7">
        <f t="shared" si="3"/>
        <v>3.4600000000000004E-3</v>
      </c>
      <c r="G41" s="7">
        <f t="shared" si="4"/>
        <v>0.16954000000000002</v>
      </c>
    </row>
    <row r="42" spans="1:7" x14ac:dyDescent="0.35">
      <c r="A42" s="2" t="s">
        <v>929</v>
      </c>
      <c r="B42" s="2" t="s">
        <v>1</v>
      </c>
      <c r="C42" s="3" t="s">
        <v>2</v>
      </c>
      <c r="D42" s="4" t="s">
        <v>922</v>
      </c>
      <c r="E42" s="4" t="s">
        <v>1276</v>
      </c>
      <c r="F42" s="4" t="s">
        <v>363</v>
      </c>
      <c r="G42" s="4" t="s">
        <v>364</v>
      </c>
    </row>
    <row r="43" spans="1:7" x14ac:dyDescent="0.35">
      <c r="A43" s="5" t="s">
        <v>930</v>
      </c>
      <c r="B43" s="5" t="s">
        <v>926</v>
      </c>
      <c r="C43" s="6">
        <v>0.22</v>
      </c>
      <c r="D43" s="7">
        <f t="shared" si="5"/>
        <v>0.19800000000000001</v>
      </c>
      <c r="E43" s="7">
        <f t="shared" si="2"/>
        <v>0.17300000000000001</v>
      </c>
      <c r="F43" s="7">
        <f t="shared" si="3"/>
        <v>3.4600000000000004E-3</v>
      </c>
      <c r="G43" s="7">
        <f t="shared" si="4"/>
        <v>0.16954000000000002</v>
      </c>
    </row>
    <row r="44" spans="1:7" x14ac:dyDescent="0.35">
      <c r="A44" s="2" t="s">
        <v>931</v>
      </c>
      <c r="B44" s="2" t="s">
        <v>1</v>
      </c>
      <c r="C44" s="3" t="s">
        <v>2</v>
      </c>
      <c r="D44" s="4" t="s">
        <v>922</v>
      </c>
      <c r="E44" s="4" t="s">
        <v>1276</v>
      </c>
      <c r="F44" s="4" t="s">
        <v>363</v>
      </c>
      <c r="G44" s="4" t="s">
        <v>364</v>
      </c>
    </row>
    <row r="45" spans="1:7" x14ac:dyDescent="0.35">
      <c r="A45" s="5" t="s">
        <v>932</v>
      </c>
      <c r="B45" s="5" t="s">
        <v>926</v>
      </c>
      <c r="C45" s="6">
        <v>0.22</v>
      </c>
      <c r="D45" s="7">
        <f t="shared" si="5"/>
        <v>0.19800000000000001</v>
      </c>
      <c r="E45" s="7">
        <f t="shared" si="2"/>
        <v>0.17300000000000001</v>
      </c>
      <c r="F45" s="7">
        <f t="shared" si="3"/>
        <v>3.4600000000000004E-3</v>
      </c>
      <c r="G45" s="7">
        <f t="shared" si="4"/>
        <v>0.16954000000000002</v>
      </c>
    </row>
    <row r="46" spans="1:7" x14ac:dyDescent="0.35">
      <c r="A46" s="2" t="s">
        <v>946</v>
      </c>
      <c r="B46" s="2" t="s">
        <v>1</v>
      </c>
      <c r="C46" s="3" t="s">
        <v>2</v>
      </c>
      <c r="D46" s="4" t="s">
        <v>922</v>
      </c>
      <c r="E46" s="4" t="s">
        <v>1276</v>
      </c>
      <c r="F46" s="4" t="s">
        <v>363</v>
      </c>
      <c r="G46" s="4" t="s">
        <v>364</v>
      </c>
    </row>
    <row r="47" spans="1:7" x14ac:dyDescent="0.35">
      <c r="A47" s="5" t="s">
        <v>947</v>
      </c>
      <c r="B47" s="5" t="s">
        <v>926</v>
      </c>
      <c r="C47" s="6">
        <v>0.22</v>
      </c>
      <c r="D47" s="7">
        <f t="shared" si="5"/>
        <v>0.19800000000000001</v>
      </c>
      <c r="E47" s="7">
        <f t="shared" si="2"/>
        <v>0.17300000000000001</v>
      </c>
      <c r="F47" s="7">
        <f t="shared" si="3"/>
        <v>3.4600000000000004E-3</v>
      </c>
      <c r="G47" s="7">
        <f t="shared" si="4"/>
        <v>0.16954000000000002</v>
      </c>
    </row>
    <row r="48" spans="1:7" x14ac:dyDescent="0.35">
      <c r="A48" s="2" t="s">
        <v>948</v>
      </c>
      <c r="B48" s="2" t="s">
        <v>1</v>
      </c>
      <c r="C48" s="3" t="s">
        <v>2</v>
      </c>
      <c r="D48" s="4" t="s">
        <v>922</v>
      </c>
      <c r="E48" s="4" t="s">
        <v>1276</v>
      </c>
      <c r="F48" s="4" t="s">
        <v>363</v>
      </c>
      <c r="G48" s="4" t="s">
        <v>364</v>
      </c>
    </row>
    <row r="49" spans="1:7" x14ac:dyDescent="0.35">
      <c r="A49" s="5" t="s">
        <v>949</v>
      </c>
      <c r="B49" s="5" t="s">
        <v>926</v>
      </c>
      <c r="C49" s="6">
        <v>0.22</v>
      </c>
      <c r="D49" s="7">
        <f t="shared" si="5"/>
        <v>0.19800000000000001</v>
      </c>
      <c r="E49" s="7">
        <f t="shared" ref="E49:E60" si="6">D49-(2.5%)</f>
        <v>0.17300000000000001</v>
      </c>
      <c r="F49" s="7">
        <f t="shared" ref="F49:F60" si="7">E49*(2%)</f>
        <v>3.4600000000000004E-3</v>
      </c>
      <c r="G49" s="7">
        <f t="shared" ref="G49:G60" si="8">E49-F49</f>
        <v>0.16954000000000002</v>
      </c>
    </row>
    <row r="50" spans="1:7" x14ac:dyDescent="0.35">
      <c r="A50" s="2" t="s">
        <v>175</v>
      </c>
      <c r="B50" s="2" t="s">
        <v>1</v>
      </c>
      <c r="C50" s="3" t="s">
        <v>2</v>
      </c>
      <c r="D50" s="4" t="s">
        <v>922</v>
      </c>
      <c r="E50" s="4" t="s">
        <v>1276</v>
      </c>
      <c r="F50" s="4" t="s">
        <v>363</v>
      </c>
      <c r="G50" s="4" t="s">
        <v>364</v>
      </c>
    </row>
    <row r="51" spans="1:7" x14ac:dyDescent="0.35">
      <c r="A51" s="5" t="s">
        <v>935</v>
      </c>
      <c r="B51" s="5" t="s">
        <v>926</v>
      </c>
      <c r="C51" s="6">
        <v>0.22</v>
      </c>
      <c r="D51" s="7">
        <f t="shared" si="5"/>
        <v>0.19800000000000001</v>
      </c>
      <c r="E51" s="7">
        <f t="shared" si="6"/>
        <v>0.17300000000000001</v>
      </c>
      <c r="F51" s="7">
        <f t="shared" si="7"/>
        <v>3.4600000000000004E-3</v>
      </c>
      <c r="G51" s="7">
        <f t="shared" si="8"/>
        <v>0.16954000000000002</v>
      </c>
    </row>
    <row r="52" spans="1:7" x14ac:dyDescent="0.35">
      <c r="A52" s="2" t="s">
        <v>185</v>
      </c>
      <c r="B52" s="2" t="s">
        <v>1</v>
      </c>
      <c r="C52" s="3" t="s">
        <v>2</v>
      </c>
      <c r="D52" s="4" t="s">
        <v>922</v>
      </c>
      <c r="E52" s="4" t="s">
        <v>1276</v>
      </c>
      <c r="F52" s="4" t="s">
        <v>363</v>
      </c>
      <c r="G52" s="4" t="s">
        <v>364</v>
      </c>
    </row>
    <row r="53" spans="1:7" x14ac:dyDescent="0.35">
      <c r="A53" s="5" t="s">
        <v>950</v>
      </c>
      <c r="B53" s="5" t="s">
        <v>926</v>
      </c>
      <c r="C53" s="7">
        <v>0.22</v>
      </c>
      <c r="D53" s="7">
        <f t="shared" si="5"/>
        <v>0.19800000000000001</v>
      </c>
      <c r="E53" s="7">
        <f t="shared" si="6"/>
        <v>0.17300000000000001</v>
      </c>
      <c r="F53" s="7">
        <f t="shared" si="7"/>
        <v>3.4600000000000004E-3</v>
      </c>
      <c r="G53" s="7">
        <f t="shared" si="8"/>
        <v>0.16954000000000002</v>
      </c>
    </row>
    <row r="54" spans="1:7" x14ac:dyDescent="0.35">
      <c r="A54" s="2" t="s">
        <v>225</v>
      </c>
      <c r="B54" s="2" t="s">
        <v>1</v>
      </c>
      <c r="C54" s="3" t="s">
        <v>2</v>
      </c>
      <c r="D54" s="4" t="s">
        <v>922</v>
      </c>
      <c r="E54" s="4" t="s">
        <v>1276</v>
      </c>
      <c r="F54" s="4" t="s">
        <v>363</v>
      </c>
      <c r="G54" s="4" t="s">
        <v>364</v>
      </c>
    </row>
    <row r="55" spans="1:7" x14ac:dyDescent="0.35">
      <c r="A55" s="5" t="s">
        <v>951</v>
      </c>
      <c r="B55" s="5" t="s">
        <v>942</v>
      </c>
      <c r="C55" s="7">
        <v>0.22</v>
      </c>
      <c r="D55" s="7">
        <f t="shared" si="5"/>
        <v>0.19800000000000001</v>
      </c>
      <c r="E55" s="7">
        <f t="shared" si="6"/>
        <v>0.17300000000000001</v>
      </c>
      <c r="F55" s="7">
        <f t="shared" si="7"/>
        <v>3.4600000000000004E-3</v>
      </c>
      <c r="G55" s="7">
        <f t="shared" si="8"/>
        <v>0.16954000000000002</v>
      </c>
    </row>
    <row r="56" spans="1:7" x14ac:dyDescent="0.35">
      <c r="A56" s="2" t="s">
        <v>241</v>
      </c>
      <c r="B56" s="2" t="s">
        <v>1</v>
      </c>
      <c r="C56" s="3" t="s">
        <v>2</v>
      </c>
      <c r="D56" s="4" t="s">
        <v>922</v>
      </c>
      <c r="E56" s="4" t="s">
        <v>1276</v>
      </c>
      <c r="F56" s="4" t="s">
        <v>363</v>
      </c>
      <c r="G56" s="4" t="s">
        <v>364</v>
      </c>
    </row>
    <row r="57" spans="1:7" x14ac:dyDescent="0.35">
      <c r="A57" s="5" t="s">
        <v>952</v>
      </c>
      <c r="B57" s="5" t="s">
        <v>926</v>
      </c>
      <c r="C57" s="7">
        <v>0.22</v>
      </c>
      <c r="D57" s="7">
        <f t="shared" si="5"/>
        <v>0.19800000000000001</v>
      </c>
      <c r="E57" s="7">
        <f t="shared" si="6"/>
        <v>0.17300000000000001</v>
      </c>
      <c r="F57" s="7">
        <f t="shared" si="7"/>
        <v>3.4600000000000004E-3</v>
      </c>
      <c r="G57" s="7">
        <f t="shared" si="8"/>
        <v>0.16954000000000002</v>
      </c>
    </row>
    <row r="58" spans="1:7" x14ac:dyDescent="0.35">
      <c r="A58" s="2" t="s">
        <v>252</v>
      </c>
      <c r="B58" s="2" t="s">
        <v>1</v>
      </c>
      <c r="C58" s="3" t="s">
        <v>2</v>
      </c>
      <c r="D58" s="4" t="s">
        <v>922</v>
      </c>
      <c r="E58" s="4" t="s">
        <v>1276</v>
      </c>
      <c r="F58" s="4" t="s">
        <v>363</v>
      </c>
      <c r="G58" s="4" t="s">
        <v>364</v>
      </c>
    </row>
    <row r="59" spans="1:7" x14ac:dyDescent="0.35">
      <c r="A59" s="5" t="s">
        <v>940</v>
      </c>
      <c r="B59" s="5" t="s">
        <v>100</v>
      </c>
      <c r="C59" s="6">
        <v>0.2</v>
      </c>
      <c r="D59" s="7">
        <f t="shared" si="5"/>
        <v>0.18</v>
      </c>
      <c r="E59" s="7">
        <f t="shared" si="6"/>
        <v>0.155</v>
      </c>
      <c r="F59" s="7">
        <f t="shared" si="7"/>
        <v>3.0999999999999999E-3</v>
      </c>
      <c r="G59" s="7">
        <f t="shared" si="8"/>
        <v>0.15190000000000001</v>
      </c>
    </row>
    <row r="60" spans="1:7" x14ac:dyDescent="0.35">
      <c r="A60" s="5" t="s">
        <v>941</v>
      </c>
      <c r="B60" s="5" t="s">
        <v>100</v>
      </c>
      <c r="C60" s="6">
        <v>0.15</v>
      </c>
      <c r="D60" s="7">
        <f t="shared" si="5"/>
        <v>0.13500000000000001</v>
      </c>
      <c r="E60" s="7">
        <f t="shared" si="6"/>
        <v>0.11000000000000001</v>
      </c>
      <c r="F60" s="7">
        <f t="shared" si="7"/>
        <v>2.2000000000000001E-3</v>
      </c>
      <c r="G60" s="7">
        <f t="shared" si="8"/>
        <v>0.10780000000000002</v>
      </c>
    </row>
  </sheetData>
  <mergeCells count="2">
    <mergeCell ref="A2:A3"/>
    <mergeCell ref="A33:A34"/>
  </mergeCells>
  <printOptions horizontalCentered="1" verticalCentered="1"/>
  <pageMargins left="0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1CA5-1183-4202-93F0-89A5C5E5E99D}">
  <sheetPr codeName="Sheet8"/>
  <dimension ref="A2:G41"/>
  <sheetViews>
    <sheetView showGridLines="0" topLeftCell="A4" workbookViewId="0">
      <selection activeCell="A5" sqref="A5:A6"/>
    </sheetView>
  </sheetViews>
  <sheetFormatPr defaultRowHeight="26.5" customHeight="1" x14ac:dyDescent="0.35"/>
  <cols>
    <col min="1" max="1" width="31.81640625" style="9" customWidth="1"/>
    <col min="2" max="2" width="13.81640625" style="9" bestFit="1" customWidth="1"/>
    <col min="3" max="3" width="5.7265625" bestFit="1" customWidth="1"/>
    <col min="4" max="4" width="7.7265625" bestFit="1" customWidth="1"/>
    <col min="5" max="5" width="9.81640625" bestFit="1" customWidth="1"/>
    <col min="6" max="6" width="6.36328125" bestFit="1" customWidth="1"/>
    <col min="7" max="7" width="9.26953125" bestFit="1" customWidth="1"/>
  </cols>
  <sheetData>
    <row r="2" spans="1:7" ht="71.5" customHeight="1" x14ac:dyDescent="0.35">
      <c r="A2" s="1" t="s">
        <v>1290</v>
      </c>
      <c r="B2" s="22"/>
      <c r="C2" s="12"/>
      <c r="D2" s="12"/>
      <c r="E2" s="12"/>
      <c r="F2" s="12"/>
      <c r="G2" s="12"/>
    </row>
    <row r="4" spans="1:7" ht="54" customHeight="1" x14ac:dyDescent="0.35">
      <c r="A4" s="2" t="s">
        <v>964</v>
      </c>
      <c r="B4" s="2" t="s">
        <v>1</v>
      </c>
      <c r="C4" s="4" t="s">
        <v>2</v>
      </c>
      <c r="D4" s="4" t="s">
        <v>922</v>
      </c>
      <c r="E4" s="4" t="s">
        <v>4</v>
      </c>
      <c r="F4" s="4" t="s">
        <v>5</v>
      </c>
      <c r="G4" s="4" t="s">
        <v>6</v>
      </c>
    </row>
    <row r="5" spans="1:7" ht="26.5" customHeight="1" x14ac:dyDescent="0.35">
      <c r="A5" s="48" t="s">
        <v>965</v>
      </c>
      <c r="B5" s="5" t="s">
        <v>98</v>
      </c>
      <c r="C5" s="7">
        <v>0.25</v>
      </c>
      <c r="D5" s="7">
        <f>(C5-(C5*10%))</f>
        <v>0.22500000000000001</v>
      </c>
      <c r="E5" s="7">
        <f>D5-(3%)</f>
        <v>0.19500000000000001</v>
      </c>
      <c r="F5" s="7">
        <f>E5*2%</f>
        <v>3.9000000000000003E-3</v>
      </c>
      <c r="G5" s="7">
        <f t="shared" ref="G5" si="0">E5-F5</f>
        <v>0.19110000000000002</v>
      </c>
    </row>
    <row r="6" spans="1:7" ht="26.5" customHeight="1" x14ac:dyDescent="0.35">
      <c r="A6" s="48"/>
      <c r="B6" s="5" t="s">
        <v>99</v>
      </c>
      <c r="C6" s="7">
        <v>0.15</v>
      </c>
      <c r="D6" s="7">
        <f t="shared" ref="D6:D41" si="1">(C6-(C6*10%))</f>
        <v>0.13500000000000001</v>
      </c>
      <c r="E6" s="7">
        <f t="shared" ref="E6:E41" si="2">D6-(3%)</f>
        <v>0.10500000000000001</v>
      </c>
      <c r="F6" s="7">
        <f t="shared" ref="F6:F41" si="3">E6*2%</f>
        <v>2.1000000000000003E-3</v>
      </c>
      <c r="G6" s="7">
        <f t="shared" ref="G6:G41" si="4">E6-F6</f>
        <v>0.10290000000000001</v>
      </c>
    </row>
    <row r="7" spans="1:7" ht="26.5" customHeight="1" x14ac:dyDescent="0.35">
      <c r="A7" s="48" t="s">
        <v>966</v>
      </c>
      <c r="B7" s="5" t="s">
        <v>98</v>
      </c>
      <c r="C7" s="7">
        <v>0.2</v>
      </c>
      <c r="D7" s="7">
        <f t="shared" si="1"/>
        <v>0.18</v>
      </c>
      <c r="E7" s="7">
        <f t="shared" si="2"/>
        <v>0.15</v>
      </c>
      <c r="F7" s="7">
        <f t="shared" si="3"/>
        <v>3.0000000000000001E-3</v>
      </c>
      <c r="G7" s="7">
        <f t="shared" si="4"/>
        <v>0.14699999999999999</v>
      </c>
    </row>
    <row r="8" spans="1:7" ht="26.5" customHeight="1" x14ac:dyDescent="0.35">
      <c r="A8" s="48"/>
      <c r="B8" s="5" t="s">
        <v>99</v>
      </c>
      <c r="C8" s="7">
        <v>0.15</v>
      </c>
      <c r="D8" s="7">
        <f t="shared" si="1"/>
        <v>0.13500000000000001</v>
      </c>
      <c r="E8" s="7">
        <f t="shared" si="2"/>
        <v>0.10500000000000001</v>
      </c>
      <c r="F8" s="7">
        <f t="shared" si="3"/>
        <v>2.1000000000000003E-3</v>
      </c>
      <c r="G8" s="7">
        <f t="shared" si="4"/>
        <v>0.10290000000000001</v>
      </c>
    </row>
    <row r="9" spans="1:7" ht="26.5" customHeight="1" x14ac:dyDescent="0.35">
      <c r="A9" s="48" t="s">
        <v>967</v>
      </c>
      <c r="B9" s="5" t="s">
        <v>98</v>
      </c>
      <c r="C9" s="7">
        <v>0.2</v>
      </c>
      <c r="D9" s="7">
        <f t="shared" si="1"/>
        <v>0.18</v>
      </c>
      <c r="E9" s="7">
        <f t="shared" si="2"/>
        <v>0.15</v>
      </c>
      <c r="F9" s="7">
        <f t="shared" si="3"/>
        <v>3.0000000000000001E-3</v>
      </c>
      <c r="G9" s="7">
        <f t="shared" si="4"/>
        <v>0.14699999999999999</v>
      </c>
    </row>
    <row r="10" spans="1:7" ht="26.5" customHeight="1" x14ac:dyDescent="0.35">
      <c r="A10" s="48"/>
      <c r="B10" s="5" t="s">
        <v>99</v>
      </c>
      <c r="C10" s="7">
        <v>0.125</v>
      </c>
      <c r="D10" s="7">
        <f t="shared" si="1"/>
        <v>0.1125</v>
      </c>
      <c r="E10" s="7">
        <f t="shared" si="2"/>
        <v>8.2500000000000004E-2</v>
      </c>
      <c r="F10" s="7">
        <f t="shared" si="3"/>
        <v>1.6500000000000002E-3</v>
      </c>
      <c r="G10" s="7">
        <f t="shared" si="4"/>
        <v>8.0850000000000005E-2</v>
      </c>
    </row>
    <row r="11" spans="1:7" ht="26.5" customHeight="1" x14ac:dyDescent="0.35">
      <c r="A11" s="5" t="s">
        <v>968</v>
      </c>
      <c r="B11" s="5" t="s">
        <v>99</v>
      </c>
      <c r="C11" s="7">
        <v>0.15</v>
      </c>
      <c r="D11" s="7">
        <f t="shared" si="1"/>
        <v>0.13500000000000001</v>
      </c>
      <c r="E11" s="7">
        <f t="shared" si="2"/>
        <v>0.10500000000000001</v>
      </c>
      <c r="F11" s="7">
        <f t="shared" si="3"/>
        <v>2.1000000000000003E-3</v>
      </c>
      <c r="G11" s="7">
        <f t="shared" si="4"/>
        <v>0.10290000000000001</v>
      </c>
    </row>
    <row r="12" spans="1:7" ht="26.5" customHeight="1" x14ac:dyDescent="0.35">
      <c r="A12" s="5" t="s">
        <v>969</v>
      </c>
      <c r="B12" s="5" t="s">
        <v>98</v>
      </c>
      <c r="C12" s="7">
        <v>0.2</v>
      </c>
      <c r="D12" s="7">
        <f t="shared" si="1"/>
        <v>0.18</v>
      </c>
      <c r="E12" s="7">
        <f t="shared" si="2"/>
        <v>0.15</v>
      </c>
      <c r="F12" s="7">
        <f t="shared" si="3"/>
        <v>3.0000000000000001E-3</v>
      </c>
      <c r="G12" s="7">
        <f t="shared" si="4"/>
        <v>0.14699999999999999</v>
      </c>
    </row>
    <row r="13" spans="1:7" ht="26.5" customHeight="1" x14ac:dyDescent="0.35">
      <c r="A13" s="48" t="s">
        <v>970</v>
      </c>
      <c r="B13" s="5" t="s">
        <v>98</v>
      </c>
      <c r="C13" s="7">
        <v>0.3</v>
      </c>
      <c r="D13" s="7">
        <f t="shared" si="1"/>
        <v>0.27</v>
      </c>
      <c r="E13" s="7">
        <f t="shared" si="2"/>
        <v>0.24000000000000002</v>
      </c>
      <c r="F13" s="7">
        <f t="shared" si="3"/>
        <v>4.8000000000000004E-3</v>
      </c>
      <c r="G13" s="7">
        <f t="shared" si="4"/>
        <v>0.23520000000000002</v>
      </c>
    </row>
    <row r="14" spans="1:7" ht="26.5" customHeight="1" x14ac:dyDescent="0.35">
      <c r="A14" s="48"/>
      <c r="B14" s="5" t="s">
        <v>99</v>
      </c>
      <c r="C14" s="7">
        <v>0.3</v>
      </c>
      <c r="D14" s="7">
        <f t="shared" si="1"/>
        <v>0.27</v>
      </c>
      <c r="E14" s="7">
        <f t="shared" si="2"/>
        <v>0.24000000000000002</v>
      </c>
      <c r="F14" s="7">
        <f t="shared" si="3"/>
        <v>4.8000000000000004E-3</v>
      </c>
      <c r="G14" s="7">
        <f t="shared" si="4"/>
        <v>0.23520000000000002</v>
      </c>
    </row>
    <row r="15" spans="1:7" ht="26.5" customHeight="1" x14ac:dyDescent="0.35">
      <c r="A15" s="48" t="s">
        <v>971</v>
      </c>
      <c r="B15" s="5" t="s">
        <v>98</v>
      </c>
      <c r="C15" s="7">
        <v>0.25</v>
      </c>
      <c r="D15" s="7">
        <f t="shared" si="1"/>
        <v>0.22500000000000001</v>
      </c>
      <c r="E15" s="7">
        <f t="shared" si="2"/>
        <v>0.19500000000000001</v>
      </c>
      <c r="F15" s="7">
        <f t="shared" si="3"/>
        <v>3.9000000000000003E-3</v>
      </c>
      <c r="G15" s="7">
        <f t="shared" si="4"/>
        <v>0.19110000000000002</v>
      </c>
    </row>
    <row r="16" spans="1:7" ht="26.5" customHeight="1" x14ac:dyDescent="0.35">
      <c r="A16" s="48"/>
      <c r="B16" s="5" t="s">
        <v>99</v>
      </c>
      <c r="C16" s="7">
        <v>0.1</v>
      </c>
      <c r="D16" s="7">
        <f t="shared" si="1"/>
        <v>0.09</v>
      </c>
      <c r="E16" s="7">
        <f t="shared" si="2"/>
        <v>0.06</v>
      </c>
      <c r="F16" s="7">
        <f t="shared" si="3"/>
        <v>1.1999999999999999E-3</v>
      </c>
      <c r="G16" s="7">
        <f t="shared" si="4"/>
        <v>5.8799999999999998E-2</v>
      </c>
    </row>
    <row r="17" spans="1:7" ht="26.5" customHeight="1" x14ac:dyDescent="0.35">
      <c r="A17" s="48" t="s">
        <v>972</v>
      </c>
      <c r="B17" s="5" t="s">
        <v>98</v>
      </c>
      <c r="C17" s="7">
        <v>0.25</v>
      </c>
      <c r="D17" s="7">
        <f t="shared" si="1"/>
        <v>0.22500000000000001</v>
      </c>
      <c r="E17" s="7">
        <f t="shared" si="2"/>
        <v>0.19500000000000001</v>
      </c>
      <c r="F17" s="7">
        <f t="shared" si="3"/>
        <v>3.9000000000000003E-3</v>
      </c>
      <c r="G17" s="7">
        <f t="shared" si="4"/>
        <v>0.19110000000000002</v>
      </c>
    </row>
    <row r="18" spans="1:7" ht="26.5" customHeight="1" x14ac:dyDescent="0.35">
      <c r="A18" s="48"/>
      <c r="B18" s="5" t="s">
        <v>99</v>
      </c>
      <c r="C18" s="7">
        <v>7.4999999999999997E-2</v>
      </c>
      <c r="D18" s="7">
        <f t="shared" si="1"/>
        <v>6.7500000000000004E-2</v>
      </c>
      <c r="E18" s="7">
        <f t="shared" si="2"/>
        <v>3.7500000000000006E-2</v>
      </c>
      <c r="F18" s="7">
        <f t="shared" si="3"/>
        <v>7.5000000000000012E-4</v>
      </c>
      <c r="G18" s="7">
        <f t="shared" si="4"/>
        <v>3.6750000000000005E-2</v>
      </c>
    </row>
    <row r="19" spans="1:7" ht="26.5" customHeight="1" x14ac:dyDescent="0.35">
      <c r="A19" s="5" t="s">
        <v>973</v>
      </c>
      <c r="B19" s="5" t="s">
        <v>98</v>
      </c>
      <c r="C19" s="7">
        <v>0.2</v>
      </c>
      <c r="D19" s="7">
        <f t="shared" si="1"/>
        <v>0.18</v>
      </c>
      <c r="E19" s="7">
        <f t="shared" si="2"/>
        <v>0.15</v>
      </c>
      <c r="F19" s="7">
        <f t="shared" si="3"/>
        <v>3.0000000000000001E-3</v>
      </c>
      <c r="G19" s="7">
        <f t="shared" si="4"/>
        <v>0.14699999999999999</v>
      </c>
    </row>
    <row r="20" spans="1:7" ht="26.5" customHeight="1" x14ac:dyDescent="0.35">
      <c r="A20" s="5" t="s">
        <v>974</v>
      </c>
      <c r="B20" s="5" t="s">
        <v>99</v>
      </c>
      <c r="C20" s="7">
        <v>0.1</v>
      </c>
      <c r="D20" s="7">
        <f t="shared" si="1"/>
        <v>0.09</v>
      </c>
      <c r="E20" s="7">
        <f t="shared" si="2"/>
        <v>0.06</v>
      </c>
      <c r="F20" s="7">
        <f t="shared" si="3"/>
        <v>1.1999999999999999E-3</v>
      </c>
      <c r="G20" s="7">
        <f t="shared" si="4"/>
        <v>5.8799999999999998E-2</v>
      </c>
    </row>
    <row r="21" spans="1:7" ht="26.5" customHeight="1" x14ac:dyDescent="0.35">
      <c r="A21" s="2" t="s">
        <v>975</v>
      </c>
      <c r="B21" s="2"/>
      <c r="C21" s="4" t="s">
        <v>2</v>
      </c>
      <c r="D21" s="4" t="s">
        <v>922</v>
      </c>
      <c r="E21" s="4" t="s">
        <v>4</v>
      </c>
      <c r="F21" s="4" t="s">
        <v>5</v>
      </c>
      <c r="G21" s="4" t="s">
        <v>6</v>
      </c>
    </row>
    <row r="22" spans="1:7" ht="32.5" customHeight="1" x14ac:dyDescent="0.35">
      <c r="A22" s="48" t="s">
        <v>976</v>
      </c>
      <c r="B22" s="5" t="s">
        <v>419</v>
      </c>
      <c r="C22" s="7">
        <v>0.55000000000000004</v>
      </c>
      <c r="D22" s="7">
        <f t="shared" si="1"/>
        <v>0.49500000000000005</v>
      </c>
      <c r="E22" s="7">
        <f t="shared" si="2"/>
        <v>0.46500000000000008</v>
      </c>
      <c r="F22" s="7">
        <f t="shared" si="3"/>
        <v>9.300000000000001E-3</v>
      </c>
      <c r="G22" s="7">
        <f t="shared" si="4"/>
        <v>0.4557000000000001</v>
      </c>
    </row>
    <row r="23" spans="1:7" ht="32.5" customHeight="1" x14ac:dyDescent="0.35">
      <c r="A23" s="48"/>
      <c r="B23" s="5" t="s">
        <v>977</v>
      </c>
      <c r="C23" s="7">
        <v>0.5</v>
      </c>
      <c r="D23" s="7">
        <f t="shared" si="1"/>
        <v>0.45</v>
      </c>
      <c r="E23" s="7">
        <f t="shared" si="2"/>
        <v>0.42000000000000004</v>
      </c>
      <c r="F23" s="7">
        <f t="shared" si="3"/>
        <v>8.4000000000000012E-3</v>
      </c>
      <c r="G23" s="7">
        <f t="shared" si="4"/>
        <v>0.41160000000000002</v>
      </c>
    </row>
    <row r="24" spans="1:7" ht="32.5" customHeight="1" x14ac:dyDescent="0.35">
      <c r="A24" s="48" t="s">
        <v>978</v>
      </c>
      <c r="B24" s="5" t="s">
        <v>419</v>
      </c>
      <c r="C24" s="7">
        <v>0.5</v>
      </c>
      <c r="D24" s="7">
        <f t="shared" si="1"/>
        <v>0.45</v>
      </c>
      <c r="E24" s="7">
        <f t="shared" si="2"/>
        <v>0.42000000000000004</v>
      </c>
      <c r="F24" s="7">
        <f t="shared" si="3"/>
        <v>8.4000000000000012E-3</v>
      </c>
      <c r="G24" s="7">
        <f t="shared" si="4"/>
        <v>0.41160000000000002</v>
      </c>
    </row>
    <row r="25" spans="1:7" ht="32.5" customHeight="1" x14ac:dyDescent="0.35">
      <c r="A25" s="48"/>
      <c r="B25" s="5" t="s">
        <v>977</v>
      </c>
      <c r="C25" s="7">
        <v>0.5</v>
      </c>
      <c r="D25" s="7">
        <f t="shared" si="1"/>
        <v>0.45</v>
      </c>
      <c r="E25" s="7">
        <f t="shared" si="2"/>
        <v>0.42000000000000004</v>
      </c>
      <c r="F25" s="7">
        <f t="shared" si="3"/>
        <v>8.4000000000000012E-3</v>
      </c>
      <c r="G25" s="7">
        <f t="shared" si="4"/>
        <v>0.41160000000000002</v>
      </c>
    </row>
    <row r="26" spans="1:7" ht="32.5" customHeight="1" x14ac:dyDescent="0.35">
      <c r="A26" s="5" t="s">
        <v>979</v>
      </c>
      <c r="B26" s="5" t="s">
        <v>977</v>
      </c>
      <c r="C26" s="7">
        <v>0.5</v>
      </c>
      <c r="D26" s="7">
        <f t="shared" si="1"/>
        <v>0.45</v>
      </c>
      <c r="E26" s="7">
        <f t="shared" si="2"/>
        <v>0.42000000000000004</v>
      </c>
      <c r="F26" s="7">
        <f t="shared" si="3"/>
        <v>8.4000000000000012E-3</v>
      </c>
      <c r="G26" s="7">
        <f t="shared" si="4"/>
        <v>0.41160000000000002</v>
      </c>
    </row>
    <row r="27" spans="1:7" ht="32.5" customHeight="1" x14ac:dyDescent="0.35">
      <c r="A27" s="48" t="s">
        <v>980</v>
      </c>
      <c r="B27" s="5" t="s">
        <v>419</v>
      </c>
      <c r="C27" s="7">
        <v>0.4</v>
      </c>
      <c r="D27" s="7">
        <f t="shared" si="1"/>
        <v>0.36</v>
      </c>
      <c r="E27" s="7">
        <f t="shared" si="2"/>
        <v>0.32999999999999996</v>
      </c>
      <c r="F27" s="7">
        <f t="shared" si="3"/>
        <v>6.5999999999999991E-3</v>
      </c>
      <c r="G27" s="7">
        <f t="shared" si="4"/>
        <v>0.32339999999999997</v>
      </c>
    </row>
    <row r="28" spans="1:7" ht="32.5" customHeight="1" x14ac:dyDescent="0.35">
      <c r="A28" s="48"/>
      <c r="B28" s="5" t="s">
        <v>977</v>
      </c>
      <c r="C28" s="7">
        <v>0.25</v>
      </c>
      <c r="D28" s="7">
        <f t="shared" si="1"/>
        <v>0.22500000000000001</v>
      </c>
      <c r="E28" s="7">
        <f t="shared" si="2"/>
        <v>0.19500000000000001</v>
      </c>
      <c r="F28" s="7">
        <f t="shared" si="3"/>
        <v>3.9000000000000003E-3</v>
      </c>
      <c r="G28" s="7">
        <f t="shared" si="4"/>
        <v>0.19110000000000002</v>
      </c>
    </row>
    <row r="29" spans="1:7" ht="32.5" customHeight="1" x14ac:dyDescent="0.35">
      <c r="A29" s="48" t="s">
        <v>981</v>
      </c>
      <c r="B29" s="5" t="s">
        <v>419</v>
      </c>
      <c r="C29" s="7">
        <v>0.35</v>
      </c>
      <c r="D29" s="7">
        <f t="shared" si="1"/>
        <v>0.315</v>
      </c>
      <c r="E29" s="7">
        <f t="shared" si="2"/>
        <v>0.28500000000000003</v>
      </c>
      <c r="F29" s="7">
        <f t="shared" si="3"/>
        <v>5.7000000000000011E-3</v>
      </c>
      <c r="G29" s="7">
        <f t="shared" si="4"/>
        <v>0.27930000000000005</v>
      </c>
    </row>
    <row r="30" spans="1:7" ht="32.5" customHeight="1" x14ac:dyDescent="0.35">
      <c r="A30" s="48"/>
      <c r="B30" s="5" t="s">
        <v>977</v>
      </c>
      <c r="C30" s="7">
        <v>0.25</v>
      </c>
      <c r="D30" s="7">
        <f t="shared" si="1"/>
        <v>0.22500000000000001</v>
      </c>
      <c r="E30" s="7">
        <f t="shared" si="2"/>
        <v>0.19500000000000001</v>
      </c>
      <c r="F30" s="7">
        <f t="shared" si="3"/>
        <v>3.9000000000000003E-3</v>
      </c>
      <c r="G30" s="7">
        <f t="shared" si="4"/>
        <v>0.19110000000000002</v>
      </c>
    </row>
    <row r="31" spans="1:7" ht="32.5" customHeight="1" x14ac:dyDescent="0.35">
      <c r="A31" s="5" t="s">
        <v>982</v>
      </c>
      <c r="B31" s="5" t="s">
        <v>977</v>
      </c>
      <c r="C31" s="7">
        <v>0.25</v>
      </c>
      <c r="D31" s="7">
        <f t="shared" si="1"/>
        <v>0.22500000000000001</v>
      </c>
      <c r="E31" s="7">
        <f t="shared" si="2"/>
        <v>0.19500000000000001</v>
      </c>
      <c r="F31" s="7">
        <f t="shared" si="3"/>
        <v>3.9000000000000003E-3</v>
      </c>
      <c r="G31" s="7">
        <f t="shared" si="4"/>
        <v>0.19110000000000002</v>
      </c>
    </row>
    <row r="32" spans="1:7" ht="32.5" customHeight="1" x14ac:dyDescent="0.35">
      <c r="A32" s="48" t="s">
        <v>1244</v>
      </c>
      <c r="B32" s="5" t="s">
        <v>419</v>
      </c>
      <c r="C32" s="7">
        <v>0.1</v>
      </c>
      <c r="D32" s="7">
        <f t="shared" si="1"/>
        <v>0.09</v>
      </c>
      <c r="E32" s="7">
        <f t="shared" si="2"/>
        <v>0.06</v>
      </c>
      <c r="F32" s="7">
        <f t="shared" si="3"/>
        <v>1.1999999999999999E-3</v>
      </c>
      <c r="G32" s="7">
        <f t="shared" si="4"/>
        <v>5.8799999999999998E-2</v>
      </c>
    </row>
    <row r="33" spans="1:7" ht="32.5" customHeight="1" x14ac:dyDescent="0.35">
      <c r="A33" s="48"/>
      <c r="B33" s="5" t="s">
        <v>977</v>
      </c>
      <c r="C33" s="7">
        <v>2.5000000000000001E-2</v>
      </c>
      <c r="D33" s="7" t="s">
        <v>20</v>
      </c>
      <c r="E33" s="7" t="s">
        <v>20</v>
      </c>
      <c r="F33" s="7" t="s">
        <v>20</v>
      </c>
      <c r="G33" s="7" t="s">
        <v>20</v>
      </c>
    </row>
    <row r="34" spans="1:7" ht="32.5" customHeight="1" x14ac:dyDescent="0.35">
      <c r="A34" s="48" t="s">
        <v>1245</v>
      </c>
      <c r="B34" s="5" t="s">
        <v>419</v>
      </c>
      <c r="C34" s="7">
        <v>0.1</v>
      </c>
      <c r="D34" s="7">
        <f t="shared" si="1"/>
        <v>0.09</v>
      </c>
      <c r="E34" s="7">
        <f t="shared" si="2"/>
        <v>0.06</v>
      </c>
      <c r="F34" s="7">
        <f t="shared" si="3"/>
        <v>1.1999999999999999E-3</v>
      </c>
      <c r="G34" s="7">
        <f t="shared" si="4"/>
        <v>5.8799999999999998E-2</v>
      </c>
    </row>
    <row r="35" spans="1:7" ht="32.5" customHeight="1" x14ac:dyDescent="0.35">
      <c r="A35" s="48"/>
      <c r="B35" s="5" t="s">
        <v>977</v>
      </c>
      <c r="C35" s="7">
        <v>2.5000000000000001E-2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2.5" customHeight="1" x14ac:dyDescent="0.35">
      <c r="A36" s="5" t="s">
        <v>1246</v>
      </c>
      <c r="B36" s="5" t="s">
        <v>977</v>
      </c>
      <c r="C36" s="7">
        <v>2.5000000000000001E-2</v>
      </c>
      <c r="D36" s="7" t="s">
        <v>20</v>
      </c>
      <c r="E36" s="7" t="s">
        <v>20</v>
      </c>
      <c r="F36" s="7" t="s">
        <v>20</v>
      </c>
      <c r="G36" s="7" t="s">
        <v>20</v>
      </c>
    </row>
    <row r="37" spans="1:7" ht="32.5" customHeight="1" x14ac:dyDescent="0.35">
      <c r="A37" s="48" t="s">
        <v>983</v>
      </c>
      <c r="B37" s="5" t="s">
        <v>419</v>
      </c>
      <c r="C37" s="7">
        <v>0.6</v>
      </c>
      <c r="D37" s="7">
        <f t="shared" si="1"/>
        <v>0.54</v>
      </c>
      <c r="E37" s="7">
        <f t="shared" si="2"/>
        <v>0.51</v>
      </c>
      <c r="F37" s="7">
        <f t="shared" si="3"/>
        <v>1.0200000000000001E-2</v>
      </c>
      <c r="G37" s="7">
        <f t="shared" si="4"/>
        <v>0.49980000000000002</v>
      </c>
    </row>
    <row r="38" spans="1:7" ht="32.5" customHeight="1" x14ac:dyDescent="0.35">
      <c r="A38" s="48"/>
      <c r="B38" s="5" t="s">
        <v>977</v>
      </c>
      <c r="C38" s="7">
        <v>0.6</v>
      </c>
      <c r="D38" s="7">
        <f t="shared" si="1"/>
        <v>0.54</v>
      </c>
      <c r="E38" s="7">
        <f t="shared" si="2"/>
        <v>0.51</v>
      </c>
      <c r="F38" s="7">
        <f t="shared" si="3"/>
        <v>1.0200000000000001E-2</v>
      </c>
      <c r="G38" s="7">
        <f t="shared" si="4"/>
        <v>0.49980000000000002</v>
      </c>
    </row>
    <row r="39" spans="1:7" ht="32.5" customHeight="1" x14ac:dyDescent="0.35">
      <c r="A39" s="48" t="s">
        <v>984</v>
      </c>
      <c r="B39" s="5" t="s">
        <v>419</v>
      </c>
      <c r="C39" s="7">
        <v>0.6</v>
      </c>
      <c r="D39" s="7">
        <f t="shared" si="1"/>
        <v>0.54</v>
      </c>
      <c r="E39" s="7">
        <f t="shared" si="2"/>
        <v>0.51</v>
      </c>
      <c r="F39" s="7">
        <f t="shared" si="3"/>
        <v>1.0200000000000001E-2</v>
      </c>
      <c r="G39" s="7">
        <f t="shared" si="4"/>
        <v>0.49980000000000002</v>
      </c>
    </row>
    <row r="40" spans="1:7" ht="32.5" customHeight="1" x14ac:dyDescent="0.35">
      <c r="A40" s="48"/>
      <c r="B40" s="5" t="s">
        <v>977</v>
      </c>
      <c r="C40" s="7">
        <v>0.6</v>
      </c>
      <c r="D40" s="7">
        <f t="shared" si="1"/>
        <v>0.54</v>
      </c>
      <c r="E40" s="7">
        <f t="shared" si="2"/>
        <v>0.51</v>
      </c>
      <c r="F40" s="7">
        <f t="shared" si="3"/>
        <v>1.0200000000000001E-2</v>
      </c>
      <c r="G40" s="7">
        <f t="shared" si="4"/>
        <v>0.49980000000000002</v>
      </c>
    </row>
    <row r="41" spans="1:7" ht="32.5" customHeight="1" x14ac:dyDescent="0.35">
      <c r="A41" s="5" t="s">
        <v>985</v>
      </c>
      <c r="B41" s="5" t="s">
        <v>977</v>
      </c>
      <c r="C41" s="7">
        <v>0.6</v>
      </c>
      <c r="D41" s="7">
        <f t="shared" si="1"/>
        <v>0.54</v>
      </c>
      <c r="E41" s="7">
        <f t="shared" si="2"/>
        <v>0.51</v>
      </c>
      <c r="F41" s="7">
        <f t="shared" si="3"/>
        <v>1.0200000000000001E-2</v>
      </c>
      <c r="G41" s="7">
        <f t="shared" si="4"/>
        <v>0.49980000000000002</v>
      </c>
    </row>
  </sheetData>
  <mergeCells count="14">
    <mergeCell ref="A37:A38"/>
    <mergeCell ref="A39:A40"/>
    <mergeCell ref="A32:A33"/>
    <mergeCell ref="A34:A35"/>
    <mergeCell ref="A5:A6"/>
    <mergeCell ref="A17:A18"/>
    <mergeCell ref="A7:A8"/>
    <mergeCell ref="A9:A10"/>
    <mergeCell ref="A13:A14"/>
    <mergeCell ref="A15:A16"/>
    <mergeCell ref="A22:A23"/>
    <mergeCell ref="A24:A25"/>
    <mergeCell ref="A27:A28"/>
    <mergeCell ref="A29:A30"/>
  </mergeCells>
  <printOptions horizontalCentered="1" verticalCentered="1"/>
  <pageMargins left="0" right="0" top="0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2B22-B452-4947-B72C-D6F869092D6C}">
  <dimension ref="A2:G41"/>
  <sheetViews>
    <sheetView showGridLines="0" topLeftCell="A41" workbookViewId="0">
      <selection activeCell="A2" sqref="A2:G41"/>
    </sheetView>
  </sheetViews>
  <sheetFormatPr defaultRowHeight="26.5" customHeight="1" x14ac:dyDescent="0.35"/>
  <cols>
    <col min="1" max="1" width="31.81640625" style="9" customWidth="1"/>
    <col min="2" max="2" width="13.81640625" style="9" bestFit="1" customWidth="1"/>
    <col min="3" max="3" width="8" hidden="1" customWidth="1"/>
    <col min="4" max="4" width="8.54296875" hidden="1" customWidth="1"/>
    <col min="5" max="5" width="10.453125" hidden="1" customWidth="1"/>
    <col min="6" max="6" width="9.81640625" hidden="1" customWidth="1"/>
    <col min="7" max="7" width="9.1796875" bestFit="1" customWidth="1"/>
  </cols>
  <sheetData>
    <row r="2" spans="1:7" ht="71.5" customHeight="1" x14ac:dyDescent="0.35">
      <c r="A2" s="1" t="s">
        <v>1291</v>
      </c>
      <c r="B2" s="22"/>
      <c r="C2" s="12"/>
      <c r="D2" s="12"/>
      <c r="E2" s="12"/>
      <c r="F2" s="12"/>
      <c r="G2" s="12"/>
    </row>
    <row r="4" spans="1:7" ht="54" customHeight="1" x14ac:dyDescent="0.35">
      <c r="A4" s="2" t="s">
        <v>964</v>
      </c>
      <c r="B4" s="2" t="s">
        <v>1</v>
      </c>
      <c r="C4" s="4" t="s">
        <v>2</v>
      </c>
      <c r="D4" s="4" t="s">
        <v>922</v>
      </c>
      <c r="E4" s="4" t="s">
        <v>1276</v>
      </c>
      <c r="F4" s="4" t="s">
        <v>363</v>
      </c>
      <c r="G4" s="4" t="s">
        <v>364</v>
      </c>
    </row>
    <row r="5" spans="1:7" ht="26.5" customHeight="1" x14ac:dyDescent="0.35">
      <c r="A5" s="48" t="s">
        <v>965</v>
      </c>
      <c r="B5" s="5" t="s">
        <v>98</v>
      </c>
      <c r="C5" s="7">
        <v>0.25</v>
      </c>
      <c r="D5" s="7">
        <f>(C5-(C5*10%))</f>
        <v>0.22500000000000001</v>
      </c>
      <c r="E5" s="7">
        <f>D5-(2.5%)</f>
        <v>0.2</v>
      </c>
      <c r="F5" s="7">
        <f>E5*(2%)</f>
        <v>4.0000000000000001E-3</v>
      </c>
      <c r="G5" s="7">
        <f t="shared" ref="G5" si="0">E5-F5</f>
        <v>0.19600000000000001</v>
      </c>
    </row>
    <row r="6" spans="1:7" ht="26.5" customHeight="1" x14ac:dyDescent="0.35">
      <c r="A6" s="48"/>
      <c r="B6" s="5" t="s">
        <v>99</v>
      </c>
      <c r="C6" s="7">
        <v>0.15</v>
      </c>
      <c r="D6" s="7">
        <f t="shared" ref="D6:D41" si="1">(C6-(C6*10%))</f>
        <v>0.13500000000000001</v>
      </c>
      <c r="E6" s="7">
        <f t="shared" ref="E6:E41" si="2">D6-(2.5%)</f>
        <v>0.11000000000000001</v>
      </c>
      <c r="F6" s="7">
        <f t="shared" ref="F6:F41" si="3">E6*(2%)</f>
        <v>2.2000000000000001E-3</v>
      </c>
      <c r="G6" s="7">
        <f t="shared" ref="G6:G41" si="4">E6-F6</f>
        <v>0.10780000000000002</v>
      </c>
    </row>
    <row r="7" spans="1:7" ht="26.5" customHeight="1" x14ac:dyDescent="0.35">
      <c r="A7" s="48" t="s">
        <v>966</v>
      </c>
      <c r="B7" s="5" t="s">
        <v>98</v>
      </c>
      <c r="C7" s="7">
        <v>0.2</v>
      </c>
      <c r="D7" s="7">
        <f t="shared" si="1"/>
        <v>0.18</v>
      </c>
      <c r="E7" s="7">
        <f t="shared" si="2"/>
        <v>0.155</v>
      </c>
      <c r="F7" s="7">
        <f t="shared" si="3"/>
        <v>3.0999999999999999E-3</v>
      </c>
      <c r="G7" s="7">
        <f t="shared" si="4"/>
        <v>0.15190000000000001</v>
      </c>
    </row>
    <row r="8" spans="1:7" ht="26.5" customHeight="1" x14ac:dyDescent="0.35">
      <c r="A8" s="48"/>
      <c r="B8" s="5" t="s">
        <v>99</v>
      </c>
      <c r="C8" s="7">
        <v>0.15</v>
      </c>
      <c r="D8" s="7">
        <f t="shared" si="1"/>
        <v>0.13500000000000001</v>
      </c>
      <c r="E8" s="7">
        <f t="shared" si="2"/>
        <v>0.11000000000000001</v>
      </c>
      <c r="F8" s="7">
        <f t="shared" si="3"/>
        <v>2.2000000000000001E-3</v>
      </c>
      <c r="G8" s="7">
        <f t="shared" si="4"/>
        <v>0.10780000000000002</v>
      </c>
    </row>
    <row r="9" spans="1:7" ht="26.5" customHeight="1" x14ac:dyDescent="0.35">
      <c r="A9" s="48" t="s">
        <v>967</v>
      </c>
      <c r="B9" s="5" t="s">
        <v>98</v>
      </c>
      <c r="C9" s="7">
        <v>0.2</v>
      </c>
      <c r="D9" s="7">
        <f t="shared" si="1"/>
        <v>0.18</v>
      </c>
      <c r="E9" s="7">
        <f t="shared" si="2"/>
        <v>0.155</v>
      </c>
      <c r="F9" s="7">
        <f t="shared" si="3"/>
        <v>3.0999999999999999E-3</v>
      </c>
      <c r="G9" s="7">
        <f t="shared" si="4"/>
        <v>0.15190000000000001</v>
      </c>
    </row>
    <row r="10" spans="1:7" ht="26.5" customHeight="1" x14ac:dyDescent="0.35">
      <c r="A10" s="48"/>
      <c r="B10" s="5" t="s">
        <v>99</v>
      </c>
      <c r="C10" s="7">
        <v>0.125</v>
      </c>
      <c r="D10" s="7">
        <f t="shared" si="1"/>
        <v>0.1125</v>
      </c>
      <c r="E10" s="7">
        <f t="shared" si="2"/>
        <v>8.7499999999999994E-2</v>
      </c>
      <c r="F10" s="7">
        <f t="shared" si="3"/>
        <v>1.7499999999999998E-3</v>
      </c>
      <c r="G10" s="7">
        <f t="shared" si="4"/>
        <v>8.5749999999999993E-2</v>
      </c>
    </row>
    <row r="11" spans="1:7" ht="26.5" customHeight="1" x14ac:dyDescent="0.35">
      <c r="A11" s="5" t="s">
        <v>968</v>
      </c>
      <c r="B11" s="5" t="s">
        <v>99</v>
      </c>
      <c r="C11" s="7">
        <v>0.15</v>
      </c>
      <c r="D11" s="7">
        <f t="shared" si="1"/>
        <v>0.13500000000000001</v>
      </c>
      <c r="E11" s="7">
        <f t="shared" si="2"/>
        <v>0.11000000000000001</v>
      </c>
      <c r="F11" s="7">
        <f t="shared" si="3"/>
        <v>2.2000000000000001E-3</v>
      </c>
      <c r="G11" s="7">
        <f t="shared" si="4"/>
        <v>0.10780000000000002</v>
      </c>
    </row>
    <row r="12" spans="1:7" ht="26.5" customHeight="1" x14ac:dyDescent="0.35">
      <c r="A12" s="5" t="s">
        <v>969</v>
      </c>
      <c r="B12" s="5" t="s">
        <v>98</v>
      </c>
      <c r="C12" s="7">
        <v>0.2</v>
      </c>
      <c r="D12" s="7">
        <f t="shared" si="1"/>
        <v>0.18</v>
      </c>
      <c r="E12" s="7">
        <f t="shared" si="2"/>
        <v>0.155</v>
      </c>
      <c r="F12" s="7">
        <f t="shared" si="3"/>
        <v>3.0999999999999999E-3</v>
      </c>
      <c r="G12" s="7">
        <f t="shared" si="4"/>
        <v>0.15190000000000001</v>
      </c>
    </row>
    <row r="13" spans="1:7" ht="26.5" customHeight="1" x14ac:dyDescent="0.35">
      <c r="A13" s="48" t="s">
        <v>970</v>
      </c>
      <c r="B13" s="5" t="s">
        <v>98</v>
      </c>
      <c r="C13" s="7">
        <v>0.3</v>
      </c>
      <c r="D13" s="7">
        <f t="shared" si="1"/>
        <v>0.27</v>
      </c>
      <c r="E13" s="7">
        <f t="shared" si="2"/>
        <v>0.24500000000000002</v>
      </c>
      <c r="F13" s="7">
        <f t="shared" si="3"/>
        <v>4.9000000000000007E-3</v>
      </c>
      <c r="G13" s="7">
        <f t="shared" si="4"/>
        <v>0.24010000000000004</v>
      </c>
    </row>
    <row r="14" spans="1:7" ht="26.5" customHeight="1" x14ac:dyDescent="0.35">
      <c r="A14" s="48"/>
      <c r="B14" s="5" t="s">
        <v>99</v>
      </c>
      <c r="C14" s="7">
        <v>0.3</v>
      </c>
      <c r="D14" s="7">
        <f t="shared" si="1"/>
        <v>0.27</v>
      </c>
      <c r="E14" s="7">
        <f t="shared" si="2"/>
        <v>0.24500000000000002</v>
      </c>
      <c r="F14" s="7">
        <f t="shared" si="3"/>
        <v>4.9000000000000007E-3</v>
      </c>
      <c r="G14" s="7">
        <f t="shared" si="4"/>
        <v>0.24010000000000004</v>
      </c>
    </row>
    <row r="15" spans="1:7" ht="26.5" customHeight="1" x14ac:dyDescent="0.35">
      <c r="A15" s="48" t="s">
        <v>971</v>
      </c>
      <c r="B15" s="5" t="s">
        <v>98</v>
      </c>
      <c r="C15" s="7">
        <v>0.25</v>
      </c>
      <c r="D15" s="7">
        <f t="shared" si="1"/>
        <v>0.22500000000000001</v>
      </c>
      <c r="E15" s="7">
        <f t="shared" si="2"/>
        <v>0.2</v>
      </c>
      <c r="F15" s="7">
        <f t="shared" si="3"/>
        <v>4.0000000000000001E-3</v>
      </c>
      <c r="G15" s="7">
        <f t="shared" si="4"/>
        <v>0.19600000000000001</v>
      </c>
    </row>
    <row r="16" spans="1:7" ht="26.5" customHeight="1" x14ac:dyDescent="0.35">
      <c r="A16" s="48"/>
      <c r="B16" s="5" t="s">
        <v>99</v>
      </c>
      <c r="C16" s="7">
        <v>0.1</v>
      </c>
      <c r="D16" s="7">
        <f t="shared" si="1"/>
        <v>0.09</v>
      </c>
      <c r="E16" s="7">
        <f t="shared" si="2"/>
        <v>6.5000000000000002E-2</v>
      </c>
      <c r="F16" s="7">
        <f t="shared" si="3"/>
        <v>1.3000000000000002E-3</v>
      </c>
      <c r="G16" s="7">
        <f t="shared" si="4"/>
        <v>6.3700000000000007E-2</v>
      </c>
    </row>
    <row r="17" spans="1:7" ht="26.5" customHeight="1" x14ac:dyDescent="0.35">
      <c r="A17" s="48" t="s">
        <v>972</v>
      </c>
      <c r="B17" s="5" t="s">
        <v>98</v>
      </c>
      <c r="C17" s="7">
        <v>0.25</v>
      </c>
      <c r="D17" s="7">
        <f t="shared" si="1"/>
        <v>0.22500000000000001</v>
      </c>
      <c r="E17" s="7">
        <f t="shared" si="2"/>
        <v>0.2</v>
      </c>
      <c r="F17" s="7">
        <f t="shared" si="3"/>
        <v>4.0000000000000001E-3</v>
      </c>
      <c r="G17" s="7">
        <f t="shared" si="4"/>
        <v>0.19600000000000001</v>
      </c>
    </row>
    <row r="18" spans="1:7" ht="26.5" customHeight="1" x14ac:dyDescent="0.35">
      <c r="A18" s="48"/>
      <c r="B18" s="5" t="s">
        <v>99</v>
      </c>
      <c r="C18" s="7">
        <v>7.4999999999999997E-2</v>
      </c>
      <c r="D18" s="7">
        <f t="shared" si="1"/>
        <v>6.7500000000000004E-2</v>
      </c>
      <c r="E18" s="7">
        <f t="shared" si="2"/>
        <v>4.2500000000000003E-2</v>
      </c>
      <c r="F18" s="7">
        <f t="shared" si="3"/>
        <v>8.5000000000000006E-4</v>
      </c>
      <c r="G18" s="7">
        <f t="shared" si="4"/>
        <v>4.1650000000000006E-2</v>
      </c>
    </row>
    <row r="19" spans="1:7" ht="26.5" customHeight="1" x14ac:dyDescent="0.35">
      <c r="A19" s="5" t="s">
        <v>973</v>
      </c>
      <c r="B19" s="5" t="s">
        <v>98</v>
      </c>
      <c r="C19" s="7">
        <v>0.2</v>
      </c>
      <c r="D19" s="7">
        <f t="shared" si="1"/>
        <v>0.18</v>
      </c>
      <c r="E19" s="7">
        <f t="shared" si="2"/>
        <v>0.155</v>
      </c>
      <c r="F19" s="7">
        <f t="shared" si="3"/>
        <v>3.0999999999999999E-3</v>
      </c>
      <c r="G19" s="7">
        <f t="shared" si="4"/>
        <v>0.15190000000000001</v>
      </c>
    </row>
    <row r="20" spans="1:7" ht="26.5" customHeight="1" x14ac:dyDescent="0.35">
      <c r="A20" s="5" t="s">
        <v>974</v>
      </c>
      <c r="B20" s="5" t="s">
        <v>99</v>
      </c>
      <c r="C20" s="7">
        <v>0.1</v>
      </c>
      <c r="D20" s="7">
        <f t="shared" si="1"/>
        <v>0.09</v>
      </c>
      <c r="E20" s="7">
        <f t="shared" si="2"/>
        <v>6.5000000000000002E-2</v>
      </c>
      <c r="F20" s="7">
        <f t="shared" si="3"/>
        <v>1.3000000000000002E-3</v>
      </c>
      <c r="G20" s="7">
        <f t="shared" si="4"/>
        <v>6.3700000000000007E-2</v>
      </c>
    </row>
    <row r="21" spans="1:7" ht="26.5" customHeight="1" x14ac:dyDescent="0.35">
      <c r="A21" s="2" t="s">
        <v>975</v>
      </c>
      <c r="B21" s="2"/>
      <c r="C21" s="4" t="s">
        <v>2</v>
      </c>
      <c r="D21" s="4" t="s">
        <v>922</v>
      </c>
      <c r="E21" s="4" t="s">
        <v>1276</v>
      </c>
      <c r="F21" s="4" t="s">
        <v>363</v>
      </c>
      <c r="G21" s="4" t="s">
        <v>364</v>
      </c>
    </row>
    <row r="22" spans="1:7" ht="32.5" customHeight="1" x14ac:dyDescent="0.35">
      <c r="A22" s="48" t="s">
        <v>976</v>
      </c>
      <c r="B22" s="5" t="s">
        <v>419</v>
      </c>
      <c r="C22" s="7">
        <v>0.55000000000000004</v>
      </c>
      <c r="D22" s="7">
        <f t="shared" si="1"/>
        <v>0.49500000000000005</v>
      </c>
      <c r="E22" s="7">
        <f t="shared" si="2"/>
        <v>0.47000000000000003</v>
      </c>
      <c r="F22" s="7">
        <f t="shared" si="3"/>
        <v>9.4000000000000004E-3</v>
      </c>
      <c r="G22" s="7">
        <f t="shared" si="4"/>
        <v>0.46060000000000001</v>
      </c>
    </row>
    <row r="23" spans="1:7" ht="32.5" customHeight="1" x14ac:dyDescent="0.35">
      <c r="A23" s="48"/>
      <c r="B23" s="5" t="s">
        <v>977</v>
      </c>
      <c r="C23" s="7">
        <v>0.5</v>
      </c>
      <c r="D23" s="7">
        <f t="shared" si="1"/>
        <v>0.45</v>
      </c>
      <c r="E23" s="7">
        <f t="shared" si="2"/>
        <v>0.42499999999999999</v>
      </c>
      <c r="F23" s="7">
        <f t="shared" si="3"/>
        <v>8.5000000000000006E-3</v>
      </c>
      <c r="G23" s="7">
        <f t="shared" si="4"/>
        <v>0.41649999999999998</v>
      </c>
    </row>
    <row r="24" spans="1:7" ht="32.5" customHeight="1" x14ac:dyDescent="0.35">
      <c r="A24" s="48" t="s">
        <v>978</v>
      </c>
      <c r="B24" s="5" t="s">
        <v>419</v>
      </c>
      <c r="C24" s="7">
        <v>0.5</v>
      </c>
      <c r="D24" s="7">
        <f t="shared" si="1"/>
        <v>0.45</v>
      </c>
      <c r="E24" s="7">
        <f t="shared" si="2"/>
        <v>0.42499999999999999</v>
      </c>
      <c r="F24" s="7">
        <f t="shared" si="3"/>
        <v>8.5000000000000006E-3</v>
      </c>
      <c r="G24" s="7">
        <f t="shared" si="4"/>
        <v>0.41649999999999998</v>
      </c>
    </row>
    <row r="25" spans="1:7" ht="32.5" customHeight="1" x14ac:dyDescent="0.35">
      <c r="A25" s="48"/>
      <c r="B25" s="5" t="s">
        <v>977</v>
      </c>
      <c r="C25" s="7">
        <v>0.5</v>
      </c>
      <c r="D25" s="7">
        <f t="shared" si="1"/>
        <v>0.45</v>
      </c>
      <c r="E25" s="7">
        <f t="shared" si="2"/>
        <v>0.42499999999999999</v>
      </c>
      <c r="F25" s="7">
        <f t="shared" si="3"/>
        <v>8.5000000000000006E-3</v>
      </c>
      <c r="G25" s="7">
        <f t="shared" si="4"/>
        <v>0.41649999999999998</v>
      </c>
    </row>
    <row r="26" spans="1:7" ht="32.5" customHeight="1" x14ac:dyDescent="0.35">
      <c r="A26" s="5" t="s">
        <v>979</v>
      </c>
      <c r="B26" s="5" t="s">
        <v>977</v>
      </c>
      <c r="C26" s="7">
        <v>0.5</v>
      </c>
      <c r="D26" s="7">
        <f t="shared" si="1"/>
        <v>0.45</v>
      </c>
      <c r="E26" s="7">
        <f t="shared" si="2"/>
        <v>0.42499999999999999</v>
      </c>
      <c r="F26" s="7">
        <f t="shared" si="3"/>
        <v>8.5000000000000006E-3</v>
      </c>
      <c r="G26" s="7">
        <f t="shared" si="4"/>
        <v>0.41649999999999998</v>
      </c>
    </row>
    <row r="27" spans="1:7" ht="32.5" customHeight="1" x14ac:dyDescent="0.35">
      <c r="A27" s="48" t="s">
        <v>980</v>
      </c>
      <c r="B27" s="5" t="s">
        <v>419</v>
      </c>
      <c r="C27" s="7">
        <v>0.4</v>
      </c>
      <c r="D27" s="7">
        <f t="shared" si="1"/>
        <v>0.36</v>
      </c>
      <c r="E27" s="7">
        <f t="shared" si="2"/>
        <v>0.33499999999999996</v>
      </c>
      <c r="F27" s="7">
        <f t="shared" si="3"/>
        <v>6.6999999999999994E-3</v>
      </c>
      <c r="G27" s="7">
        <f t="shared" si="4"/>
        <v>0.32829999999999998</v>
      </c>
    </row>
    <row r="28" spans="1:7" ht="32.5" customHeight="1" x14ac:dyDescent="0.35">
      <c r="A28" s="48"/>
      <c r="B28" s="5" t="s">
        <v>977</v>
      </c>
      <c r="C28" s="7">
        <v>0.25</v>
      </c>
      <c r="D28" s="7">
        <f t="shared" si="1"/>
        <v>0.22500000000000001</v>
      </c>
      <c r="E28" s="7">
        <f t="shared" si="2"/>
        <v>0.2</v>
      </c>
      <c r="F28" s="7">
        <f t="shared" si="3"/>
        <v>4.0000000000000001E-3</v>
      </c>
      <c r="G28" s="7">
        <f t="shared" si="4"/>
        <v>0.19600000000000001</v>
      </c>
    </row>
    <row r="29" spans="1:7" ht="32.5" customHeight="1" x14ac:dyDescent="0.35">
      <c r="A29" s="48" t="s">
        <v>981</v>
      </c>
      <c r="B29" s="5" t="s">
        <v>419</v>
      </c>
      <c r="C29" s="7">
        <v>0.35</v>
      </c>
      <c r="D29" s="7">
        <f t="shared" si="1"/>
        <v>0.315</v>
      </c>
      <c r="E29" s="7">
        <f t="shared" si="2"/>
        <v>0.28999999999999998</v>
      </c>
      <c r="F29" s="7">
        <f t="shared" si="3"/>
        <v>5.7999999999999996E-3</v>
      </c>
      <c r="G29" s="7">
        <f t="shared" si="4"/>
        <v>0.28420000000000001</v>
      </c>
    </row>
    <row r="30" spans="1:7" ht="32.5" customHeight="1" x14ac:dyDescent="0.35">
      <c r="A30" s="48"/>
      <c r="B30" s="5" t="s">
        <v>977</v>
      </c>
      <c r="C30" s="7">
        <v>0.25</v>
      </c>
      <c r="D30" s="7">
        <f t="shared" si="1"/>
        <v>0.22500000000000001</v>
      </c>
      <c r="E30" s="7">
        <f t="shared" si="2"/>
        <v>0.2</v>
      </c>
      <c r="F30" s="7">
        <f t="shared" si="3"/>
        <v>4.0000000000000001E-3</v>
      </c>
      <c r="G30" s="7">
        <f t="shared" si="4"/>
        <v>0.19600000000000001</v>
      </c>
    </row>
    <row r="31" spans="1:7" ht="32.5" customHeight="1" x14ac:dyDescent="0.35">
      <c r="A31" s="5" t="s">
        <v>982</v>
      </c>
      <c r="B31" s="5" t="s">
        <v>977</v>
      </c>
      <c r="C31" s="7">
        <v>0.25</v>
      </c>
      <c r="D31" s="7">
        <f t="shared" si="1"/>
        <v>0.22500000000000001</v>
      </c>
      <c r="E31" s="7">
        <f t="shared" si="2"/>
        <v>0.2</v>
      </c>
      <c r="F31" s="7">
        <f t="shared" si="3"/>
        <v>4.0000000000000001E-3</v>
      </c>
      <c r="G31" s="7">
        <f t="shared" si="4"/>
        <v>0.19600000000000001</v>
      </c>
    </row>
    <row r="32" spans="1:7" ht="32.5" customHeight="1" x14ac:dyDescent="0.35">
      <c r="A32" s="48" t="s">
        <v>1244</v>
      </c>
      <c r="B32" s="5" t="s">
        <v>419</v>
      </c>
      <c r="C32" s="7">
        <v>0.1</v>
      </c>
      <c r="D32" s="7">
        <f t="shared" si="1"/>
        <v>0.09</v>
      </c>
      <c r="E32" s="7">
        <f t="shared" si="2"/>
        <v>6.5000000000000002E-2</v>
      </c>
      <c r="F32" s="7">
        <f t="shared" si="3"/>
        <v>1.3000000000000002E-3</v>
      </c>
      <c r="G32" s="7">
        <f t="shared" si="4"/>
        <v>6.3700000000000007E-2</v>
      </c>
    </row>
    <row r="33" spans="1:7" ht="32.5" customHeight="1" x14ac:dyDescent="0.35">
      <c r="A33" s="48"/>
      <c r="B33" s="5" t="s">
        <v>977</v>
      </c>
      <c r="C33" s="7">
        <v>2.5000000000000001E-2</v>
      </c>
      <c r="D33" s="7" t="s">
        <v>20</v>
      </c>
      <c r="E33" s="7" t="s">
        <v>20</v>
      </c>
      <c r="F33" s="7" t="s">
        <v>20</v>
      </c>
      <c r="G33" s="7" t="s">
        <v>20</v>
      </c>
    </row>
    <row r="34" spans="1:7" ht="32.5" customHeight="1" x14ac:dyDescent="0.35">
      <c r="A34" s="48" t="s">
        <v>1245</v>
      </c>
      <c r="B34" s="5" t="s">
        <v>419</v>
      </c>
      <c r="C34" s="7">
        <v>0.1</v>
      </c>
      <c r="D34" s="7">
        <f t="shared" si="1"/>
        <v>0.09</v>
      </c>
      <c r="E34" s="7">
        <f t="shared" si="2"/>
        <v>6.5000000000000002E-2</v>
      </c>
      <c r="F34" s="7">
        <f t="shared" si="3"/>
        <v>1.3000000000000002E-3</v>
      </c>
      <c r="G34" s="7">
        <f t="shared" si="4"/>
        <v>6.3700000000000007E-2</v>
      </c>
    </row>
    <row r="35" spans="1:7" ht="32.5" customHeight="1" x14ac:dyDescent="0.35">
      <c r="A35" s="48"/>
      <c r="B35" s="5" t="s">
        <v>977</v>
      </c>
      <c r="C35" s="7">
        <v>2.5000000000000001E-2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2.5" customHeight="1" x14ac:dyDescent="0.35">
      <c r="A36" s="5" t="s">
        <v>1246</v>
      </c>
      <c r="B36" s="5" t="s">
        <v>977</v>
      </c>
      <c r="C36" s="7">
        <v>2.5000000000000001E-2</v>
      </c>
      <c r="D36" s="7" t="s">
        <v>20</v>
      </c>
      <c r="E36" s="7" t="s">
        <v>20</v>
      </c>
      <c r="F36" s="7" t="s">
        <v>20</v>
      </c>
      <c r="G36" s="7" t="s">
        <v>20</v>
      </c>
    </row>
    <row r="37" spans="1:7" ht="32.5" customHeight="1" x14ac:dyDescent="0.35">
      <c r="A37" s="48" t="s">
        <v>983</v>
      </c>
      <c r="B37" s="5" t="s">
        <v>419</v>
      </c>
      <c r="C37" s="7">
        <v>0.6</v>
      </c>
      <c r="D37" s="7">
        <f t="shared" si="1"/>
        <v>0.54</v>
      </c>
      <c r="E37" s="7">
        <f t="shared" si="2"/>
        <v>0.51500000000000001</v>
      </c>
      <c r="F37" s="7">
        <f t="shared" si="3"/>
        <v>1.03E-2</v>
      </c>
      <c r="G37" s="7">
        <f t="shared" si="4"/>
        <v>0.50470000000000004</v>
      </c>
    </row>
    <row r="38" spans="1:7" ht="32.5" customHeight="1" x14ac:dyDescent="0.35">
      <c r="A38" s="48"/>
      <c r="B38" s="5" t="s">
        <v>977</v>
      </c>
      <c r="C38" s="7">
        <v>0.6</v>
      </c>
      <c r="D38" s="7">
        <f t="shared" si="1"/>
        <v>0.54</v>
      </c>
      <c r="E38" s="7">
        <f t="shared" si="2"/>
        <v>0.51500000000000001</v>
      </c>
      <c r="F38" s="7">
        <f t="shared" si="3"/>
        <v>1.03E-2</v>
      </c>
      <c r="G38" s="7">
        <f t="shared" si="4"/>
        <v>0.50470000000000004</v>
      </c>
    </row>
    <row r="39" spans="1:7" ht="32.5" customHeight="1" x14ac:dyDescent="0.35">
      <c r="A39" s="48" t="s">
        <v>984</v>
      </c>
      <c r="B39" s="5" t="s">
        <v>419</v>
      </c>
      <c r="C39" s="7">
        <v>0.6</v>
      </c>
      <c r="D39" s="7">
        <f t="shared" si="1"/>
        <v>0.54</v>
      </c>
      <c r="E39" s="7">
        <f t="shared" si="2"/>
        <v>0.51500000000000001</v>
      </c>
      <c r="F39" s="7">
        <f t="shared" si="3"/>
        <v>1.03E-2</v>
      </c>
      <c r="G39" s="7">
        <f t="shared" si="4"/>
        <v>0.50470000000000004</v>
      </c>
    </row>
    <row r="40" spans="1:7" ht="32.5" customHeight="1" x14ac:dyDescent="0.35">
      <c r="A40" s="48"/>
      <c r="B40" s="5" t="s">
        <v>977</v>
      </c>
      <c r="C40" s="7">
        <v>0.6</v>
      </c>
      <c r="D40" s="7">
        <f t="shared" si="1"/>
        <v>0.54</v>
      </c>
      <c r="E40" s="7">
        <f t="shared" si="2"/>
        <v>0.51500000000000001</v>
      </c>
      <c r="F40" s="7">
        <f t="shared" si="3"/>
        <v>1.03E-2</v>
      </c>
      <c r="G40" s="7">
        <f t="shared" si="4"/>
        <v>0.50470000000000004</v>
      </c>
    </row>
    <row r="41" spans="1:7" ht="32.5" customHeight="1" x14ac:dyDescent="0.35">
      <c r="A41" s="5" t="s">
        <v>985</v>
      </c>
      <c r="B41" s="5" t="s">
        <v>977</v>
      </c>
      <c r="C41" s="7">
        <v>0.6</v>
      </c>
      <c r="D41" s="7">
        <f t="shared" si="1"/>
        <v>0.54</v>
      </c>
      <c r="E41" s="7">
        <f t="shared" si="2"/>
        <v>0.51500000000000001</v>
      </c>
      <c r="F41" s="7">
        <f t="shared" si="3"/>
        <v>1.03E-2</v>
      </c>
      <c r="G41" s="7">
        <f t="shared" si="4"/>
        <v>0.50470000000000004</v>
      </c>
    </row>
  </sheetData>
  <mergeCells count="14">
    <mergeCell ref="A17:A18"/>
    <mergeCell ref="A5:A6"/>
    <mergeCell ref="A7:A8"/>
    <mergeCell ref="A9:A10"/>
    <mergeCell ref="A13:A14"/>
    <mergeCell ref="A15:A16"/>
    <mergeCell ref="A37:A38"/>
    <mergeCell ref="A39:A40"/>
    <mergeCell ref="A22:A23"/>
    <mergeCell ref="A24:A25"/>
    <mergeCell ref="A27:A28"/>
    <mergeCell ref="A29:A30"/>
    <mergeCell ref="A32:A33"/>
    <mergeCell ref="A34:A35"/>
  </mergeCells>
  <printOptions horizontalCentered="1" verticalCentered="1"/>
  <pageMargins left="0" right="0" top="0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0674-E66A-4C76-AEFD-7B17A1602392}">
  <sheetPr codeName="Sheet11"/>
  <dimension ref="A1:G177"/>
  <sheetViews>
    <sheetView showGridLines="0" topLeftCell="A2" workbookViewId="0">
      <selection activeCell="A3" sqref="A3"/>
    </sheetView>
  </sheetViews>
  <sheetFormatPr defaultRowHeight="14.5" x14ac:dyDescent="0.35"/>
  <cols>
    <col min="1" max="1" width="39.1796875" style="28" customWidth="1"/>
    <col min="2" max="2" width="13.54296875" style="27" bestFit="1" customWidth="1"/>
    <col min="3" max="3" width="5.7265625" style="26" bestFit="1" customWidth="1"/>
    <col min="4" max="4" width="7.7265625" style="26" bestFit="1" customWidth="1"/>
    <col min="5" max="5" width="9.81640625" style="26" bestFit="1" customWidth="1"/>
    <col min="6" max="6" width="6.36328125" style="26" bestFit="1" customWidth="1"/>
    <col min="7" max="7" width="9.26953125" style="26" bestFit="1" customWidth="1"/>
  </cols>
  <sheetData>
    <row r="1" spans="1:7" x14ac:dyDescent="0.35">
      <c r="A1" s="9"/>
      <c r="B1" s="13"/>
      <c r="C1" s="17"/>
      <c r="D1" s="17"/>
      <c r="E1" s="17"/>
      <c r="F1" s="17"/>
      <c r="G1" s="17"/>
    </row>
    <row r="2" spans="1:7" x14ac:dyDescent="0.35">
      <c r="A2" s="9"/>
      <c r="B2" s="13"/>
      <c r="C2" s="17"/>
      <c r="D2" s="17"/>
      <c r="E2" s="17"/>
      <c r="F2" s="17"/>
      <c r="G2" s="17"/>
    </row>
    <row r="3" spans="1:7" ht="58.5" customHeight="1" x14ac:dyDescent="0.35">
      <c r="A3" s="1" t="s">
        <v>1292</v>
      </c>
      <c r="B3" s="22"/>
      <c r="C3" s="25"/>
      <c r="D3" s="25"/>
      <c r="E3" s="25"/>
      <c r="F3" s="25"/>
      <c r="G3" s="25"/>
    </row>
    <row r="4" spans="1:7" x14ac:dyDescent="0.35">
      <c r="A4" s="9"/>
      <c r="B4" s="9"/>
      <c r="C4" s="17"/>
      <c r="D4" s="17"/>
      <c r="E4" s="17"/>
      <c r="F4" s="17"/>
      <c r="G4" s="17"/>
    </row>
    <row r="5" spans="1:7" x14ac:dyDescent="0.35">
      <c r="A5" s="2" t="s">
        <v>987</v>
      </c>
      <c r="B5" s="2" t="s">
        <v>1</v>
      </c>
      <c r="C5" s="4" t="s">
        <v>2</v>
      </c>
      <c r="D5" s="4" t="s">
        <v>922</v>
      </c>
      <c r="E5" s="4" t="s">
        <v>4</v>
      </c>
      <c r="F5" s="4" t="s">
        <v>5</v>
      </c>
      <c r="G5" s="4" t="s">
        <v>6</v>
      </c>
    </row>
    <row r="6" spans="1:7" x14ac:dyDescent="0.35">
      <c r="A6" s="48" t="s">
        <v>989</v>
      </c>
      <c r="B6" s="21" t="s">
        <v>990</v>
      </c>
      <c r="C6" s="7">
        <v>0.27500000000000002</v>
      </c>
      <c r="D6" s="7">
        <f>(C6-(C6*10%))</f>
        <v>0.24750000000000003</v>
      </c>
      <c r="E6" s="7">
        <f>D6-(3%)</f>
        <v>0.21750000000000003</v>
      </c>
      <c r="F6" s="7">
        <f>E6*2%</f>
        <v>4.3500000000000006E-3</v>
      </c>
      <c r="G6" s="7">
        <f t="shared" ref="G6" si="0">E6-F6</f>
        <v>0.21315000000000003</v>
      </c>
    </row>
    <row r="7" spans="1:7" x14ac:dyDescent="0.35">
      <c r="A7" s="48"/>
      <c r="B7" s="21" t="s">
        <v>991</v>
      </c>
      <c r="C7" s="7">
        <v>0.3</v>
      </c>
      <c r="D7" s="7">
        <f t="shared" ref="D7:D58" si="1">(C7-(C7*10%))</f>
        <v>0.27</v>
      </c>
      <c r="E7" s="7">
        <f t="shared" ref="E7:E58" si="2">D7-(3%)</f>
        <v>0.24000000000000002</v>
      </c>
      <c r="F7" s="7">
        <f t="shared" ref="F7:F58" si="3">E7*2%</f>
        <v>4.8000000000000004E-3</v>
      </c>
      <c r="G7" s="7">
        <f t="shared" ref="G7:G58" si="4">E7-F7</f>
        <v>0.23520000000000002</v>
      </c>
    </row>
    <row r="8" spans="1:7" x14ac:dyDescent="0.35">
      <c r="A8" s="48" t="s">
        <v>992</v>
      </c>
      <c r="B8" s="21" t="s">
        <v>990</v>
      </c>
      <c r="C8" s="7">
        <v>0</v>
      </c>
      <c r="D8" s="7" t="s">
        <v>20</v>
      </c>
      <c r="E8" s="7" t="s">
        <v>20</v>
      </c>
      <c r="F8" s="7" t="s">
        <v>20</v>
      </c>
      <c r="G8" s="7" t="s">
        <v>20</v>
      </c>
    </row>
    <row r="9" spans="1:7" x14ac:dyDescent="0.35">
      <c r="A9" s="48"/>
      <c r="B9" s="21" t="s">
        <v>991</v>
      </c>
      <c r="C9" s="7">
        <v>0.17499999999999999</v>
      </c>
      <c r="D9" s="7">
        <f t="shared" si="1"/>
        <v>0.1575</v>
      </c>
      <c r="E9" s="7">
        <f t="shared" si="2"/>
        <v>0.1275</v>
      </c>
      <c r="F9" s="7">
        <f t="shared" si="3"/>
        <v>2.5500000000000002E-3</v>
      </c>
      <c r="G9" s="7">
        <f t="shared" si="4"/>
        <v>0.12495000000000001</v>
      </c>
    </row>
    <row r="10" spans="1:7" x14ac:dyDescent="0.35">
      <c r="A10" s="48" t="s">
        <v>993</v>
      </c>
      <c r="B10" s="21" t="s">
        <v>990</v>
      </c>
      <c r="C10" s="7">
        <v>0.22500000000000001</v>
      </c>
      <c r="D10" s="7">
        <f t="shared" si="1"/>
        <v>0.20250000000000001</v>
      </c>
      <c r="E10" s="7">
        <f t="shared" si="2"/>
        <v>0.17250000000000001</v>
      </c>
      <c r="F10" s="7">
        <f t="shared" si="3"/>
        <v>3.4500000000000004E-3</v>
      </c>
      <c r="G10" s="7">
        <f t="shared" si="4"/>
        <v>0.16905000000000001</v>
      </c>
    </row>
    <row r="11" spans="1:7" x14ac:dyDescent="0.35">
      <c r="A11" s="48"/>
      <c r="B11" s="21" t="s">
        <v>991</v>
      </c>
      <c r="C11" s="7">
        <v>0</v>
      </c>
      <c r="D11" s="7" t="s">
        <v>20</v>
      </c>
      <c r="E11" s="7" t="s">
        <v>20</v>
      </c>
      <c r="F11" s="7" t="s">
        <v>20</v>
      </c>
      <c r="G11" s="7" t="s">
        <v>20</v>
      </c>
    </row>
    <row r="12" spans="1:7" x14ac:dyDescent="0.35">
      <c r="A12" s="48" t="s">
        <v>994</v>
      </c>
      <c r="B12" s="21" t="s">
        <v>990</v>
      </c>
      <c r="C12" s="7">
        <v>0.17499999999999999</v>
      </c>
      <c r="D12" s="7">
        <f t="shared" si="1"/>
        <v>0.1575</v>
      </c>
      <c r="E12" s="7">
        <f t="shared" si="2"/>
        <v>0.1275</v>
      </c>
      <c r="F12" s="7">
        <f t="shared" si="3"/>
        <v>2.5500000000000002E-3</v>
      </c>
      <c r="G12" s="7">
        <f t="shared" si="4"/>
        <v>0.12495000000000001</v>
      </c>
    </row>
    <row r="13" spans="1:7" x14ac:dyDescent="0.35">
      <c r="A13" s="48"/>
      <c r="B13" s="21" t="s">
        <v>991</v>
      </c>
      <c r="C13" s="7">
        <v>0</v>
      </c>
      <c r="D13" s="7" t="s">
        <v>20</v>
      </c>
      <c r="E13" s="7" t="s">
        <v>20</v>
      </c>
      <c r="F13" s="7" t="s">
        <v>20</v>
      </c>
      <c r="G13" s="7" t="s">
        <v>20</v>
      </c>
    </row>
    <row r="14" spans="1:7" x14ac:dyDescent="0.35">
      <c r="A14" s="48" t="s">
        <v>995</v>
      </c>
      <c r="B14" s="21" t="s">
        <v>990</v>
      </c>
      <c r="C14" s="7">
        <v>0.22500000000000001</v>
      </c>
      <c r="D14" s="7">
        <f t="shared" si="1"/>
        <v>0.20250000000000001</v>
      </c>
      <c r="E14" s="7">
        <f t="shared" si="2"/>
        <v>0.17250000000000001</v>
      </c>
      <c r="F14" s="7">
        <f t="shared" si="3"/>
        <v>3.4500000000000004E-3</v>
      </c>
      <c r="G14" s="7">
        <f t="shared" si="4"/>
        <v>0.16905000000000001</v>
      </c>
    </row>
    <row r="15" spans="1:7" x14ac:dyDescent="0.35">
      <c r="A15" s="48"/>
      <c r="B15" s="21" t="s">
        <v>991</v>
      </c>
      <c r="C15" s="7">
        <v>0.15</v>
      </c>
      <c r="D15" s="7">
        <f t="shared" si="1"/>
        <v>0.13500000000000001</v>
      </c>
      <c r="E15" s="7">
        <f t="shared" si="2"/>
        <v>0.10500000000000001</v>
      </c>
      <c r="F15" s="7">
        <f t="shared" si="3"/>
        <v>2.1000000000000003E-3</v>
      </c>
      <c r="G15" s="7">
        <f t="shared" si="4"/>
        <v>0.10290000000000001</v>
      </c>
    </row>
    <row r="16" spans="1:7" x14ac:dyDescent="0.35">
      <c r="A16" s="48" t="s">
        <v>996</v>
      </c>
      <c r="B16" s="21" t="s">
        <v>990</v>
      </c>
      <c r="C16" s="7">
        <v>0.22500000000000001</v>
      </c>
      <c r="D16" s="7">
        <f t="shared" si="1"/>
        <v>0.20250000000000001</v>
      </c>
      <c r="E16" s="7">
        <f t="shared" si="2"/>
        <v>0.17250000000000001</v>
      </c>
      <c r="F16" s="7">
        <f t="shared" si="3"/>
        <v>3.4500000000000004E-3</v>
      </c>
      <c r="G16" s="7">
        <f t="shared" si="4"/>
        <v>0.16905000000000001</v>
      </c>
    </row>
    <row r="17" spans="1:7" x14ac:dyDescent="0.35">
      <c r="A17" s="48"/>
      <c r="B17" s="21" t="s">
        <v>991</v>
      </c>
      <c r="C17" s="7">
        <v>0.15</v>
      </c>
      <c r="D17" s="7">
        <f t="shared" si="1"/>
        <v>0.13500000000000001</v>
      </c>
      <c r="E17" s="7">
        <f t="shared" si="2"/>
        <v>0.10500000000000001</v>
      </c>
      <c r="F17" s="7">
        <f t="shared" si="3"/>
        <v>2.1000000000000003E-3</v>
      </c>
      <c r="G17" s="7">
        <f t="shared" si="4"/>
        <v>0.10290000000000001</v>
      </c>
    </row>
    <row r="18" spans="1:7" x14ac:dyDescent="0.35">
      <c r="A18" s="48" t="s">
        <v>997</v>
      </c>
      <c r="B18" s="21" t="s">
        <v>990</v>
      </c>
      <c r="C18" s="7">
        <v>0.2</v>
      </c>
      <c r="D18" s="7">
        <f t="shared" si="1"/>
        <v>0.18</v>
      </c>
      <c r="E18" s="7">
        <f t="shared" si="2"/>
        <v>0.15</v>
      </c>
      <c r="F18" s="7">
        <f t="shared" si="3"/>
        <v>3.0000000000000001E-3</v>
      </c>
      <c r="G18" s="7">
        <f t="shared" si="4"/>
        <v>0.14699999999999999</v>
      </c>
    </row>
    <row r="19" spans="1:7" x14ac:dyDescent="0.35">
      <c r="A19" s="48"/>
      <c r="B19" s="21" t="s">
        <v>991</v>
      </c>
      <c r="C19" s="7">
        <v>0.125</v>
      </c>
      <c r="D19" s="7">
        <f t="shared" si="1"/>
        <v>0.1125</v>
      </c>
      <c r="E19" s="7">
        <f t="shared" si="2"/>
        <v>8.2500000000000004E-2</v>
      </c>
      <c r="F19" s="7">
        <f t="shared" si="3"/>
        <v>1.6500000000000002E-3</v>
      </c>
      <c r="G19" s="7">
        <f t="shared" si="4"/>
        <v>8.0850000000000005E-2</v>
      </c>
    </row>
    <row r="20" spans="1:7" x14ac:dyDescent="0.35">
      <c r="A20" s="48" t="s">
        <v>998</v>
      </c>
      <c r="B20" s="21" t="s">
        <v>990</v>
      </c>
      <c r="C20" s="7">
        <v>0.17499999999999999</v>
      </c>
      <c r="D20" s="7">
        <f t="shared" si="1"/>
        <v>0.1575</v>
      </c>
      <c r="E20" s="7">
        <f t="shared" si="2"/>
        <v>0.1275</v>
      </c>
      <c r="F20" s="7">
        <f t="shared" si="3"/>
        <v>2.5500000000000002E-3</v>
      </c>
      <c r="G20" s="7">
        <f t="shared" si="4"/>
        <v>0.12495000000000001</v>
      </c>
    </row>
    <row r="21" spans="1:7" x14ac:dyDescent="0.35">
      <c r="A21" s="48"/>
      <c r="B21" s="21" t="s">
        <v>991</v>
      </c>
      <c r="C21" s="7">
        <v>0.1</v>
      </c>
      <c r="D21" s="7">
        <f t="shared" si="1"/>
        <v>0.09</v>
      </c>
      <c r="E21" s="7">
        <f t="shared" si="2"/>
        <v>0.06</v>
      </c>
      <c r="F21" s="7">
        <f t="shared" si="3"/>
        <v>1.1999999999999999E-3</v>
      </c>
      <c r="G21" s="7">
        <f t="shared" si="4"/>
        <v>5.8799999999999998E-2</v>
      </c>
    </row>
    <row r="22" spans="1:7" x14ac:dyDescent="0.35">
      <c r="A22" s="5" t="s">
        <v>999</v>
      </c>
      <c r="B22" s="21" t="s">
        <v>991</v>
      </c>
      <c r="C22" s="7">
        <v>0.15</v>
      </c>
      <c r="D22" s="7">
        <f t="shared" si="1"/>
        <v>0.13500000000000001</v>
      </c>
      <c r="E22" s="7">
        <f t="shared" si="2"/>
        <v>0.10500000000000001</v>
      </c>
      <c r="F22" s="7">
        <f t="shared" si="3"/>
        <v>2.1000000000000003E-3</v>
      </c>
      <c r="G22" s="7">
        <f t="shared" si="4"/>
        <v>0.10290000000000001</v>
      </c>
    </row>
    <row r="23" spans="1:7" x14ac:dyDescent="0.35">
      <c r="A23" s="5" t="s">
        <v>1000</v>
      </c>
      <c r="B23" s="21" t="s">
        <v>991</v>
      </c>
      <c r="C23" s="7">
        <v>0.15</v>
      </c>
      <c r="D23" s="7">
        <f t="shared" si="1"/>
        <v>0.13500000000000001</v>
      </c>
      <c r="E23" s="7">
        <f t="shared" si="2"/>
        <v>0.10500000000000001</v>
      </c>
      <c r="F23" s="7">
        <f t="shared" si="3"/>
        <v>2.1000000000000003E-3</v>
      </c>
      <c r="G23" s="7">
        <f t="shared" si="4"/>
        <v>0.10290000000000001</v>
      </c>
    </row>
    <row r="24" spans="1:7" x14ac:dyDescent="0.35">
      <c r="A24" s="2" t="s">
        <v>986</v>
      </c>
      <c r="B24" s="2" t="s">
        <v>1</v>
      </c>
      <c r="C24" s="4" t="s">
        <v>2</v>
      </c>
      <c r="D24" s="4" t="s">
        <v>922</v>
      </c>
      <c r="E24" s="4" t="s">
        <v>4</v>
      </c>
      <c r="F24" s="4" t="s">
        <v>5</v>
      </c>
      <c r="G24" s="4" t="s">
        <v>6</v>
      </c>
    </row>
    <row r="25" spans="1:7" x14ac:dyDescent="0.35">
      <c r="A25" s="48" t="s">
        <v>1001</v>
      </c>
      <c r="B25" s="21" t="s">
        <v>990</v>
      </c>
      <c r="C25" s="7">
        <v>0.27500000000000002</v>
      </c>
      <c r="D25" s="7">
        <f t="shared" si="1"/>
        <v>0.24750000000000003</v>
      </c>
      <c r="E25" s="7">
        <f t="shared" si="2"/>
        <v>0.21750000000000003</v>
      </c>
      <c r="F25" s="7">
        <f t="shared" si="3"/>
        <v>4.3500000000000006E-3</v>
      </c>
      <c r="G25" s="7">
        <f t="shared" si="4"/>
        <v>0.21315000000000003</v>
      </c>
    </row>
    <row r="26" spans="1:7" x14ac:dyDescent="0.35">
      <c r="A26" s="48"/>
      <c r="B26" s="21" t="s">
        <v>991</v>
      </c>
      <c r="C26" s="7">
        <v>0.2</v>
      </c>
      <c r="D26" s="7">
        <f t="shared" si="1"/>
        <v>0.18</v>
      </c>
      <c r="E26" s="7">
        <f t="shared" si="2"/>
        <v>0.15</v>
      </c>
      <c r="F26" s="7">
        <f t="shared" si="3"/>
        <v>3.0000000000000001E-3</v>
      </c>
      <c r="G26" s="7">
        <f t="shared" si="4"/>
        <v>0.14699999999999999</v>
      </c>
    </row>
    <row r="27" spans="1:7" x14ac:dyDescent="0.35">
      <c r="A27" s="48" t="s">
        <v>1002</v>
      </c>
      <c r="B27" s="21" t="s">
        <v>990</v>
      </c>
      <c r="C27" s="7">
        <v>0</v>
      </c>
      <c r="D27" s="7" t="s">
        <v>20</v>
      </c>
      <c r="E27" s="7" t="s">
        <v>20</v>
      </c>
      <c r="F27" s="7" t="s">
        <v>20</v>
      </c>
      <c r="G27" s="7" t="s">
        <v>20</v>
      </c>
    </row>
    <row r="28" spans="1:7" x14ac:dyDescent="0.35">
      <c r="A28" s="48"/>
      <c r="B28" s="21" t="s">
        <v>991</v>
      </c>
      <c r="C28" s="7">
        <v>0.15</v>
      </c>
      <c r="D28" s="7">
        <f t="shared" si="1"/>
        <v>0.13500000000000001</v>
      </c>
      <c r="E28" s="7">
        <f t="shared" si="2"/>
        <v>0.10500000000000001</v>
      </c>
      <c r="F28" s="7">
        <f t="shared" si="3"/>
        <v>2.1000000000000003E-3</v>
      </c>
      <c r="G28" s="7">
        <f t="shared" si="4"/>
        <v>0.10290000000000001</v>
      </c>
    </row>
    <row r="29" spans="1:7" x14ac:dyDescent="0.35">
      <c r="A29" s="48" t="s">
        <v>1003</v>
      </c>
      <c r="B29" s="21" t="s">
        <v>990</v>
      </c>
      <c r="C29" s="7">
        <v>0.22500000000000001</v>
      </c>
      <c r="D29" s="7">
        <f t="shared" si="1"/>
        <v>0.20250000000000001</v>
      </c>
      <c r="E29" s="7">
        <f t="shared" si="2"/>
        <v>0.17250000000000001</v>
      </c>
      <c r="F29" s="7">
        <f t="shared" si="3"/>
        <v>3.4500000000000004E-3</v>
      </c>
      <c r="G29" s="7">
        <f t="shared" si="4"/>
        <v>0.16905000000000001</v>
      </c>
    </row>
    <row r="30" spans="1:7" x14ac:dyDescent="0.35">
      <c r="A30" s="48"/>
      <c r="B30" s="21" t="s">
        <v>991</v>
      </c>
      <c r="C30" s="7">
        <v>0</v>
      </c>
      <c r="D30" s="7" t="s">
        <v>20</v>
      </c>
      <c r="E30" s="7" t="s">
        <v>20</v>
      </c>
      <c r="F30" s="7" t="s">
        <v>20</v>
      </c>
      <c r="G30" s="7" t="s">
        <v>20</v>
      </c>
    </row>
    <row r="31" spans="1:7" x14ac:dyDescent="0.35">
      <c r="A31" s="48" t="s">
        <v>1004</v>
      </c>
      <c r="B31" s="21" t="s">
        <v>990</v>
      </c>
      <c r="C31" s="7">
        <v>0.15</v>
      </c>
      <c r="D31" s="7">
        <f t="shared" si="1"/>
        <v>0.13500000000000001</v>
      </c>
      <c r="E31" s="7">
        <f t="shared" si="2"/>
        <v>0.10500000000000001</v>
      </c>
      <c r="F31" s="7">
        <f t="shared" si="3"/>
        <v>2.1000000000000003E-3</v>
      </c>
      <c r="G31" s="7">
        <f t="shared" si="4"/>
        <v>0.10290000000000001</v>
      </c>
    </row>
    <row r="32" spans="1:7" x14ac:dyDescent="0.35">
      <c r="A32" s="48"/>
      <c r="B32" s="21" t="s">
        <v>991</v>
      </c>
      <c r="C32" s="7">
        <v>0</v>
      </c>
      <c r="D32" s="7" t="s">
        <v>20</v>
      </c>
      <c r="E32" s="7" t="s">
        <v>20</v>
      </c>
      <c r="F32" s="7" t="s">
        <v>20</v>
      </c>
      <c r="G32" s="7" t="s">
        <v>20</v>
      </c>
    </row>
    <row r="33" spans="1:7" x14ac:dyDescent="0.35">
      <c r="A33" s="48" t="s">
        <v>1005</v>
      </c>
      <c r="B33" s="21" t="s">
        <v>990</v>
      </c>
      <c r="C33" s="7">
        <v>0.22500000000000001</v>
      </c>
      <c r="D33" s="7">
        <f t="shared" si="1"/>
        <v>0.20250000000000001</v>
      </c>
      <c r="E33" s="7">
        <f t="shared" si="2"/>
        <v>0.17250000000000001</v>
      </c>
      <c r="F33" s="7">
        <f t="shared" si="3"/>
        <v>3.4500000000000004E-3</v>
      </c>
      <c r="G33" s="7">
        <f t="shared" si="4"/>
        <v>0.16905000000000001</v>
      </c>
    </row>
    <row r="34" spans="1:7" x14ac:dyDescent="0.35">
      <c r="A34" s="48"/>
      <c r="B34" s="21" t="s">
        <v>991</v>
      </c>
      <c r="C34" s="7">
        <v>0.15</v>
      </c>
      <c r="D34" s="7">
        <f t="shared" si="1"/>
        <v>0.13500000000000001</v>
      </c>
      <c r="E34" s="7">
        <f t="shared" si="2"/>
        <v>0.10500000000000001</v>
      </c>
      <c r="F34" s="7">
        <f t="shared" si="3"/>
        <v>2.1000000000000003E-3</v>
      </c>
      <c r="G34" s="7">
        <f t="shared" si="4"/>
        <v>0.10290000000000001</v>
      </c>
    </row>
    <row r="35" spans="1:7" x14ac:dyDescent="0.35">
      <c r="A35" s="48" t="s">
        <v>1006</v>
      </c>
      <c r="B35" s="21" t="s">
        <v>990</v>
      </c>
      <c r="C35" s="7">
        <v>0.22500000000000001</v>
      </c>
      <c r="D35" s="7">
        <f t="shared" si="1"/>
        <v>0.20250000000000001</v>
      </c>
      <c r="E35" s="7">
        <f t="shared" si="2"/>
        <v>0.17250000000000001</v>
      </c>
      <c r="F35" s="7">
        <f t="shared" si="3"/>
        <v>3.4500000000000004E-3</v>
      </c>
      <c r="G35" s="7">
        <f t="shared" si="4"/>
        <v>0.16905000000000001</v>
      </c>
    </row>
    <row r="36" spans="1:7" x14ac:dyDescent="0.35">
      <c r="A36" s="48"/>
      <c r="B36" s="21" t="s">
        <v>991</v>
      </c>
      <c r="C36" s="7">
        <v>0.15</v>
      </c>
      <c r="D36" s="7">
        <f t="shared" si="1"/>
        <v>0.13500000000000001</v>
      </c>
      <c r="E36" s="7">
        <f t="shared" si="2"/>
        <v>0.10500000000000001</v>
      </c>
      <c r="F36" s="7">
        <f t="shared" si="3"/>
        <v>2.1000000000000003E-3</v>
      </c>
      <c r="G36" s="7">
        <f t="shared" si="4"/>
        <v>0.10290000000000001</v>
      </c>
    </row>
    <row r="37" spans="1:7" x14ac:dyDescent="0.35">
      <c r="A37" s="48" t="s">
        <v>1007</v>
      </c>
      <c r="B37" s="21" t="s">
        <v>990</v>
      </c>
      <c r="C37" s="7">
        <v>0.15</v>
      </c>
      <c r="D37" s="7">
        <f t="shared" si="1"/>
        <v>0.13500000000000001</v>
      </c>
      <c r="E37" s="7">
        <f t="shared" si="2"/>
        <v>0.10500000000000001</v>
      </c>
      <c r="F37" s="7">
        <f t="shared" si="3"/>
        <v>2.1000000000000003E-3</v>
      </c>
      <c r="G37" s="7">
        <f t="shared" si="4"/>
        <v>0.10290000000000001</v>
      </c>
    </row>
    <row r="38" spans="1:7" x14ac:dyDescent="0.35">
      <c r="A38" s="48"/>
      <c r="B38" s="21" t="s">
        <v>991</v>
      </c>
      <c r="C38" s="7">
        <v>0.15</v>
      </c>
      <c r="D38" s="7">
        <f t="shared" si="1"/>
        <v>0.13500000000000001</v>
      </c>
      <c r="E38" s="7">
        <f t="shared" si="2"/>
        <v>0.10500000000000001</v>
      </c>
      <c r="F38" s="7">
        <f t="shared" si="3"/>
        <v>2.1000000000000003E-3</v>
      </c>
      <c r="G38" s="7">
        <f t="shared" si="4"/>
        <v>0.10290000000000001</v>
      </c>
    </row>
    <row r="39" spans="1:7" x14ac:dyDescent="0.35">
      <c r="A39" s="48" t="s">
        <v>1008</v>
      </c>
      <c r="B39" s="21" t="s">
        <v>990</v>
      </c>
      <c r="C39" s="7">
        <v>0.15</v>
      </c>
      <c r="D39" s="7">
        <f t="shared" si="1"/>
        <v>0.13500000000000001</v>
      </c>
      <c r="E39" s="7">
        <f t="shared" si="2"/>
        <v>0.10500000000000001</v>
      </c>
      <c r="F39" s="7">
        <f t="shared" si="3"/>
        <v>2.1000000000000003E-3</v>
      </c>
      <c r="G39" s="7">
        <f t="shared" si="4"/>
        <v>0.10290000000000001</v>
      </c>
    </row>
    <row r="40" spans="1:7" x14ac:dyDescent="0.35">
      <c r="A40" s="48"/>
      <c r="B40" s="21" t="s">
        <v>991</v>
      </c>
      <c r="C40" s="7">
        <v>0.1</v>
      </c>
      <c r="D40" s="7">
        <f t="shared" si="1"/>
        <v>0.09</v>
      </c>
      <c r="E40" s="7">
        <f t="shared" si="2"/>
        <v>0.06</v>
      </c>
      <c r="F40" s="7">
        <f t="shared" si="3"/>
        <v>1.1999999999999999E-3</v>
      </c>
      <c r="G40" s="7">
        <f t="shared" si="4"/>
        <v>5.8799999999999998E-2</v>
      </c>
    </row>
    <row r="41" spans="1:7" x14ac:dyDescent="0.35">
      <c r="A41" s="5" t="s">
        <v>1009</v>
      </c>
      <c r="B41" s="21" t="s">
        <v>991</v>
      </c>
      <c r="C41" s="7">
        <v>0.15</v>
      </c>
      <c r="D41" s="7">
        <f t="shared" si="1"/>
        <v>0.13500000000000001</v>
      </c>
      <c r="E41" s="7">
        <f t="shared" si="2"/>
        <v>0.10500000000000001</v>
      </c>
      <c r="F41" s="7">
        <f t="shared" si="3"/>
        <v>2.1000000000000003E-3</v>
      </c>
      <c r="G41" s="7">
        <f t="shared" si="4"/>
        <v>0.10290000000000001</v>
      </c>
    </row>
    <row r="42" spans="1:7" x14ac:dyDescent="0.35">
      <c r="A42" s="5" t="s">
        <v>1010</v>
      </c>
      <c r="B42" s="21" t="s">
        <v>991</v>
      </c>
      <c r="C42" s="7">
        <v>0.15</v>
      </c>
      <c r="D42" s="7">
        <f t="shared" si="1"/>
        <v>0.13500000000000001</v>
      </c>
      <c r="E42" s="7">
        <f t="shared" si="2"/>
        <v>0.10500000000000001</v>
      </c>
      <c r="F42" s="7">
        <f t="shared" si="3"/>
        <v>2.1000000000000003E-3</v>
      </c>
      <c r="G42" s="7">
        <f t="shared" si="4"/>
        <v>0.10290000000000001</v>
      </c>
    </row>
    <row r="43" spans="1:7" x14ac:dyDescent="0.35">
      <c r="A43" s="2" t="s">
        <v>1011</v>
      </c>
      <c r="B43" s="2" t="s">
        <v>1</v>
      </c>
      <c r="C43" s="4" t="s">
        <v>2</v>
      </c>
      <c r="D43" s="4" t="s">
        <v>922</v>
      </c>
      <c r="E43" s="4" t="s">
        <v>4</v>
      </c>
      <c r="F43" s="4" t="s">
        <v>5</v>
      </c>
      <c r="G43" s="4" t="s">
        <v>6</v>
      </c>
    </row>
    <row r="44" spans="1:7" x14ac:dyDescent="0.35">
      <c r="A44" s="48" t="s">
        <v>1012</v>
      </c>
      <c r="B44" s="21" t="s">
        <v>990</v>
      </c>
      <c r="C44" s="7">
        <v>0.5</v>
      </c>
      <c r="D44" s="7">
        <f t="shared" si="1"/>
        <v>0.45</v>
      </c>
      <c r="E44" s="7">
        <f t="shared" si="2"/>
        <v>0.42000000000000004</v>
      </c>
      <c r="F44" s="7">
        <f t="shared" si="3"/>
        <v>8.4000000000000012E-3</v>
      </c>
      <c r="G44" s="7">
        <f t="shared" si="4"/>
        <v>0.41160000000000002</v>
      </c>
    </row>
    <row r="45" spans="1:7" x14ac:dyDescent="0.35">
      <c r="A45" s="48"/>
      <c r="B45" s="21" t="s">
        <v>991</v>
      </c>
      <c r="C45" s="7">
        <v>0.5</v>
      </c>
      <c r="D45" s="7">
        <f t="shared" si="1"/>
        <v>0.45</v>
      </c>
      <c r="E45" s="7">
        <f t="shared" si="2"/>
        <v>0.42000000000000004</v>
      </c>
      <c r="F45" s="7">
        <f t="shared" si="3"/>
        <v>8.4000000000000012E-3</v>
      </c>
      <c r="G45" s="7">
        <f t="shared" si="4"/>
        <v>0.41160000000000002</v>
      </c>
    </row>
    <row r="46" spans="1:7" x14ac:dyDescent="0.35">
      <c r="A46" s="48" t="s">
        <v>1013</v>
      </c>
      <c r="B46" s="21" t="s">
        <v>990</v>
      </c>
      <c r="C46" s="7">
        <v>0.45</v>
      </c>
      <c r="D46" s="7">
        <f t="shared" si="1"/>
        <v>0.40500000000000003</v>
      </c>
      <c r="E46" s="7">
        <f t="shared" si="2"/>
        <v>0.375</v>
      </c>
      <c r="F46" s="7">
        <f t="shared" si="3"/>
        <v>7.4999999999999997E-3</v>
      </c>
      <c r="G46" s="7">
        <f t="shared" si="4"/>
        <v>0.36749999999999999</v>
      </c>
    </row>
    <row r="47" spans="1:7" x14ac:dyDescent="0.35">
      <c r="A47" s="48"/>
      <c r="B47" s="21" t="s">
        <v>991</v>
      </c>
      <c r="C47" s="7">
        <v>0.45</v>
      </c>
      <c r="D47" s="7">
        <f t="shared" si="1"/>
        <v>0.40500000000000003</v>
      </c>
      <c r="E47" s="7">
        <f t="shared" si="2"/>
        <v>0.375</v>
      </c>
      <c r="F47" s="7">
        <f t="shared" si="3"/>
        <v>7.4999999999999997E-3</v>
      </c>
      <c r="G47" s="7">
        <f t="shared" si="4"/>
        <v>0.36749999999999999</v>
      </c>
    </row>
    <row r="48" spans="1:7" x14ac:dyDescent="0.35">
      <c r="A48" s="5" t="s">
        <v>1014</v>
      </c>
      <c r="B48" s="21" t="s">
        <v>100</v>
      </c>
      <c r="C48" s="7">
        <v>0.5</v>
      </c>
      <c r="D48" s="7">
        <f t="shared" si="1"/>
        <v>0.45</v>
      </c>
      <c r="E48" s="7">
        <f t="shared" si="2"/>
        <v>0.42000000000000004</v>
      </c>
      <c r="F48" s="7">
        <f t="shared" si="3"/>
        <v>8.4000000000000012E-3</v>
      </c>
      <c r="G48" s="7">
        <f t="shared" si="4"/>
        <v>0.41160000000000002</v>
      </c>
    </row>
    <row r="49" spans="1:7" x14ac:dyDescent="0.35">
      <c r="A49" s="5" t="s">
        <v>1015</v>
      </c>
      <c r="B49" s="21" t="s">
        <v>100</v>
      </c>
      <c r="C49" s="7">
        <v>0.45</v>
      </c>
      <c r="D49" s="7">
        <f t="shared" si="1"/>
        <v>0.40500000000000003</v>
      </c>
      <c r="E49" s="7">
        <f t="shared" si="2"/>
        <v>0.375</v>
      </c>
      <c r="F49" s="7">
        <f t="shared" si="3"/>
        <v>7.4999999999999997E-3</v>
      </c>
      <c r="G49" s="7">
        <f t="shared" si="4"/>
        <v>0.36749999999999999</v>
      </c>
    </row>
    <row r="50" spans="1:7" x14ac:dyDescent="0.35">
      <c r="A50" s="48" t="s">
        <v>1016</v>
      </c>
      <c r="B50" s="21" t="s">
        <v>990</v>
      </c>
      <c r="C50" s="7">
        <v>0.55000000000000004</v>
      </c>
      <c r="D50" s="7">
        <f t="shared" si="1"/>
        <v>0.49500000000000005</v>
      </c>
      <c r="E50" s="7">
        <f t="shared" si="2"/>
        <v>0.46500000000000008</v>
      </c>
      <c r="F50" s="7">
        <f t="shared" si="3"/>
        <v>9.300000000000001E-3</v>
      </c>
      <c r="G50" s="7">
        <f t="shared" si="4"/>
        <v>0.4557000000000001</v>
      </c>
    </row>
    <row r="51" spans="1:7" x14ac:dyDescent="0.35">
      <c r="A51" s="48"/>
      <c r="B51" s="21" t="s">
        <v>991</v>
      </c>
      <c r="C51" s="7">
        <v>0.55000000000000004</v>
      </c>
      <c r="D51" s="7">
        <f t="shared" si="1"/>
        <v>0.49500000000000005</v>
      </c>
      <c r="E51" s="7">
        <f t="shared" si="2"/>
        <v>0.46500000000000008</v>
      </c>
      <c r="F51" s="7">
        <f t="shared" si="3"/>
        <v>9.300000000000001E-3</v>
      </c>
      <c r="G51" s="7">
        <f t="shared" si="4"/>
        <v>0.4557000000000001</v>
      </c>
    </row>
    <row r="52" spans="1:7" x14ac:dyDescent="0.35">
      <c r="A52" s="48" t="s">
        <v>1017</v>
      </c>
      <c r="B52" s="21" t="s">
        <v>990</v>
      </c>
      <c r="C52" s="7">
        <v>0.45</v>
      </c>
      <c r="D52" s="7">
        <f t="shared" si="1"/>
        <v>0.40500000000000003</v>
      </c>
      <c r="E52" s="7">
        <f t="shared" si="2"/>
        <v>0.375</v>
      </c>
      <c r="F52" s="7">
        <f t="shared" si="3"/>
        <v>7.4999999999999997E-3</v>
      </c>
      <c r="G52" s="7">
        <f t="shared" si="4"/>
        <v>0.36749999999999999</v>
      </c>
    </row>
    <row r="53" spans="1:7" x14ac:dyDescent="0.35">
      <c r="A53" s="48"/>
      <c r="B53" s="21" t="s">
        <v>991</v>
      </c>
      <c r="C53" s="7">
        <v>0.45</v>
      </c>
      <c r="D53" s="7">
        <f t="shared" si="1"/>
        <v>0.40500000000000003</v>
      </c>
      <c r="E53" s="7">
        <f t="shared" si="2"/>
        <v>0.375</v>
      </c>
      <c r="F53" s="7">
        <f t="shared" si="3"/>
        <v>7.4999999999999997E-3</v>
      </c>
      <c r="G53" s="7">
        <f t="shared" si="4"/>
        <v>0.36749999999999999</v>
      </c>
    </row>
    <row r="54" spans="1:7" x14ac:dyDescent="0.35">
      <c r="A54" s="48" t="s">
        <v>1018</v>
      </c>
      <c r="B54" s="21" t="s">
        <v>990</v>
      </c>
      <c r="C54" s="7">
        <v>0.45</v>
      </c>
      <c r="D54" s="7">
        <f t="shared" si="1"/>
        <v>0.40500000000000003</v>
      </c>
      <c r="E54" s="7">
        <f t="shared" si="2"/>
        <v>0.375</v>
      </c>
      <c r="F54" s="7">
        <f t="shared" si="3"/>
        <v>7.4999999999999997E-3</v>
      </c>
      <c r="G54" s="7">
        <f t="shared" si="4"/>
        <v>0.36749999999999999</v>
      </c>
    </row>
    <row r="55" spans="1:7" x14ac:dyDescent="0.35">
      <c r="A55" s="48"/>
      <c r="B55" s="21" t="s">
        <v>991</v>
      </c>
      <c r="C55" s="7">
        <v>0.45</v>
      </c>
      <c r="D55" s="7">
        <f t="shared" si="1"/>
        <v>0.40500000000000003</v>
      </c>
      <c r="E55" s="7">
        <f t="shared" si="2"/>
        <v>0.375</v>
      </c>
      <c r="F55" s="7">
        <f t="shared" si="3"/>
        <v>7.4999999999999997E-3</v>
      </c>
      <c r="G55" s="7">
        <f t="shared" si="4"/>
        <v>0.36749999999999999</v>
      </c>
    </row>
    <row r="56" spans="1:7" x14ac:dyDescent="0.35">
      <c r="A56" s="48" t="s">
        <v>1019</v>
      </c>
      <c r="B56" s="21" t="s">
        <v>990</v>
      </c>
      <c r="C56" s="7">
        <v>0.25</v>
      </c>
      <c r="D56" s="7">
        <f t="shared" si="1"/>
        <v>0.22500000000000001</v>
      </c>
      <c r="E56" s="7">
        <f t="shared" si="2"/>
        <v>0.19500000000000001</v>
      </c>
      <c r="F56" s="7">
        <f t="shared" si="3"/>
        <v>3.9000000000000003E-3</v>
      </c>
      <c r="G56" s="7">
        <f t="shared" si="4"/>
        <v>0.19110000000000002</v>
      </c>
    </row>
    <row r="57" spans="1:7" x14ac:dyDescent="0.35">
      <c r="A57" s="48"/>
      <c r="B57" s="21" t="s">
        <v>991</v>
      </c>
      <c r="C57" s="7">
        <v>0.25</v>
      </c>
      <c r="D57" s="7">
        <f t="shared" si="1"/>
        <v>0.22500000000000001</v>
      </c>
      <c r="E57" s="7">
        <f t="shared" si="2"/>
        <v>0.19500000000000001</v>
      </c>
      <c r="F57" s="7">
        <f t="shared" si="3"/>
        <v>3.9000000000000003E-3</v>
      </c>
      <c r="G57" s="7">
        <f t="shared" si="4"/>
        <v>0.19110000000000002</v>
      </c>
    </row>
    <row r="58" spans="1:7" x14ac:dyDescent="0.35">
      <c r="A58" s="5" t="s">
        <v>1020</v>
      </c>
      <c r="B58" s="21" t="s">
        <v>100</v>
      </c>
      <c r="C58" s="7">
        <v>0.4</v>
      </c>
      <c r="D58" s="7">
        <f t="shared" si="1"/>
        <v>0.36</v>
      </c>
      <c r="E58" s="7">
        <f t="shared" si="2"/>
        <v>0.32999999999999996</v>
      </c>
      <c r="F58" s="7">
        <f t="shared" si="3"/>
        <v>6.5999999999999991E-3</v>
      </c>
      <c r="G58" s="7">
        <f t="shared" si="4"/>
        <v>0.32339999999999997</v>
      </c>
    </row>
    <row r="59" spans="1:7" x14ac:dyDescent="0.35">
      <c r="A59" s="5" t="s">
        <v>1021</v>
      </c>
      <c r="B59" s="21" t="s">
        <v>100</v>
      </c>
      <c r="C59" s="7">
        <v>0.4</v>
      </c>
      <c r="D59" s="7">
        <f t="shared" ref="D59:D122" si="5">(C59-(C59*10%))</f>
        <v>0.36</v>
      </c>
      <c r="E59" s="7">
        <f t="shared" ref="E59:E122" si="6">D59-(3%)</f>
        <v>0.32999999999999996</v>
      </c>
      <c r="F59" s="7">
        <f t="shared" ref="F59:F122" si="7">E59*2%</f>
        <v>6.5999999999999991E-3</v>
      </c>
      <c r="G59" s="7">
        <f t="shared" ref="G59:G122" si="8">E59-F59</f>
        <v>0.32339999999999997</v>
      </c>
    </row>
    <row r="60" spans="1:7" x14ac:dyDescent="0.35">
      <c r="A60" s="48" t="s">
        <v>1022</v>
      </c>
      <c r="B60" s="21" t="s">
        <v>990</v>
      </c>
      <c r="C60" s="7">
        <v>0.35</v>
      </c>
      <c r="D60" s="7">
        <f t="shared" si="5"/>
        <v>0.315</v>
      </c>
      <c r="E60" s="7">
        <f t="shared" si="6"/>
        <v>0.28500000000000003</v>
      </c>
      <c r="F60" s="7">
        <f t="shared" si="7"/>
        <v>5.7000000000000011E-3</v>
      </c>
      <c r="G60" s="7">
        <f t="shared" si="8"/>
        <v>0.27930000000000005</v>
      </c>
    </row>
    <row r="61" spans="1:7" x14ac:dyDescent="0.35">
      <c r="A61" s="48"/>
      <c r="B61" s="21" t="s">
        <v>991</v>
      </c>
      <c r="C61" s="7">
        <v>0.25</v>
      </c>
      <c r="D61" s="7">
        <f t="shared" si="5"/>
        <v>0.22500000000000001</v>
      </c>
      <c r="E61" s="7">
        <f t="shared" si="6"/>
        <v>0.19500000000000001</v>
      </c>
      <c r="F61" s="7">
        <f t="shared" si="7"/>
        <v>3.9000000000000003E-3</v>
      </c>
      <c r="G61" s="7">
        <f t="shared" si="8"/>
        <v>0.19110000000000002</v>
      </c>
    </row>
    <row r="62" spans="1:7" x14ac:dyDescent="0.35">
      <c r="A62" s="48" t="s">
        <v>1023</v>
      </c>
      <c r="B62" s="21" t="s">
        <v>990</v>
      </c>
      <c r="C62" s="7">
        <v>0.25</v>
      </c>
      <c r="D62" s="7">
        <f t="shared" si="5"/>
        <v>0.22500000000000001</v>
      </c>
      <c r="E62" s="7">
        <f t="shared" si="6"/>
        <v>0.19500000000000001</v>
      </c>
      <c r="F62" s="7">
        <f t="shared" si="7"/>
        <v>3.9000000000000003E-3</v>
      </c>
      <c r="G62" s="7">
        <f t="shared" si="8"/>
        <v>0.19110000000000002</v>
      </c>
    </row>
    <row r="63" spans="1:7" x14ac:dyDescent="0.35">
      <c r="A63" s="48"/>
      <c r="B63" s="21" t="s">
        <v>991</v>
      </c>
      <c r="C63" s="7">
        <v>0.25</v>
      </c>
      <c r="D63" s="7">
        <f t="shared" si="5"/>
        <v>0.22500000000000001</v>
      </c>
      <c r="E63" s="7">
        <f t="shared" si="6"/>
        <v>0.19500000000000001</v>
      </c>
      <c r="F63" s="7">
        <f t="shared" si="7"/>
        <v>3.9000000000000003E-3</v>
      </c>
      <c r="G63" s="7">
        <f t="shared" si="8"/>
        <v>0.19110000000000002</v>
      </c>
    </row>
    <row r="64" spans="1:7" x14ac:dyDescent="0.35">
      <c r="A64" s="48" t="s">
        <v>1024</v>
      </c>
      <c r="B64" s="21" t="s">
        <v>990</v>
      </c>
      <c r="C64" s="7">
        <v>0.2</v>
      </c>
      <c r="D64" s="7">
        <f t="shared" si="5"/>
        <v>0.18</v>
      </c>
      <c r="E64" s="7">
        <f t="shared" si="6"/>
        <v>0.15</v>
      </c>
      <c r="F64" s="7">
        <f t="shared" si="7"/>
        <v>3.0000000000000001E-3</v>
      </c>
      <c r="G64" s="7">
        <f t="shared" si="8"/>
        <v>0.14699999999999999</v>
      </c>
    </row>
    <row r="65" spans="1:7" x14ac:dyDescent="0.35">
      <c r="A65" s="48"/>
      <c r="B65" s="21" t="s">
        <v>991</v>
      </c>
      <c r="C65" s="7">
        <v>0.15</v>
      </c>
      <c r="D65" s="7">
        <f t="shared" si="5"/>
        <v>0.13500000000000001</v>
      </c>
      <c r="E65" s="7">
        <f t="shared" si="6"/>
        <v>0.10500000000000001</v>
      </c>
      <c r="F65" s="7">
        <f t="shared" si="7"/>
        <v>2.1000000000000003E-3</v>
      </c>
      <c r="G65" s="7">
        <f t="shared" si="8"/>
        <v>0.10290000000000001</v>
      </c>
    </row>
    <row r="66" spans="1:7" x14ac:dyDescent="0.35">
      <c r="A66" s="48" t="s">
        <v>1025</v>
      </c>
      <c r="B66" s="21" t="s">
        <v>990</v>
      </c>
      <c r="C66" s="7">
        <v>0.15</v>
      </c>
      <c r="D66" s="7">
        <f t="shared" si="5"/>
        <v>0.13500000000000001</v>
      </c>
      <c r="E66" s="7">
        <f t="shared" si="6"/>
        <v>0.10500000000000001</v>
      </c>
      <c r="F66" s="7">
        <f t="shared" si="7"/>
        <v>2.1000000000000003E-3</v>
      </c>
      <c r="G66" s="7">
        <f t="shared" si="8"/>
        <v>0.10290000000000001</v>
      </c>
    </row>
    <row r="67" spans="1:7" x14ac:dyDescent="0.35">
      <c r="A67" s="48"/>
      <c r="B67" s="21" t="s">
        <v>991</v>
      </c>
      <c r="C67" s="7">
        <v>0.05</v>
      </c>
      <c r="D67" s="7" t="s">
        <v>20</v>
      </c>
      <c r="E67" s="7" t="s">
        <v>20</v>
      </c>
      <c r="F67" s="7" t="s">
        <v>20</v>
      </c>
      <c r="G67" s="7" t="s">
        <v>20</v>
      </c>
    </row>
    <row r="68" spans="1:7" x14ac:dyDescent="0.35">
      <c r="A68" s="5" t="s">
        <v>1026</v>
      </c>
      <c r="B68" s="21" t="s">
        <v>100</v>
      </c>
      <c r="C68" s="7">
        <v>0.2</v>
      </c>
      <c r="D68" s="7">
        <f t="shared" si="5"/>
        <v>0.18</v>
      </c>
      <c r="E68" s="7">
        <f t="shared" si="6"/>
        <v>0.15</v>
      </c>
      <c r="F68" s="7">
        <f t="shared" si="7"/>
        <v>3.0000000000000001E-3</v>
      </c>
      <c r="G68" s="7">
        <f t="shared" si="8"/>
        <v>0.14699999999999999</v>
      </c>
    </row>
    <row r="69" spans="1:7" x14ac:dyDescent="0.35">
      <c r="A69" s="5" t="s">
        <v>1027</v>
      </c>
      <c r="B69" s="21" t="s">
        <v>100</v>
      </c>
      <c r="C69" s="7">
        <v>0.2</v>
      </c>
      <c r="D69" s="7">
        <f t="shared" si="5"/>
        <v>0.18</v>
      </c>
      <c r="E69" s="7">
        <f t="shared" si="6"/>
        <v>0.15</v>
      </c>
      <c r="F69" s="7">
        <f t="shared" si="7"/>
        <v>3.0000000000000001E-3</v>
      </c>
      <c r="G69" s="7">
        <f t="shared" si="8"/>
        <v>0.14699999999999999</v>
      </c>
    </row>
    <row r="70" spans="1:7" x14ac:dyDescent="0.35">
      <c r="A70" s="48" t="s">
        <v>1028</v>
      </c>
      <c r="B70" s="21" t="s">
        <v>990</v>
      </c>
      <c r="C70" s="7">
        <v>0.2</v>
      </c>
      <c r="D70" s="7">
        <f t="shared" si="5"/>
        <v>0.18</v>
      </c>
      <c r="E70" s="7">
        <f t="shared" si="6"/>
        <v>0.15</v>
      </c>
      <c r="F70" s="7">
        <f t="shared" si="7"/>
        <v>3.0000000000000001E-3</v>
      </c>
      <c r="G70" s="7">
        <f t="shared" si="8"/>
        <v>0.14699999999999999</v>
      </c>
    </row>
    <row r="71" spans="1:7" x14ac:dyDescent="0.35">
      <c r="A71" s="48"/>
      <c r="B71" s="21" t="s">
        <v>991</v>
      </c>
      <c r="C71" s="7">
        <v>0.15</v>
      </c>
      <c r="D71" s="7">
        <f t="shared" si="5"/>
        <v>0.13500000000000001</v>
      </c>
      <c r="E71" s="7">
        <f t="shared" si="6"/>
        <v>0.10500000000000001</v>
      </c>
      <c r="F71" s="7">
        <f t="shared" si="7"/>
        <v>2.1000000000000003E-3</v>
      </c>
      <c r="G71" s="7">
        <f t="shared" si="8"/>
        <v>0.10290000000000001</v>
      </c>
    </row>
    <row r="72" spans="1:7" x14ac:dyDescent="0.35">
      <c r="A72" s="48" t="s">
        <v>1029</v>
      </c>
      <c r="B72" s="21" t="s">
        <v>990</v>
      </c>
      <c r="C72" s="7">
        <v>0.2</v>
      </c>
      <c r="D72" s="7">
        <f t="shared" si="5"/>
        <v>0.18</v>
      </c>
      <c r="E72" s="7">
        <f t="shared" si="6"/>
        <v>0.15</v>
      </c>
      <c r="F72" s="7">
        <f t="shared" si="7"/>
        <v>3.0000000000000001E-3</v>
      </c>
      <c r="G72" s="7">
        <f t="shared" si="8"/>
        <v>0.14699999999999999</v>
      </c>
    </row>
    <row r="73" spans="1:7" x14ac:dyDescent="0.35">
      <c r="A73" s="48"/>
      <c r="B73" s="21" t="s">
        <v>991</v>
      </c>
      <c r="C73" s="7">
        <v>0.125</v>
      </c>
      <c r="D73" s="7">
        <f t="shared" si="5"/>
        <v>0.1125</v>
      </c>
      <c r="E73" s="7">
        <f t="shared" si="6"/>
        <v>8.2500000000000004E-2</v>
      </c>
      <c r="F73" s="7">
        <f t="shared" si="7"/>
        <v>1.6500000000000002E-3</v>
      </c>
      <c r="G73" s="7">
        <f t="shared" si="8"/>
        <v>8.0850000000000005E-2</v>
      </c>
    </row>
    <row r="74" spans="1:7" x14ac:dyDescent="0.35">
      <c r="A74" s="48" t="s">
        <v>1030</v>
      </c>
      <c r="B74" s="21" t="s">
        <v>990</v>
      </c>
      <c r="C74" s="7">
        <v>0.1</v>
      </c>
      <c r="D74" s="7">
        <f t="shared" si="5"/>
        <v>0.09</v>
      </c>
      <c r="E74" s="7">
        <f t="shared" si="6"/>
        <v>0.06</v>
      </c>
      <c r="F74" s="7">
        <f t="shared" si="7"/>
        <v>1.1999999999999999E-3</v>
      </c>
      <c r="G74" s="7">
        <f t="shared" si="8"/>
        <v>5.8799999999999998E-2</v>
      </c>
    </row>
    <row r="75" spans="1:7" x14ac:dyDescent="0.35">
      <c r="A75" s="48"/>
      <c r="B75" s="21" t="s">
        <v>991</v>
      </c>
      <c r="C75" s="7">
        <v>0.1</v>
      </c>
      <c r="D75" s="7" t="s">
        <v>20</v>
      </c>
      <c r="E75" s="7" t="s">
        <v>20</v>
      </c>
      <c r="F75" s="7" t="s">
        <v>20</v>
      </c>
      <c r="G75" s="7" t="s">
        <v>20</v>
      </c>
    </row>
    <row r="76" spans="1:7" x14ac:dyDescent="0.35">
      <c r="A76" s="48" t="s">
        <v>1031</v>
      </c>
      <c r="B76" s="21" t="s">
        <v>990</v>
      </c>
      <c r="C76" s="7">
        <v>0.1</v>
      </c>
      <c r="D76" s="7">
        <f t="shared" si="5"/>
        <v>0.09</v>
      </c>
      <c r="E76" s="7">
        <f t="shared" si="6"/>
        <v>0.06</v>
      </c>
      <c r="F76" s="7">
        <f t="shared" si="7"/>
        <v>1.1999999999999999E-3</v>
      </c>
      <c r="G76" s="7">
        <f t="shared" si="8"/>
        <v>5.8799999999999998E-2</v>
      </c>
    </row>
    <row r="77" spans="1:7" x14ac:dyDescent="0.35">
      <c r="A77" s="48"/>
      <c r="B77" s="21" t="s">
        <v>991</v>
      </c>
      <c r="C77" s="7">
        <v>7.4999999999999997E-2</v>
      </c>
      <c r="D77" s="7" t="s">
        <v>20</v>
      </c>
      <c r="E77" s="7" t="s">
        <v>20</v>
      </c>
      <c r="F77" s="7" t="s">
        <v>20</v>
      </c>
      <c r="G77" s="7" t="s">
        <v>20</v>
      </c>
    </row>
    <row r="78" spans="1:7" x14ac:dyDescent="0.35">
      <c r="A78" s="5" t="s">
        <v>1032</v>
      </c>
      <c r="B78" s="21" t="s">
        <v>100</v>
      </c>
      <c r="C78" s="7">
        <v>7.4999999999999997E-2</v>
      </c>
      <c r="D78" s="7">
        <f t="shared" si="5"/>
        <v>6.7500000000000004E-2</v>
      </c>
      <c r="E78" s="7">
        <f t="shared" si="6"/>
        <v>3.7500000000000006E-2</v>
      </c>
      <c r="F78" s="7">
        <f t="shared" si="7"/>
        <v>7.5000000000000012E-4</v>
      </c>
      <c r="G78" s="7">
        <f t="shared" si="8"/>
        <v>3.6750000000000005E-2</v>
      </c>
    </row>
    <row r="79" spans="1:7" x14ac:dyDescent="0.35">
      <c r="A79" s="5" t="s">
        <v>1033</v>
      </c>
      <c r="B79" s="21" t="s">
        <v>100</v>
      </c>
      <c r="C79" s="7">
        <v>7.4999999999999997E-2</v>
      </c>
      <c r="D79" s="7">
        <f t="shared" si="5"/>
        <v>6.7500000000000004E-2</v>
      </c>
      <c r="E79" s="7">
        <f t="shared" si="6"/>
        <v>3.7500000000000006E-2</v>
      </c>
      <c r="F79" s="7">
        <f t="shared" si="7"/>
        <v>7.5000000000000012E-4</v>
      </c>
      <c r="G79" s="7">
        <f t="shared" si="8"/>
        <v>3.6750000000000005E-2</v>
      </c>
    </row>
    <row r="80" spans="1:7" x14ac:dyDescent="0.35">
      <c r="A80" s="48" t="s">
        <v>1034</v>
      </c>
      <c r="B80" s="21" t="s">
        <v>990</v>
      </c>
      <c r="C80" s="7">
        <v>0.2</v>
      </c>
      <c r="D80" s="7">
        <f t="shared" si="5"/>
        <v>0.18</v>
      </c>
      <c r="E80" s="7">
        <f t="shared" si="6"/>
        <v>0.15</v>
      </c>
      <c r="F80" s="7">
        <f t="shared" si="7"/>
        <v>3.0000000000000001E-3</v>
      </c>
      <c r="G80" s="7">
        <f t="shared" si="8"/>
        <v>0.14699999999999999</v>
      </c>
    </row>
    <row r="81" spans="1:7" x14ac:dyDescent="0.35">
      <c r="A81" s="48"/>
      <c r="B81" s="21" t="s">
        <v>991</v>
      </c>
      <c r="C81" s="7">
        <v>0.1</v>
      </c>
      <c r="D81" s="7">
        <f t="shared" si="5"/>
        <v>0.09</v>
      </c>
      <c r="E81" s="7">
        <f t="shared" si="6"/>
        <v>0.06</v>
      </c>
      <c r="F81" s="7">
        <f t="shared" si="7"/>
        <v>1.1999999999999999E-3</v>
      </c>
      <c r="G81" s="7">
        <f t="shared" si="8"/>
        <v>5.8799999999999998E-2</v>
      </c>
    </row>
    <row r="82" spans="1:7" x14ac:dyDescent="0.35">
      <c r="A82" s="48" t="s">
        <v>1035</v>
      </c>
      <c r="B82" s="21" t="s">
        <v>990</v>
      </c>
      <c r="C82" s="7">
        <v>0.1</v>
      </c>
      <c r="D82" s="7">
        <f t="shared" si="5"/>
        <v>0.09</v>
      </c>
      <c r="E82" s="7">
        <f t="shared" si="6"/>
        <v>0.06</v>
      </c>
      <c r="F82" s="7">
        <f t="shared" si="7"/>
        <v>1.1999999999999999E-3</v>
      </c>
      <c r="G82" s="7">
        <f t="shared" si="8"/>
        <v>5.8799999999999998E-2</v>
      </c>
    </row>
    <row r="83" spans="1:7" x14ac:dyDescent="0.35">
      <c r="A83" s="48"/>
      <c r="B83" s="21" t="s">
        <v>991</v>
      </c>
      <c r="C83" s="7">
        <v>7.4999999999999997E-2</v>
      </c>
      <c r="D83" s="7" t="s">
        <v>20</v>
      </c>
      <c r="E83" s="7" t="s">
        <v>20</v>
      </c>
      <c r="F83" s="7" t="s">
        <v>20</v>
      </c>
      <c r="G83" s="7" t="s">
        <v>20</v>
      </c>
    </row>
    <row r="84" spans="1:7" x14ac:dyDescent="0.35">
      <c r="A84" s="48" t="s">
        <v>1036</v>
      </c>
      <c r="B84" s="21" t="s">
        <v>990</v>
      </c>
      <c r="C84" s="7">
        <v>0.1</v>
      </c>
      <c r="D84" s="7">
        <f t="shared" si="5"/>
        <v>0.09</v>
      </c>
      <c r="E84" s="7">
        <f t="shared" si="6"/>
        <v>0.06</v>
      </c>
      <c r="F84" s="7">
        <f t="shared" si="7"/>
        <v>1.1999999999999999E-3</v>
      </c>
      <c r="G84" s="7">
        <f t="shared" si="8"/>
        <v>5.8799999999999998E-2</v>
      </c>
    </row>
    <row r="85" spans="1:7" x14ac:dyDescent="0.35">
      <c r="A85" s="48"/>
      <c r="B85" s="21" t="s">
        <v>991</v>
      </c>
      <c r="C85" s="7">
        <v>0.05</v>
      </c>
      <c r="D85" s="7" t="s">
        <v>20</v>
      </c>
      <c r="E85" s="7" t="s">
        <v>20</v>
      </c>
      <c r="F85" s="7" t="s">
        <v>20</v>
      </c>
      <c r="G85" s="7" t="s">
        <v>20</v>
      </c>
    </row>
    <row r="86" spans="1:7" x14ac:dyDescent="0.35">
      <c r="A86" s="5" t="s">
        <v>1037</v>
      </c>
      <c r="B86" s="21" t="s">
        <v>100</v>
      </c>
      <c r="C86" s="7">
        <v>7.4999999999999997E-2</v>
      </c>
      <c r="D86" s="7">
        <f t="shared" si="5"/>
        <v>6.7500000000000004E-2</v>
      </c>
      <c r="E86" s="7">
        <f t="shared" si="6"/>
        <v>3.7500000000000006E-2</v>
      </c>
      <c r="F86" s="7">
        <f t="shared" si="7"/>
        <v>7.5000000000000012E-4</v>
      </c>
      <c r="G86" s="7">
        <f t="shared" si="8"/>
        <v>3.6750000000000005E-2</v>
      </c>
    </row>
    <row r="87" spans="1:7" x14ac:dyDescent="0.35">
      <c r="A87" s="5" t="s">
        <v>1038</v>
      </c>
      <c r="B87" s="21" t="s">
        <v>100</v>
      </c>
      <c r="C87" s="7">
        <v>7.4999999999999997E-2</v>
      </c>
      <c r="D87" s="7">
        <f t="shared" si="5"/>
        <v>6.7500000000000004E-2</v>
      </c>
      <c r="E87" s="7">
        <f t="shared" si="6"/>
        <v>3.7500000000000006E-2</v>
      </c>
      <c r="F87" s="7">
        <f t="shared" si="7"/>
        <v>7.5000000000000012E-4</v>
      </c>
      <c r="G87" s="7">
        <f t="shared" si="8"/>
        <v>3.6750000000000005E-2</v>
      </c>
    </row>
    <row r="88" spans="1:7" x14ac:dyDescent="0.35">
      <c r="A88" s="48" t="s">
        <v>1039</v>
      </c>
      <c r="B88" s="21" t="s">
        <v>990</v>
      </c>
      <c r="C88" s="7">
        <v>0.15</v>
      </c>
      <c r="D88" s="7">
        <f t="shared" si="5"/>
        <v>0.13500000000000001</v>
      </c>
      <c r="E88" s="7">
        <f t="shared" si="6"/>
        <v>0.10500000000000001</v>
      </c>
      <c r="F88" s="7">
        <f t="shared" si="7"/>
        <v>2.1000000000000003E-3</v>
      </c>
      <c r="G88" s="7">
        <f t="shared" si="8"/>
        <v>0.10290000000000001</v>
      </c>
    </row>
    <row r="89" spans="1:7" x14ac:dyDescent="0.35">
      <c r="A89" s="48"/>
      <c r="B89" s="21" t="s">
        <v>991</v>
      </c>
      <c r="C89" s="7">
        <v>0.1</v>
      </c>
      <c r="D89" s="7">
        <f t="shared" si="5"/>
        <v>0.09</v>
      </c>
      <c r="E89" s="7">
        <f t="shared" si="6"/>
        <v>0.06</v>
      </c>
      <c r="F89" s="7">
        <f t="shared" si="7"/>
        <v>1.1999999999999999E-3</v>
      </c>
      <c r="G89" s="7">
        <f t="shared" si="8"/>
        <v>5.8799999999999998E-2</v>
      </c>
    </row>
    <row r="90" spans="1:7" x14ac:dyDescent="0.35">
      <c r="A90" s="48" t="s">
        <v>1040</v>
      </c>
      <c r="B90" s="21" t="s">
        <v>990</v>
      </c>
      <c r="C90" s="7">
        <v>0.1</v>
      </c>
      <c r="D90" s="7">
        <f t="shared" si="5"/>
        <v>0.09</v>
      </c>
      <c r="E90" s="7">
        <f t="shared" si="6"/>
        <v>0.06</v>
      </c>
      <c r="F90" s="7">
        <f t="shared" si="7"/>
        <v>1.1999999999999999E-3</v>
      </c>
      <c r="G90" s="7">
        <f t="shared" si="8"/>
        <v>5.8799999999999998E-2</v>
      </c>
    </row>
    <row r="91" spans="1:7" x14ac:dyDescent="0.35">
      <c r="A91" s="48"/>
      <c r="B91" s="21" t="s">
        <v>991</v>
      </c>
      <c r="C91" s="7">
        <v>0.1</v>
      </c>
      <c r="D91" s="7" t="s">
        <v>20</v>
      </c>
      <c r="E91" s="7" t="s">
        <v>20</v>
      </c>
      <c r="F91" s="7" t="s">
        <v>20</v>
      </c>
      <c r="G91" s="7" t="s">
        <v>20</v>
      </c>
    </row>
    <row r="92" spans="1:7" x14ac:dyDescent="0.35">
      <c r="A92" s="48" t="s">
        <v>1041</v>
      </c>
      <c r="B92" s="21" t="s">
        <v>990</v>
      </c>
      <c r="C92" s="7">
        <v>0.1</v>
      </c>
      <c r="D92" s="7">
        <f t="shared" si="5"/>
        <v>0.09</v>
      </c>
      <c r="E92" s="7">
        <f t="shared" si="6"/>
        <v>0.06</v>
      </c>
      <c r="F92" s="7">
        <f t="shared" si="7"/>
        <v>1.1999999999999999E-3</v>
      </c>
      <c r="G92" s="7">
        <f t="shared" si="8"/>
        <v>5.8799999999999998E-2</v>
      </c>
    </row>
    <row r="93" spans="1:7" x14ac:dyDescent="0.35">
      <c r="A93" s="48"/>
      <c r="B93" s="21" t="s">
        <v>991</v>
      </c>
      <c r="C93" s="7">
        <v>0.05</v>
      </c>
      <c r="D93" s="7" t="s">
        <v>20</v>
      </c>
      <c r="E93" s="7" t="s">
        <v>20</v>
      </c>
      <c r="F93" s="7" t="s">
        <v>20</v>
      </c>
      <c r="G93" s="7" t="s">
        <v>20</v>
      </c>
    </row>
    <row r="94" spans="1:7" x14ac:dyDescent="0.35">
      <c r="A94" s="5" t="s">
        <v>1042</v>
      </c>
      <c r="B94" s="21" t="s">
        <v>100</v>
      </c>
      <c r="C94" s="7">
        <v>7.4999999999999997E-2</v>
      </c>
      <c r="D94" s="7">
        <f t="shared" si="5"/>
        <v>6.7500000000000004E-2</v>
      </c>
      <c r="E94" s="7">
        <f t="shared" si="6"/>
        <v>3.7500000000000006E-2</v>
      </c>
      <c r="F94" s="7">
        <f t="shared" si="7"/>
        <v>7.5000000000000012E-4</v>
      </c>
      <c r="G94" s="7">
        <f t="shared" si="8"/>
        <v>3.6750000000000005E-2</v>
      </c>
    </row>
    <row r="95" spans="1:7" x14ac:dyDescent="0.35">
      <c r="A95" s="5" t="s">
        <v>1043</v>
      </c>
      <c r="B95" s="21" t="s">
        <v>100</v>
      </c>
      <c r="C95" s="7">
        <v>7.4999999999999997E-2</v>
      </c>
      <c r="D95" s="7">
        <f t="shared" si="5"/>
        <v>6.7500000000000004E-2</v>
      </c>
      <c r="E95" s="7">
        <f t="shared" si="6"/>
        <v>3.7500000000000006E-2</v>
      </c>
      <c r="F95" s="7">
        <f t="shared" si="7"/>
        <v>7.5000000000000012E-4</v>
      </c>
      <c r="G95" s="7">
        <f t="shared" si="8"/>
        <v>3.6750000000000005E-2</v>
      </c>
    </row>
    <row r="96" spans="1:7" x14ac:dyDescent="0.35">
      <c r="A96" s="48" t="s">
        <v>1044</v>
      </c>
      <c r="B96" s="21" t="s">
        <v>990</v>
      </c>
      <c r="C96" s="7">
        <v>0.05</v>
      </c>
      <c r="D96" s="7" t="s">
        <v>20</v>
      </c>
      <c r="E96" s="7" t="s">
        <v>20</v>
      </c>
      <c r="F96" s="7" t="s">
        <v>20</v>
      </c>
      <c r="G96" s="7" t="s">
        <v>20</v>
      </c>
    </row>
    <row r="97" spans="1:7" x14ac:dyDescent="0.35">
      <c r="A97" s="48"/>
      <c r="B97" s="21" t="s">
        <v>991</v>
      </c>
      <c r="C97" s="7">
        <v>7.4999999999999997E-2</v>
      </c>
      <c r="D97" s="7" t="s">
        <v>20</v>
      </c>
      <c r="E97" s="7" t="s">
        <v>20</v>
      </c>
      <c r="F97" s="7" t="s">
        <v>20</v>
      </c>
      <c r="G97" s="7" t="s">
        <v>20</v>
      </c>
    </row>
    <row r="98" spans="1:7" x14ac:dyDescent="0.35">
      <c r="A98" s="48" t="s">
        <v>1045</v>
      </c>
      <c r="B98" s="21" t="s">
        <v>990</v>
      </c>
      <c r="C98" s="7">
        <v>0.05</v>
      </c>
      <c r="D98" s="7" t="s">
        <v>20</v>
      </c>
      <c r="E98" s="7" t="s">
        <v>20</v>
      </c>
      <c r="F98" s="7" t="s">
        <v>20</v>
      </c>
      <c r="G98" s="7" t="s">
        <v>20</v>
      </c>
    </row>
    <row r="99" spans="1:7" x14ac:dyDescent="0.35">
      <c r="A99" s="48"/>
      <c r="B99" s="21" t="s">
        <v>991</v>
      </c>
      <c r="C99" s="7">
        <v>0.05</v>
      </c>
      <c r="D99" s="7" t="s">
        <v>20</v>
      </c>
      <c r="E99" s="7" t="s">
        <v>20</v>
      </c>
      <c r="F99" s="7" t="s">
        <v>20</v>
      </c>
      <c r="G99" s="7" t="s">
        <v>20</v>
      </c>
    </row>
    <row r="100" spans="1:7" x14ac:dyDescent="0.35">
      <c r="A100" s="48" t="s">
        <v>1046</v>
      </c>
      <c r="B100" s="21" t="s">
        <v>990</v>
      </c>
      <c r="C100" s="7">
        <v>2.5000000000000001E-2</v>
      </c>
      <c r="D100" s="7" t="s">
        <v>20</v>
      </c>
      <c r="E100" s="7" t="s">
        <v>20</v>
      </c>
      <c r="F100" s="7" t="s">
        <v>20</v>
      </c>
      <c r="G100" s="7" t="s">
        <v>20</v>
      </c>
    </row>
    <row r="101" spans="1:7" x14ac:dyDescent="0.35">
      <c r="A101" s="48"/>
      <c r="B101" s="21" t="s">
        <v>991</v>
      </c>
      <c r="C101" s="7">
        <v>2.5000000000000001E-2</v>
      </c>
      <c r="D101" s="7" t="s">
        <v>20</v>
      </c>
      <c r="E101" s="7" t="s">
        <v>20</v>
      </c>
      <c r="F101" s="7" t="s">
        <v>20</v>
      </c>
      <c r="G101" s="7" t="s">
        <v>20</v>
      </c>
    </row>
    <row r="102" spans="1:7" x14ac:dyDescent="0.35">
      <c r="A102" s="5" t="s">
        <v>1047</v>
      </c>
      <c r="B102" s="21" t="s">
        <v>100</v>
      </c>
      <c r="C102" s="7">
        <v>0.05</v>
      </c>
      <c r="D102" s="7" t="s">
        <v>20</v>
      </c>
      <c r="E102" s="7" t="s">
        <v>20</v>
      </c>
      <c r="F102" s="7" t="s">
        <v>20</v>
      </c>
      <c r="G102" s="7" t="s">
        <v>20</v>
      </c>
    </row>
    <row r="103" spans="1:7" x14ac:dyDescent="0.35">
      <c r="A103" s="5" t="s">
        <v>1048</v>
      </c>
      <c r="B103" s="21" t="s">
        <v>100</v>
      </c>
      <c r="C103" s="7">
        <v>0.05</v>
      </c>
      <c r="D103" s="7" t="s">
        <v>20</v>
      </c>
      <c r="E103" s="7" t="s">
        <v>20</v>
      </c>
      <c r="F103" s="7" t="s">
        <v>20</v>
      </c>
      <c r="G103" s="7" t="s">
        <v>20</v>
      </c>
    </row>
    <row r="104" spans="1:7" x14ac:dyDescent="0.35">
      <c r="A104" s="48" t="s">
        <v>1049</v>
      </c>
      <c r="B104" s="21" t="s">
        <v>990</v>
      </c>
      <c r="C104" s="7">
        <v>0.05</v>
      </c>
      <c r="D104" s="7" t="s">
        <v>20</v>
      </c>
      <c r="E104" s="7" t="s">
        <v>20</v>
      </c>
      <c r="F104" s="7" t="s">
        <v>20</v>
      </c>
      <c r="G104" s="7" t="s">
        <v>20</v>
      </c>
    </row>
    <row r="105" spans="1:7" x14ac:dyDescent="0.35">
      <c r="A105" s="48"/>
      <c r="B105" s="21" t="s">
        <v>991</v>
      </c>
      <c r="C105" s="7">
        <v>2.5000000000000001E-2</v>
      </c>
      <c r="D105" s="7" t="s">
        <v>20</v>
      </c>
      <c r="E105" s="7" t="s">
        <v>20</v>
      </c>
      <c r="F105" s="7" t="s">
        <v>20</v>
      </c>
      <c r="G105" s="7" t="s">
        <v>20</v>
      </c>
    </row>
    <row r="106" spans="1:7" x14ac:dyDescent="0.35">
      <c r="A106" s="48" t="s">
        <v>1050</v>
      </c>
      <c r="B106" s="21" t="s">
        <v>990</v>
      </c>
      <c r="C106" s="7">
        <v>0.05</v>
      </c>
      <c r="D106" s="7" t="s">
        <v>20</v>
      </c>
      <c r="E106" s="7" t="s">
        <v>20</v>
      </c>
      <c r="F106" s="7" t="s">
        <v>20</v>
      </c>
      <c r="G106" s="7" t="s">
        <v>20</v>
      </c>
    </row>
    <row r="107" spans="1:7" x14ac:dyDescent="0.35">
      <c r="A107" s="48"/>
      <c r="B107" s="21" t="s">
        <v>991</v>
      </c>
      <c r="C107" s="7">
        <v>2.5000000000000001E-2</v>
      </c>
      <c r="D107" s="7" t="s">
        <v>20</v>
      </c>
      <c r="E107" s="7" t="s">
        <v>20</v>
      </c>
      <c r="F107" s="7" t="s">
        <v>20</v>
      </c>
      <c r="G107" s="7" t="s">
        <v>20</v>
      </c>
    </row>
    <row r="108" spans="1:7" x14ac:dyDescent="0.35">
      <c r="A108" s="48" t="s">
        <v>1051</v>
      </c>
      <c r="B108" s="21" t="s">
        <v>990</v>
      </c>
      <c r="C108" s="7">
        <v>2.5000000000000001E-2</v>
      </c>
      <c r="D108" s="7" t="s">
        <v>20</v>
      </c>
      <c r="E108" s="7" t="s">
        <v>20</v>
      </c>
      <c r="F108" s="7" t="s">
        <v>20</v>
      </c>
      <c r="G108" s="7" t="s">
        <v>20</v>
      </c>
    </row>
    <row r="109" spans="1:7" x14ac:dyDescent="0.35">
      <c r="A109" s="48"/>
      <c r="B109" s="21" t="s">
        <v>991</v>
      </c>
      <c r="C109" s="7">
        <v>2.5000000000000001E-2</v>
      </c>
      <c r="D109" s="7" t="s">
        <v>20</v>
      </c>
      <c r="E109" s="7" t="s">
        <v>20</v>
      </c>
      <c r="F109" s="7" t="s">
        <v>20</v>
      </c>
      <c r="G109" s="7" t="s">
        <v>20</v>
      </c>
    </row>
    <row r="110" spans="1:7" x14ac:dyDescent="0.35">
      <c r="A110" s="5" t="s">
        <v>1052</v>
      </c>
      <c r="B110" s="21" t="s">
        <v>100</v>
      </c>
      <c r="C110" s="7">
        <v>2.5000000000000001E-2</v>
      </c>
      <c r="D110" s="7" t="s">
        <v>20</v>
      </c>
      <c r="E110" s="7" t="s">
        <v>20</v>
      </c>
      <c r="F110" s="7" t="s">
        <v>20</v>
      </c>
      <c r="G110" s="7" t="s">
        <v>20</v>
      </c>
    </row>
    <row r="111" spans="1:7" x14ac:dyDescent="0.35">
      <c r="A111" s="5" t="s">
        <v>1053</v>
      </c>
      <c r="B111" s="21" t="s">
        <v>100</v>
      </c>
      <c r="C111" s="7">
        <v>2.5000000000000001E-2</v>
      </c>
      <c r="D111" s="7" t="s">
        <v>20</v>
      </c>
      <c r="E111" s="7" t="s">
        <v>20</v>
      </c>
      <c r="F111" s="7" t="s">
        <v>20</v>
      </c>
      <c r="G111" s="7" t="s">
        <v>20</v>
      </c>
    </row>
    <row r="112" spans="1:7" x14ac:dyDescent="0.35">
      <c r="A112" s="48" t="s">
        <v>1054</v>
      </c>
      <c r="B112" s="21" t="s">
        <v>990</v>
      </c>
      <c r="C112" s="7">
        <v>0.05</v>
      </c>
      <c r="D112" s="7" t="s">
        <v>20</v>
      </c>
      <c r="E112" s="7" t="s">
        <v>20</v>
      </c>
      <c r="F112" s="7" t="s">
        <v>20</v>
      </c>
      <c r="G112" s="7" t="s">
        <v>20</v>
      </c>
    </row>
    <row r="113" spans="1:7" x14ac:dyDescent="0.35">
      <c r="A113" s="48"/>
      <c r="B113" s="21" t="s">
        <v>991</v>
      </c>
      <c r="C113" s="7">
        <v>2.5000000000000001E-2</v>
      </c>
      <c r="D113" s="7" t="s">
        <v>20</v>
      </c>
      <c r="E113" s="7" t="s">
        <v>20</v>
      </c>
      <c r="F113" s="7" t="s">
        <v>20</v>
      </c>
      <c r="G113" s="7" t="s">
        <v>20</v>
      </c>
    </row>
    <row r="114" spans="1:7" x14ac:dyDescent="0.35">
      <c r="A114" s="48" t="s">
        <v>1055</v>
      </c>
      <c r="B114" s="21" t="s">
        <v>990</v>
      </c>
      <c r="C114" s="7">
        <v>2.5000000000000001E-2</v>
      </c>
      <c r="D114" s="7" t="s">
        <v>20</v>
      </c>
      <c r="E114" s="7" t="s">
        <v>20</v>
      </c>
      <c r="F114" s="7" t="s">
        <v>20</v>
      </c>
      <c r="G114" s="7" t="s">
        <v>20</v>
      </c>
    </row>
    <row r="115" spans="1:7" x14ac:dyDescent="0.35">
      <c r="A115" s="48"/>
      <c r="B115" s="21" t="s">
        <v>991</v>
      </c>
      <c r="C115" s="7">
        <v>2.5000000000000001E-2</v>
      </c>
      <c r="D115" s="7" t="s">
        <v>20</v>
      </c>
      <c r="E115" s="7" t="s">
        <v>20</v>
      </c>
      <c r="F115" s="7" t="s">
        <v>20</v>
      </c>
      <c r="G115" s="7" t="s">
        <v>20</v>
      </c>
    </row>
    <row r="116" spans="1:7" x14ac:dyDescent="0.35">
      <c r="A116" s="48" t="s">
        <v>1056</v>
      </c>
      <c r="B116" s="21" t="s">
        <v>990</v>
      </c>
      <c r="C116" s="7">
        <v>2.5000000000000001E-2</v>
      </c>
      <c r="D116" s="7" t="s">
        <v>20</v>
      </c>
      <c r="E116" s="7" t="s">
        <v>20</v>
      </c>
      <c r="F116" s="7" t="s">
        <v>20</v>
      </c>
      <c r="G116" s="7" t="s">
        <v>20</v>
      </c>
    </row>
    <row r="117" spans="1:7" x14ac:dyDescent="0.35">
      <c r="A117" s="48"/>
      <c r="B117" s="21" t="s">
        <v>991</v>
      </c>
      <c r="C117" s="7">
        <v>0</v>
      </c>
      <c r="D117" s="7" t="s">
        <v>20</v>
      </c>
      <c r="E117" s="7" t="s">
        <v>20</v>
      </c>
      <c r="F117" s="7" t="s">
        <v>20</v>
      </c>
      <c r="G117" s="7" t="s">
        <v>20</v>
      </c>
    </row>
    <row r="118" spans="1:7" x14ac:dyDescent="0.35">
      <c r="A118" s="5" t="s">
        <v>1057</v>
      </c>
      <c r="B118" s="21" t="s">
        <v>100</v>
      </c>
      <c r="C118" s="7">
        <v>2.5000000000000001E-2</v>
      </c>
      <c r="D118" s="7" t="s">
        <v>20</v>
      </c>
      <c r="E118" s="7" t="s">
        <v>20</v>
      </c>
      <c r="F118" s="7" t="s">
        <v>20</v>
      </c>
      <c r="G118" s="7" t="s">
        <v>20</v>
      </c>
    </row>
    <row r="119" spans="1:7" x14ac:dyDescent="0.35">
      <c r="A119" s="5" t="s">
        <v>1058</v>
      </c>
      <c r="B119" s="21" t="s">
        <v>100</v>
      </c>
      <c r="C119" s="7">
        <v>2.5000000000000001E-2</v>
      </c>
      <c r="D119" s="7" t="s">
        <v>20</v>
      </c>
      <c r="E119" s="7" t="s">
        <v>20</v>
      </c>
      <c r="F119" s="7" t="s">
        <v>20</v>
      </c>
      <c r="G119" s="7" t="s">
        <v>20</v>
      </c>
    </row>
    <row r="120" spans="1:7" x14ac:dyDescent="0.35">
      <c r="A120" s="48" t="s">
        <v>1218</v>
      </c>
      <c r="B120" s="21" t="s">
        <v>990</v>
      </c>
      <c r="C120" s="7">
        <v>0.2</v>
      </c>
      <c r="D120" s="7">
        <f t="shared" si="5"/>
        <v>0.18</v>
      </c>
      <c r="E120" s="7">
        <f t="shared" si="6"/>
        <v>0.15</v>
      </c>
      <c r="F120" s="7">
        <f t="shared" si="7"/>
        <v>3.0000000000000001E-3</v>
      </c>
      <c r="G120" s="7">
        <f t="shared" si="8"/>
        <v>0.14699999999999999</v>
      </c>
    </row>
    <row r="121" spans="1:7" x14ac:dyDescent="0.35">
      <c r="A121" s="48"/>
      <c r="B121" s="21" t="s">
        <v>991</v>
      </c>
      <c r="C121" s="7">
        <v>0.15</v>
      </c>
      <c r="D121" s="7">
        <f t="shared" si="5"/>
        <v>0.13500000000000001</v>
      </c>
      <c r="E121" s="7">
        <f t="shared" si="6"/>
        <v>0.10500000000000001</v>
      </c>
      <c r="F121" s="7">
        <f t="shared" si="7"/>
        <v>2.1000000000000003E-3</v>
      </c>
      <c r="G121" s="7">
        <f t="shared" si="8"/>
        <v>0.10290000000000001</v>
      </c>
    </row>
    <row r="122" spans="1:7" ht="14.5" customHeight="1" x14ac:dyDescent="0.35">
      <c r="A122" s="48" t="s">
        <v>1226</v>
      </c>
      <c r="B122" s="21" t="s">
        <v>990</v>
      </c>
      <c r="C122" s="7">
        <v>0.125</v>
      </c>
      <c r="D122" s="7">
        <f t="shared" si="5"/>
        <v>0.1125</v>
      </c>
      <c r="E122" s="7">
        <f t="shared" si="6"/>
        <v>8.2500000000000004E-2</v>
      </c>
      <c r="F122" s="7">
        <f t="shared" si="7"/>
        <v>1.6500000000000002E-3</v>
      </c>
      <c r="G122" s="7">
        <f t="shared" si="8"/>
        <v>8.0850000000000005E-2</v>
      </c>
    </row>
    <row r="123" spans="1:7" x14ac:dyDescent="0.35">
      <c r="A123" s="48"/>
      <c r="B123" s="21" t="s">
        <v>991</v>
      </c>
      <c r="C123" s="7">
        <v>0.125</v>
      </c>
      <c r="D123" s="7">
        <f t="shared" ref="D123:D177" si="9">(C123-(C123*10%))</f>
        <v>0.1125</v>
      </c>
      <c r="E123" s="7">
        <f t="shared" ref="E123:E177" si="10">D123-(3%)</f>
        <v>8.2500000000000004E-2</v>
      </c>
      <c r="F123" s="7">
        <f t="shared" ref="F123:F177" si="11">E123*2%</f>
        <v>1.6500000000000002E-3</v>
      </c>
      <c r="G123" s="7">
        <f t="shared" ref="G123:G177" si="12">E123-F123</f>
        <v>8.0850000000000005E-2</v>
      </c>
    </row>
    <row r="124" spans="1:7" x14ac:dyDescent="0.35">
      <c r="A124" s="48" t="s">
        <v>1059</v>
      </c>
      <c r="B124" s="21" t="s">
        <v>990</v>
      </c>
      <c r="C124" s="7">
        <v>7.4999999999999997E-2</v>
      </c>
      <c r="D124" s="7">
        <f t="shared" si="9"/>
        <v>6.7500000000000004E-2</v>
      </c>
      <c r="E124" s="7">
        <f t="shared" si="10"/>
        <v>3.7500000000000006E-2</v>
      </c>
      <c r="F124" s="7">
        <f t="shared" si="11"/>
        <v>7.5000000000000012E-4</v>
      </c>
      <c r="G124" s="7">
        <f t="shared" si="12"/>
        <v>3.6750000000000005E-2</v>
      </c>
    </row>
    <row r="125" spans="1:7" x14ac:dyDescent="0.35">
      <c r="A125" s="48"/>
      <c r="B125" s="21" t="s">
        <v>991</v>
      </c>
      <c r="C125" s="7">
        <v>7.4999999999999997E-2</v>
      </c>
      <c r="D125" s="7">
        <f t="shared" si="9"/>
        <v>6.7500000000000004E-2</v>
      </c>
      <c r="E125" s="7">
        <f t="shared" si="10"/>
        <v>3.7500000000000006E-2</v>
      </c>
      <c r="F125" s="7">
        <f t="shared" si="11"/>
        <v>7.5000000000000012E-4</v>
      </c>
      <c r="G125" s="7">
        <f t="shared" si="12"/>
        <v>3.6750000000000005E-2</v>
      </c>
    </row>
    <row r="126" spans="1:7" x14ac:dyDescent="0.35">
      <c r="A126" s="48" t="s">
        <v>1060</v>
      </c>
      <c r="B126" s="21" t="s">
        <v>990</v>
      </c>
      <c r="C126" s="7">
        <v>0.05</v>
      </c>
      <c r="D126" s="7" t="s">
        <v>20</v>
      </c>
      <c r="E126" s="7" t="s">
        <v>20</v>
      </c>
      <c r="F126" s="7" t="s">
        <v>20</v>
      </c>
      <c r="G126" s="7" t="s">
        <v>20</v>
      </c>
    </row>
    <row r="127" spans="1:7" x14ac:dyDescent="0.35">
      <c r="A127" s="48"/>
      <c r="B127" s="21" t="s">
        <v>991</v>
      </c>
      <c r="C127" s="7">
        <v>0.05</v>
      </c>
      <c r="D127" s="7" t="s">
        <v>20</v>
      </c>
      <c r="E127" s="7" t="s">
        <v>20</v>
      </c>
      <c r="F127" s="7" t="s">
        <v>20</v>
      </c>
      <c r="G127" s="7" t="s">
        <v>20</v>
      </c>
    </row>
    <row r="128" spans="1:7" x14ac:dyDescent="0.35">
      <c r="A128" s="48" t="s">
        <v>1061</v>
      </c>
      <c r="B128" s="21" t="s">
        <v>1062</v>
      </c>
      <c r="C128" s="7">
        <v>0.05</v>
      </c>
      <c r="D128" s="7" t="s">
        <v>20</v>
      </c>
      <c r="E128" s="7" t="s">
        <v>20</v>
      </c>
      <c r="F128" s="7" t="s">
        <v>20</v>
      </c>
      <c r="G128" s="7" t="s">
        <v>20</v>
      </c>
    </row>
    <row r="129" spans="1:7" x14ac:dyDescent="0.35">
      <c r="A129" s="48"/>
      <c r="B129" s="21" t="s">
        <v>1063</v>
      </c>
      <c r="C129" s="7">
        <v>0.05</v>
      </c>
      <c r="D129" s="7" t="s">
        <v>20</v>
      </c>
      <c r="E129" s="7" t="s">
        <v>20</v>
      </c>
      <c r="F129" s="7" t="s">
        <v>20</v>
      </c>
      <c r="G129" s="7" t="s">
        <v>20</v>
      </c>
    </row>
    <row r="130" spans="1:7" x14ac:dyDescent="0.35">
      <c r="A130" s="48" t="s">
        <v>1219</v>
      </c>
      <c r="B130" s="21" t="s">
        <v>990</v>
      </c>
      <c r="C130" s="7">
        <v>0.15</v>
      </c>
      <c r="D130" s="7">
        <f t="shared" si="9"/>
        <v>0.13500000000000001</v>
      </c>
      <c r="E130" s="7">
        <f t="shared" si="10"/>
        <v>0.10500000000000001</v>
      </c>
      <c r="F130" s="7">
        <f t="shared" si="11"/>
        <v>2.1000000000000003E-3</v>
      </c>
      <c r="G130" s="7">
        <f t="shared" si="12"/>
        <v>0.10290000000000001</v>
      </c>
    </row>
    <row r="131" spans="1:7" x14ac:dyDescent="0.35">
      <c r="A131" s="48"/>
      <c r="B131" s="21" t="s">
        <v>991</v>
      </c>
      <c r="C131" s="7">
        <v>0.15</v>
      </c>
      <c r="D131" s="7">
        <f t="shared" si="9"/>
        <v>0.13500000000000001</v>
      </c>
      <c r="E131" s="7">
        <f t="shared" si="10"/>
        <v>0.10500000000000001</v>
      </c>
      <c r="F131" s="7">
        <f t="shared" si="11"/>
        <v>2.1000000000000003E-3</v>
      </c>
      <c r="G131" s="7">
        <f t="shared" si="12"/>
        <v>0.10290000000000001</v>
      </c>
    </row>
    <row r="132" spans="1:7" x14ac:dyDescent="0.35">
      <c r="A132" s="48" t="s">
        <v>1227</v>
      </c>
      <c r="B132" s="21" t="s">
        <v>990</v>
      </c>
      <c r="C132" s="7">
        <v>0.1</v>
      </c>
      <c r="D132" s="7">
        <f t="shared" si="9"/>
        <v>0.09</v>
      </c>
      <c r="E132" s="7">
        <f t="shared" si="10"/>
        <v>0.06</v>
      </c>
      <c r="F132" s="7">
        <f t="shared" si="11"/>
        <v>1.1999999999999999E-3</v>
      </c>
      <c r="G132" s="7">
        <f t="shared" si="12"/>
        <v>5.8799999999999998E-2</v>
      </c>
    </row>
    <row r="133" spans="1:7" x14ac:dyDescent="0.35">
      <c r="A133" s="48"/>
      <c r="B133" s="21" t="s">
        <v>991</v>
      </c>
      <c r="C133" s="7">
        <v>0.1</v>
      </c>
      <c r="D133" s="7">
        <f t="shared" si="9"/>
        <v>0.09</v>
      </c>
      <c r="E133" s="7">
        <f t="shared" si="10"/>
        <v>0.06</v>
      </c>
      <c r="F133" s="7">
        <f t="shared" si="11"/>
        <v>1.1999999999999999E-3</v>
      </c>
      <c r="G133" s="7">
        <f t="shared" si="12"/>
        <v>5.8799999999999998E-2</v>
      </c>
    </row>
    <row r="134" spans="1:7" x14ac:dyDescent="0.35">
      <c r="A134" s="48" t="s">
        <v>1220</v>
      </c>
      <c r="B134" s="21" t="s">
        <v>990</v>
      </c>
      <c r="C134" s="7">
        <v>0.05</v>
      </c>
      <c r="D134" s="7" t="s">
        <v>20</v>
      </c>
      <c r="E134" s="7" t="s">
        <v>20</v>
      </c>
      <c r="F134" s="7" t="s">
        <v>20</v>
      </c>
      <c r="G134" s="7" t="s">
        <v>20</v>
      </c>
    </row>
    <row r="135" spans="1:7" x14ac:dyDescent="0.35">
      <c r="A135" s="48"/>
      <c r="B135" s="21" t="s">
        <v>991</v>
      </c>
      <c r="C135" s="7">
        <v>0.05</v>
      </c>
      <c r="D135" s="7" t="s">
        <v>20</v>
      </c>
      <c r="E135" s="7" t="s">
        <v>20</v>
      </c>
      <c r="F135" s="7" t="s">
        <v>20</v>
      </c>
      <c r="G135" s="7" t="s">
        <v>20</v>
      </c>
    </row>
    <row r="136" spans="1:7" x14ac:dyDescent="0.35">
      <c r="A136" s="48" t="s">
        <v>1221</v>
      </c>
      <c r="B136" s="21" t="s">
        <v>990</v>
      </c>
      <c r="C136" s="7">
        <v>2.5000000000000001E-2</v>
      </c>
      <c r="D136" s="7" t="s">
        <v>20</v>
      </c>
      <c r="E136" s="7" t="s">
        <v>20</v>
      </c>
      <c r="F136" s="7" t="s">
        <v>20</v>
      </c>
      <c r="G136" s="7" t="s">
        <v>20</v>
      </c>
    </row>
    <row r="137" spans="1:7" x14ac:dyDescent="0.35">
      <c r="A137" s="48"/>
      <c r="B137" s="21" t="s">
        <v>991</v>
      </c>
      <c r="C137" s="7">
        <v>0.05</v>
      </c>
      <c r="D137" s="7" t="s">
        <v>20</v>
      </c>
      <c r="E137" s="7" t="s">
        <v>20</v>
      </c>
      <c r="F137" s="7" t="s">
        <v>20</v>
      </c>
      <c r="G137" s="7" t="s">
        <v>20</v>
      </c>
    </row>
    <row r="138" spans="1:7" x14ac:dyDescent="0.35">
      <c r="A138" s="48" t="s">
        <v>1231</v>
      </c>
      <c r="B138" s="21" t="s">
        <v>1062</v>
      </c>
      <c r="C138" s="7">
        <v>0.05</v>
      </c>
      <c r="D138" s="7" t="s">
        <v>20</v>
      </c>
      <c r="E138" s="7" t="s">
        <v>20</v>
      </c>
      <c r="F138" s="7" t="s">
        <v>20</v>
      </c>
      <c r="G138" s="7" t="s">
        <v>20</v>
      </c>
    </row>
    <row r="139" spans="1:7" x14ac:dyDescent="0.35">
      <c r="A139" s="48"/>
      <c r="B139" s="21" t="s">
        <v>1063</v>
      </c>
      <c r="C139" s="7">
        <v>0.05</v>
      </c>
      <c r="D139" s="7" t="s">
        <v>20</v>
      </c>
      <c r="E139" s="7" t="s">
        <v>20</v>
      </c>
      <c r="F139" s="7" t="s">
        <v>20</v>
      </c>
      <c r="G139" s="7" t="s">
        <v>20</v>
      </c>
    </row>
    <row r="140" spans="1:7" x14ac:dyDescent="0.35">
      <c r="A140" s="48" t="s">
        <v>1222</v>
      </c>
      <c r="B140" s="21" t="s">
        <v>990</v>
      </c>
      <c r="C140" s="7">
        <v>0.1</v>
      </c>
      <c r="D140" s="7">
        <f t="shared" si="9"/>
        <v>0.09</v>
      </c>
      <c r="E140" s="7">
        <f t="shared" si="10"/>
        <v>0.06</v>
      </c>
      <c r="F140" s="7">
        <f t="shared" si="11"/>
        <v>1.1999999999999999E-3</v>
      </c>
      <c r="G140" s="7">
        <f t="shared" si="12"/>
        <v>5.8799999999999998E-2</v>
      </c>
    </row>
    <row r="141" spans="1:7" x14ac:dyDescent="0.35">
      <c r="A141" s="48"/>
      <c r="B141" s="21" t="s">
        <v>991</v>
      </c>
      <c r="C141" s="7">
        <v>0.05</v>
      </c>
      <c r="D141" s="7" t="s">
        <v>20</v>
      </c>
      <c r="E141" s="7" t="s">
        <v>20</v>
      </c>
      <c r="F141" s="7" t="s">
        <v>20</v>
      </c>
      <c r="G141" s="7" t="s">
        <v>20</v>
      </c>
    </row>
    <row r="142" spans="1:7" x14ac:dyDescent="0.35">
      <c r="A142" s="48" t="s">
        <v>1228</v>
      </c>
      <c r="B142" s="21" t="s">
        <v>990</v>
      </c>
      <c r="C142" s="7">
        <v>7.4999999999999997E-2</v>
      </c>
      <c r="D142" s="7">
        <f t="shared" si="9"/>
        <v>6.7500000000000004E-2</v>
      </c>
      <c r="E142" s="7">
        <f t="shared" si="10"/>
        <v>3.7500000000000006E-2</v>
      </c>
      <c r="F142" s="7">
        <f t="shared" si="11"/>
        <v>7.5000000000000012E-4</v>
      </c>
      <c r="G142" s="7">
        <f t="shared" si="12"/>
        <v>3.6750000000000005E-2</v>
      </c>
    </row>
    <row r="143" spans="1:7" x14ac:dyDescent="0.35">
      <c r="A143" s="48"/>
      <c r="B143" s="21" t="s">
        <v>991</v>
      </c>
      <c r="C143" s="7">
        <v>0.05</v>
      </c>
      <c r="D143" s="7" t="s">
        <v>20</v>
      </c>
      <c r="E143" s="7" t="s">
        <v>20</v>
      </c>
      <c r="F143" s="7" t="s">
        <v>20</v>
      </c>
      <c r="G143" s="7" t="s">
        <v>20</v>
      </c>
    </row>
    <row r="144" spans="1:7" x14ac:dyDescent="0.35">
      <c r="A144" s="48" t="s">
        <v>1223</v>
      </c>
      <c r="B144" s="21" t="s">
        <v>990</v>
      </c>
      <c r="C144" s="7">
        <v>0.05</v>
      </c>
      <c r="D144" s="7" t="s">
        <v>20</v>
      </c>
      <c r="E144" s="7" t="s">
        <v>20</v>
      </c>
      <c r="F144" s="7" t="s">
        <v>20</v>
      </c>
      <c r="G144" s="7" t="s">
        <v>20</v>
      </c>
    </row>
    <row r="145" spans="1:7" x14ac:dyDescent="0.35">
      <c r="A145" s="48"/>
      <c r="B145" s="21" t="s">
        <v>991</v>
      </c>
      <c r="C145" s="7">
        <v>0.05</v>
      </c>
      <c r="D145" s="7" t="s">
        <v>20</v>
      </c>
      <c r="E145" s="7" t="s">
        <v>20</v>
      </c>
      <c r="F145" s="7" t="s">
        <v>20</v>
      </c>
      <c r="G145" s="7" t="s">
        <v>20</v>
      </c>
    </row>
    <row r="146" spans="1:7" x14ac:dyDescent="0.35">
      <c r="A146" s="48" t="s">
        <v>1224</v>
      </c>
      <c r="B146" s="21" t="s">
        <v>990</v>
      </c>
      <c r="C146" s="7">
        <v>2.5000000000000001E-2</v>
      </c>
      <c r="D146" s="7" t="s">
        <v>20</v>
      </c>
      <c r="E146" s="7" t="s">
        <v>20</v>
      </c>
      <c r="F146" s="7" t="s">
        <v>20</v>
      </c>
      <c r="G146" s="7" t="s">
        <v>20</v>
      </c>
    </row>
    <row r="147" spans="1:7" x14ac:dyDescent="0.35">
      <c r="A147" s="48"/>
      <c r="B147" s="21" t="s">
        <v>991</v>
      </c>
      <c r="C147" s="7">
        <v>0.05</v>
      </c>
      <c r="D147" s="7" t="s">
        <v>20</v>
      </c>
      <c r="E147" s="7" t="s">
        <v>20</v>
      </c>
      <c r="F147" s="7" t="s">
        <v>20</v>
      </c>
      <c r="G147" s="7" t="s">
        <v>20</v>
      </c>
    </row>
    <row r="148" spans="1:7" x14ac:dyDescent="0.35">
      <c r="A148" s="48" t="s">
        <v>1225</v>
      </c>
      <c r="B148" s="21" t="s">
        <v>1062</v>
      </c>
      <c r="C148" s="7">
        <v>2.5000000000000001E-2</v>
      </c>
      <c r="D148" s="7" t="s">
        <v>20</v>
      </c>
      <c r="E148" s="7" t="s">
        <v>20</v>
      </c>
      <c r="F148" s="7" t="s">
        <v>20</v>
      </c>
      <c r="G148" s="7" t="s">
        <v>20</v>
      </c>
    </row>
    <row r="149" spans="1:7" x14ac:dyDescent="0.35">
      <c r="A149" s="48"/>
      <c r="B149" s="21" t="s">
        <v>1063</v>
      </c>
      <c r="C149" s="7">
        <v>2.5000000000000001E-2</v>
      </c>
      <c r="D149" s="7" t="s">
        <v>20</v>
      </c>
      <c r="E149" s="7" t="s">
        <v>20</v>
      </c>
      <c r="F149" s="7" t="s">
        <v>20</v>
      </c>
      <c r="G149" s="7" t="s">
        <v>20</v>
      </c>
    </row>
    <row r="150" spans="1:7" x14ac:dyDescent="0.35">
      <c r="A150" s="48" t="s">
        <v>1064</v>
      </c>
      <c r="B150" s="21" t="s">
        <v>990</v>
      </c>
      <c r="C150" s="7">
        <v>0.05</v>
      </c>
      <c r="D150" s="7">
        <f t="shared" si="9"/>
        <v>4.4999999999999998E-2</v>
      </c>
      <c r="E150" s="7">
        <f t="shared" si="10"/>
        <v>1.4999999999999999E-2</v>
      </c>
      <c r="F150" s="7">
        <f t="shared" si="11"/>
        <v>2.9999999999999997E-4</v>
      </c>
      <c r="G150" s="7">
        <f t="shared" si="12"/>
        <v>1.47E-2</v>
      </c>
    </row>
    <row r="151" spans="1:7" x14ac:dyDescent="0.35">
      <c r="A151" s="48"/>
      <c r="B151" s="21" t="s">
        <v>991</v>
      </c>
      <c r="C151" s="7">
        <v>0.05</v>
      </c>
      <c r="D151" s="7" t="s">
        <v>20</v>
      </c>
      <c r="E151" s="7" t="s">
        <v>20</v>
      </c>
      <c r="F151" s="7" t="s">
        <v>20</v>
      </c>
      <c r="G151" s="7" t="s">
        <v>20</v>
      </c>
    </row>
    <row r="152" spans="1:7" x14ac:dyDescent="0.35">
      <c r="A152" s="48" t="s">
        <v>1065</v>
      </c>
      <c r="B152" s="21" t="s">
        <v>990</v>
      </c>
      <c r="C152" s="7">
        <v>0.05</v>
      </c>
      <c r="D152" s="7" t="s">
        <v>20</v>
      </c>
      <c r="E152" s="7" t="s">
        <v>20</v>
      </c>
      <c r="F152" s="7" t="s">
        <v>20</v>
      </c>
      <c r="G152" s="7" t="s">
        <v>20</v>
      </c>
    </row>
    <row r="153" spans="1:7" x14ac:dyDescent="0.35">
      <c r="A153" s="48"/>
      <c r="B153" s="21" t="s">
        <v>991</v>
      </c>
      <c r="C153" s="7">
        <v>2.5000000000000001E-2</v>
      </c>
      <c r="D153" s="7" t="s">
        <v>20</v>
      </c>
      <c r="E153" s="7" t="s">
        <v>20</v>
      </c>
      <c r="F153" s="7" t="s">
        <v>20</v>
      </c>
      <c r="G153" s="7" t="s">
        <v>20</v>
      </c>
    </row>
    <row r="154" spans="1:7" x14ac:dyDescent="0.35">
      <c r="A154" s="48" t="s">
        <v>1066</v>
      </c>
      <c r="B154" s="21" t="s">
        <v>990</v>
      </c>
      <c r="C154" s="7">
        <v>2.5000000000000001E-2</v>
      </c>
      <c r="D154" s="7" t="s">
        <v>20</v>
      </c>
      <c r="E154" s="7" t="s">
        <v>20</v>
      </c>
      <c r="F154" s="7" t="s">
        <v>20</v>
      </c>
      <c r="G154" s="7" t="s">
        <v>20</v>
      </c>
    </row>
    <row r="155" spans="1:7" x14ac:dyDescent="0.35">
      <c r="A155" s="48"/>
      <c r="B155" s="21" t="s">
        <v>991</v>
      </c>
      <c r="C155" s="7">
        <v>2.5000000000000001E-2</v>
      </c>
      <c r="D155" s="7" t="s">
        <v>20</v>
      </c>
      <c r="E155" s="7" t="s">
        <v>20</v>
      </c>
      <c r="F155" s="7" t="s">
        <v>20</v>
      </c>
      <c r="G155" s="7" t="s">
        <v>20</v>
      </c>
    </row>
    <row r="156" spans="1:7" x14ac:dyDescent="0.35">
      <c r="A156" s="48" t="s">
        <v>1067</v>
      </c>
      <c r="B156" s="21" t="s">
        <v>1062</v>
      </c>
      <c r="C156" s="7">
        <v>2.5000000000000001E-2</v>
      </c>
      <c r="D156" s="7" t="s">
        <v>20</v>
      </c>
      <c r="E156" s="7" t="s">
        <v>20</v>
      </c>
      <c r="F156" s="7" t="s">
        <v>20</v>
      </c>
      <c r="G156" s="7" t="s">
        <v>20</v>
      </c>
    </row>
    <row r="157" spans="1:7" x14ac:dyDescent="0.35">
      <c r="A157" s="48"/>
      <c r="B157" s="21" t="s">
        <v>1063</v>
      </c>
      <c r="C157" s="7">
        <v>2.5000000000000001E-2</v>
      </c>
      <c r="D157" s="7" t="s">
        <v>20</v>
      </c>
      <c r="E157" s="7" t="s">
        <v>20</v>
      </c>
      <c r="F157" s="7" t="s">
        <v>20</v>
      </c>
      <c r="G157" s="7" t="s">
        <v>20</v>
      </c>
    </row>
    <row r="158" spans="1:7" x14ac:dyDescent="0.35">
      <c r="A158" s="48" t="s">
        <v>1068</v>
      </c>
      <c r="B158" s="21" t="s">
        <v>990</v>
      </c>
      <c r="C158" s="7">
        <v>0.3</v>
      </c>
      <c r="D158" s="7">
        <f t="shared" si="9"/>
        <v>0.27</v>
      </c>
      <c r="E158" s="7">
        <f t="shared" si="10"/>
        <v>0.24000000000000002</v>
      </c>
      <c r="F158" s="7">
        <f t="shared" si="11"/>
        <v>4.8000000000000004E-3</v>
      </c>
      <c r="G158" s="7">
        <f t="shared" si="12"/>
        <v>0.23520000000000002</v>
      </c>
    </row>
    <row r="159" spans="1:7" x14ac:dyDescent="0.35">
      <c r="A159" s="48"/>
      <c r="B159" s="21" t="s">
        <v>991</v>
      </c>
      <c r="C159" s="7">
        <v>0.3</v>
      </c>
      <c r="D159" s="7">
        <f t="shared" si="9"/>
        <v>0.27</v>
      </c>
      <c r="E159" s="7">
        <f t="shared" si="10"/>
        <v>0.24000000000000002</v>
      </c>
      <c r="F159" s="7">
        <f t="shared" si="11"/>
        <v>4.8000000000000004E-3</v>
      </c>
      <c r="G159" s="7">
        <f t="shared" si="12"/>
        <v>0.23520000000000002</v>
      </c>
    </row>
    <row r="160" spans="1:7" x14ac:dyDescent="0.35">
      <c r="A160" s="48" t="s">
        <v>1069</v>
      </c>
      <c r="B160" s="21" t="s">
        <v>990</v>
      </c>
      <c r="C160" s="7">
        <v>0.3</v>
      </c>
      <c r="D160" s="7">
        <f t="shared" si="9"/>
        <v>0.27</v>
      </c>
      <c r="E160" s="7">
        <f t="shared" si="10"/>
        <v>0.24000000000000002</v>
      </c>
      <c r="F160" s="7">
        <f t="shared" si="11"/>
        <v>4.8000000000000004E-3</v>
      </c>
      <c r="G160" s="7">
        <f t="shared" si="12"/>
        <v>0.23520000000000002</v>
      </c>
    </row>
    <row r="161" spans="1:7" x14ac:dyDescent="0.35">
      <c r="A161" s="48"/>
      <c r="B161" s="21" t="s">
        <v>991</v>
      </c>
      <c r="C161" s="7">
        <v>0.2</v>
      </c>
      <c r="D161" s="7">
        <f t="shared" si="9"/>
        <v>0.18</v>
      </c>
      <c r="E161" s="7">
        <f t="shared" si="10"/>
        <v>0.15</v>
      </c>
      <c r="F161" s="7">
        <f t="shared" si="11"/>
        <v>3.0000000000000001E-3</v>
      </c>
      <c r="G161" s="7">
        <f t="shared" si="12"/>
        <v>0.14699999999999999</v>
      </c>
    </row>
    <row r="162" spans="1:7" x14ac:dyDescent="0.35">
      <c r="A162" s="48" t="s">
        <v>1070</v>
      </c>
      <c r="B162" s="21" t="s">
        <v>990</v>
      </c>
      <c r="C162" s="7">
        <v>0.15</v>
      </c>
      <c r="D162" s="7">
        <f t="shared" si="9"/>
        <v>0.13500000000000001</v>
      </c>
      <c r="E162" s="7">
        <f t="shared" si="10"/>
        <v>0.10500000000000001</v>
      </c>
      <c r="F162" s="7">
        <f t="shared" si="11"/>
        <v>2.1000000000000003E-3</v>
      </c>
      <c r="G162" s="7">
        <f t="shared" si="12"/>
        <v>0.10290000000000001</v>
      </c>
    </row>
    <row r="163" spans="1:7" x14ac:dyDescent="0.35">
      <c r="A163" s="48"/>
      <c r="B163" s="21" t="s">
        <v>991</v>
      </c>
      <c r="C163" s="7">
        <v>0.05</v>
      </c>
      <c r="D163" s="7" t="s">
        <v>20</v>
      </c>
      <c r="E163" s="7" t="s">
        <v>20</v>
      </c>
      <c r="F163" s="7" t="s">
        <v>20</v>
      </c>
      <c r="G163" s="7" t="s">
        <v>20</v>
      </c>
    </row>
    <row r="164" spans="1:7" x14ac:dyDescent="0.35">
      <c r="A164" s="48" t="s">
        <v>1071</v>
      </c>
      <c r="B164" s="21" t="s">
        <v>990</v>
      </c>
      <c r="C164" s="7">
        <v>0.1</v>
      </c>
      <c r="D164" s="7">
        <f t="shared" si="9"/>
        <v>0.09</v>
      </c>
      <c r="E164" s="7">
        <f t="shared" si="10"/>
        <v>0.06</v>
      </c>
      <c r="F164" s="7">
        <f t="shared" si="11"/>
        <v>1.1999999999999999E-3</v>
      </c>
      <c r="G164" s="7">
        <f t="shared" si="12"/>
        <v>5.8799999999999998E-2</v>
      </c>
    </row>
    <row r="165" spans="1:7" x14ac:dyDescent="0.35">
      <c r="A165" s="48"/>
      <c r="B165" s="21" t="s">
        <v>991</v>
      </c>
      <c r="C165" s="7">
        <v>0.05</v>
      </c>
      <c r="D165" s="7" t="s">
        <v>20</v>
      </c>
      <c r="E165" s="7" t="s">
        <v>20</v>
      </c>
      <c r="F165" s="7" t="s">
        <v>20</v>
      </c>
      <c r="G165" s="7" t="s">
        <v>20</v>
      </c>
    </row>
    <row r="166" spans="1:7" x14ac:dyDescent="0.35">
      <c r="A166" s="48" t="s">
        <v>1072</v>
      </c>
      <c r="B166" s="21" t="s">
        <v>1062</v>
      </c>
      <c r="C166" s="7">
        <v>0.05</v>
      </c>
      <c r="D166" s="7" t="s">
        <v>20</v>
      </c>
      <c r="E166" s="7" t="s">
        <v>20</v>
      </c>
      <c r="F166" s="7" t="s">
        <v>20</v>
      </c>
      <c r="G166" s="7" t="s">
        <v>20</v>
      </c>
    </row>
    <row r="167" spans="1:7" x14ac:dyDescent="0.35">
      <c r="A167" s="48"/>
      <c r="B167" s="21" t="s">
        <v>1063</v>
      </c>
      <c r="C167" s="7">
        <v>0.05</v>
      </c>
      <c r="D167" s="7" t="s">
        <v>20</v>
      </c>
      <c r="E167" s="7" t="s">
        <v>20</v>
      </c>
      <c r="F167" s="7" t="s">
        <v>20</v>
      </c>
      <c r="G167" s="7" t="s">
        <v>20</v>
      </c>
    </row>
    <row r="168" spans="1:7" x14ac:dyDescent="0.35">
      <c r="A168" s="48" t="s">
        <v>1229</v>
      </c>
      <c r="B168" s="21" t="s">
        <v>990</v>
      </c>
      <c r="C168" s="7">
        <v>0.3</v>
      </c>
      <c r="D168" s="7">
        <f t="shared" si="9"/>
        <v>0.27</v>
      </c>
      <c r="E168" s="7">
        <f t="shared" si="10"/>
        <v>0.24000000000000002</v>
      </c>
      <c r="F168" s="7">
        <f t="shared" si="11"/>
        <v>4.8000000000000004E-3</v>
      </c>
      <c r="G168" s="7">
        <f t="shared" si="12"/>
        <v>0.23520000000000002</v>
      </c>
    </row>
    <row r="169" spans="1:7" x14ac:dyDescent="0.35">
      <c r="A169" s="48"/>
      <c r="B169" s="21" t="s">
        <v>991</v>
      </c>
      <c r="C169" s="7">
        <v>0.3</v>
      </c>
      <c r="D169" s="7">
        <f t="shared" si="9"/>
        <v>0.27</v>
      </c>
      <c r="E169" s="7">
        <f t="shared" si="10"/>
        <v>0.24000000000000002</v>
      </c>
      <c r="F169" s="7">
        <f t="shared" si="11"/>
        <v>4.8000000000000004E-3</v>
      </c>
      <c r="G169" s="7">
        <f t="shared" si="12"/>
        <v>0.23520000000000002</v>
      </c>
    </row>
    <row r="170" spans="1:7" x14ac:dyDescent="0.35">
      <c r="A170" s="48" t="s">
        <v>1230</v>
      </c>
      <c r="B170" s="21" t="s">
        <v>990</v>
      </c>
      <c r="C170" s="7">
        <v>0.15</v>
      </c>
      <c r="D170" s="7">
        <f t="shared" si="9"/>
        <v>0.13500000000000001</v>
      </c>
      <c r="E170" s="7">
        <f t="shared" si="10"/>
        <v>0.10500000000000001</v>
      </c>
      <c r="F170" s="7">
        <f t="shared" si="11"/>
        <v>2.1000000000000003E-3</v>
      </c>
      <c r="G170" s="7">
        <f t="shared" si="12"/>
        <v>0.10290000000000001</v>
      </c>
    </row>
    <row r="171" spans="1:7" x14ac:dyDescent="0.35">
      <c r="A171" s="48"/>
      <c r="B171" s="21" t="s">
        <v>991</v>
      </c>
      <c r="C171" s="7">
        <v>0.15</v>
      </c>
      <c r="D171" s="7">
        <f t="shared" si="9"/>
        <v>0.13500000000000001</v>
      </c>
      <c r="E171" s="7">
        <f t="shared" si="10"/>
        <v>0.10500000000000001</v>
      </c>
      <c r="F171" s="7">
        <f t="shared" si="11"/>
        <v>2.1000000000000003E-3</v>
      </c>
      <c r="G171" s="7">
        <f t="shared" si="12"/>
        <v>0.10290000000000001</v>
      </c>
    </row>
    <row r="172" spans="1:7" x14ac:dyDescent="0.35">
      <c r="A172" s="48" t="s">
        <v>1073</v>
      </c>
      <c r="B172" s="21" t="s">
        <v>990</v>
      </c>
      <c r="C172" s="7">
        <v>0.05</v>
      </c>
      <c r="D172" s="7">
        <f t="shared" si="9"/>
        <v>4.4999999999999998E-2</v>
      </c>
      <c r="E172" s="7">
        <f t="shared" si="10"/>
        <v>1.4999999999999999E-2</v>
      </c>
      <c r="F172" s="7">
        <f t="shared" si="11"/>
        <v>2.9999999999999997E-4</v>
      </c>
      <c r="G172" s="7">
        <f t="shared" si="12"/>
        <v>1.47E-2</v>
      </c>
    </row>
    <row r="173" spans="1:7" x14ac:dyDescent="0.35">
      <c r="A173" s="48"/>
      <c r="B173" s="21" t="s">
        <v>991</v>
      </c>
      <c r="C173" s="7">
        <v>7.4999999999999997E-2</v>
      </c>
      <c r="D173" s="7" t="s">
        <v>20</v>
      </c>
      <c r="E173" s="7" t="s">
        <v>20</v>
      </c>
      <c r="F173" s="7" t="s">
        <v>20</v>
      </c>
      <c r="G173" s="7" t="s">
        <v>20</v>
      </c>
    </row>
    <row r="174" spans="1:7" x14ac:dyDescent="0.35">
      <c r="A174" s="48" t="s">
        <v>1074</v>
      </c>
      <c r="B174" s="21" t="s">
        <v>990</v>
      </c>
      <c r="C174" s="7">
        <v>0.05</v>
      </c>
      <c r="D174" s="7">
        <f t="shared" si="9"/>
        <v>4.4999999999999998E-2</v>
      </c>
      <c r="E174" s="7">
        <f t="shared" si="10"/>
        <v>1.4999999999999999E-2</v>
      </c>
      <c r="F174" s="7">
        <f t="shared" si="11"/>
        <v>2.9999999999999997E-4</v>
      </c>
      <c r="G174" s="7">
        <f t="shared" si="12"/>
        <v>1.47E-2</v>
      </c>
    </row>
    <row r="175" spans="1:7" x14ac:dyDescent="0.35">
      <c r="A175" s="48"/>
      <c r="B175" s="21" t="s">
        <v>991</v>
      </c>
      <c r="C175" s="7">
        <v>7.4999999999999997E-2</v>
      </c>
      <c r="D175" s="7" t="s">
        <v>20</v>
      </c>
      <c r="E175" s="7" t="s">
        <v>20</v>
      </c>
      <c r="F175" s="7" t="s">
        <v>20</v>
      </c>
      <c r="G175" s="7" t="s">
        <v>20</v>
      </c>
    </row>
    <row r="176" spans="1:7" x14ac:dyDescent="0.35">
      <c r="A176" s="48" t="s">
        <v>1075</v>
      </c>
      <c r="B176" s="21" t="s">
        <v>1062</v>
      </c>
      <c r="C176" s="7">
        <v>7.4999999999999997E-2</v>
      </c>
      <c r="D176" s="7">
        <f t="shared" si="9"/>
        <v>6.7500000000000004E-2</v>
      </c>
      <c r="E176" s="7">
        <f t="shared" si="10"/>
        <v>3.7500000000000006E-2</v>
      </c>
      <c r="F176" s="7">
        <f t="shared" si="11"/>
        <v>7.5000000000000012E-4</v>
      </c>
      <c r="G176" s="7">
        <f t="shared" si="12"/>
        <v>3.6750000000000005E-2</v>
      </c>
    </row>
    <row r="177" spans="1:7" x14ac:dyDescent="0.35">
      <c r="A177" s="48"/>
      <c r="B177" s="21" t="s">
        <v>1063</v>
      </c>
      <c r="C177" s="7">
        <v>7.4999999999999997E-2</v>
      </c>
      <c r="D177" s="7">
        <f t="shared" si="9"/>
        <v>6.7500000000000004E-2</v>
      </c>
      <c r="E177" s="7">
        <f t="shared" si="10"/>
        <v>3.7500000000000006E-2</v>
      </c>
      <c r="F177" s="7">
        <f t="shared" si="11"/>
        <v>7.5000000000000012E-4</v>
      </c>
      <c r="G177" s="7">
        <f t="shared" si="12"/>
        <v>3.6750000000000005E-2</v>
      </c>
    </row>
  </sheetData>
  <mergeCells count="74">
    <mergeCell ref="A31:A32"/>
    <mergeCell ref="A18:A19"/>
    <mergeCell ref="A25:A26"/>
    <mergeCell ref="A27:A28"/>
    <mergeCell ref="A29:A30"/>
    <mergeCell ref="A12:A13"/>
    <mergeCell ref="A20:A21"/>
    <mergeCell ref="A6:A7"/>
    <mergeCell ref="A8:A9"/>
    <mergeCell ref="A10:A11"/>
    <mergeCell ref="A14:A15"/>
    <mergeCell ref="A16:A17"/>
    <mergeCell ref="A52:A53"/>
    <mergeCell ref="A54:A55"/>
    <mergeCell ref="A39:A40"/>
    <mergeCell ref="A56:A57"/>
    <mergeCell ref="A33:A34"/>
    <mergeCell ref="A35:A36"/>
    <mergeCell ref="A37:A38"/>
    <mergeCell ref="A44:A45"/>
    <mergeCell ref="A46:A47"/>
    <mergeCell ref="A50:A51"/>
    <mergeCell ref="A82:A83"/>
    <mergeCell ref="A84:A85"/>
    <mergeCell ref="A88:A89"/>
    <mergeCell ref="A90:A91"/>
    <mergeCell ref="A60:A61"/>
    <mergeCell ref="A62:A63"/>
    <mergeCell ref="A64:A65"/>
    <mergeCell ref="A70:A71"/>
    <mergeCell ref="A72:A73"/>
    <mergeCell ref="A80:A81"/>
    <mergeCell ref="A66:A67"/>
    <mergeCell ref="A74:A75"/>
    <mergeCell ref="A76:A77"/>
    <mergeCell ref="A92:A93"/>
    <mergeCell ref="A96:A97"/>
    <mergeCell ref="A98:A99"/>
    <mergeCell ref="A100:A101"/>
    <mergeCell ref="A104:A105"/>
    <mergeCell ref="A176:A177"/>
    <mergeCell ref="A168:A169"/>
    <mergeCell ref="A170:A171"/>
    <mergeCell ref="A172:A173"/>
    <mergeCell ref="A106:A107"/>
    <mergeCell ref="A108:A109"/>
    <mergeCell ref="A112:A113"/>
    <mergeCell ref="A114:A115"/>
    <mergeCell ref="A116:A117"/>
    <mergeCell ref="A126:A127"/>
    <mergeCell ref="A120:A121"/>
    <mergeCell ref="A122:A123"/>
    <mergeCell ref="A124:A125"/>
    <mergeCell ref="A150:A151"/>
    <mergeCell ref="A152:A153"/>
    <mergeCell ref="A154:A155"/>
    <mergeCell ref="A174:A175"/>
    <mergeCell ref="A166:A167"/>
    <mergeCell ref="A158:A159"/>
    <mergeCell ref="A160:A161"/>
    <mergeCell ref="A162:A163"/>
    <mergeCell ref="A164:A165"/>
    <mergeCell ref="A128:A129"/>
    <mergeCell ref="A138:A139"/>
    <mergeCell ref="A148:A149"/>
    <mergeCell ref="A156:A157"/>
    <mergeCell ref="A130:A131"/>
    <mergeCell ref="A132:A133"/>
    <mergeCell ref="A134:A135"/>
    <mergeCell ref="A136:A137"/>
    <mergeCell ref="A140:A141"/>
    <mergeCell ref="A142:A143"/>
    <mergeCell ref="A144:A145"/>
    <mergeCell ref="A146:A147"/>
  </mergeCells>
  <printOptions horizontalCentered="1" verticalCentered="1"/>
  <pageMargins left="0" right="0" top="0" bottom="0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0ED6-7354-4E70-8829-FBFE83F73F65}">
  <dimension ref="A1:G177"/>
  <sheetViews>
    <sheetView showGridLines="0" topLeftCell="A177" workbookViewId="0">
      <selection activeCell="A3" sqref="A3:G177"/>
    </sheetView>
  </sheetViews>
  <sheetFormatPr defaultRowHeight="14.5" x14ac:dyDescent="0.35"/>
  <cols>
    <col min="1" max="1" width="39.1796875" style="28" customWidth="1"/>
    <col min="2" max="2" width="15.1796875" style="27" customWidth="1"/>
    <col min="3" max="3" width="6.6328125" style="26" hidden="1" customWidth="1"/>
    <col min="4" max="4" width="8.453125" style="26" hidden="1" customWidth="1"/>
    <col min="5" max="5" width="10.1796875" style="26" hidden="1" customWidth="1"/>
    <col min="6" max="6" width="9.81640625" style="26" hidden="1" customWidth="1"/>
    <col min="7" max="7" width="10.08984375" style="26" customWidth="1"/>
  </cols>
  <sheetData>
    <row r="1" spans="1:7" x14ac:dyDescent="0.35">
      <c r="A1" s="9"/>
      <c r="B1" s="13"/>
      <c r="C1" s="17"/>
      <c r="D1" s="17"/>
      <c r="E1" s="17"/>
      <c r="F1" s="17"/>
      <c r="G1" s="17"/>
    </row>
    <row r="2" spans="1:7" x14ac:dyDescent="0.35">
      <c r="A2" s="9"/>
      <c r="B2" s="13"/>
      <c r="C2" s="17"/>
      <c r="D2" s="17"/>
      <c r="E2" s="17"/>
      <c r="F2" s="17"/>
      <c r="G2" s="17"/>
    </row>
    <row r="3" spans="1:7" ht="58.5" customHeight="1" x14ac:dyDescent="0.35">
      <c r="A3" s="1" t="s">
        <v>1293</v>
      </c>
      <c r="B3" s="22"/>
      <c r="C3" s="25"/>
      <c r="D3" s="25"/>
      <c r="E3" s="25"/>
      <c r="F3" s="25"/>
      <c r="G3" s="25"/>
    </row>
    <row r="4" spans="1:7" x14ac:dyDescent="0.35">
      <c r="A4" s="9"/>
      <c r="B4" s="9"/>
      <c r="C4" s="17"/>
      <c r="D4" s="17"/>
      <c r="E4" s="17"/>
      <c r="F4" s="17"/>
      <c r="G4" s="17"/>
    </row>
    <row r="5" spans="1:7" x14ac:dyDescent="0.35">
      <c r="A5" s="2" t="s">
        <v>987</v>
      </c>
      <c r="B5" s="2" t="s">
        <v>1</v>
      </c>
      <c r="C5" s="4" t="s">
        <v>2</v>
      </c>
      <c r="D5" s="4" t="s">
        <v>922</v>
      </c>
      <c r="E5" s="4" t="s">
        <v>1276</v>
      </c>
      <c r="F5" s="4" t="s">
        <v>363</v>
      </c>
      <c r="G5" s="4" t="s">
        <v>364</v>
      </c>
    </row>
    <row r="6" spans="1:7" x14ac:dyDescent="0.35">
      <c r="A6" s="48" t="s">
        <v>989</v>
      </c>
      <c r="B6" s="21" t="s">
        <v>990</v>
      </c>
      <c r="C6" s="7">
        <v>0.27500000000000002</v>
      </c>
      <c r="D6" s="7">
        <f>(C6-(C6*10%))</f>
        <v>0.24750000000000003</v>
      </c>
      <c r="E6" s="7">
        <f>D6-(2.5%)</f>
        <v>0.22250000000000003</v>
      </c>
      <c r="F6" s="7">
        <f>E6*(2%)</f>
        <v>4.4500000000000008E-3</v>
      </c>
      <c r="G6" s="7">
        <f t="shared" ref="G6" si="0">E6-F6</f>
        <v>0.21805000000000002</v>
      </c>
    </row>
    <row r="7" spans="1:7" x14ac:dyDescent="0.35">
      <c r="A7" s="48"/>
      <c r="B7" s="21" t="s">
        <v>991</v>
      </c>
      <c r="C7" s="7">
        <v>0.3</v>
      </c>
      <c r="D7" s="7">
        <f t="shared" ref="D7:D70" si="1">(C7-(C7*10%))</f>
        <v>0.27</v>
      </c>
      <c r="E7" s="7">
        <f t="shared" ref="E7:E70" si="2">D7-(2.5%)</f>
        <v>0.24500000000000002</v>
      </c>
      <c r="F7" s="7">
        <f t="shared" ref="F7:F70" si="3">E7*(2%)</f>
        <v>4.9000000000000007E-3</v>
      </c>
      <c r="G7" s="7">
        <f t="shared" ref="G7:G70" si="4">E7-F7</f>
        <v>0.24010000000000004</v>
      </c>
    </row>
    <row r="8" spans="1:7" x14ac:dyDescent="0.35">
      <c r="A8" s="48" t="s">
        <v>992</v>
      </c>
      <c r="B8" s="21" t="s">
        <v>990</v>
      </c>
      <c r="C8" s="7">
        <v>0</v>
      </c>
      <c r="D8" s="7" t="s">
        <v>20</v>
      </c>
      <c r="E8" s="7" t="s">
        <v>20</v>
      </c>
      <c r="F8" s="7" t="s">
        <v>20</v>
      </c>
      <c r="G8" s="7" t="s">
        <v>20</v>
      </c>
    </row>
    <row r="9" spans="1:7" x14ac:dyDescent="0.35">
      <c r="A9" s="48"/>
      <c r="B9" s="21" t="s">
        <v>991</v>
      </c>
      <c r="C9" s="7">
        <v>0.17499999999999999</v>
      </c>
      <c r="D9" s="7">
        <f t="shared" si="1"/>
        <v>0.1575</v>
      </c>
      <c r="E9" s="7">
        <f t="shared" si="2"/>
        <v>0.13250000000000001</v>
      </c>
      <c r="F9" s="7">
        <f t="shared" si="3"/>
        <v>2.65E-3</v>
      </c>
      <c r="G9" s="7">
        <f t="shared" si="4"/>
        <v>0.12984999999999999</v>
      </c>
    </row>
    <row r="10" spans="1:7" x14ac:dyDescent="0.35">
      <c r="A10" s="48" t="s">
        <v>993</v>
      </c>
      <c r="B10" s="21" t="s">
        <v>990</v>
      </c>
      <c r="C10" s="7">
        <v>0.22500000000000001</v>
      </c>
      <c r="D10" s="7">
        <f t="shared" si="1"/>
        <v>0.20250000000000001</v>
      </c>
      <c r="E10" s="7">
        <f t="shared" si="2"/>
        <v>0.17750000000000002</v>
      </c>
      <c r="F10" s="7">
        <f t="shared" si="3"/>
        <v>3.5500000000000006E-3</v>
      </c>
      <c r="G10" s="7">
        <f t="shared" si="4"/>
        <v>0.17395000000000002</v>
      </c>
    </row>
    <row r="11" spans="1:7" x14ac:dyDescent="0.35">
      <c r="A11" s="48"/>
      <c r="B11" s="21" t="s">
        <v>991</v>
      </c>
      <c r="C11" s="7">
        <v>0</v>
      </c>
      <c r="D11" s="7" t="s">
        <v>20</v>
      </c>
      <c r="E11" s="7" t="s">
        <v>20</v>
      </c>
      <c r="F11" s="7" t="s">
        <v>20</v>
      </c>
      <c r="G11" s="7" t="s">
        <v>20</v>
      </c>
    </row>
    <row r="12" spans="1:7" x14ac:dyDescent="0.35">
      <c r="A12" s="48" t="s">
        <v>994</v>
      </c>
      <c r="B12" s="21" t="s">
        <v>990</v>
      </c>
      <c r="C12" s="7">
        <v>0.17499999999999999</v>
      </c>
      <c r="D12" s="7">
        <f t="shared" si="1"/>
        <v>0.1575</v>
      </c>
      <c r="E12" s="7">
        <f t="shared" si="2"/>
        <v>0.13250000000000001</v>
      </c>
      <c r="F12" s="7">
        <f t="shared" si="3"/>
        <v>2.65E-3</v>
      </c>
      <c r="G12" s="7">
        <f t="shared" si="4"/>
        <v>0.12984999999999999</v>
      </c>
    </row>
    <row r="13" spans="1:7" x14ac:dyDescent="0.35">
      <c r="A13" s="48"/>
      <c r="B13" s="21" t="s">
        <v>991</v>
      </c>
      <c r="C13" s="7">
        <v>0</v>
      </c>
      <c r="D13" s="7" t="s">
        <v>20</v>
      </c>
      <c r="E13" s="7" t="s">
        <v>20</v>
      </c>
      <c r="F13" s="7" t="s">
        <v>20</v>
      </c>
      <c r="G13" s="7" t="s">
        <v>20</v>
      </c>
    </row>
    <row r="14" spans="1:7" x14ac:dyDescent="0.35">
      <c r="A14" s="48" t="s">
        <v>995</v>
      </c>
      <c r="B14" s="21" t="s">
        <v>990</v>
      </c>
      <c r="C14" s="7">
        <v>0.22500000000000001</v>
      </c>
      <c r="D14" s="7">
        <f t="shared" si="1"/>
        <v>0.20250000000000001</v>
      </c>
      <c r="E14" s="7">
        <f t="shared" si="2"/>
        <v>0.17750000000000002</v>
      </c>
      <c r="F14" s="7">
        <f t="shared" si="3"/>
        <v>3.5500000000000006E-3</v>
      </c>
      <c r="G14" s="7">
        <f t="shared" si="4"/>
        <v>0.17395000000000002</v>
      </c>
    </row>
    <row r="15" spans="1:7" x14ac:dyDescent="0.35">
      <c r="A15" s="48"/>
      <c r="B15" s="21" t="s">
        <v>991</v>
      </c>
      <c r="C15" s="7">
        <v>0.15</v>
      </c>
      <c r="D15" s="7">
        <f t="shared" si="1"/>
        <v>0.13500000000000001</v>
      </c>
      <c r="E15" s="7">
        <f t="shared" si="2"/>
        <v>0.11000000000000001</v>
      </c>
      <c r="F15" s="7">
        <f t="shared" si="3"/>
        <v>2.2000000000000001E-3</v>
      </c>
      <c r="G15" s="7">
        <f t="shared" si="4"/>
        <v>0.10780000000000002</v>
      </c>
    </row>
    <row r="16" spans="1:7" x14ac:dyDescent="0.35">
      <c r="A16" s="48" t="s">
        <v>996</v>
      </c>
      <c r="B16" s="21" t="s">
        <v>990</v>
      </c>
      <c r="C16" s="7">
        <v>0.22500000000000001</v>
      </c>
      <c r="D16" s="7">
        <f t="shared" si="1"/>
        <v>0.20250000000000001</v>
      </c>
      <c r="E16" s="7">
        <f t="shared" si="2"/>
        <v>0.17750000000000002</v>
      </c>
      <c r="F16" s="7">
        <f t="shared" si="3"/>
        <v>3.5500000000000006E-3</v>
      </c>
      <c r="G16" s="7">
        <f t="shared" si="4"/>
        <v>0.17395000000000002</v>
      </c>
    </row>
    <row r="17" spans="1:7" x14ac:dyDescent="0.35">
      <c r="A17" s="48"/>
      <c r="B17" s="21" t="s">
        <v>991</v>
      </c>
      <c r="C17" s="7">
        <v>0.15</v>
      </c>
      <c r="D17" s="7">
        <f t="shared" si="1"/>
        <v>0.13500000000000001</v>
      </c>
      <c r="E17" s="7">
        <f t="shared" si="2"/>
        <v>0.11000000000000001</v>
      </c>
      <c r="F17" s="7">
        <f t="shared" si="3"/>
        <v>2.2000000000000001E-3</v>
      </c>
      <c r="G17" s="7">
        <f t="shared" si="4"/>
        <v>0.10780000000000002</v>
      </c>
    </row>
    <row r="18" spans="1:7" x14ac:dyDescent="0.35">
      <c r="A18" s="48" t="s">
        <v>997</v>
      </c>
      <c r="B18" s="21" t="s">
        <v>990</v>
      </c>
      <c r="C18" s="7">
        <v>0.2</v>
      </c>
      <c r="D18" s="7">
        <f t="shared" si="1"/>
        <v>0.18</v>
      </c>
      <c r="E18" s="7">
        <f t="shared" si="2"/>
        <v>0.155</v>
      </c>
      <c r="F18" s="7">
        <f t="shared" si="3"/>
        <v>3.0999999999999999E-3</v>
      </c>
      <c r="G18" s="7">
        <f t="shared" si="4"/>
        <v>0.15190000000000001</v>
      </c>
    </row>
    <row r="19" spans="1:7" x14ac:dyDescent="0.35">
      <c r="A19" s="48"/>
      <c r="B19" s="21" t="s">
        <v>991</v>
      </c>
      <c r="C19" s="7">
        <v>0.125</v>
      </c>
      <c r="D19" s="7">
        <f t="shared" si="1"/>
        <v>0.1125</v>
      </c>
      <c r="E19" s="7">
        <f t="shared" si="2"/>
        <v>8.7499999999999994E-2</v>
      </c>
      <c r="F19" s="7">
        <f t="shared" si="3"/>
        <v>1.7499999999999998E-3</v>
      </c>
      <c r="G19" s="7">
        <f t="shared" si="4"/>
        <v>8.5749999999999993E-2</v>
      </c>
    </row>
    <row r="20" spans="1:7" x14ac:dyDescent="0.35">
      <c r="A20" s="48" t="s">
        <v>998</v>
      </c>
      <c r="B20" s="21" t="s">
        <v>990</v>
      </c>
      <c r="C20" s="7">
        <v>0.17499999999999999</v>
      </c>
      <c r="D20" s="7">
        <f t="shared" si="1"/>
        <v>0.1575</v>
      </c>
      <c r="E20" s="7">
        <f t="shared" si="2"/>
        <v>0.13250000000000001</v>
      </c>
      <c r="F20" s="7">
        <f t="shared" si="3"/>
        <v>2.65E-3</v>
      </c>
      <c r="G20" s="7">
        <f t="shared" si="4"/>
        <v>0.12984999999999999</v>
      </c>
    </row>
    <row r="21" spans="1:7" x14ac:dyDescent="0.35">
      <c r="A21" s="48"/>
      <c r="B21" s="21" t="s">
        <v>991</v>
      </c>
      <c r="C21" s="7">
        <v>0.1</v>
      </c>
      <c r="D21" s="7">
        <f t="shared" si="1"/>
        <v>0.09</v>
      </c>
      <c r="E21" s="7">
        <f t="shared" si="2"/>
        <v>6.5000000000000002E-2</v>
      </c>
      <c r="F21" s="7">
        <f t="shared" si="3"/>
        <v>1.3000000000000002E-3</v>
      </c>
      <c r="G21" s="7">
        <f t="shared" si="4"/>
        <v>6.3700000000000007E-2</v>
      </c>
    </row>
    <row r="22" spans="1:7" x14ac:dyDescent="0.35">
      <c r="A22" s="5" t="s">
        <v>999</v>
      </c>
      <c r="B22" s="21" t="s">
        <v>991</v>
      </c>
      <c r="C22" s="7">
        <v>0.15</v>
      </c>
      <c r="D22" s="7">
        <f t="shared" si="1"/>
        <v>0.13500000000000001</v>
      </c>
      <c r="E22" s="7">
        <f t="shared" si="2"/>
        <v>0.11000000000000001</v>
      </c>
      <c r="F22" s="7">
        <f t="shared" si="3"/>
        <v>2.2000000000000001E-3</v>
      </c>
      <c r="G22" s="7">
        <f t="shared" si="4"/>
        <v>0.10780000000000002</v>
      </c>
    </row>
    <row r="23" spans="1:7" x14ac:dyDescent="0.35">
      <c r="A23" s="5" t="s">
        <v>1000</v>
      </c>
      <c r="B23" s="21" t="s">
        <v>991</v>
      </c>
      <c r="C23" s="7">
        <v>0.15</v>
      </c>
      <c r="D23" s="7">
        <f t="shared" si="1"/>
        <v>0.13500000000000001</v>
      </c>
      <c r="E23" s="7">
        <f t="shared" si="2"/>
        <v>0.11000000000000001</v>
      </c>
      <c r="F23" s="7">
        <f t="shared" si="3"/>
        <v>2.2000000000000001E-3</v>
      </c>
      <c r="G23" s="7">
        <f t="shared" si="4"/>
        <v>0.10780000000000002</v>
      </c>
    </row>
    <row r="24" spans="1:7" x14ac:dyDescent="0.35">
      <c r="A24" s="2" t="s">
        <v>986</v>
      </c>
      <c r="B24" s="2" t="s">
        <v>1</v>
      </c>
      <c r="C24" s="4" t="s">
        <v>2</v>
      </c>
      <c r="D24" s="4" t="s">
        <v>922</v>
      </c>
      <c r="E24" s="4" t="s">
        <v>1276</v>
      </c>
      <c r="F24" s="4" t="s">
        <v>363</v>
      </c>
      <c r="G24" s="4" t="s">
        <v>364</v>
      </c>
    </row>
    <row r="25" spans="1:7" x14ac:dyDescent="0.35">
      <c r="A25" s="48" t="s">
        <v>1001</v>
      </c>
      <c r="B25" s="21" t="s">
        <v>990</v>
      </c>
      <c r="C25" s="7">
        <v>0.27500000000000002</v>
      </c>
      <c r="D25" s="7">
        <f t="shared" si="1"/>
        <v>0.24750000000000003</v>
      </c>
      <c r="E25" s="7">
        <f t="shared" si="2"/>
        <v>0.22250000000000003</v>
      </c>
      <c r="F25" s="7">
        <f t="shared" si="3"/>
        <v>4.4500000000000008E-3</v>
      </c>
      <c r="G25" s="7">
        <f t="shared" si="4"/>
        <v>0.21805000000000002</v>
      </c>
    </row>
    <row r="26" spans="1:7" x14ac:dyDescent="0.35">
      <c r="A26" s="48"/>
      <c r="B26" s="21" t="s">
        <v>991</v>
      </c>
      <c r="C26" s="7">
        <v>0.2</v>
      </c>
      <c r="D26" s="7">
        <f t="shared" si="1"/>
        <v>0.18</v>
      </c>
      <c r="E26" s="7">
        <f t="shared" si="2"/>
        <v>0.155</v>
      </c>
      <c r="F26" s="7">
        <f t="shared" si="3"/>
        <v>3.0999999999999999E-3</v>
      </c>
      <c r="G26" s="7">
        <f t="shared" si="4"/>
        <v>0.15190000000000001</v>
      </c>
    </row>
    <row r="27" spans="1:7" x14ac:dyDescent="0.35">
      <c r="A27" s="48" t="s">
        <v>1002</v>
      </c>
      <c r="B27" s="21" t="s">
        <v>990</v>
      </c>
      <c r="C27" s="7">
        <v>0</v>
      </c>
      <c r="D27" s="7" t="s">
        <v>20</v>
      </c>
      <c r="E27" s="7" t="s">
        <v>20</v>
      </c>
      <c r="F27" s="7" t="s">
        <v>20</v>
      </c>
      <c r="G27" s="7" t="s">
        <v>20</v>
      </c>
    </row>
    <row r="28" spans="1:7" x14ac:dyDescent="0.35">
      <c r="A28" s="48"/>
      <c r="B28" s="21" t="s">
        <v>991</v>
      </c>
      <c r="C28" s="7">
        <v>0.15</v>
      </c>
      <c r="D28" s="7">
        <f t="shared" si="1"/>
        <v>0.13500000000000001</v>
      </c>
      <c r="E28" s="7">
        <f t="shared" si="2"/>
        <v>0.11000000000000001</v>
      </c>
      <c r="F28" s="7">
        <f t="shared" si="3"/>
        <v>2.2000000000000001E-3</v>
      </c>
      <c r="G28" s="7">
        <f t="shared" si="4"/>
        <v>0.10780000000000002</v>
      </c>
    </row>
    <row r="29" spans="1:7" x14ac:dyDescent="0.35">
      <c r="A29" s="48" t="s">
        <v>1003</v>
      </c>
      <c r="B29" s="21" t="s">
        <v>990</v>
      </c>
      <c r="C29" s="7">
        <v>0.22500000000000001</v>
      </c>
      <c r="D29" s="7">
        <f t="shared" si="1"/>
        <v>0.20250000000000001</v>
      </c>
      <c r="E29" s="7">
        <f t="shared" si="2"/>
        <v>0.17750000000000002</v>
      </c>
      <c r="F29" s="7">
        <f t="shared" si="3"/>
        <v>3.5500000000000006E-3</v>
      </c>
      <c r="G29" s="7">
        <f t="shared" si="4"/>
        <v>0.17395000000000002</v>
      </c>
    </row>
    <row r="30" spans="1:7" x14ac:dyDescent="0.35">
      <c r="A30" s="48"/>
      <c r="B30" s="21" t="s">
        <v>991</v>
      </c>
      <c r="C30" s="7">
        <v>0</v>
      </c>
      <c r="D30" s="7" t="s">
        <v>20</v>
      </c>
      <c r="E30" s="7" t="s">
        <v>20</v>
      </c>
      <c r="F30" s="7" t="s">
        <v>20</v>
      </c>
      <c r="G30" s="7" t="s">
        <v>20</v>
      </c>
    </row>
    <row r="31" spans="1:7" x14ac:dyDescent="0.35">
      <c r="A31" s="48" t="s">
        <v>1004</v>
      </c>
      <c r="B31" s="21" t="s">
        <v>990</v>
      </c>
      <c r="C31" s="7">
        <v>0.15</v>
      </c>
      <c r="D31" s="7">
        <f t="shared" si="1"/>
        <v>0.13500000000000001</v>
      </c>
      <c r="E31" s="7">
        <f t="shared" si="2"/>
        <v>0.11000000000000001</v>
      </c>
      <c r="F31" s="7">
        <f t="shared" si="3"/>
        <v>2.2000000000000001E-3</v>
      </c>
      <c r="G31" s="7">
        <f t="shared" si="4"/>
        <v>0.10780000000000002</v>
      </c>
    </row>
    <row r="32" spans="1:7" x14ac:dyDescent="0.35">
      <c r="A32" s="48"/>
      <c r="B32" s="21" t="s">
        <v>991</v>
      </c>
      <c r="C32" s="7">
        <v>0</v>
      </c>
      <c r="D32" s="7" t="s">
        <v>20</v>
      </c>
      <c r="E32" s="7" t="s">
        <v>20</v>
      </c>
      <c r="F32" s="7" t="s">
        <v>20</v>
      </c>
      <c r="G32" s="7" t="s">
        <v>20</v>
      </c>
    </row>
    <row r="33" spans="1:7" x14ac:dyDescent="0.35">
      <c r="A33" s="48" t="s">
        <v>1005</v>
      </c>
      <c r="B33" s="21" t="s">
        <v>990</v>
      </c>
      <c r="C33" s="7">
        <v>0.22500000000000001</v>
      </c>
      <c r="D33" s="7">
        <f t="shared" si="1"/>
        <v>0.20250000000000001</v>
      </c>
      <c r="E33" s="7">
        <f t="shared" si="2"/>
        <v>0.17750000000000002</v>
      </c>
      <c r="F33" s="7">
        <f t="shared" si="3"/>
        <v>3.5500000000000006E-3</v>
      </c>
      <c r="G33" s="7">
        <f t="shared" si="4"/>
        <v>0.17395000000000002</v>
      </c>
    </row>
    <row r="34" spans="1:7" x14ac:dyDescent="0.35">
      <c r="A34" s="48"/>
      <c r="B34" s="21" t="s">
        <v>991</v>
      </c>
      <c r="C34" s="7">
        <v>0.15</v>
      </c>
      <c r="D34" s="7">
        <f t="shared" si="1"/>
        <v>0.13500000000000001</v>
      </c>
      <c r="E34" s="7">
        <f t="shared" si="2"/>
        <v>0.11000000000000001</v>
      </c>
      <c r="F34" s="7">
        <f t="shared" si="3"/>
        <v>2.2000000000000001E-3</v>
      </c>
      <c r="G34" s="7">
        <f t="shared" si="4"/>
        <v>0.10780000000000002</v>
      </c>
    </row>
    <row r="35" spans="1:7" x14ac:dyDescent="0.35">
      <c r="A35" s="48" t="s">
        <v>1006</v>
      </c>
      <c r="B35" s="21" t="s">
        <v>990</v>
      </c>
      <c r="C35" s="7">
        <v>0.22500000000000001</v>
      </c>
      <c r="D35" s="7">
        <f t="shared" si="1"/>
        <v>0.20250000000000001</v>
      </c>
      <c r="E35" s="7">
        <f t="shared" si="2"/>
        <v>0.17750000000000002</v>
      </c>
      <c r="F35" s="7">
        <f t="shared" si="3"/>
        <v>3.5500000000000006E-3</v>
      </c>
      <c r="G35" s="7">
        <f t="shared" si="4"/>
        <v>0.17395000000000002</v>
      </c>
    </row>
    <row r="36" spans="1:7" x14ac:dyDescent="0.35">
      <c r="A36" s="48"/>
      <c r="B36" s="21" t="s">
        <v>991</v>
      </c>
      <c r="C36" s="7">
        <v>0.15</v>
      </c>
      <c r="D36" s="7">
        <f t="shared" si="1"/>
        <v>0.13500000000000001</v>
      </c>
      <c r="E36" s="7">
        <f t="shared" si="2"/>
        <v>0.11000000000000001</v>
      </c>
      <c r="F36" s="7">
        <f t="shared" si="3"/>
        <v>2.2000000000000001E-3</v>
      </c>
      <c r="G36" s="7">
        <f t="shared" si="4"/>
        <v>0.10780000000000002</v>
      </c>
    </row>
    <row r="37" spans="1:7" x14ac:dyDescent="0.35">
      <c r="A37" s="48" t="s">
        <v>1007</v>
      </c>
      <c r="B37" s="21" t="s">
        <v>990</v>
      </c>
      <c r="C37" s="7">
        <v>0.15</v>
      </c>
      <c r="D37" s="7">
        <f t="shared" si="1"/>
        <v>0.13500000000000001</v>
      </c>
      <c r="E37" s="7">
        <f t="shared" si="2"/>
        <v>0.11000000000000001</v>
      </c>
      <c r="F37" s="7">
        <f t="shared" si="3"/>
        <v>2.2000000000000001E-3</v>
      </c>
      <c r="G37" s="7">
        <f t="shared" si="4"/>
        <v>0.10780000000000002</v>
      </c>
    </row>
    <row r="38" spans="1:7" x14ac:dyDescent="0.35">
      <c r="A38" s="48"/>
      <c r="B38" s="21" t="s">
        <v>991</v>
      </c>
      <c r="C38" s="7">
        <v>0.15</v>
      </c>
      <c r="D38" s="7">
        <f t="shared" si="1"/>
        <v>0.13500000000000001</v>
      </c>
      <c r="E38" s="7">
        <f t="shared" si="2"/>
        <v>0.11000000000000001</v>
      </c>
      <c r="F38" s="7">
        <f t="shared" si="3"/>
        <v>2.2000000000000001E-3</v>
      </c>
      <c r="G38" s="7">
        <f t="shared" si="4"/>
        <v>0.10780000000000002</v>
      </c>
    </row>
    <row r="39" spans="1:7" x14ac:dyDescent="0.35">
      <c r="A39" s="48" t="s">
        <v>1008</v>
      </c>
      <c r="B39" s="21" t="s">
        <v>990</v>
      </c>
      <c r="C39" s="7">
        <v>0.15</v>
      </c>
      <c r="D39" s="7">
        <f t="shared" si="1"/>
        <v>0.13500000000000001</v>
      </c>
      <c r="E39" s="7">
        <f t="shared" si="2"/>
        <v>0.11000000000000001</v>
      </c>
      <c r="F39" s="7">
        <f t="shared" si="3"/>
        <v>2.2000000000000001E-3</v>
      </c>
      <c r="G39" s="7">
        <f t="shared" si="4"/>
        <v>0.10780000000000002</v>
      </c>
    </row>
    <row r="40" spans="1:7" x14ac:dyDescent="0.35">
      <c r="A40" s="48"/>
      <c r="B40" s="21" t="s">
        <v>991</v>
      </c>
      <c r="C40" s="7">
        <v>0.1</v>
      </c>
      <c r="D40" s="7">
        <f t="shared" si="1"/>
        <v>0.09</v>
      </c>
      <c r="E40" s="7">
        <f t="shared" si="2"/>
        <v>6.5000000000000002E-2</v>
      </c>
      <c r="F40" s="7">
        <f t="shared" si="3"/>
        <v>1.3000000000000002E-3</v>
      </c>
      <c r="G40" s="7">
        <f t="shared" si="4"/>
        <v>6.3700000000000007E-2</v>
      </c>
    </row>
    <row r="41" spans="1:7" x14ac:dyDescent="0.35">
      <c r="A41" s="5" t="s">
        <v>1009</v>
      </c>
      <c r="B41" s="21" t="s">
        <v>991</v>
      </c>
      <c r="C41" s="7">
        <v>0.15</v>
      </c>
      <c r="D41" s="7">
        <f t="shared" si="1"/>
        <v>0.13500000000000001</v>
      </c>
      <c r="E41" s="7">
        <f t="shared" si="2"/>
        <v>0.11000000000000001</v>
      </c>
      <c r="F41" s="7">
        <f t="shared" si="3"/>
        <v>2.2000000000000001E-3</v>
      </c>
      <c r="G41" s="7">
        <f t="shared" si="4"/>
        <v>0.10780000000000002</v>
      </c>
    </row>
    <row r="42" spans="1:7" x14ac:dyDescent="0.35">
      <c r="A42" s="5" t="s">
        <v>1010</v>
      </c>
      <c r="B42" s="21" t="s">
        <v>991</v>
      </c>
      <c r="C42" s="7">
        <v>0.15</v>
      </c>
      <c r="D42" s="7">
        <f t="shared" si="1"/>
        <v>0.13500000000000001</v>
      </c>
      <c r="E42" s="7">
        <f t="shared" si="2"/>
        <v>0.11000000000000001</v>
      </c>
      <c r="F42" s="7">
        <f t="shared" si="3"/>
        <v>2.2000000000000001E-3</v>
      </c>
      <c r="G42" s="7">
        <f t="shared" si="4"/>
        <v>0.10780000000000002</v>
      </c>
    </row>
    <row r="43" spans="1:7" x14ac:dyDescent="0.35">
      <c r="A43" s="2" t="s">
        <v>1011</v>
      </c>
      <c r="B43" s="2" t="s">
        <v>1</v>
      </c>
      <c r="C43" s="4" t="s">
        <v>2</v>
      </c>
      <c r="D43" s="4" t="s">
        <v>922</v>
      </c>
      <c r="E43" s="4" t="s">
        <v>1276</v>
      </c>
      <c r="F43" s="4" t="s">
        <v>363</v>
      </c>
      <c r="G43" s="4" t="s">
        <v>364</v>
      </c>
    </row>
    <row r="44" spans="1:7" x14ac:dyDescent="0.35">
      <c r="A44" s="48" t="s">
        <v>1012</v>
      </c>
      <c r="B44" s="21" t="s">
        <v>990</v>
      </c>
      <c r="C44" s="7">
        <v>0.5</v>
      </c>
      <c r="D44" s="7">
        <f t="shared" si="1"/>
        <v>0.45</v>
      </c>
      <c r="E44" s="7">
        <f t="shared" si="2"/>
        <v>0.42499999999999999</v>
      </c>
      <c r="F44" s="7">
        <f t="shared" si="3"/>
        <v>8.5000000000000006E-3</v>
      </c>
      <c r="G44" s="7">
        <f t="shared" si="4"/>
        <v>0.41649999999999998</v>
      </c>
    </row>
    <row r="45" spans="1:7" x14ac:dyDescent="0.35">
      <c r="A45" s="48"/>
      <c r="B45" s="21" t="s">
        <v>991</v>
      </c>
      <c r="C45" s="7">
        <v>0.5</v>
      </c>
      <c r="D45" s="7">
        <f t="shared" si="1"/>
        <v>0.45</v>
      </c>
      <c r="E45" s="7">
        <f t="shared" si="2"/>
        <v>0.42499999999999999</v>
      </c>
      <c r="F45" s="7">
        <f t="shared" si="3"/>
        <v>8.5000000000000006E-3</v>
      </c>
      <c r="G45" s="7">
        <f t="shared" si="4"/>
        <v>0.41649999999999998</v>
      </c>
    </row>
    <row r="46" spans="1:7" x14ac:dyDescent="0.35">
      <c r="A46" s="48" t="s">
        <v>1013</v>
      </c>
      <c r="B46" s="21" t="s">
        <v>990</v>
      </c>
      <c r="C46" s="7">
        <v>0.45</v>
      </c>
      <c r="D46" s="7">
        <f t="shared" si="1"/>
        <v>0.40500000000000003</v>
      </c>
      <c r="E46" s="7">
        <f t="shared" si="2"/>
        <v>0.38</v>
      </c>
      <c r="F46" s="7">
        <f t="shared" si="3"/>
        <v>7.6E-3</v>
      </c>
      <c r="G46" s="7">
        <f t="shared" si="4"/>
        <v>0.37240000000000001</v>
      </c>
    </row>
    <row r="47" spans="1:7" x14ac:dyDescent="0.35">
      <c r="A47" s="48"/>
      <c r="B47" s="21" t="s">
        <v>991</v>
      </c>
      <c r="C47" s="7">
        <v>0.45</v>
      </c>
      <c r="D47" s="7">
        <f t="shared" si="1"/>
        <v>0.40500000000000003</v>
      </c>
      <c r="E47" s="7">
        <f t="shared" si="2"/>
        <v>0.38</v>
      </c>
      <c r="F47" s="7">
        <f t="shared" si="3"/>
        <v>7.6E-3</v>
      </c>
      <c r="G47" s="7">
        <f t="shared" si="4"/>
        <v>0.37240000000000001</v>
      </c>
    </row>
    <row r="48" spans="1:7" x14ac:dyDescent="0.35">
      <c r="A48" s="5" t="s">
        <v>1014</v>
      </c>
      <c r="B48" s="21" t="s">
        <v>100</v>
      </c>
      <c r="C48" s="7">
        <v>0.5</v>
      </c>
      <c r="D48" s="7">
        <f t="shared" si="1"/>
        <v>0.45</v>
      </c>
      <c r="E48" s="7">
        <f t="shared" si="2"/>
        <v>0.42499999999999999</v>
      </c>
      <c r="F48" s="7">
        <f t="shared" si="3"/>
        <v>8.5000000000000006E-3</v>
      </c>
      <c r="G48" s="7">
        <f t="shared" si="4"/>
        <v>0.41649999999999998</v>
      </c>
    </row>
    <row r="49" spans="1:7" x14ac:dyDescent="0.35">
      <c r="A49" s="5" t="s">
        <v>1015</v>
      </c>
      <c r="B49" s="21" t="s">
        <v>100</v>
      </c>
      <c r="C49" s="7">
        <v>0.45</v>
      </c>
      <c r="D49" s="7">
        <f t="shared" si="1"/>
        <v>0.40500000000000003</v>
      </c>
      <c r="E49" s="7">
        <f t="shared" si="2"/>
        <v>0.38</v>
      </c>
      <c r="F49" s="7">
        <f t="shared" si="3"/>
        <v>7.6E-3</v>
      </c>
      <c r="G49" s="7">
        <f t="shared" si="4"/>
        <v>0.37240000000000001</v>
      </c>
    </row>
    <row r="50" spans="1:7" x14ac:dyDescent="0.35">
      <c r="A50" s="48" t="s">
        <v>1016</v>
      </c>
      <c r="B50" s="21" t="s">
        <v>990</v>
      </c>
      <c r="C50" s="7">
        <v>0.55000000000000004</v>
      </c>
      <c r="D50" s="7">
        <f t="shared" si="1"/>
        <v>0.49500000000000005</v>
      </c>
      <c r="E50" s="7">
        <f t="shared" si="2"/>
        <v>0.47000000000000003</v>
      </c>
      <c r="F50" s="7">
        <f t="shared" si="3"/>
        <v>9.4000000000000004E-3</v>
      </c>
      <c r="G50" s="7">
        <f t="shared" si="4"/>
        <v>0.46060000000000001</v>
      </c>
    </row>
    <row r="51" spans="1:7" x14ac:dyDescent="0.35">
      <c r="A51" s="48"/>
      <c r="B51" s="21" t="s">
        <v>991</v>
      </c>
      <c r="C51" s="7">
        <v>0.55000000000000004</v>
      </c>
      <c r="D51" s="7">
        <f t="shared" si="1"/>
        <v>0.49500000000000005</v>
      </c>
      <c r="E51" s="7">
        <f t="shared" si="2"/>
        <v>0.47000000000000003</v>
      </c>
      <c r="F51" s="7">
        <f t="shared" si="3"/>
        <v>9.4000000000000004E-3</v>
      </c>
      <c r="G51" s="7">
        <f t="shared" si="4"/>
        <v>0.46060000000000001</v>
      </c>
    </row>
    <row r="52" spans="1:7" x14ac:dyDescent="0.35">
      <c r="A52" s="48" t="s">
        <v>1017</v>
      </c>
      <c r="B52" s="21" t="s">
        <v>990</v>
      </c>
      <c r="C52" s="7">
        <v>0.45</v>
      </c>
      <c r="D52" s="7">
        <f t="shared" si="1"/>
        <v>0.40500000000000003</v>
      </c>
      <c r="E52" s="7">
        <f t="shared" si="2"/>
        <v>0.38</v>
      </c>
      <c r="F52" s="7">
        <f t="shared" si="3"/>
        <v>7.6E-3</v>
      </c>
      <c r="G52" s="7">
        <f t="shared" si="4"/>
        <v>0.37240000000000001</v>
      </c>
    </row>
    <row r="53" spans="1:7" x14ac:dyDescent="0.35">
      <c r="A53" s="48"/>
      <c r="B53" s="21" t="s">
        <v>991</v>
      </c>
      <c r="C53" s="7">
        <v>0.45</v>
      </c>
      <c r="D53" s="7">
        <f t="shared" si="1"/>
        <v>0.40500000000000003</v>
      </c>
      <c r="E53" s="7">
        <f t="shared" si="2"/>
        <v>0.38</v>
      </c>
      <c r="F53" s="7">
        <f t="shared" si="3"/>
        <v>7.6E-3</v>
      </c>
      <c r="G53" s="7">
        <f t="shared" si="4"/>
        <v>0.37240000000000001</v>
      </c>
    </row>
    <row r="54" spans="1:7" x14ac:dyDescent="0.35">
      <c r="A54" s="48" t="s">
        <v>1018</v>
      </c>
      <c r="B54" s="21" t="s">
        <v>990</v>
      </c>
      <c r="C54" s="7">
        <v>0.45</v>
      </c>
      <c r="D54" s="7">
        <f t="shared" si="1"/>
        <v>0.40500000000000003</v>
      </c>
      <c r="E54" s="7">
        <f t="shared" si="2"/>
        <v>0.38</v>
      </c>
      <c r="F54" s="7">
        <f t="shared" si="3"/>
        <v>7.6E-3</v>
      </c>
      <c r="G54" s="7">
        <f t="shared" si="4"/>
        <v>0.37240000000000001</v>
      </c>
    </row>
    <row r="55" spans="1:7" x14ac:dyDescent="0.35">
      <c r="A55" s="48"/>
      <c r="B55" s="21" t="s">
        <v>991</v>
      </c>
      <c r="C55" s="7">
        <v>0.45</v>
      </c>
      <c r="D55" s="7">
        <f t="shared" si="1"/>
        <v>0.40500000000000003</v>
      </c>
      <c r="E55" s="7">
        <f t="shared" si="2"/>
        <v>0.38</v>
      </c>
      <c r="F55" s="7">
        <f t="shared" si="3"/>
        <v>7.6E-3</v>
      </c>
      <c r="G55" s="7">
        <f t="shared" si="4"/>
        <v>0.37240000000000001</v>
      </c>
    </row>
    <row r="56" spans="1:7" x14ac:dyDescent="0.35">
      <c r="A56" s="48" t="s">
        <v>1019</v>
      </c>
      <c r="B56" s="21" t="s">
        <v>990</v>
      </c>
      <c r="C56" s="7">
        <v>0.25</v>
      </c>
      <c r="D56" s="7">
        <f t="shared" si="1"/>
        <v>0.22500000000000001</v>
      </c>
      <c r="E56" s="7">
        <f t="shared" si="2"/>
        <v>0.2</v>
      </c>
      <c r="F56" s="7">
        <f t="shared" si="3"/>
        <v>4.0000000000000001E-3</v>
      </c>
      <c r="G56" s="7">
        <f t="shared" si="4"/>
        <v>0.19600000000000001</v>
      </c>
    </row>
    <row r="57" spans="1:7" x14ac:dyDescent="0.35">
      <c r="A57" s="48"/>
      <c r="B57" s="21" t="s">
        <v>991</v>
      </c>
      <c r="C57" s="7">
        <v>0.25</v>
      </c>
      <c r="D57" s="7">
        <f t="shared" si="1"/>
        <v>0.22500000000000001</v>
      </c>
      <c r="E57" s="7">
        <f t="shared" si="2"/>
        <v>0.2</v>
      </c>
      <c r="F57" s="7">
        <f t="shared" si="3"/>
        <v>4.0000000000000001E-3</v>
      </c>
      <c r="G57" s="7">
        <f t="shared" si="4"/>
        <v>0.19600000000000001</v>
      </c>
    </row>
    <row r="58" spans="1:7" x14ac:dyDescent="0.35">
      <c r="A58" s="5" t="s">
        <v>1020</v>
      </c>
      <c r="B58" s="21" t="s">
        <v>100</v>
      </c>
      <c r="C58" s="7">
        <v>0.4</v>
      </c>
      <c r="D58" s="7">
        <f t="shared" si="1"/>
        <v>0.36</v>
      </c>
      <c r="E58" s="7">
        <f t="shared" si="2"/>
        <v>0.33499999999999996</v>
      </c>
      <c r="F58" s="7">
        <f t="shared" si="3"/>
        <v>6.6999999999999994E-3</v>
      </c>
      <c r="G58" s="7">
        <f t="shared" si="4"/>
        <v>0.32829999999999998</v>
      </c>
    </row>
    <row r="59" spans="1:7" x14ac:dyDescent="0.35">
      <c r="A59" s="5" t="s">
        <v>1021</v>
      </c>
      <c r="B59" s="21" t="s">
        <v>100</v>
      </c>
      <c r="C59" s="7">
        <v>0.4</v>
      </c>
      <c r="D59" s="7">
        <f t="shared" si="1"/>
        <v>0.36</v>
      </c>
      <c r="E59" s="7">
        <f t="shared" si="2"/>
        <v>0.33499999999999996</v>
      </c>
      <c r="F59" s="7">
        <f t="shared" si="3"/>
        <v>6.6999999999999994E-3</v>
      </c>
      <c r="G59" s="7">
        <f t="shared" si="4"/>
        <v>0.32829999999999998</v>
      </c>
    </row>
    <row r="60" spans="1:7" x14ac:dyDescent="0.35">
      <c r="A60" s="48" t="s">
        <v>1022</v>
      </c>
      <c r="B60" s="21" t="s">
        <v>990</v>
      </c>
      <c r="C60" s="7">
        <v>0.35</v>
      </c>
      <c r="D60" s="7">
        <f t="shared" si="1"/>
        <v>0.315</v>
      </c>
      <c r="E60" s="7">
        <f t="shared" si="2"/>
        <v>0.28999999999999998</v>
      </c>
      <c r="F60" s="7">
        <f t="shared" si="3"/>
        <v>5.7999999999999996E-3</v>
      </c>
      <c r="G60" s="7">
        <f t="shared" si="4"/>
        <v>0.28420000000000001</v>
      </c>
    </row>
    <row r="61" spans="1:7" x14ac:dyDescent="0.35">
      <c r="A61" s="48"/>
      <c r="B61" s="21" t="s">
        <v>991</v>
      </c>
      <c r="C61" s="7">
        <v>0.25</v>
      </c>
      <c r="D61" s="7">
        <f t="shared" si="1"/>
        <v>0.22500000000000001</v>
      </c>
      <c r="E61" s="7">
        <f t="shared" si="2"/>
        <v>0.2</v>
      </c>
      <c r="F61" s="7">
        <f t="shared" si="3"/>
        <v>4.0000000000000001E-3</v>
      </c>
      <c r="G61" s="7">
        <f t="shared" si="4"/>
        <v>0.19600000000000001</v>
      </c>
    </row>
    <row r="62" spans="1:7" x14ac:dyDescent="0.35">
      <c r="A62" s="48" t="s">
        <v>1023</v>
      </c>
      <c r="B62" s="21" t="s">
        <v>990</v>
      </c>
      <c r="C62" s="7">
        <v>0.25</v>
      </c>
      <c r="D62" s="7">
        <f t="shared" si="1"/>
        <v>0.22500000000000001</v>
      </c>
      <c r="E62" s="7">
        <f t="shared" si="2"/>
        <v>0.2</v>
      </c>
      <c r="F62" s="7">
        <f t="shared" si="3"/>
        <v>4.0000000000000001E-3</v>
      </c>
      <c r="G62" s="7">
        <f t="shared" si="4"/>
        <v>0.19600000000000001</v>
      </c>
    </row>
    <row r="63" spans="1:7" x14ac:dyDescent="0.35">
      <c r="A63" s="48"/>
      <c r="B63" s="21" t="s">
        <v>991</v>
      </c>
      <c r="C63" s="7">
        <v>0.25</v>
      </c>
      <c r="D63" s="7">
        <f t="shared" si="1"/>
        <v>0.22500000000000001</v>
      </c>
      <c r="E63" s="7">
        <f t="shared" si="2"/>
        <v>0.2</v>
      </c>
      <c r="F63" s="7">
        <f t="shared" si="3"/>
        <v>4.0000000000000001E-3</v>
      </c>
      <c r="G63" s="7">
        <f t="shared" si="4"/>
        <v>0.19600000000000001</v>
      </c>
    </row>
    <row r="64" spans="1:7" x14ac:dyDescent="0.35">
      <c r="A64" s="48" t="s">
        <v>1024</v>
      </c>
      <c r="B64" s="21" t="s">
        <v>990</v>
      </c>
      <c r="C64" s="7">
        <v>0.2</v>
      </c>
      <c r="D64" s="7">
        <f t="shared" si="1"/>
        <v>0.18</v>
      </c>
      <c r="E64" s="7">
        <f t="shared" si="2"/>
        <v>0.155</v>
      </c>
      <c r="F64" s="7">
        <f t="shared" si="3"/>
        <v>3.0999999999999999E-3</v>
      </c>
      <c r="G64" s="7">
        <f t="shared" si="4"/>
        <v>0.15190000000000001</v>
      </c>
    </row>
    <row r="65" spans="1:7" x14ac:dyDescent="0.35">
      <c r="A65" s="48"/>
      <c r="B65" s="21" t="s">
        <v>991</v>
      </c>
      <c r="C65" s="7">
        <v>0.15</v>
      </c>
      <c r="D65" s="7">
        <f t="shared" si="1"/>
        <v>0.13500000000000001</v>
      </c>
      <c r="E65" s="7">
        <f t="shared" si="2"/>
        <v>0.11000000000000001</v>
      </c>
      <c r="F65" s="7">
        <f t="shared" si="3"/>
        <v>2.2000000000000001E-3</v>
      </c>
      <c r="G65" s="7">
        <f t="shared" si="4"/>
        <v>0.10780000000000002</v>
      </c>
    </row>
    <row r="66" spans="1:7" x14ac:dyDescent="0.35">
      <c r="A66" s="48" t="s">
        <v>1025</v>
      </c>
      <c r="B66" s="21" t="s">
        <v>990</v>
      </c>
      <c r="C66" s="7">
        <v>0.15</v>
      </c>
      <c r="D66" s="7">
        <f t="shared" si="1"/>
        <v>0.13500000000000001</v>
      </c>
      <c r="E66" s="7">
        <f t="shared" si="2"/>
        <v>0.11000000000000001</v>
      </c>
      <c r="F66" s="7">
        <f t="shared" si="3"/>
        <v>2.2000000000000001E-3</v>
      </c>
      <c r="G66" s="7">
        <f t="shared" si="4"/>
        <v>0.10780000000000002</v>
      </c>
    </row>
    <row r="67" spans="1:7" x14ac:dyDescent="0.35">
      <c r="A67" s="48"/>
      <c r="B67" s="21" t="s">
        <v>991</v>
      </c>
      <c r="C67" s="7">
        <v>0.05</v>
      </c>
      <c r="D67" s="7">
        <f t="shared" si="1"/>
        <v>4.4999999999999998E-2</v>
      </c>
      <c r="E67" s="7">
        <f t="shared" si="2"/>
        <v>1.9999999999999997E-2</v>
      </c>
      <c r="F67" s="7">
        <f t="shared" si="3"/>
        <v>3.9999999999999996E-4</v>
      </c>
      <c r="G67" s="7">
        <f t="shared" si="4"/>
        <v>1.9599999999999996E-2</v>
      </c>
    </row>
    <row r="68" spans="1:7" x14ac:dyDescent="0.35">
      <c r="A68" s="5" t="s">
        <v>1026</v>
      </c>
      <c r="B68" s="21" t="s">
        <v>100</v>
      </c>
      <c r="C68" s="7">
        <v>0.2</v>
      </c>
      <c r="D68" s="7">
        <f t="shared" si="1"/>
        <v>0.18</v>
      </c>
      <c r="E68" s="7">
        <f t="shared" si="2"/>
        <v>0.155</v>
      </c>
      <c r="F68" s="7">
        <f t="shared" si="3"/>
        <v>3.0999999999999999E-3</v>
      </c>
      <c r="G68" s="7">
        <f t="shared" si="4"/>
        <v>0.15190000000000001</v>
      </c>
    </row>
    <row r="69" spans="1:7" x14ac:dyDescent="0.35">
      <c r="A69" s="5" t="s">
        <v>1027</v>
      </c>
      <c r="B69" s="21" t="s">
        <v>100</v>
      </c>
      <c r="C69" s="7">
        <v>0.2</v>
      </c>
      <c r="D69" s="7">
        <f t="shared" si="1"/>
        <v>0.18</v>
      </c>
      <c r="E69" s="7">
        <f t="shared" si="2"/>
        <v>0.155</v>
      </c>
      <c r="F69" s="7">
        <f t="shared" si="3"/>
        <v>3.0999999999999999E-3</v>
      </c>
      <c r="G69" s="7">
        <f t="shared" si="4"/>
        <v>0.15190000000000001</v>
      </c>
    </row>
    <row r="70" spans="1:7" x14ac:dyDescent="0.35">
      <c r="A70" s="48" t="s">
        <v>1028</v>
      </c>
      <c r="B70" s="21" t="s">
        <v>990</v>
      </c>
      <c r="C70" s="7">
        <v>0.2</v>
      </c>
      <c r="D70" s="7">
        <f t="shared" si="1"/>
        <v>0.18</v>
      </c>
      <c r="E70" s="7">
        <f t="shared" si="2"/>
        <v>0.155</v>
      </c>
      <c r="F70" s="7">
        <f t="shared" si="3"/>
        <v>3.0999999999999999E-3</v>
      </c>
      <c r="G70" s="7">
        <f t="shared" si="4"/>
        <v>0.15190000000000001</v>
      </c>
    </row>
    <row r="71" spans="1:7" x14ac:dyDescent="0.35">
      <c r="A71" s="48"/>
      <c r="B71" s="21" t="s">
        <v>991</v>
      </c>
      <c r="C71" s="7">
        <v>0.15</v>
      </c>
      <c r="D71" s="7">
        <f t="shared" ref="D71:D134" si="5">(C71-(C71*10%))</f>
        <v>0.13500000000000001</v>
      </c>
      <c r="E71" s="7">
        <f t="shared" ref="E71:E134" si="6">D71-(2.5%)</f>
        <v>0.11000000000000001</v>
      </c>
      <c r="F71" s="7">
        <f t="shared" ref="F71:F134" si="7">E71*(2%)</f>
        <v>2.2000000000000001E-3</v>
      </c>
      <c r="G71" s="7">
        <f t="shared" ref="G71:G134" si="8">E71-F71</f>
        <v>0.10780000000000002</v>
      </c>
    </row>
    <row r="72" spans="1:7" x14ac:dyDescent="0.35">
      <c r="A72" s="48" t="s">
        <v>1029</v>
      </c>
      <c r="B72" s="21" t="s">
        <v>990</v>
      </c>
      <c r="C72" s="7">
        <v>0.2</v>
      </c>
      <c r="D72" s="7">
        <f t="shared" si="5"/>
        <v>0.18</v>
      </c>
      <c r="E72" s="7">
        <f t="shared" si="6"/>
        <v>0.155</v>
      </c>
      <c r="F72" s="7">
        <f t="shared" si="7"/>
        <v>3.0999999999999999E-3</v>
      </c>
      <c r="G72" s="7">
        <f t="shared" si="8"/>
        <v>0.15190000000000001</v>
      </c>
    </row>
    <row r="73" spans="1:7" x14ac:dyDescent="0.35">
      <c r="A73" s="48"/>
      <c r="B73" s="21" t="s">
        <v>991</v>
      </c>
      <c r="C73" s="7">
        <v>0.125</v>
      </c>
      <c r="D73" s="7">
        <f t="shared" si="5"/>
        <v>0.1125</v>
      </c>
      <c r="E73" s="7">
        <f t="shared" si="6"/>
        <v>8.7499999999999994E-2</v>
      </c>
      <c r="F73" s="7">
        <f t="shared" si="7"/>
        <v>1.7499999999999998E-3</v>
      </c>
      <c r="G73" s="7">
        <f t="shared" si="8"/>
        <v>8.5749999999999993E-2</v>
      </c>
    </row>
    <row r="74" spans="1:7" x14ac:dyDescent="0.35">
      <c r="A74" s="48" t="s">
        <v>1030</v>
      </c>
      <c r="B74" s="21" t="s">
        <v>990</v>
      </c>
      <c r="C74" s="7">
        <v>0.1</v>
      </c>
      <c r="D74" s="7">
        <f t="shared" si="5"/>
        <v>0.09</v>
      </c>
      <c r="E74" s="7">
        <f t="shared" si="6"/>
        <v>6.5000000000000002E-2</v>
      </c>
      <c r="F74" s="7">
        <f t="shared" si="7"/>
        <v>1.3000000000000002E-3</v>
      </c>
      <c r="G74" s="7">
        <f t="shared" si="8"/>
        <v>6.3700000000000007E-2</v>
      </c>
    </row>
    <row r="75" spans="1:7" x14ac:dyDescent="0.35">
      <c r="A75" s="48"/>
      <c r="B75" s="21" t="s">
        <v>991</v>
      </c>
      <c r="C75" s="7">
        <v>0.1</v>
      </c>
      <c r="D75" s="7">
        <f t="shared" si="5"/>
        <v>0.09</v>
      </c>
      <c r="E75" s="7">
        <f t="shared" si="6"/>
        <v>6.5000000000000002E-2</v>
      </c>
      <c r="F75" s="7">
        <f t="shared" si="7"/>
        <v>1.3000000000000002E-3</v>
      </c>
      <c r="G75" s="7">
        <f t="shared" si="8"/>
        <v>6.3700000000000007E-2</v>
      </c>
    </row>
    <row r="76" spans="1:7" x14ac:dyDescent="0.35">
      <c r="A76" s="48" t="s">
        <v>1031</v>
      </c>
      <c r="B76" s="21" t="s">
        <v>990</v>
      </c>
      <c r="C76" s="7">
        <v>0.1</v>
      </c>
      <c r="D76" s="7">
        <f t="shared" si="5"/>
        <v>0.09</v>
      </c>
      <c r="E76" s="7">
        <f t="shared" si="6"/>
        <v>6.5000000000000002E-2</v>
      </c>
      <c r="F76" s="7">
        <f t="shared" si="7"/>
        <v>1.3000000000000002E-3</v>
      </c>
      <c r="G76" s="7">
        <f t="shared" si="8"/>
        <v>6.3700000000000007E-2</v>
      </c>
    </row>
    <row r="77" spans="1:7" x14ac:dyDescent="0.35">
      <c r="A77" s="48"/>
      <c r="B77" s="21" t="s">
        <v>991</v>
      </c>
      <c r="C77" s="7">
        <v>7.4999999999999997E-2</v>
      </c>
      <c r="D77" s="7">
        <f t="shared" si="5"/>
        <v>6.7500000000000004E-2</v>
      </c>
      <c r="E77" s="7">
        <f t="shared" si="6"/>
        <v>4.2500000000000003E-2</v>
      </c>
      <c r="F77" s="7">
        <f t="shared" si="7"/>
        <v>8.5000000000000006E-4</v>
      </c>
      <c r="G77" s="7">
        <f t="shared" si="8"/>
        <v>4.1650000000000006E-2</v>
      </c>
    </row>
    <row r="78" spans="1:7" x14ac:dyDescent="0.35">
      <c r="A78" s="5" t="s">
        <v>1032</v>
      </c>
      <c r="B78" s="21" t="s">
        <v>100</v>
      </c>
      <c r="C78" s="7">
        <v>7.4999999999999997E-2</v>
      </c>
      <c r="D78" s="7">
        <f t="shared" si="5"/>
        <v>6.7500000000000004E-2</v>
      </c>
      <c r="E78" s="7">
        <f t="shared" si="6"/>
        <v>4.2500000000000003E-2</v>
      </c>
      <c r="F78" s="7">
        <f t="shared" si="7"/>
        <v>8.5000000000000006E-4</v>
      </c>
      <c r="G78" s="7">
        <f t="shared" si="8"/>
        <v>4.1650000000000006E-2</v>
      </c>
    </row>
    <row r="79" spans="1:7" x14ac:dyDescent="0.35">
      <c r="A79" s="5" t="s">
        <v>1033</v>
      </c>
      <c r="B79" s="21" t="s">
        <v>100</v>
      </c>
      <c r="C79" s="7">
        <v>7.4999999999999997E-2</v>
      </c>
      <c r="D79" s="7">
        <f t="shared" si="5"/>
        <v>6.7500000000000004E-2</v>
      </c>
      <c r="E79" s="7">
        <f t="shared" si="6"/>
        <v>4.2500000000000003E-2</v>
      </c>
      <c r="F79" s="7">
        <f t="shared" si="7"/>
        <v>8.5000000000000006E-4</v>
      </c>
      <c r="G79" s="7">
        <f t="shared" si="8"/>
        <v>4.1650000000000006E-2</v>
      </c>
    </row>
    <row r="80" spans="1:7" x14ac:dyDescent="0.35">
      <c r="A80" s="48" t="s">
        <v>1034</v>
      </c>
      <c r="B80" s="21" t="s">
        <v>990</v>
      </c>
      <c r="C80" s="7">
        <v>0.2</v>
      </c>
      <c r="D80" s="7">
        <f t="shared" si="5"/>
        <v>0.18</v>
      </c>
      <c r="E80" s="7">
        <f t="shared" si="6"/>
        <v>0.155</v>
      </c>
      <c r="F80" s="7">
        <f t="shared" si="7"/>
        <v>3.0999999999999999E-3</v>
      </c>
      <c r="G80" s="7">
        <f t="shared" si="8"/>
        <v>0.15190000000000001</v>
      </c>
    </row>
    <row r="81" spans="1:7" x14ac:dyDescent="0.35">
      <c r="A81" s="48"/>
      <c r="B81" s="21" t="s">
        <v>991</v>
      </c>
      <c r="C81" s="7">
        <v>0.1</v>
      </c>
      <c r="D81" s="7">
        <f t="shared" si="5"/>
        <v>0.09</v>
      </c>
      <c r="E81" s="7">
        <f t="shared" si="6"/>
        <v>6.5000000000000002E-2</v>
      </c>
      <c r="F81" s="7">
        <f t="shared" si="7"/>
        <v>1.3000000000000002E-3</v>
      </c>
      <c r="G81" s="7">
        <f t="shared" si="8"/>
        <v>6.3700000000000007E-2</v>
      </c>
    </row>
    <row r="82" spans="1:7" x14ac:dyDescent="0.35">
      <c r="A82" s="48" t="s">
        <v>1035</v>
      </c>
      <c r="B82" s="21" t="s">
        <v>990</v>
      </c>
      <c r="C82" s="7">
        <v>0.1</v>
      </c>
      <c r="D82" s="7">
        <f t="shared" si="5"/>
        <v>0.09</v>
      </c>
      <c r="E82" s="7">
        <f t="shared" si="6"/>
        <v>6.5000000000000002E-2</v>
      </c>
      <c r="F82" s="7">
        <f t="shared" si="7"/>
        <v>1.3000000000000002E-3</v>
      </c>
      <c r="G82" s="7">
        <f t="shared" si="8"/>
        <v>6.3700000000000007E-2</v>
      </c>
    </row>
    <row r="83" spans="1:7" x14ac:dyDescent="0.35">
      <c r="A83" s="48"/>
      <c r="B83" s="21" t="s">
        <v>991</v>
      </c>
      <c r="C83" s="7">
        <v>7.4999999999999997E-2</v>
      </c>
      <c r="D83" s="7">
        <f t="shared" si="5"/>
        <v>6.7500000000000004E-2</v>
      </c>
      <c r="E83" s="7">
        <f t="shared" si="6"/>
        <v>4.2500000000000003E-2</v>
      </c>
      <c r="F83" s="7">
        <f t="shared" si="7"/>
        <v>8.5000000000000006E-4</v>
      </c>
      <c r="G83" s="7">
        <f t="shared" si="8"/>
        <v>4.1650000000000006E-2</v>
      </c>
    </row>
    <row r="84" spans="1:7" x14ac:dyDescent="0.35">
      <c r="A84" s="48" t="s">
        <v>1036</v>
      </c>
      <c r="B84" s="21" t="s">
        <v>990</v>
      </c>
      <c r="C84" s="7">
        <v>0.1</v>
      </c>
      <c r="D84" s="7">
        <f t="shared" si="5"/>
        <v>0.09</v>
      </c>
      <c r="E84" s="7">
        <f t="shared" si="6"/>
        <v>6.5000000000000002E-2</v>
      </c>
      <c r="F84" s="7">
        <f t="shared" si="7"/>
        <v>1.3000000000000002E-3</v>
      </c>
      <c r="G84" s="7">
        <f t="shared" si="8"/>
        <v>6.3700000000000007E-2</v>
      </c>
    </row>
    <row r="85" spans="1:7" x14ac:dyDescent="0.35">
      <c r="A85" s="48"/>
      <c r="B85" s="21" t="s">
        <v>991</v>
      </c>
      <c r="C85" s="7">
        <v>0.05</v>
      </c>
      <c r="D85" s="7">
        <f t="shared" si="5"/>
        <v>4.4999999999999998E-2</v>
      </c>
      <c r="E85" s="7">
        <f t="shared" si="6"/>
        <v>1.9999999999999997E-2</v>
      </c>
      <c r="F85" s="7">
        <f t="shared" si="7"/>
        <v>3.9999999999999996E-4</v>
      </c>
      <c r="G85" s="7">
        <f t="shared" si="8"/>
        <v>1.9599999999999996E-2</v>
      </c>
    </row>
    <row r="86" spans="1:7" x14ac:dyDescent="0.35">
      <c r="A86" s="5" t="s">
        <v>1037</v>
      </c>
      <c r="B86" s="21" t="s">
        <v>100</v>
      </c>
      <c r="C86" s="7">
        <v>7.4999999999999997E-2</v>
      </c>
      <c r="D86" s="7">
        <f t="shared" si="5"/>
        <v>6.7500000000000004E-2</v>
      </c>
      <c r="E86" s="7">
        <f t="shared" si="6"/>
        <v>4.2500000000000003E-2</v>
      </c>
      <c r="F86" s="7">
        <f t="shared" si="7"/>
        <v>8.5000000000000006E-4</v>
      </c>
      <c r="G86" s="7">
        <f t="shared" si="8"/>
        <v>4.1650000000000006E-2</v>
      </c>
    </row>
    <row r="87" spans="1:7" x14ac:dyDescent="0.35">
      <c r="A87" s="5" t="s">
        <v>1038</v>
      </c>
      <c r="B87" s="21" t="s">
        <v>100</v>
      </c>
      <c r="C87" s="7">
        <v>7.4999999999999997E-2</v>
      </c>
      <c r="D87" s="7">
        <f t="shared" si="5"/>
        <v>6.7500000000000004E-2</v>
      </c>
      <c r="E87" s="7">
        <f t="shared" si="6"/>
        <v>4.2500000000000003E-2</v>
      </c>
      <c r="F87" s="7">
        <f t="shared" si="7"/>
        <v>8.5000000000000006E-4</v>
      </c>
      <c r="G87" s="7">
        <f t="shared" si="8"/>
        <v>4.1650000000000006E-2</v>
      </c>
    </row>
    <row r="88" spans="1:7" x14ac:dyDescent="0.35">
      <c r="A88" s="48" t="s">
        <v>1039</v>
      </c>
      <c r="B88" s="21" t="s">
        <v>990</v>
      </c>
      <c r="C88" s="7">
        <v>0.15</v>
      </c>
      <c r="D88" s="7">
        <f t="shared" si="5"/>
        <v>0.13500000000000001</v>
      </c>
      <c r="E88" s="7">
        <f t="shared" si="6"/>
        <v>0.11000000000000001</v>
      </c>
      <c r="F88" s="7">
        <f t="shared" si="7"/>
        <v>2.2000000000000001E-3</v>
      </c>
      <c r="G88" s="7">
        <f t="shared" si="8"/>
        <v>0.10780000000000002</v>
      </c>
    </row>
    <row r="89" spans="1:7" x14ac:dyDescent="0.35">
      <c r="A89" s="48"/>
      <c r="B89" s="21" t="s">
        <v>991</v>
      </c>
      <c r="C89" s="7">
        <v>0.1</v>
      </c>
      <c r="D89" s="7">
        <f t="shared" si="5"/>
        <v>0.09</v>
      </c>
      <c r="E89" s="7">
        <f t="shared" si="6"/>
        <v>6.5000000000000002E-2</v>
      </c>
      <c r="F89" s="7">
        <f t="shared" si="7"/>
        <v>1.3000000000000002E-3</v>
      </c>
      <c r="G89" s="7">
        <f t="shared" si="8"/>
        <v>6.3700000000000007E-2</v>
      </c>
    </row>
    <row r="90" spans="1:7" x14ac:dyDescent="0.35">
      <c r="A90" s="48" t="s">
        <v>1040</v>
      </c>
      <c r="B90" s="21" t="s">
        <v>990</v>
      </c>
      <c r="C90" s="7">
        <v>0.1</v>
      </c>
      <c r="D90" s="7">
        <f t="shared" si="5"/>
        <v>0.09</v>
      </c>
      <c r="E90" s="7">
        <f t="shared" si="6"/>
        <v>6.5000000000000002E-2</v>
      </c>
      <c r="F90" s="7">
        <f t="shared" si="7"/>
        <v>1.3000000000000002E-3</v>
      </c>
      <c r="G90" s="7">
        <f t="shared" si="8"/>
        <v>6.3700000000000007E-2</v>
      </c>
    </row>
    <row r="91" spans="1:7" x14ac:dyDescent="0.35">
      <c r="A91" s="48"/>
      <c r="B91" s="21" t="s">
        <v>991</v>
      </c>
      <c r="C91" s="7">
        <v>0.1</v>
      </c>
      <c r="D91" s="7">
        <f t="shared" si="5"/>
        <v>0.09</v>
      </c>
      <c r="E91" s="7">
        <f t="shared" si="6"/>
        <v>6.5000000000000002E-2</v>
      </c>
      <c r="F91" s="7">
        <f t="shared" si="7"/>
        <v>1.3000000000000002E-3</v>
      </c>
      <c r="G91" s="7">
        <f t="shared" si="8"/>
        <v>6.3700000000000007E-2</v>
      </c>
    </row>
    <row r="92" spans="1:7" x14ac:dyDescent="0.35">
      <c r="A92" s="48" t="s">
        <v>1041</v>
      </c>
      <c r="B92" s="21" t="s">
        <v>990</v>
      </c>
      <c r="C92" s="7">
        <v>0.1</v>
      </c>
      <c r="D92" s="7">
        <f t="shared" si="5"/>
        <v>0.09</v>
      </c>
      <c r="E92" s="7">
        <f t="shared" si="6"/>
        <v>6.5000000000000002E-2</v>
      </c>
      <c r="F92" s="7">
        <f t="shared" si="7"/>
        <v>1.3000000000000002E-3</v>
      </c>
      <c r="G92" s="7">
        <f t="shared" si="8"/>
        <v>6.3700000000000007E-2</v>
      </c>
    </row>
    <row r="93" spans="1:7" x14ac:dyDescent="0.35">
      <c r="A93" s="48"/>
      <c r="B93" s="21" t="s">
        <v>991</v>
      </c>
      <c r="C93" s="7">
        <v>0.05</v>
      </c>
      <c r="D93" s="7">
        <f t="shared" si="5"/>
        <v>4.4999999999999998E-2</v>
      </c>
      <c r="E93" s="7">
        <f t="shared" si="6"/>
        <v>1.9999999999999997E-2</v>
      </c>
      <c r="F93" s="7">
        <f t="shared" si="7"/>
        <v>3.9999999999999996E-4</v>
      </c>
      <c r="G93" s="7">
        <f t="shared" si="8"/>
        <v>1.9599999999999996E-2</v>
      </c>
    </row>
    <row r="94" spans="1:7" x14ac:dyDescent="0.35">
      <c r="A94" s="5" t="s">
        <v>1042</v>
      </c>
      <c r="B94" s="21" t="s">
        <v>100</v>
      </c>
      <c r="C94" s="7">
        <v>7.4999999999999997E-2</v>
      </c>
      <c r="D94" s="7">
        <f t="shared" si="5"/>
        <v>6.7500000000000004E-2</v>
      </c>
      <c r="E94" s="7">
        <f t="shared" si="6"/>
        <v>4.2500000000000003E-2</v>
      </c>
      <c r="F94" s="7">
        <f t="shared" si="7"/>
        <v>8.5000000000000006E-4</v>
      </c>
      <c r="G94" s="7">
        <f t="shared" si="8"/>
        <v>4.1650000000000006E-2</v>
      </c>
    </row>
    <row r="95" spans="1:7" x14ac:dyDescent="0.35">
      <c r="A95" s="5" t="s">
        <v>1043</v>
      </c>
      <c r="B95" s="21" t="s">
        <v>100</v>
      </c>
      <c r="C95" s="7">
        <v>7.4999999999999997E-2</v>
      </c>
      <c r="D95" s="7">
        <f t="shared" si="5"/>
        <v>6.7500000000000004E-2</v>
      </c>
      <c r="E95" s="7">
        <f t="shared" si="6"/>
        <v>4.2500000000000003E-2</v>
      </c>
      <c r="F95" s="7">
        <f t="shared" si="7"/>
        <v>8.5000000000000006E-4</v>
      </c>
      <c r="G95" s="7">
        <f t="shared" si="8"/>
        <v>4.1650000000000006E-2</v>
      </c>
    </row>
    <row r="96" spans="1:7" x14ac:dyDescent="0.35">
      <c r="A96" s="48" t="s">
        <v>1044</v>
      </c>
      <c r="B96" s="21" t="s">
        <v>990</v>
      </c>
      <c r="C96" s="7">
        <v>0.05</v>
      </c>
      <c r="D96" s="7">
        <f t="shared" si="5"/>
        <v>4.4999999999999998E-2</v>
      </c>
      <c r="E96" s="7">
        <f t="shared" si="6"/>
        <v>1.9999999999999997E-2</v>
      </c>
      <c r="F96" s="7">
        <f t="shared" si="7"/>
        <v>3.9999999999999996E-4</v>
      </c>
      <c r="G96" s="7">
        <f t="shared" si="8"/>
        <v>1.9599999999999996E-2</v>
      </c>
    </row>
    <row r="97" spans="1:7" x14ac:dyDescent="0.35">
      <c r="A97" s="48"/>
      <c r="B97" s="21" t="s">
        <v>991</v>
      </c>
      <c r="C97" s="7">
        <v>7.4999999999999997E-2</v>
      </c>
      <c r="D97" s="7">
        <f t="shared" si="5"/>
        <v>6.7500000000000004E-2</v>
      </c>
      <c r="E97" s="7">
        <f t="shared" si="6"/>
        <v>4.2500000000000003E-2</v>
      </c>
      <c r="F97" s="7">
        <f t="shared" si="7"/>
        <v>8.5000000000000006E-4</v>
      </c>
      <c r="G97" s="7">
        <f t="shared" si="8"/>
        <v>4.1650000000000006E-2</v>
      </c>
    </row>
    <row r="98" spans="1:7" x14ac:dyDescent="0.35">
      <c r="A98" s="48" t="s">
        <v>1045</v>
      </c>
      <c r="B98" s="21" t="s">
        <v>990</v>
      </c>
      <c r="C98" s="7">
        <v>0.05</v>
      </c>
      <c r="D98" s="7">
        <f t="shared" si="5"/>
        <v>4.4999999999999998E-2</v>
      </c>
      <c r="E98" s="7">
        <f t="shared" si="6"/>
        <v>1.9999999999999997E-2</v>
      </c>
      <c r="F98" s="7">
        <f t="shared" si="7"/>
        <v>3.9999999999999996E-4</v>
      </c>
      <c r="G98" s="7">
        <f t="shared" si="8"/>
        <v>1.9599999999999996E-2</v>
      </c>
    </row>
    <row r="99" spans="1:7" x14ac:dyDescent="0.35">
      <c r="A99" s="48"/>
      <c r="B99" s="21" t="s">
        <v>991</v>
      </c>
      <c r="C99" s="7">
        <v>0.05</v>
      </c>
      <c r="D99" s="7">
        <f t="shared" si="5"/>
        <v>4.4999999999999998E-2</v>
      </c>
      <c r="E99" s="7">
        <f t="shared" si="6"/>
        <v>1.9999999999999997E-2</v>
      </c>
      <c r="F99" s="7">
        <f t="shared" si="7"/>
        <v>3.9999999999999996E-4</v>
      </c>
      <c r="G99" s="7">
        <f t="shared" si="8"/>
        <v>1.9599999999999996E-2</v>
      </c>
    </row>
    <row r="100" spans="1:7" x14ac:dyDescent="0.35">
      <c r="A100" s="48" t="s">
        <v>1046</v>
      </c>
      <c r="B100" s="21" t="s">
        <v>990</v>
      </c>
      <c r="C100" s="7">
        <v>2.5000000000000001E-2</v>
      </c>
      <c r="D100" s="7" t="s">
        <v>20</v>
      </c>
      <c r="E100" s="7" t="s">
        <v>20</v>
      </c>
      <c r="F100" s="7" t="s">
        <v>20</v>
      </c>
      <c r="G100" s="7" t="s">
        <v>20</v>
      </c>
    </row>
    <row r="101" spans="1:7" x14ac:dyDescent="0.35">
      <c r="A101" s="48"/>
      <c r="B101" s="21" t="s">
        <v>991</v>
      </c>
      <c r="C101" s="7">
        <v>2.5000000000000001E-2</v>
      </c>
      <c r="D101" s="7" t="s">
        <v>20</v>
      </c>
      <c r="E101" s="7" t="s">
        <v>20</v>
      </c>
      <c r="F101" s="7" t="s">
        <v>20</v>
      </c>
      <c r="G101" s="7" t="s">
        <v>20</v>
      </c>
    </row>
    <row r="102" spans="1:7" x14ac:dyDescent="0.35">
      <c r="A102" s="5" t="s">
        <v>1047</v>
      </c>
      <c r="B102" s="21" t="s">
        <v>100</v>
      </c>
      <c r="C102" s="7">
        <v>0.05</v>
      </c>
      <c r="D102" s="7">
        <f t="shared" si="5"/>
        <v>4.4999999999999998E-2</v>
      </c>
      <c r="E102" s="7">
        <f t="shared" si="6"/>
        <v>1.9999999999999997E-2</v>
      </c>
      <c r="F102" s="7">
        <f t="shared" si="7"/>
        <v>3.9999999999999996E-4</v>
      </c>
      <c r="G102" s="7">
        <f t="shared" si="8"/>
        <v>1.9599999999999996E-2</v>
      </c>
    </row>
    <row r="103" spans="1:7" x14ac:dyDescent="0.35">
      <c r="A103" s="5" t="s">
        <v>1048</v>
      </c>
      <c r="B103" s="21" t="s">
        <v>100</v>
      </c>
      <c r="C103" s="7">
        <v>0.05</v>
      </c>
      <c r="D103" s="7">
        <f t="shared" si="5"/>
        <v>4.4999999999999998E-2</v>
      </c>
      <c r="E103" s="7">
        <f t="shared" si="6"/>
        <v>1.9999999999999997E-2</v>
      </c>
      <c r="F103" s="7">
        <f t="shared" si="7"/>
        <v>3.9999999999999996E-4</v>
      </c>
      <c r="G103" s="7">
        <f t="shared" si="8"/>
        <v>1.9599999999999996E-2</v>
      </c>
    </row>
    <row r="104" spans="1:7" x14ac:dyDescent="0.35">
      <c r="A104" s="48" t="s">
        <v>1049</v>
      </c>
      <c r="B104" s="21" t="s">
        <v>990</v>
      </c>
      <c r="C104" s="7">
        <v>0.05</v>
      </c>
      <c r="D104" s="7">
        <f t="shared" si="5"/>
        <v>4.4999999999999998E-2</v>
      </c>
      <c r="E104" s="7">
        <f t="shared" si="6"/>
        <v>1.9999999999999997E-2</v>
      </c>
      <c r="F104" s="7">
        <f t="shared" si="7"/>
        <v>3.9999999999999996E-4</v>
      </c>
      <c r="G104" s="7">
        <f t="shared" si="8"/>
        <v>1.9599999999999996E-2</v>
      </c>
    </row>
    <row r="105" spans="1:7" x14ac:dyDescent="0.35">
      <c r="A105" s="48"/>
      <c r="B105" s="21" t="s">
        <v>991</v>
      </c>
      <c r="C105" s="7">
        <v>2.5000000000000001E-2</v>
      </c>
      <c r="D105" s="7" t="s">
        <v>20</v>
      </c>
      <c r="E105" s="7" t="s">
        <v>20</v>
      </c>
      <c r="F105" s="7" t="s">
        <v>20</v>
      </c>
      <c r="G105" s="7" t="s">
        <v>20</v>
      </c>
    </row>
    <row r="106" spans="1:7" x14ac:dyDescent="0.35">
      <c r="A106" s="48" t="s">
        <v>1050</v>
      </c>
      <c r="B106" s="21" t="s">
        <v>990</v>
      </c>
      <c r="C106" s="7">
        <v>0.05</v>
      </c>
      <c r="D106" s="7">
        <f t="shared" si="5"/>
        <v>4.4999999999999998E-2</v>
      </c>
      <c r="E106" s="7">
        <f t="shared" si="6"/>
        <v>1.9999999999999997E-2</v>
      </c>
      <c r="F106" s="7">
        <f t="shared" si="7"/>
        <v>3.9999999999999996E-4</v>
      </c>
      <c r="G106" s="7">
        <f t="shared" si="8"/>
        <v>1.9599999999999996E-2</v>
      </c>
    </row>
    <row r="107" spans="1:7" x14ac:dyDescent="0.35">
      <c r="A107" s="48"/>
      <c r="B107" s="21" t="s">
        <v>991</v>
      </c>
      <c r="C107" s="7">
        <v>2.5000000000000001E-2</v>
      </c>
      <c r="D107" s="7" t="s">
        <v>20</v>
      </c>
      <c r="E107" s="7" t="s">
        <v>20</v>
      </c>
      <c r="F107" s="7" t="s">
        <v>20</v>
      </c>
      <c r="G107" s="7" t="s">
        <v>20</v>
      </c>
    </row>
    <row r="108" spans="1:7" x14ac:dyDescent="0.35">
      <c r="A108" s="48" t="s">
        <v>1051</v>
      </c>
      <c r="B108" s="21" t="s">
        <v>990</v>
      </c>
      <c r="C108" s="7">
        <v>2.5000000000000001E-2</v>
      </c>
      <c r="D108" s="7" t="s">
        <v>20</v>
      </c>
      <c r="E108" s="7" t="s">
        <v>20</v>
      </c>
      <c r="F108" s="7" t="s">
        <v>20</v>
      </c>
      <c r="G108" s="7" t="s">
        <v>20</v>
      </c>
    </row>
    <row r="109" spans="1:7" x14ac:dyDescent="0.35">
      <c r="A109" s="48"/>
      <c r="B109" s="21" t="s">
        <v>991</v>
      </c>
      <c r="C109" s="7">
        <v>2.5000000000000001E-2</v>
      </c>
      <c r="D109" s="7" t="s">
        <v>20</v>
      </c>
      <c r="E109" s="7" t="s">
        <v>20</v>
      </c>
      <c r="F109" s="7" t="s">
        <v>20</v>
      </c>
      <c r="G109" s="7" t="s">
        <v>20</v>
      </c>
    </row>
    <row r="110" spans="1:7" x14ac:dyDescent="0.35">
      <c r="A110" s="5" t="s">
        <v>1052</v>
      </c>
      <c r="B110" s="21" t="s">
        <v>100</v>
      </c>
      <c r="C110" s="7">
        <v>2.5000000000000001E-2</v>
      </c>
      <c r="D110" s="7" t="s">
        <v>20</v>
      </c>
      <c r="E110" s="7" t="s">
        <v>20</v>
      </c>
      <c r="F110" s="7" t="s">
        <v>20</v>
      </c>
      <c r="G110" s="7" t="s">
        <v>20</v>
      </c>
    </row>
    <row r="111" spans="1:7" x14ac:dyDescent="0.35">
      <c r="A111" s="5" t="s">
        <v>1053</v>
      </c>
      <c r="B111" s="21" t="s">
        <v>100</v>
      </c>
      <c r="C111" s="7">
        <v>2.5000000000000001E-2</v>
      </c>
      <c r="D111" s="7" t="s">
        <v>20</v>
      </c>
      <c r="E111" s="7" t="s">
        <v>20</v>
      </c>
      <c r="F111" s="7" t="s">
        <v>20</v>
      </c>
      <c r="G111" s="7" t="s">
        <v>20</v>
      </c>
    </row>
    <row r="112" spans="1:7" x14ac:dyDescent="0.35">
      <c r="A112" s="48" t="s">
        <v>1054</v>
      </c>
      <c r="B112" s="21" t="s">
        <v>990</v>
      </c>
      <c r="C112" s="7">
        <v>0.05</v>
      </c>
      <c r="D112" s="7">
        <f t="shared" si="5"/>
        <v>4.4999999999999998E-2</v>
      </c>
      <c r="E112" s="7">
        <f t="shared" si="6"/>
        <v>1.9999999999999997E-2</v>
      </c>
      <c r="F112" s="7">
        <f t="shared" si="7"/>
        <v>3.9999999999999996E-4</v>
      </c>
      <c r="G112" s="7">
        <f t="shared" si="8"/>
        <v>1.9599999999999996E-2</v>
      </c>
    </row>
    <row r="113" spans="1:7" x14ac:dyDescent="0.35">
      <c r="A113" s="48"/>
      <c r="B113" s="21" t="s">
        <v>991</v>
      </c>
      <c r="C113" s="7">
        <v>2.5000000000000001E-2</v>
      </c>
      <c r="D113" s="7" t="s">
        <v>20</v>
      </c>
      <c r="E113" s="7" t="s">
        <v>20</v>
      </c>
      <c r="F113" s="7" t="s">
        <v>20</v>
      </c>
      <c r="G113" s="7" t="s">
        <v>20</v>
      </c>
    </row>
    <row r="114" spans="1:7" x14ac:dyDescent="0.35">
      <c r="A114" s="48" t="s">
        <v>1055</v>
      </c>
      <c r="B114" s="21" t="s">
        <v>990</v>
      </c>
      <c r="C114" s="7">
        <v>2.5000000000000001E-2</v>
      </c>
      <c r="D114" s="7" t="s">
        <v>20</v>
      </c>
      <c r="E114" s="7" t="s">
        <v>20</v>
      </c>
      <c r="F114" s="7" t="s">
        <v>20</v>
      </c>
      <c r="G114" s="7" t="s">
        <v>20</v>
      </c>
    </row>
    <row r="115" spans="1:7" x14ac:dyDescent="0.35">
      <c r="A115" s="48"/>
      <c r="B115" s="21" t="s">
        <v>991</v>
      </c>
      <c r="C115" s="7">
        <v>2.5000000000000001E-2</v>
      </c>
      <c r="D115" s="7" t="s">
        <v>20</v>
      </c>
      <c r="E115" s="7" t="s">
        <v>20</v>
      </c>
      <c r="F115" s="7" t="s">
        <v>20</v>
      </c>
      <c r="G115" s="7" t="s">
        <v>20</v>
      </c>
    </row>
    <row r="116" spans="1:7" x14ac:dyDescent="0.35">
      <c r="A116" s="48" t="s">
        <v>1056</v>
      </c>
      <c r="B116" s="21" t="s">
        <v>990</v>
      </c>
      <c r="C116" s="7">
        <v>2.5000000000000001E-2</v>
      </c>
      <c r="D116" s="7" t="s">
        <v>20</v>
      </c>
      <c r="E116" s="7" t="s">
        <v>20</v>
      </c>
      <c r="F116" s="7" t="s">
        <v>20</v>
      </c>
      <c r="G116" s="7" t="s">
        <v>20</v>
      </c>
    </row>
    <row r="117" spans="1:7" x14ac:dyDescent="0.35">
      <c r="A117" s="48"/>
      <c r="B117" s="21" t="s">
        <v>991</v>
      </c>
      <c r="C117" s="7">
        <v>0</v>
      </c>
      <c r="D117" s="7" t="s">
        <v>20</v>
      </c>
      <c r="E117" s="7" t="s">
        <v>20</v>
      </c>
      <c r="F117" s="7" t="s">
        <v>20</v>
      </c>
      <c r="G117" s="7" t="s">
        <v>20</v>
      </c>
    </row>
    <row r="118" spans="1:7" x14ac:dyDescent="0.35">
      <c r="A118" s="5" t="s">
        <v>1057</v>
      </c>
      <c r="B118" s="21" t="s">
        <v>100</v>
      </c>
      <c r="C118" s="7">
        <v>2.5000000000000001E-2</v>
      </c>
      <c r="D118" s="7" t="s">
        <v>20</v>
      </c>
      <c r="E118" s="7" t="s">
        <v>20</v>
      </c>
      <c r="F118" s="7" t="s">
        <v>20</v>
      </c>
      <c r="G118" s="7" t="s">
        <v>20</v>
      </c>
    </row>
    <row r="119" spans="1:7" x14ac:dyDescent="0.35">
      <c r="A119" s="5" t="s">
        <v>1058</v>
      </c>
      <c r="B119" s="21" t="s">
        <v>100</v>
      </c>
      <c r="C119" s="7">
        <v>2.5000000000000001E-2</v>
      </c>
      <c r="D119" s="7" t="s">
        <v>20</v>
      </c>
      <c r="E119" s="7" t="s">
        <v>20</v>
      </c>
      <c r="F119" s="7" t="s">
        <v>20</v>
      </c>
      <c r="G119" s="7" t="s">
        <v>20</v>
      </c>
    </row>
    <row r="120" spans="1:7" x14ac:dyDescent="0.35">
      <c r="A120" s="48" t="s">
        <v>1218</v>
      </c>
      <c r="B120" s="21" t="s">
        <v>990</v>
      </c>
      <c r="C120" s="7">
        <v>0.2</v>
      </c>
      <c r="D120" s="7">
        <f t="shared" si="5"/>
        <v>0.18</v>
      </c>
      <c r="E120" s="7">
        <f t="shared" si="6"/>
        <v>0.155</v>
      </c>
      <c r="F120" s="7">
        <f t="shared" si="7"/>
        <v>3.0999999999999999E-3</v>
      </c>
      <c r="G120" s="7">
        <f t="shared" si="8"/>
        <v>0.15190000000000001</v>
      </c>
    </row>
    <row r="121" spans="1:7" x14ac:dyDescent="0.35">
      <c r="A121" s="48"/>
      <c r="B121" s="21" t="s">
        <v>991</v>
      </c>
      <c r="C121" s="7">
        <v>0.15</v>
      </c>
      <c r="D121" s="7">
        <f t="shared" si="5"/>
        <v>0.13500000000000001</v>
      </c>
      <c r="E121" s="7">
        <f t="shared" si="6"/>
        <v>0.11000000000000001</v>
      </c>
      <c r="F121" s="7">
        <f t="shared" si="7"/>
        <v>2.2000000000000001E-3</v>
      </c>
      <c r="G121" s="7">
        <f t="shared" si="8"/>
        <v>0.10780000000000002</v>
      </c>
    </row>
    <row r="122" spans="1:7" ht="14.5" customHeight="1" x14ac:dyDescent="0.35">
      <c r="A122" s="48" t="s">
        <v>1226</v>
      </c>
      <c r="B122" s="21" t="s">
        <v>990</v>
      </c>
      <c r="C122" s="7">
        <v>0.125</v>
      </c>
      <c r="D122" s="7">
        <f t="shared" si="5"/>
        <v>0.1125</v>
      </c>
      <c r="E122" s="7">
        <f t="shared" si="6"/>
        <v>8.7499999999999994E-2</v>
      </c>
      <c r="F122" s="7">
        <f t="shared" si="7"/>
        <v>1.7499999999999998E-3</v>
      </c>
      <c r="G122" s="7">
        <f t="shared" si="8"/>
        <v>8.5749999999999993E-2</v>
      </c>
    </row>
    <row r="123" spans="1:7" x14ac:dyDescent="0.35">
      <c r="A123" s="48"/>
      <c r="B123" s="21" t="s">
        <v>991</v>
      </c>
      <c r="C123" s="7">
        <v>0.125</v>
      </c>
      <c r="D123" s="7">
        <f t="shared" si="5"/>
        <v>0.1125</v>
      </c>
      <c r="E123" s="7">
        <f t="shared" si="6"/>
        <v>8.7499999999999994E-2</v>
      </c>
      <c r="F123" s="7">
        <f t="shared" si="7"/>
        <v>1.7499999999999998E-3</v>
      </c>
      <c r="G123" s="7">
        <f t="shared" si="8"/>
        <v>8.5749999999999993E-2</v>
      </c>
    </row>
    <row r="124" spans="1:7" x14ac:dyDescent="0.35">
      <c r="A124" s="48" t="s">
        <v>1059</v>
      </c>
      <c r="B124" s="21" t="s">
        <v>990</v>
      </c>
      <c r="C124" s="7">
        <v>7.4999999999999997E-2</v>
      </c>
      <c r="D124" s="7">
        <f t="shared" si="5"/>
        <v>6.7500000000000004E-2</v>
      </c>
      <c r="E124" s="7">
        <f t="shared" si="6"/>
        <v>4.2500000000000003E-2</v>
      </c>
      <c r="F124" s="7">
        <f t="shared" si="7"/>
        <v>8.5000000000000006E-4</v>
      </c>
      <c r="G124" s="7">
        <f t="shared" si="8"/>
        <v>4.1650000000000006E-2</v>
      </c>
    </row>
    <row r="125" spans="1:7" x14ac:dyDescent="0.35">
      <c r="A125" s="48"/>
      <c r="B125" s="21" t="s">
        <v>991</v>
      </c>
      <c r="C125" s="7">
        <v>7.4999999999999997E-2</v>
      </c>
      <c r="D125" s="7">
        <f t="shared" si="5"/>
        <v>6.7500000000000004E-2</v>
      </c>
      <c r="E125" s="7">
        <f t="shared" si="6"/>
        <v>4.2500000000000003E-2</v>
      </c>
      <c r="F125" s="7">
        <f t="shared" si="7"/>
        <v>8.5000000000000006E-4</v>
      </c>
      <c r="G125" s="7">
        <f t="shared" si="8"/>
        <v>4.1650000000000006E-2</v>
      </c>
    </row>
    <row r="126" spans="1:7" x14ac:dyDescent="0.35">
      <c r="A126" s="48" t="s">
        <v>1060</v>
      </c>
      <c r="B126" s="21" t="s">
        <v>990</v>
      </c>
      <c r="C126" s="7">
        <v>0.05</v>
      </c>
      <c r="D126" s="7">
        <f t="shared" si="5"/>
        <v>4.4999999999999998E-2</v>
      </c>
      <c r="E126" s="7">
        <f t="shared" si="6"/>
        <v>1.9999999999999997E-2</v>
      </c>
      <c r="F126" s="7">
        <f t="shared" si="7"/>
        <v>3.9999999999999996E-4</v>
      </c>
      <c r="G126" s="7">
        <f t="shared" si="8"/>
        <v>1.9599999999999996E-2</v>
      </c>
    </row>
    <row r="127" spans="1:7" x14ac:dyDescent="0.35">
      <c r="A127" s="48"/>
      <c r="B127" s="21" t="s">
        <v>991</v>
      </c>
      <c r="C127" s="7">
        <v>0.05</v>
      </c>
      <c r="D127" s="7">
        <f t="shared" si="5"/>
        <v>4.4999999999999998E-2</v>
      </c>
      <c r="E127" s="7">
        <f t="shared" si="6"/>
        <v>1.9999999999999997E-2</v>
      </c>
      <c r="F127" s="7">
        <f t="shared" si="7"/>
        <v>3.9999999999999996E-4</v>
      </c>
      <c r="G127" s="7">
        <f t="shared" si="8"/>
        <v>1.9599999999999996E-2</v>
      </c>
    </row>
    <row r="128" spans="1:7" x14ac:dyDescent="0.35">
      <c r="A128" s="48" t="s">
        <v>1061</v>
      </c>
      <c r="B128" s="21" t="s">
        <v>1062</v>
      </c>
      <c r="C128" s="7">
        <v>0.05</v>
      </c>
      <c r="D128" s="7">
        <f t="shared" si="5"/>
        <v>4.4999999999999998E-2</v>
      </c>
      <c r="E128" s="7">
        <f t="shared" si="6"/>
        <v>1.9999999999999997E-2</v>
      </c>
      <c r="F128" s="7">
        <f t="shared" si="7"/>
        <v>3.9999999999999996E-4</v>
      </c>
      <c r="G128" s="7">
        <f t="shared" si="8"/>
        <v>1.9599999999999996E-2</v>
      </c>
    </row>
    <row r="129" spans="1:7" x14ac:dyDescent="0.35">
      <c r="A129" s="48"/>
      <c r="B129" s="21" t="s">
        <v>1063</v>
      </c>
      <c r="C129" s="7">
        <v>0.05</v>
      </c>
      <c r="D129" s="7">
        <f t="shared" si="5"/>
        <v>4.4999999999999998E-2</v>
      </c>
      <c r="E129" s="7">
        <f t="shared" si="6"/>
        <v>1.9999999999999997E-2</v>
      </c>
      <c r="F129" s="7">
        <f t="shared" si="7"/>
        <v>3.9999999999999996E-4</v>
      </c>
      <c r="G129" s="7">
        <f t="shared" si="8"/>
        <v>1.9599999999999996E-2</v>
      </c>
    </row>
    <row r="130" spans="1:7" x14ac:dyDescent="0.35">
      <c r="A130" s="48" t="s">
        <v>1219</v>
      </c>
      <c r="B130" s="21" t="s">
        <v>990</v>
      </c>
      <c r="C130" s="7">
        <v>0.15</v>
      </c>
      <c r="D130" s="7">
        <f t="shared" si="5"/>
        <v>0.13500000000000001</v>
      </c>
      <c r="E130" s="7">
        <f t="shared" si="6"/>
        <v>0.11000000000000001</v>
      </c>
      <c r="F130" s="7">
        <f t="shared" si="7"/>
        <v>2.2000000000000001E-3</v>
      </c>
      <c r="G130" s="7">
        <f t="shared" si="8"/>
        <v>0.10780000000000002</v>
      </c>
    </row>
    <row r="131" spans="1:7" x14ac:dyDescent="0.35">
      <c r="A131" s="48"/>
      <c r="B131" s="21" t="s">
        <v>991</v>
      </c>
      <c r="C131" s="7">
        <v>0.15</v>
      </c>
      <c r="D131" s="7">
        <f t="shared" si="5"/>
        <v>0.13500000000000001</v>
      </c>
      <c r="E131" s="7">
        <f t="shared" si="6"/>
        <v>0.11000000000000001</v>
      </c>
      <c r="F131" s="7">
        <f t="shared" si="7"/>
        <v>2.2000000000000001E-3</v>
      </c>
      <c r="G131" s="7">
        <f t="shared" si="8"/>
        <v>0.10780000000000002</v>
      </c>
    </row>
    <row r="132" spans="1:7" x14ac:dyDescent="0.35">
      <c r="A132" s="48" t="s">
        <v>1227</v>
      </c>
      <c r="B132" s="21" t="s">
        <v>990</v>
      </c>
      <c r="C132" s="7">
        <v>0.1</v>
      </c>
      <c r="D132" s="7">
        <f t="shared" si="5"/>
        <v>0.09</v>
      </c>
      <c r="E132" s="7">
        <f t="shared" si="6"/>
        <v>6.5000000000000002E-2</v>
      </c>
      <c r="F132" s="7">
        <f t="shared" si="7"/>
        <v>1.3000000000000002E-3</v>
      </c>
      <c r="G132" s="7">
        <f t="shared" si="8"/>
        <v>6.3700000000000007E-2</v>
      </c>
    </row>
    <row r="133" spans="1:7" x14ac:dyDescent="0.35">
      <c r="A133" s="48"/>
      <c r="B133" s="21" t="s">
        <v>991</v>
      </c>
      <c r="C133" s="7">
        <v>0.1</v>
      </c>
      <c r="D133" s="7">
        <f t="shared" si="5"/>
        <v>0.09</v>
      </c>
      <c r="E133" s="7">
        <f t="shared" si="6"/>
        <v>6.5000000000000002E-2</v>
      </c>
      <c r="F133" s="7">
        <f t="shared" si="7"/>
        <v>1.3000000000000002E-3</v>
      </c>
      <c r="G133" s="7">
        <f t="shared" si="8"/>
        <v>6.3700000000000007E-2</v>
      </c>
    </row>
    <row r="134" spans="1:7" x14ac:dyDescent="0.35">
      <c r="A134" s="48" t="s">
        <v>1220</v>
      </c>
      <c r="B134" s="21" t="s">
        <v>990</v>
      </c>
      <c r="C134" s="7">
        <v>0.05</v>
      </c>
      <c r="D134" s="7">
        <f t="shared" si="5"/>
        <v>4.4999999999999998E-2</v>
      </c>
      <c r="E134" s="7">
        <f t="shared" si="6"/>
        <v>1.9999999999999997E-2</v>
      </c>
      <c r="F134" s="7">
        <f t="shared" si="7"/>
        <v>3.9999999999999996E-4</v>
      </c>
      <c r="G134" s="7">
        <f t="shared" si="8"/>
        <v>1.9599999999999996E-2</v>
      </c>
    </row>
    <row r="135" spans="1:7" x14ac:dyDescent="0.35">
      <c r="A135" s="48"/>
      <c r="B135" s="21" t="s">
        <v>991</v>
      </c>
      <c r="C135" s="7">
        <v>0.05</v>
      </c>
      <c r="D135" s="7">
        <f t="shared" ref="D135:D177" si="9">(C135-(C135*10%))</f>
        <v>4.4999999999999998E-2</v>
      </c>
      <c r="E135" s="7">
        <f t="shared" ref="E135:E177" si="10">D135-(2.5%)</f>
        <v>1.9999999999999997E-2</v>
      </c>
      <c r="F135" s="7">
        <f t="shared" ref="F135:F177" si="11">E135*(2%)</f>
        <v>3.9999999999999996E-4</v>
      </c>
      <c r="G135" s="7">
        <f t="shared" ref="G135:G177" si="12">E135-F135</f>
        <v>1.9599999999999996E-2</v>
      </c>
    </row>
    <row r="136" spans="1:7" x14ac:dyDescent="0.35">
      <c r="A136" s="48" t="s">
        <v>1221</v>
      </c>
      <c r="B136" s="21" t="s">
        <v>990</v>
      </c>
      <c r="C136" s="7">
        <v>2.5000000000000001E-2</v>
      </c>
      <c r="D136" s="7" t="s">
        <v>20</v>
      </c>
      <c r="E136" s="7" t="s">
        <v>20</v>
      </c>
      <c r="F136" s="7" t="s">
        <v>20</v>
      </c>
      <c r="G136" s="7" t="s">
        <v>20</v>
      </c>
    </row>
    <row r="137" spans="1:7" x14ac:dyDescent="0.35">
      <c r="A137" s="48"/>
      <c r="B137" s="21" t="s">
        <v>991</v>
      </c>
      <c r="C137" s="7">
        <v>0.05</v>
      </c>
      <c r="D137" s="7">
        <f t="shared" si="9"/>
        <v>4.4999999999999998E-2</v>
      </c>
      <c r="E137" s="7">
        <f t="shared" si="10"/>
        <v>1.9999999999999997E-2</v>
      </c>
      <c r="F137" s="7">
        <f t="shared" si="11"/>
        <v>3.9999999999999996E-4</v>
      </c>
      <c r="G137" s="7">
        <f t="shared" si="12"/>
        <v>1.9599999999999996E-2</v>
      </c>
    </row>
    <row r="138" spans="1:7" x14ac:dyDescent="0.35">
      <c r="A138" s="48" t="s">
        <v>1231</v>
      </c>
      <c r="B138" s="21" t="s">
        <v>1062</v>
      </c>
      <c r="C138" s="7">
        <v>0.05</v>
      </c>
      <c r="D138" s="7">
        <f t="shared" si="9"/>
        <v>4.4999999999999998E-2</v>
      </c>
      <c r="E138" s="7">
        <f t="shared" si="10"/>
        <v>1.9999999999999997E-2</v>
      </c>
      <c r="F138" s="7">
        <f t="shared" si="11"/>
        <v>3.9999999999999996E-4</v>
      </c>
      <c r="G138" s="7">
        <f t="shared" si="12"/>
        <v>1.9599999999999996E-2</v>
      </c>
    </row>
    <row r="139" spans="1:7" x14ac:dyDescent="0.35">
      <c r="A139" s="48"/>
      <c r="B139" s="21" t="s">
        <v>1063</v>
      </c>
      <c r="C139" s="7">
        <v>0.05</v>
      </c>
      <c r="D139" s="7">
        <f t="shared" si="9"/>
        <v>4.4999999999999998E-2</v>
      </c>
      <c r="E139" s="7">
        <f t="shared" si="10"/>
        <v>1.9999999999999997E-2</v>
      </c>
      <c r="F139" s="7">
        <f t="shared" si="11"/>
        <v>3.9999999999999996E-4</v>
      </c>
      <c r="G139" s="7">
        <f t="shared" si="12"/>
        <v>1.9599999999999996E-2</v>
      </c>
    </row>
    <row r="140" spans="1:7" x14ac:dyDescent="0.35">
      <c r="A140" s="48" t="s">
        <v>1222</v>
      </c>
      <c r="B140" s="21" t="s">
        <v>990</v>
      </c>
      <c r="C140" s="7">
        <v>0.1</v>
      </c>
      <c r="D140" s="7">
        <f t="shared" si="9"/>
        <v>0.09</v>
      </c>
      <c r="E140" s="7">
        <f t="shared" si="10"/>
        <v>6.5000000000000002E-2</v>
      </c>
      <c r="F140" s="7">
        <f t="shared" si="11"/>
        <v>1.3000000000000002E-3</v>
      </c>
      <c r="G140" s="7">
        <f t="shared" si="12"/>
        <v>6.3700000000000007E-2</v>
      </c>
    </row>
    <row r="141" spans="1:7" x14ac:dyDescent="0.35">
      <c r="A141" s="48"/>
      <c r="B141" s="21" t="s">
        <v>991</v>
      </c>
      <c r="C141" s="7">
        <v>0.05</v>
      </c>
      <c r="D141" s="7">
        <f t="shared" si="9"/>
        <v>4.4999999999999998E-2</v>
      </c>
      <c r="E141" s="7">
        <f t="shared" si="10"/>
        <v>1.9999999999999997E-2</v>
      </c>
      <c r="F141" s="7">
        <f t="shared" si="11"/>
        <v>3.9999999999999996E-4</v>
      </c>
      <c r="G141" s="7">
        <f t="shared" si="12"/>
        <v>1.9599999999999996E-2</v>
      </c>
    </row>
    <row r="142" spans="1:7" x14ac:dyDescent="0.35">
      <c r="A142" s="48" t="s">
        <v>1228</v>
      </c>
      <c r="B142" s="21" t="s">
        <v>990</v>
      </c>
      <c r="C142" s="7">
        <v>7.4999999999999997E-2</v>
      </c>
      <c r="D142" s="7">
        <f t="shared" si="9"/>
        <v>6.7500000000000004E-2</v>
      </c>
      <c r="E142" s="7">
        <f t="shared" si="10"/>
        <v>4.2500000000000003E-2</v>
      </c>
      <c r="F142" s="7">
        <f t="shared" si="11"/>
        <v>8.5000000000000006E-4</v>
      </c>
      <c r="G142" s="7">
        <f t="shared" si="12"/>
        <v>4.1650000000000006E-2</v>
      </c>
    </row>
    <row r="143" spans="1:7" x14ac:dyDescent="0.35">
      <c r="A143" s="48"/>
      <c r="B143" s="21" t="s">
        <v>991</v>
      </c>
      <c r="C143" s="7">
        <v>0.05</v>
      </c>
      <c r="D143" s="7">
        <f t="shared" si="9"/>
        <v>4.4999999999999998E-2</v>
      </c>
      <c r="E143" s="7">
        <f t="shared" si="10"/>
        <v>1.9999999999999997E-2</v>
      </c>
      <c r="F143" s="7">
        <f t="shared" si="11"/>
        <v>3.9999999999999996E-4</v>
      </c>
      <c r="G143" s="7">
        <f t="shared" si="12"/>
        <v>1.9599999999999996E-2</v>
      </c>
    </row>
    <row r="144" spans="1:7" x14ac:dyDescent="0.35">
      <c r="A144" s="48" t="s">
        <v>1223</v>
      </c>
      <c r="B144" s="21" t="s">
        <v>990</v>
      </c>
      <c r="C144" s="7">
        <v>0.05</v>
      </c>
      <c r="D144" s="7">
        <f t="shared" si="9"/>
        <v>4.4999999999999998E-2</v>
      </c>
      <c r="E144" s="7">
        <f t="shared" si="10"/>
        <v>1.9999999999999997E-2</v>
      </c>
      <c r="F144" s="7">
        <f t="shared" si="11"/>
        <v>3.9999999999999996E-4</v>
      </c>
      <c r="G144" s="7">
        <f t="shared" si="12"/>
        <v>1.9599999999999996E-2</v>
      </c>
    </row>
    <row r="145" spans="1:7" x14ac:dyDescent="0.35">
      <c r="A145" s="48"/>
      <c r="B145" s="21" t="s">
        <v>991</v>
      </c>
      <c r="C145" s="7">
        <v>0.05</v>
      </c>
      <c r="D145" s="7">
        <f t="shared" si="9"/>
        <v>4.4999999999999998E-2</v>
      </c>
      <c r="E145" s="7">
        <f t="shared" si="10"/>
        <v>1.9999999999999997E-2</v>
      </c>
      <c r="F145" s="7">
        <f t="shared" si="11"/>
        <v>3.9999999999999996E-4</v>
      </c>
      <c r="G145" s="7">
        <f t="shared" si="12"/>
        <v>1.9599999999999996E-2</v>
      </c>
    </row>
    <row r="146" spans="1:7" x14ac:dyDescent="0.35">
      <c r="A146" s="48" t="s">
        <v>1224</v>
      </c>
      <c r="B146" s="21" t="s">
        <v>990</v>
      </c>
      <c r="C146" s="7">
        <v>2.5000000000000001E-2</v>
      </c>
      <c r="D146" s="7" t="s">
        <v>20</v>
      </c>
      <c r="E146" s="7" t="s">
        <v>20</v>
      </c>
      <c r="F146" s="7" t="s">
        <v>20</v>
      </c>
      <c r="G146" s="7" t="s">
        <v>20</v>
      </c>
    </row>
    <row r="147" spans="1:7" x14ac:dyDescent="0.35">
      <c r="A147" s="48"/>
      <c r="B147" s="21" t="s">
        <v>991</v>
      </c>
      <c r="C147" s="7">
        <v>0.05</v>
      </c>
      <c r="D147" s="7">
        <f t="shared" si="9"/>
        <v>4.4999999999999998E-2</v>
      </c>
      <c r="E147" s="7">
        <f t="shared" si="10"/>
        <v>1.9999999999999997E-2</v>
      </c>
      <c r="F147" s="7">
        <f t="shared" si="11"/>
        <v>3.9999999999999996E-4</v>
      </c>
      <c r="G147" s="7">
        <f t="shared" si="12"/>
        <v>1.9599999999999996E-2</v>
      </c>
    </row>
    <row r="148" spans="1:7" x14ac:dyDescent="0.35">
      <c r="A148" s="48" t="s">
        <v>1225</v>
      </c>
      <c r="B148" s="21" t="s">
        <v>1062</v>
      </c>
      <c r="C148" s="7">
        <v>2.5000000000000001E-2</v>
      </c>
      <c r="D148" s="7" t="s">
        <v>20</v>
      </c>
      <c r="E148" s="7" t="s">
        <v>20</v>
      </c>
      <c r="F148" s="7" t="s">
        <v>20</v>
      </c>
      <c r="G148" s="7" t="s">
        <v>20</v>
      </c>
    </row>
    <row r="149" spans="1:7" x14ac:dyDescent="0.35">
      <c r="A149" s="48"/>
      <c r="B149" s="21" t="s">
        <v>1063</v>
      </c>
      <c r="C149" s="7">
        <v>2.5000000000000001E-2</v>
      </c>
      <c r="D149" s="7" t="s">
        <v>20</v>
      </c>
      <c r="E149" s="7" t="s">
        <v>20</v>
      </c>
      <c r="F149" s="7" t="s">
        <v>20</v>
      </c>
      <c r="G149" s="7" t="s">
        <v>20</v>
      </c>
    </row>
    <row r="150" spans="1:7" x14ac:dyDescent="0.35">
      <c r="A150" s="48" t="s">
        <v>1064</v>
      </c>
      <c r="B150" s="21" t="s">
        <v>990</v>
      </c>
      <c r="C150" s="7">
        <v>0.05</v>
      </c>
      <c r="D150" s="7">
        <f t="shared" si="9"/>
        <v>4.4999999999999998E-2</v>
      </c>
      <c r="E150" s="7">
        <f t="shared" si="10"/>
        <v>1.9999999999999997E-2</v>
      </c>
      <c r="F150" s="7">
        <f t="shared" si="11"/>
        <v>3.9999999999999996E-4</v>
      </c>
      <c r="G150" s="7">
        <f t="shared" si="12"/>
        <v>1.9599999999999996E-2</v>
      </c>
    </row>
    <row r="151" spans="1:7" x14ac:dyDescent="0.35">
      <c r="A151" s="48"/>
      <c r="B151" s="21" t="s">
        <v>991</v>
      </c>
      <c r="C151" s="7">
        <v>0.05</v>
      </c>
      <c r="D151" s="7">
        <f t="shared" si="9"/>
        <v>4.4999999999999998E-2</v>
      </c>
      <c r="E151" s="7">
        <f t="shared" si="10"/>
        <v>1.9999999999999997E-2</v>
      </c>
      <c r="F151" s="7">
        <f t="shared" si="11"/>
        <v>3.9999999999999996E-4</v>
      </c>
      <c r="G151" s="7">
        <f t="shared" si="12"/>
        <v>1.9599999999999996E-2</v>
      </c>
    </row>
    <row r="152" spans="1:7" x14ac:dyDescent="0.35">
      <c r="A152" s="48" t="s">
        <v>1065</v>
      </c>
      <c r="B152" s="21" t="s">
        <v>990</v>
      </c>
      <c r="C152" s="7">
        <v>0.05</v>
      </c>
      <c r="D152" s="7">
        <f t="shared" si="9"/>
        <v>4.4999999999999998E-2</v>
      </c>
      <c r="E152" s="7">
        <f t="shared" si="10"/>
        <v>1.9999999999999997E-2</v>
      </c>
      <c r="F152" s="7">
        <f t="shared" si="11"/>
        <v>3.9999999999999996E-4</v>
      </c>
      <c r="G152" s="7">
        <f t="shared" si="12"/>
        <v>1.9599999999999996E-2</v>
      </c>
    </row>
    <row r="153" spans="1:7" x14ac:dyDescent="0.35">
      <c r="A153" s="48"/>
      <c r="B153" s="21" t="s">
        <v>991</v>
      </c>
      <c r="C153" s="7">
        <v>2.5000000000000001E-2</v>
      </c>
      <c r="D153" s="7" t="s">
        <v>20</v>
      </c>
      <c r="E153" s="7" t="s">
        <v>20</v>
      </c>
      <c r="F153" s="7" t="s">
        <v>20</v>
      </c>
      <c r="G153" s="7" t="s">
        <v>20</v>
      </c>
    </row>
    <row r="154" spans="1:7" x14ac:dyDescent="0.35">
      <c r="A154" s="48" t="s">
        <v>1066</v>
      </c>
      <c r="B154" s="21" t="s">
        <v>990</v>
      </c>
      <c r="C154" s="7">
        <v>2.5000000000000001E-2</v>
      </c>
      <c r="D154" s="7" t="s">
        <v>20</v>
      </c>
      <c r="E154" s="7" t="s">
        <v>20</v>
      </c>
      <c r="F154" s="7" t="s">
        <v>20</v>
      </c>
      <c r="G154" s="7" t="s">
        <v>20</v>
      </c>
    </row>
    <row r="155" spans="1:7" x14ac:dyDescent="0.35">
      <c r="A155" s="48"/>
      <c r="B155" s="21" t="s">
        <v>991</v>
      </c>
      <c r="C155" s="7">
        <v>2.5000000000000001E-2</v>
      </c>
      <c r="D155" s="7" t="s">
        <v>20</v>
      </c>
      <c r="E155" s="7" t="s">
        <v>20</v>
      </c>
      <c r="F155" s="7" t="s">
        <v>20</v>
      </c>
      <c r="G155" s="7" t="s">
        <v>20</v>
      </c>
    </row>
    <row r="156" spans="1:7" x14ac:dyDescent="0.35">
      <c r="A156" s="48" t="s">
        <v>1067</v>
      </c>
      <c r="B156" s="21" t="s">
        <v>1062</v>
      </c>
      <c r="C156" s="7">
        <v>2.5000000000000001E-2</v>
      </c>
      <c r="D156" s="7" t="s">
        <v>20</v>
      </c>
      <c r="E156" s="7" t="s">
        <v>20</v>
      </c>
      <c r="F156" s="7" t="s">
        <v>20</v>
      </c>
      <c r="G156" s="7" t="s">
        <v>20</v>
      </c>
    </row>
    <row r="157" spans="1:7" x14ac:dyDescent="0.35">
      <c r="A157" s="48"/>
      <c r="B157" s="21" t="s">
        <v>1063</v>
      </c>
      <c r="C157" s="7">
        <v>2.5000000000000001E-2</v>
      </c>
      <c r="D157" s="7" t="s">
        <v>20</v>
      </c>
      <c r="E157" s="7" t="s">
        <v>20</v>
      </c>
      <c r="F157" s="7" t="s">
        <v>20</v>
      </c>
      <c r="G157" s="7" t="s">
        <v>20</v>
      </c>
    </row>
    <row r="158" spans="1:7" x14ac:dyDescent="0.35">
      <c r="A158" s="48" t="s">
        <v>1068</v>
      </c>
      <c r="B158" s="21" t="s">
        <v>990</v>
      </c>
      <c r="C158" s="7">
        <v>0.3</v>
      </c>
      <c r="D158" s="7">
        <f t="shared" si="9"/>
        <v>0.27</v>
      </c>
      <c r="E158" s="7">
        <f t="shared" si="10"/>
        <v>0.24500000000000002</v>
      </c>
      <c r="F158" s="7">
        <f t="shared" si="11"/>
        <v>4.9000000000000007E-3</v>
      </c>
      <c r="G158" s="7">
        <f t="shared" si="12"/>
        <v>0.24010000000000004</v>
      </c>
    </row>
    <row r="159" spans="1:7" x14ac:dyDescent="0.35">
      <c r="A159" s="48"/>
      <c r="B159" s="21" t="s">
        <v>991</v>
      </c>
      <c r="C159" s="7">
        <v>0.3</v>
      </c>
      <c r="D159" s="7">
        <f t="shared" si="9"/>
        <v>0.27</v>
      </c>
      <c r="E159" s="7">
        <f t="shared" si="10"/>
        <v>0.24500000000000002</v>
      </c>
      <c r="F159" s="7">
        <f t="shared" si="11"/>
        <v>4.9000000000000007E-3</v>
      </c>
      <c r="G159" s="7">
        <f t="shared" si="12"/>
        <v>0.24010000000000004</v>
      </c>
    </row>
    <row r="160" spans="1:7" x14ac:dyDescent="0.35">
      <c r="A160" s="48" t="s">
        <v>1069</v>
      </c>
      <c r="B160" s="21" t="s">
        <v>990</v>
      </c>
      <c r="C160" s="7">
        <v>0.3</v>
      </c>
      <c r="D160" s="7">
        <f t="shared" si="9"/>
        <v>0.27</v>
      </c>
      <c r="E160" s="7">
        <f t="shared" si="10"/>
        <v>0.24500000000000002</v>
      </c>
      <c r="F160" s="7">
        <f t="shared" si="11"/>
        <v>4.9000000000000007E-3</v>
      </c>
      <c r="G160" s="7">
        <f t="shared" si="12"/>
        <v>0.24010000000000004</v>
      </c>
    </row>
    <row r="161" spans="1:7" x14ac:dyDescent="0.35">
      <c r="A161" s="48"/>
      <c r="B161" s="21" t="s">
        <v>991</v>
      </c>
      <c r="C161" s="7">
        <v>0.2</v>
      </c>
      <c r="D161" s="7">
        <f t="shared" si="9"/>
        <v>0.18</v>
      </c>
      <c r="E161" s="7">
        <f t="shared" si="10"/>
        <v>0.155</v>
      </c>
      <c r="F161" s="7">
        <f t="shared" si="11"/>
        <v>3.0999999999999999E-3</v>
      </c>
      <c r="G161" s="7">
        <f t="shared" si="12"/>
        <v>0.15190000000000001</v>
      </c>
    </row>
    <row r="162" spans="1:7" x14ac:dyDescent="0.35">
      <c r="A162" s="48" t="s">
        <v>1070</v>
      </c>
      <c r="B162" s="21" t="s">
        <v>990</v>
      </c>
      <c r="C162" s="7">
        <v>0.15</v>
      </c>
      <c r="D162" s="7">
        <f t="shared" si="9"/>
        <v>0.13500000000000001</v>
      </c>
      <c r="E162" s="7">
        <f t="shared" si="10"/>
        <v>0.11000000000000001</v>
      </c>
      <c r="F162" s="7">
        <f t="shared" si="11"/>
        <v>2.2000000000000001E-3</v>
      </c>
      <c r="G162" s="7">
        <f t="shared" si="12"/>
        <v>0.10780000000000002</v>
      </c>
    </row>
    <row r="163" spans="1:7" x14ac:dyDescent="0.35">
      <c r="A163" s="48"/>
      <c r="B163" s="21" t="s">
        <v>991</v>
      </c>
      <c r="C163" s="7">
        <v>0.05</v>
      </c>
      <c r="D163" s="7">
        <f t="shared" si="9"/>
        <v>4.4999999999999998E-2</v>
      </c>
      <c r="E163" s="7">
        <f t="shared" si="10"/>
        <v>1.9999999999999997E-2</v>
      </c>
      <c r="F163" s="7">
        <f t="shared" si="11"/>
        <v>3.9999999999999996E-4</v>
      </c>
      <c r="G163" s="7">
        <f t="shared" si="12"/>
        <v>1.9599999999999996E-2</v>
      </c>
    </row>
    <row r="164" spans="1:7" x14ac:dyDescent="0.35">
      <c r="A164" s="48" t="s">
        <v>1071</v>
      </c>
      <c r="B164" s="21" t="s">
        <v>990</v>
      </c>
      <c r="C164" s="7">
        <v>0.1</v>
      </c>
      <c r="D164" s="7">
        <f t="shared" si="9"/>
        <v>0.09</v>
      </c>
      <c r="E164" s="7">
        <f t="shared" si="10"/>
        <v>6.5000000000000002E-2</v>
      </c>
      <c r="F164" s="7">
        <f t="shared" si="11"/>
        <v>1.3000000000000002E-3</v>
      </c>
      <c r="G164" s="7">
        <f t="shared" si="12"/>
        <v>6.3700000000000007E-2</v>
      </c>
    </row>
    <row r="165" spans="1:7" x14ac:dyDescent="0.35">
      <c r="A165" s="48"/>
      <c r="B165" s="21" t="s">
        <v>991</v>
      </c>
      <c r="C165" s="7">
        <v>0.05</v>
      </c>
      <c r="D165" s="7">
        <f t="shared" si="9"/>
        <v>4.4999999999999998E-2</v>
      </c>
      <c r="E165" s="7">
        <f t="shared" si="10"/>
        <v>1.9999999999999997E-2</v>
      </c>
      <c r="F165" s="7">
        <f t="shared" si="11"/>
        <v>3.9999999999999996E-4</v>
      </c>
      <c r="G165" s="7">
        <f t="shared" si="12"/>
        <v>1.9599999999999996E-2</v>
      </c>
    </row>
    <row r="166" spans="1:7" x14ac:dyDescent="0.35">
      <c r="A166" s="48" t="s">
        <v>1072</v>
      </c>
      <c r="B166" s="21" t="s">
        <v>1062</v>
      </c>
      <c r="C166" s="7">
        <v>0.05</v>
      </c>
      <c r="D166" s="7">
        <f t="shared" si="9"/>
        <v>4.4999999999999998E-2</v>
      </c>
      <c r="E166" s="7">
        <f t="shared" si="10"/>
        <v>1.9999999999999997E-2</v>
      </c>
      <c r="F166" s="7">
        <f t="shared" si="11"/>
        <v>3.9999999999999996E-4</v>
      </c>
      <c r="G166" s="7">
        <f t="shared" si="12"/>
        <v>1.9599999999999996E-2</v>
      </c>
    </row>
    <row r="167" spans="1:7" x14ac:dyDescent="0.35">
      <c r="A167" s="48"/>
      <c r="B167" s="21" t="s">
        <v>1063</v>
      </c>
      <c r="C167" s="7">
        <v>0.05</v>
      </c>
      <c r="D167" s="7">
        <f t="shared" si="9"/>
        <v>4.4999999999999998E-2</v>
      </c>
      <c r="E167" s="7">
        <f t="shared" si="10"/>
        <v>1.9999999999999997E-2</v>
      </c>
      <c r="F167" s="7">
        <f t="shared" si="11"/>
        <v>3.9999999999999996E-4</v>
      </c>
      <c r="G167" s="7">
        <f t="shared" si="12"/>
        <v>1.9599999999999996E-2</v>
      </c>
    </row>
    <row r="168" spans="1:7" x14ac:dyDescent="0.35">
      <c r="A168" s="48" t="s">
        <v>1229</v>
      </c>
      <c r="B168" s="21" t="s">
        <v>990</v>
      </c>
      <c r="C168" s="7">
        <v>0.3</v>
      </c>
      <c r="D168" s="7">
        <f t="shared" si="9"/>
        <v>0.27</v>
      </c>
      <c r="E168" s="7">
        <f t="shared" si="10"/>
        <v>0.24500000000000002</v>
      </c>
      <c r="F168" s="7">
        <f t="shared" si="11"/>
        <v>4.9000000000000007E-3</v>
      </c>
      <c r="G168" s="7">
        <f t="shared" si="12"/>
        <v>0.24010000000000004</v>
      </c>
    </row>
    <row r="169" spans="1:7" x14ac:dyDescent="0.35">
      <c r="A169" s="48"/>
      <c r="B169" s="21" t="s">
        <v>991</v>
      </c>
      <c r="C169" s="7">
        <v>0.3</v>
      </c>
      <c r="D169" s="7">
        <f t="shared" si="9"/>
        <v>0.27</v>
      </c>
      <c r="E169" s="7">
        <f t="shared" si="10"/>
        <v>0.24500000000000002</v>
      </c>
      <c r="F169" s="7">
        <f t="shared" si="11"/>
        <v>4.9000000000000007E-3</v>
      </c>
      <c r="G169" s="7">
        <f t="shared" si="12"/>
        <v>0.24010000000000004</v>
      </c>
    </row>
    <row r="170" spans="1:7" x14ac:dyDescent="0.35">
      <c r="A170" s="48" t="s">
        <v>1230</v>
      </c>
      <c r="B170" s="21" t="s">
        <v>990</v>
      </c>
      <c r="C170" s="7">
        <v>0.15</v>
      </c>
      <c r="D170" s="7">
        <f t="shared" si="9"/>
        <v>0.13500000000000001</v>
      </c>
      <c r="E170" s="7">
        <f t="shared" si="10"/>
        <v>0.11000000000000001</v>
      </c>
      <c r="F170" s="7">
        <f t="shared" si="11"/>
        <v>2.2000000000000001E-3</v>
      </c>
      <c r="G170" s="7">
        <f t="shared" si="12"/>
        <v>0.10780000000000002</v>
      </c>
    </row>
    <row r="171" spans="1:7" x14ac:dyDescent="0.35">
      <c r="A171" s="48"/>
      <c r="B171" s="21" t="s">
        <v>991</v>
      </c>
      <c r="C171" s="7">
        <v>0.15</v>
      </c>
      <c r="D171" s="7">
        <f t="shared" si="9"/>
        <v>0.13500000000000001</v>
      </c>
      <c r="E171" s="7">
        <f t="shared" si="10"/>
        <v>0.11000000000000001</v>
      </c>
      <c r="F171" s="7">
        <f t="shared" si="11"/>
        <v>2.2000000000000001E-3</v>
      </c>
      <c r="G171" s="7">
        <f t="shared" si="12"/>
        <v>0.10780000000000002</v>
      </c>
    </row>
    <row r="172" spans="1:7" x14ac:dyDescent="0.35">
      <c r="A172" s="48" t="s">
        <v>1073</v>
      </c>
      <c r="B172" s="21" t="s">
        <v>990</v>
      </c>
      <c r="C172" s="7">
        <v>0.05</v>
      </c>
      <c r="D172" s="7">
        <f t="shared" si="9"/>
        <v>4.4999999999999998E-2</v>
      </c>
      <c r="E172" s="7">
        <f t="shared" si="10"/>
        <v>1.9999999999999997E-2</v>
      </c>
      <c r="F172" s="7">
        <f t="shared" si="11"/>
        <v>3.9999999999999996E-4</v>
      </c>
      <c r="G172" s="7">
        <f t="shared" si="12"/>
        <v>1.9599999999999996E-2</v>
      </c>
    </row>
    <row r="173" spans="1:7" x14ac:dyDescent="0.35">
      <c r="A173" s="48"/>
      <c r="B173" s="21" t="s">
        <v>991</v>
      </c>
      <c r="C173" s="7">
        <v>7.4999999999999997E-2</v>
      </c>
      <c r="D173" s="7">
        <f t="shared" si="9"/>
        <v>6.7500000000000004E-2</v>
      </c>
      <c r="E173" s="7">
        <f t="shared" si="10"/>
        <v>4.2500000000000003E-2</v>
      </c>
      <c r="F173" s="7">
        <f t="shared" si="11"/>
        <v>8.5000000000000006E-4</v>
      </c>
      <c r="G173" s="7">
        <f t="shared" si="12"/>
        <v>4.1650000000000006E-2</v>
      </c>
    </row>
    <row r="174" spans="1:7" x14ac:dyDescent="0.35">
      <c r="A174" s="48" t="s">
        <v>1074</v>
      </c>
      <c r="B174" s="21" t="s">
        <v>990</v>
      </c>
      <c r="C174" s="7">
        <v>0.05</v>
      </c>
      <c r="D174" s="7">
        <f t="shared" si="9"/>
        <v>4.4999999999999998E-2</v>
      </c>
      <c r="E174" s="7">
        <f t="shared" si="10"/>
        <v>1.9999999999999997E-2</v>
      </c>
      <c r="F174" s="7">
        <f t="shared" si="11"/>
        <v>3.9999999999999996E-4</v>
      </c>
      <c r="G174" s="7">
        <f t="shared" si="12"/>
        <v>1.9599999999999996E-2</v>
      </c>
    </row>
    <row r="175" spans="1:7" x14ac:dyDescent="0.35">
      <c r="A175" s="48"/>
      <c r="B175" s="21" t="s">
        <v>991</v>
      </c>
      <c r="C175" s="7">
        <v>7.4999999999999997E-2</v>
      </c>
      <c r="D175" s="7">
        <f t="shared" si="9"/>
        <v>6.7500000000000004E-2</v>
      </c>
      <c r="E175" s="7">
        <f t="shared" si="10"/>
        <v>4.2500000000000003E-2</v>
      </c>
      <c r="F175" s="7">
        <f t="shared" si="11"/>
        <v>8.5000000000000006E-4</v>
      </c>
      <c r="G175" s="7">
        <f t="shared" si="12"/>
        <v>4.1650000000000006E-2</v>
      </c>
    </row>
    <row r="176" spans="1:7" x14ac:dyDescent="0.35">
      <c r="A176" s="48" t="s">
        <v>1075</v>
      </c>
      <c r="B176" s="21" t="s">
        <v>1062</v>
      </c>
      <c r="C176" s="7">
        <v>7.4999999999999997E-2</v>
      </c>
      <c r="D176" s="7">
        <f t="shared" si="9"/>
        <v>6.7500000000000004E-2</v>
      </c>
      <c r="E176" s="7">
        <f t="shared" si="10"/>
        <v>4.2500000000000003E-2</v>
      </c>
      <c r="F176" s="7">
        <f t="shared" si="11"/>
        <v>8.5000000000000006E-4</v>
      </c>
      <c r="G176" s="7">
        <f t="shared" si="12"/>
        <v>4.1650000000000006E-2</v>
      </c>
    </row>
    <row r="177" spans="1:7" x14ac:dyDescent="0.35">
      <c r="A177" s="48"/>
      <c r="B177" s="21" t="s">
        <v>1063</v>
      </c>
      <c r="C177" s="7">
        <v>7.4999999999999997E-2</v>
      </c>
      <c r="D177" s="7">
        <f t="shared" si="9"/>
        <v>6.7500000000000004E-2</v>
      </c>
      <c r="E177" s="7">
        <f t="shared" si="10"/>
        <v>4.2500000000000003E-2</v>
      </c>
      <c r="F177" s="7">
        <f t="shared" si="11"/>
        <v>8.5000000000000006E-4</v>
      </c>
      <c r="G177" s="7">
        <f t="shared" si="12"/>
        <v>4.1650000000000006E-2</v>
      </c>
    </row>
  </sheetData>
  <mergeCells count="74">
    <mergeCell ref="A16:A17"/>
    <mergeCell ref="A6:A7"/>
    <mergeCell ref="A8:A9"/>
    <mergeCell ref="A10:A11"/>
    <mergeCell ref="A12:A13"/>
    <mergeCell ref="A14:A15"/>
    <mergeCell ref="A46:A47"/>
    <mergeCell ref="A18:A19"/>
    <mergeCell ref="A20:A21"/>
    <mergeCell ref="A25:A26"/>
    <mergeCell ref="A27:A28"/>
    <mergeCell ref="A29:A30"/>
    <mergeCell ref="A31:A32"/>
    <mergeCell ref="A33:A34"/>
    <mergeCell ref="A35:A36"/>
    <mergeCell ref="A37:A38"/>
    <mergeCell ref="A39:A40"/>
    <mergeCell ref="A44:A45"/>
    <mergeCell ref="A76:A77"/>
    <mergeCell ref="A50:A51"/>
    <mergeCell ref="A52:A53"/>
    <mergeCell ref="A54:A55"/>
    <mergeCell ref="A56:A57"/>
    <mergeCell ref="A60:A61"/>
    <mergeCell ref="A62:A63"/>
    <mergeCell ref="A64:A65"/>
    <mergeCell ref="A66:A67"/>
    <mergeCell ref="A70:A71"/>
    <mergeCell ref="A72:A73"/>
    <mergeCell ref="A74:A75"/>
    <mergeCell ref="A108:A109"/>
    <mergeCell ref="A80:A81"/>
    <mergeCell ref="A82:A83"/>
    <mergeCell ref="A84:A85"/>
    <mergeCell ref="A88:A89"/>
    <mergeCell ref="A90:A91"/>
    <mergeCell ref="A92:A93"/>
    <mergeCell ref="A96:A97"/>
    <mergeCell ref="A98:A99"/>
    <mergeCell ref="A100:A101"/>
    <mergeCell ref="A104:A105"/>
    <mergeCell ref="A106:A107"/>
    <mergeCell ref="A136:A137"/>
    <mergeCell ref="A112:A113"/>
    <mergeCell ref="A114:A115"/>
    <mergeCell ref="A116:A117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60:A161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74:A175"/>
    <mergeCell ref="A176:A177"/>
    <mergeCell ref="A162:A163"/>
    <mergeCell ref="A164:A165"/>
    <mergeCell ref="A166:A167"/>
    <mergeCell ref="A168:A169"/>
    <mergeCell ref="A170:A171"/>
    <mergeCell ref="A172:A173"/>
  </mergeCells>
  <printOptions horizontalCentered="1" verticalCentered="1"/>
  <pageMargins left="0" right="0" top="0" bottom="0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C2E4-C729-42B1-86CC-39248FA3AB33}">
  <dimension ref="A2:G57"/>
  <sheetViews>
    <sheetView showGridLines="0" workbookViewId="0">
      <selection activeCell="A2" sqref="A2:G57"/>
    </sheetView>
  </sheetViews>
  <sheetFormatPr defaultRowHeight="26.5" customHeight="1" x14ac:dyDescent="0.35"/>
  <cols>
    <col min="1" max="1" width="31.81640625" style="9" customWidth="1"/>
    <col min="2" max="2" width="12.1796875" style="9" bestFit="1" customWidth="1"/>
    <col min="3" max="3" width="5.81640625" hidden="1" customWidth="1"/>
    <col min="4" max="4" width="7.81640625" hidden="1" customWidth="1"/>
    <col min="5" max="5" width="9.81640625" bestFit="1" customWidth="1"/>
    <col min="6" max="6" width="6.453125" bestFit="1" customWidth="1"/>
    <col min="7" max="7" width="9.1796875" bestFit="1" customWidth="1"/>
  </cols>
  <sheetData>
    <row r="2" spans="1:7" ht="71.5" customHeight="1" x14ac:dyDescent="0.35">
      <c r="A2" s="1" t="s">
        <v>1388</v>
      </c>
      <c r="B2" s="22"/>
      <c r="C2" s="12"/>
      <c r="D2" s="12"/>
      <c r="E2" s="12"/>
      <c r="F2" s="12"/>
      <c r="G2" s="12"/>
    </row>
    <row r="4" spans="1:7" ht="54" customHeight="1" x14ac:dyDescent="0.35">
      <c r="A4" s="2" t="s">
        <v>986</v>
      </c>
      <c r="B4" s="2" t="s">
        <v>1</v>
      </c>
      <c r="C4" s="4" t="s">
        <v>2</v>
      </c>
      <c r="D4" s="4" t="s">
        <v>922</v>
      </c>
      <c r="E4" s="4" t="s">
        <v>4</v>
      </c>
      <c r="F4" s="4" t="s">
        <v>5</v>
      </c>
      <c r="G4" s="4" t="s">
        <v>6</v>
      </c>
    </row>
    <row r="5" spans="1:7" ht="26.5" customHeight="1" x14ac:dyDescent="0.35">
      <c r="A5" s="48" t="s">
        <v>1341</v>
      </c>
      <c r="B5" s="5" t="s">
        <v>98</v>
      </c>
      <c r="C5" s="7">
        <v>0.3</v>
      </c>
      <c r="D5" s="7">
        <f>(C5-(C5*10%))</f>
        <v>0.27</v>
      </c>
      <c r="E5" s="7">
        <f>D5-(3%)</f>
        <v>0.24000000000000002</v>
      </c>
      <c r="F5" s="7">
        <f>E5*2%</f>
        <v>4.8000000000000004E-3</v>
      </c>
      <c r="G5" s="7">
        <f t="shared" ref="G5:G10" si="0">E5-F5</f>
        <v>0.23520000000000002</v>
      </c>
    </row>
    <row r="6" spans="1:7" ht="26.5" customHeight="1" x14ac:dyDescent="0.35">
      <c r="A6" s="48"/>
      <c r="B6" s="5" t="s">
        <v>99</v>
      </c>
      <c r="C6" s="7">
        <v>0.5</v>
      </c>
      <c r="D6" s="7">
        <f t="shared" ref="D6:D10" si="1">(C6-(C6*10%))</f>
        <v>0.45</v>
      </c>
      <c r="E6" s="7">
        <f t="shared" ref="E6:E10" si="2">D6-(3%)</f>
        <v>0.42000000000000004</v>
      </c>
      <c r="F6" s="7">
        <f t="shared" ref="F6:F10" si="3">E6*2%</f>
        <v>8.4000000000000012E-3</v>
      </c>
      <c r="G6" s="7">
        <f t="shared" si="0"/>
        <v>0.41160000000000002</v>
      </c>
    </row>
    <row r="7" spans="1:7" ht="26.5" customHeight="1" x14ac:dyDescent="0.35">
      <c r="A7" s="48" t="s">
        <v>1342</v>
      </c>
      <c r="B7" s="5" t="s">
        <v>98</v>
      </c>
      <c r="C7" s="7">
        <v>0.15</v>
      </c>
      <c r="D7" s="7">
        <f t="shared" si="1"/>
        <v>0.13500000000000001</v>
      </c>
      <c r="E7" s="7">
        <f t="shared" si="2"/>
        <v>0.10500000000000001</v>
      </c>
      <c r="F7" s="7">
        <f t="shared" si="3"/>
        <v>2.1000000000000003E-3</v>
      </c>
      <c r="G7" s="7">
        <f t="shared" si="0"/>
        <v>0.10290000000000001</v>
      </c>
    </row>
    <row r="8" spans="1:7" ht="26.5" customHeight="1" x14ac:dyDescent="0.35">
      <c r="A8" s="48"/>
      <c r="B8" s="5" t="s">
        <v>99</v>
      </c>
      <c r="C8" s="7">
        <v>0.15</v>
      </c>
      <c r="D8" s="7">
        <f t="shared" si="1"/>
        <v>0.13500000000000001</v>
      </c>
      <c r="E8" s="7">
        <f t="shared" si="2"/>
        <v>0.10500000000000001</v>
      </c>
      <c r="F8" s="7">
        <f t="shared" si="3"/>
        <v>2.1000000000000003E-3</v>
      </c>
      <c r="G8" s="7">
        <f t="shared" si="0"/>
        <v>0.10290000000000001</v>
      </c>
    </row>
    <row r="9" spans="1:7" ht="26.5" customHeight="1" x14ac:dyDescent="0.35">
      <c r="A9" s="5" t="s">
        <v>969</v>
      </c>
      <c r="B9" s="5" t="s">
        <v>98</v>
      </c>
      <c r="C9" s="7">
        <v>0.15</v>
      </c>
      <c r="D9" s="7">
        <f t="shared" si="1"/>
        <v>0.13500000000000001</v>
      </c>
      <c r="E9" s="7">
        <f t="shared" si="2"/>
        <v>0.10500000000000001</v>
      </c>
      <c r="F9" s="7">
        <f t="shared" si="3"/>
        <v>2.1000000000000003E-3</v>
      </c>
      <c r="G9" s="7">
        <f t="shared" si="0"/>
        <v>0.10290000000000001</v>
      </c>
    </row>
    <row r="10" spans="1:7" ht="26.5" customHeight="1" x14ac:dyDescent="0.35">
      <c r="A10" s="5" t="s">
        <v>968</v>
      </c>
      <c r="B10" s="5" t="s">
        <v>99</v>
      </c>
      <c r="C10" s="7">
        <v>0.15</v>
      </c>
      <c r="D10" s="7">
        <f t="shared" si="1"/>
        <v>0.13500000000000001</v>
      </c>
      <c r="E10" s="7">
        <f t="shared" si="2"/>
        <v>0.10500000000000001</v>
      </c>
      <c r="F10" s="7">
        <f t="shared" si="3"/>
        <v>2.1000000000000003E-3</v>
      </c>
      <c r="G10" s="7">
        <f t="shared" si="0"/>
        <v>0.10290000000000001</v>
      </c>
    </row>
    <row r="11" spans="1:7" ht="26.5" customHeight="1" x14ac:dyDescent="0.35">
      <c r="A11" s="2" t="s">
        <v>987</v>
      </c>
      <c r="B11" s="2" t="s">
        <v>1</v>
      </c>
      <c r="C11" s="4" t="s">
        <v>2</v>
      </c>
      <c r="D11" s="4" t="s">
        <v>922</v>
      </c>
      <c r="E11" s="4" t="s">
        <v>4</v>
      </c>
      <c r="F11" s="4" t="s">
        <v>5</v>
      </c>
      <c r="G11" s="4" t="s">
        <v>6</v>
      </c>
    </row>
    <row r="12" spans="1:7" ht="26.5" customHeight="1" x14ac:dyDescent="0.35">
      <c r="A12" s="48" t="s">
        <v>1343</v>
      </c>
      <c r="B12" s="5" t="s">
        <v>98</v>
      </c>
      <c r="C12" s="7">
        <v>0.2</v>
      </c>
      <c r="D12" s="7">
        <f t="shared" ref="D12:D57" si="4">(C12-(C12*10%))</f>
        <v>0.18</v>
      </c>
      <c r="E12" s="7">
        <f t="shared" ref="E12:E57" si="5">D12-(3%)</f>
        <v>0.15</v>
      </c>
      <c r="F12" s="7">
        <f t="shared" ref="F12:F57" si="6">E12*2%</f>
        <v>3.0000000000000001E-3</v>
      </c>
      <c r="G12" s="7">
        <f t="shared" ref="G12:G57" si="7">E12-F12</f>
        <v>0.14699999999999999</v>
      </c>
    </row>
    <row r="13" spans="1:7" ht="26.5" customHeight="1" x14ac:dyDescent="0.35">
      <c r="A13" s="48"/>
      <c r="B13" s="5" t="s">
        <v>99</v>
      </c>
      <c r="C13" s="7">
        <v>0.8</v>
      </c>
      <c r="D13" s="7">
        <f t="shared" si="4"/>
        <v>0.72</v>
      </c>
      <c r="E13" s="7">
        <f t="shared" si="5"/>
        <v>0.69</v>
      </c>
      <c r="F13" s="7">
        <f t="shared" si="6"/>
        <v>1.38E-2</v>
      </c>
      <c r="G13" s="7">
        <f t="shared" si="7"/>
        <v>0.67619999999999991</v>
      </c>
    </row>
    <row r="14" spans="1:7" ht="26.5" customHeight="1" x14ac:dyDescent="0.35">
      <c r="A14" s="48" t="s">
        <v>1344</v>
      </c>
      <c r="B14" s="5" t="s">
        <v>98</v>
      </c>
      <c r="C14" s="7">
        <v>0.2</v>
      </c>
      <c r="D14" s="7">
        <f t="shared" si="4"/>
        <v>0.18</v>
      </c>
      <c r="E14" s="7">
        <f t="shared" si="5"/>
        <v>0.15</v>
      </c>
      <c r="F14" s="7">
        <f t="shared" si="6"/>
        <v>3.0000000000000001E-3</v>
      </c>
      <c r="G14" s="7">
        <f t="shared" si="7"/>
        <v>0.14699999999999999</v>
      </c>
    </row>
    <row r="15" spans="1:7" ht="26.5" customHeight="1" x14ac:dyDescent="0.35">
      <c r="A15" s="48"/>
      <c r="B15" s="5" t="s">
        <v>99</v>
      </c>
      <c r="C15" s="7">
        <v>0.2</v>
      </c>
      <c r="D15" s="7">
        <f t="shared" si="4"/>
        <v>0.18</v>
      </c>
      <c r="E15" s="7">
        <f t="shared" si="5"/>
        <v>0.15</v>
      </c>
      <c r="F15" s="7">
        <f t="shared" si="6"/>
        <v>3.0000000000000001E-3</v>
      </c>
      <c r="G15" s="7">
        <f t="shared" si="7"/>
        <v>0.14699999999999999</v>
      </c>
    </row>
    <row r="16" spans="1:7" ht="26.5" customHeight="1" x14ac:dyDescent="0.35">
      <c r="A16" s="5" t="s">
        <v>1345</v>
      </c>
      <c r="B16" s="5" t="s">
        <v>98</v>
      </c>
      <c r="C16" s="7">
        <v>0.2</v>
      </c>
      <c r="D16" s="7">
        <f t="shared" si="4"/>
        <v>0.18</v>
      </c>
      <c r="E16" s="7">
        <f t="shared" si="5"/>
        <v>0.15</v>
      </c>
      <c r="F16" s="7">
        <f t="shared" si="6"/>
        <v>3.0000000000000001E-3</v>
      </c>
      <c r="G16" s="7">
        <f t="shared" si="7"/>
        <v>0.14699999999999999</v>
      </c>
    </row>
    <row r="17" spans="1:7" ht="26.5" customHeight="1" x14ac:dyDescent="0.35">
      <c r="A17" s="5" t="s">
        <v>1346</v>
      </c>
      <c r="B17" s="5" t="s">
        <v>99</v>
      </c>
      <c r="C17" s="7">
        <v>0.2</v>
      </c>
      <c r="D17" s="7">
        <f t="shared" si="4"/>
        <v>0.18</v>
      </c>
      <c r="E17" s="7">
        <f t="shared" si="5"/>
        <v>0.15</v>
      </c>
      <c r="F17" s="7">
        <f t="shared" si="6"/>
        <v>3.0000000000000001E-3</v>
      </c>
      <c r="G17" s="7">
        <f t="shared" si="7"/>
        <v>0.14699999999999999</v>
      </c>
    </row>
    <row r="18" spans="1:7" ht="26.5" customHeight="1" x14ac:dyDescent="0.35">
      <c r="A18" s="2" t="s">
        <v>988</v>
      </c>
      <c r="B18" s="2" t="s">
        <v>1</v>
      </c>
      <c r="C18" s="4" t="s">
        <v>2</v>
      </c>
      <c r="D18" s="4" t="s">
        <v>922</v>
      </c>
      <c r="E18" s="4" t="s">
        <v>4</v>
      </c>
      <c r="F18" s="4" t="s">
        <v>5</v>
      </c>
      <c r="G18" s="4" t="s">
        <v>6</v>
      </c>
    </row>
    <row r="19" spans="1:7" ht="26.5" customHeight="1" x14ac:dyDescent="0.35">
      <c r="A19" s="5" t="s">
        <v>1347</v>
      </c>
      <c r="B19" s="5" t="s">
        <v>100</v>
      </c>
      <c r="C19" s="7">
        <v>0.2</v>
      </c>
      <c r="D19" s="7">
        <f t="shared" si="4"/>
        <v>0.18</v>
      </c>
      <c r="E19" s="7">
        <f t="shared" si="5"/>
        <v>0.15</v>
      </c>
      <c r="F19" s="7">
        <f t="shared" si="6"/>
        <v>3.0000000000000001E-3</v>
      </c>
      <c r="G19" s="7">
        <f t="shared" si="7"/>
        <v>0.14699999999999999</v>
      </c>
    </row>
    <row r="20" spans="1:7" ht="26.5" customHeight="1" x14ac:dyDescent="0.35">
      <c r="A20" s="5" t="s">
        <v>1348</v>
      </c>
      <c r="B20" s="5" t="s">
        <v>100</v>
      </c>
      <c r="C20" s="7">
        <v>0.1</v>
      </c>
      <c r="D20" s="7">
        <f t="shared" si="4"/>
        <v>0.09</v>
      </c>
      <c r="E20" s="7">
        <f t="shared" si="5"/>
        <v>0.06</v>
      </c>
      <c r="F20" s="7">
        <f t="shared" si="6"/>
        <v>1.1999999999999999E-3</v>
      </c>
      <c r="G20" s="7">
        <f t="shared" si="7"/>
        <v>5.8799999999999998E-2</v>
      </c>
    </row>
    <row r="21" spans="1:7" ht="26.5" customHeight="1" x14ac:dyDescent="0.35">
      <c r="A21" s="41" t="s">
        <v>1349</v>
      </c>
      <c r="B21" s="5" t="s">
        <v>1350</v>
      </c>
      <c r="C21" s="7">
        <v>0.125</v>
      </c>
      <c r="D21" s="7">
        <f t="shared" si="4"/>
        <v>0.1125</v>
      </c>
      <c r="E21" s="7">
        <f t="shared" si="5"/>
        <v>8.2500000000000004E-2</v>
      </c>
      <c r="F21" s="7">
        <f t="shared" si="6"/>
        <v>1.6500000000000002E-3</v>
      </c>
      <c r="G21" s="7">
        <f t="shared" si="7"/>
        <v>8.0850000000000005E-2</v>
      </c>
    </row>
    <row r="22" spans="1:7" ht="26.5" customHeight="1" x14ac:dyDescent="0.35">
      <c r="A22" s="43"/>
      <c r="B22" s="5" t="s">
        <v>1351</v>
      </c>
      <c r="C22" s="7">
        <v>0.08</v>
      </c>
      <c r="D22" s="7">
        <f t="shared" si="4"/>
        <v>7.2000000000000008E-2</v>
      </c>
      <c r="E22" s="7">
        <f t="shared" si="5"/>
        <v>4.200000000000001E-2</v>
      </c>
      <c r="F22" s="7">
        <f t="shared" si="6"/>
        <v>8.4000000000000025E-4</v>
      </c>
      <c r="G22" s="7">
        <f t="shared" si="7"/>
        <v>4.1160000000000009E-2</v>
      </c>
    </row>
    <row r="23" spans="1:7" ht="26.5" customHeight="1" x14ac:dyDescent="0.35">
      <c r="A23" s="41" t="s">
        <v>1352</v>
      </c>
      <c r="B23" s="5" t="s">
        <v>1350</v>
      </c>
      <c r="C23" s="7">
        <v>0.1</v>
      </c>
      <c r="D23" s="7">
        <f t="shared" si="4"/>
        <v>0.09</v>
      </c>
      <c r="E23" s="7">
        <f t="shared" si="5"/>
        <v>0.06</v>
      </c>
      <c r="F23" s="7">
        <f t="shared" si="6"/>
        <v>1.1999999999999999E-3</v>
      </c>
      <c r="G23" s="7">
        <f t="shared" si="7"/>
        <v>5.8799999999999998E-2</v>
      </c>
    </row>
    <row r="24" spans="1:7" ht="26.5" customHeight="1" x14ac:dyDescent="0.35">
      <c r="A24" s="43"/>
      <c r="B24" s="5" t="s">
        <v>1351</v>
      </c>
      <c r="C24" s="7">
        <v>0.08</v>
      </c>
      <c r="D24" s="7">
        <f t="shared" si="4"/>
        <v>7.2000000000000008E-2</v>
      </c>
      <c r="E24" s="7">
        <f t="shared" si="5"/>
        <v>4.200000000000001E-2</v>
      </c>
      <c r="F24" s="7">
        <f t="shared" si="6"/>
        <v>8.4000000000000025E-4</v>
      </c>
      <c r="G24" s="7">
        <f t="shared" si="7"/>
        <v>4.1160000000000009E-2</v>
      </c>
    </row>
    <row r="25" spans="1:7" ht="26.5" customHeight="1" x14ac:dyDescent="0.35">
      <c r="A25" s="5" t="s">
        <v>1353</v>
      </c>
      <c r="B25" s="5" t="s">
        <v>100</v>
      </c>
      <c r="C25" s="7">
        <v>0.08</v>
      </c>
      <c r="D25" s="7">
        <f t="shared" si="4"/>
        <v>7.2000000000000008E-2</v>
      </c>
      <c r="E25" s="7">
        <f t="shared" si="5"/>
        <v>4.200000000000001E-2</v>
      </c>
      <c r="F25" s="7">
        <f t="shared" si="6"/>
        <v>8.4000000000000025E-4</v>
      </c>
      <c r="G25" s="7">
        <f t="shared" si="7"/>
        <v>4.1160000000000009E-2</v>
      </c>
    </row>
    <row r="26" spans="1:7" ht="26.5" customHeight="1" x14ac:dyDescent="0.35">
      <c r="A26" s="2" t="s">
        <v>975</v>
      </c>
      <c r="B26" s="2" t="s">
        <v>1</v>
      </c>
      <c r="C26" s="4" t="s">
        <v>2</v>
      </c>
      <c r="D26" s="4" t="s">
        <v>922</v>
      </c>
      <c r="E26" s="4" t="s">
        <v>4</v>
      </c>
      <c r="F26" s="4" t="s">
        <v>5</v>
      </c>
      <c r="G26" s="4" t="s">
        <v>6</v>
      </c>
    </row>
    <row r="27" spans="1:7" ht="32.5" customHeight="1" x14ac:dyDescent="0.35">
      <c r="A27" s="29" t="s">
        <v>1354</v>
      </c>
      <c r="B27" s="5" t="s">
        <v>100</v>
      </c>
      <c r="C27" s="7">
        <v>0.55000000000000004</v>
      </c>
      <c r="D27" s="7">
        <f t="shared" si="4"/>
        <v>0.49500000000000005</v>
      </c>
      <c r="E27" s="7">
        <f t="shared" si="5"/>
        <v>0.46500000000000008</v>
      </c>
      <c r="F27" s="7">
        <f t="shared" si="6"/>
        <v>9.300000000000001E-3</v>
      </c>
      <c r="G27" s="7">
        <f t="shared" si="7"/>
        <v>0.4557000000000001</v>
      </c>
    </row>
    <row r="28" spans="1:7" ht="32.5" customHeight="1" x14ac:dyDescent="0.35">
      <c r="A28" s="29" t="s">
        <v>979</v>
      </c>
      <c r="B28" s="5" t="s">
        <v>100</v>
      </c>
      <c r="C28" s="7">
        <v>0.55000000000000004</v>
      </c>
      <c r="D28" s="7">
        <f t="shared" si="4"/>
        <v>0.49500000000000005</v>
      </c>
      <c r="E28" s="7">
        <f t="shared" si="5"/>
        <v>0.46500000000000008</v>
      </c>
      <c r="F28" s="7">
        <f t="shared" si="6"/>
        <v>9.300000000000001E-3</v>
      </c>
      <c r="G28" s="7">
        <f t="shared" si="7"/>
        <v>0.4557000000000001</v>
      </c>
    </row>
    <row r="29" spans="1:7" ht="32.5" customHeight="1" x14ac:dyDescent="0.35">
      <c r="A29" s="29" t="s">
        <v>1355</v>
      </c>
      <c r="B29" s="5" t="s">
        <v>100</v>
      </c>
      <c r="C29" s="7">
        <v>0.4</v>
      </c>
      <c r="D29" s="7">
        <f t="shared" si="4"/>
        <v>0.36</v>
      </c>
      <c r="E29" s="7">
        <f t="shared" si="5"/>
        <v>0.32999999999999996</v>
      </c>
      <c r="F29" s="7">
        <f t="shared" si="6"/>
        <v>6.5999999999999991E-3</v>
      </c>
      <c r="G29" s="7">
        <f t="shared" si="7"/>
        <v>0.32339999999999997</v>
      </c>
    </row>
    <row r="30" spans="1:7" ht="32.5" customHeight="1" x14ac:dyDescent="0.35">
      <c r="A30" s="29" t="s">
        <v>1356</v>
      </c>
      <c r="B30" s="5" t="s">
        <v>100</v>
      </c>
      <c r="C30" s="7">
        <v>0.4</v>
      </c>
      <c r="D30" s="7">
        <f t="shared" si="4"/>
        <v>0.36</v>
      </c>
      <c r="E30" s="7">
        <f t="shared" si="5"/>
        <v>0.32999999999999996</v>
      </c>
      <c r="F30" s="7">
        <f t="shared" si="6"/>
        <v>6.5999999999999991E-3</v>
      </c>
      <c r="G30" s="7">
        <f t="shared" si="7"/>
        <v>0.32339999999999997</v>
      </c>
    </row>
    <row r="31" spans="1:7" ht="32.5" customHeight="1" x14ac:dyDescent="0.35">
      <c r="A31" s="29" t="s">
        <v>1357</v>
      </c>
      <c r="B31" s="5" t="s">
        <v>100</v>
      </c>
      <c r="C31" s="7">
        <v>0.25</v>
      </c>
      <c r="D31" s="7">
        <f t="shared" si="4"/>
        <v>0.22500000000000001</v>
      </c>
      <c r="E31" s="7">
        <f t="shared" si="5"/>
        <v>0.19500000000000001</v>
      </c>
      <c r="F31" s="7">
        <f t="shared" si="6"/>
        <v>3.9000000000000003E-3</v>
      </c>
      <c r="G31" s="7">
        <f t="shared" si="7"/>
        <v>0.19110000000000002</v>
      </c>
    </row>
    <row r="32" spans="1:7" ht="32.5" customHeight="1" x14ac:dyDescent="0.35">
      <c r="A32" s="29" t="s">
        <v>1358</v>
      </c>
      <c r="B32" s="5" t="s">
        <v>100</v>
      </c>
      <c r="C32" s="7">
        <v>0.25</v>
      </c>
      <c r="D32" s="7">
        <f t="shared" si="4"/>
        <v>0.22500000000000001</v>
      </c>
      <c r="E32" s="7">
        <f t="shared" si="5"/>
        <v>0.19500000000000001</v>
      </c>
      <c r="F32" s="7">
        <f t="shared" si="6"/>
        <v>3.9000000000000003E-3</v>
      </c>
      <c r="G32" s="7">
        <f t="shared" si="7"/>
        <v>0.19110000000000002</v>
      </c>
    </row>
    <row r="33" spans="1:7" ht="32.5" customHeight="1" x14ac:dyDescent="0.35">
      <c r="A33" s="29" t="s">
        <v>1359</v>
      </c>
      <c r="B33" s="5" t="s">
        <v>100</v>
      </c>
      <c r="C33" s="7">
        <v>0.15</v>
      </c>
      <c r="D33" s="7">
        <f t="shared" si="4"/>
        <v>0.13500000000000001</v>
      </c>
      <c r="E33" s="7">
        <f t="shared" si="5"/>
        <v>0.10500000000000001</v>
      </c>
      <c r="F33" s="7">
        <f t="shared" si="6"/>
        <v>2.1000000000000003E-3</v>
      </c>
      <c r="G33" s="7">
        <f t="shared" si="7"/>
        <v>0.10290000000000001</v>
      </c>
    </row>
    <row r="34" spans="1:7" ht="32.5" customHeight="1" x14ac:dyDescent="0.35">
      <c r="A34" s="29" t="s">
        <v>1360</v>
      </c>
      <c r="B34" s="5" t="s">
        <v>100</v>
      </c>
      <c r="C34" s="7">
        <v>0.15</v>
      </c>
      <c r="D34" s="7">
        <f t="shared" si="4"/>
        <v>0.13500000000000001</v>
      </c>
      <c r="E34" s="7">
        <f t="shared" si="5"/>
        <v>0.10500000000000001</v>
      </c>
      <c r="F34" s="7">
        <f t="shared" si="6"/>
        <v>2.1000000000000003E-3</v>
      </c>
      <c r="G34" s="7">
        <f t="shared" si="7"/>
        <v>0.10290000000000001</v>
      </c>
    </row>
    <row r="35" spans="1:7" ht="32.5" customHeight="1" x14ac:dyDescent="0.35">
      <c r="A35" s="29" t="s">
        <v>1361</v>
      </c>
      <c r="B35" s="5" t="s">
        <v>100</v>
      </c>
      <c r="C35" s="7">
        <v>0.05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2.5" customHeight="1" x14ac:dyDescent="0.35">
      <c r="A36" s="29" t="s">
        <v>1362</v>
      </c>
      <c r="B36" s="5" t="s">
        <v>100</v>
      </c>
      <c r="C36" s="7">
        <v>0.05</v>
      </c>
      <c r="D36" s="7" t="s">
        <v>20</v>
      </c>
      <c r="E36" s="7" t="s">
        <v>20</v>
      </c>
      <c r="F36" s="7" t="s">
        <v>20</v>
      </c>
      <c r="G36" s="7" t="s">
        <v>20</v>
      </c>
    </row>
    <row r="37" spans="1:7" ht="32.5" customHeight="1" x14ac:dyDescent="0.35">
      <c r="A37" s="29" t="s">
        <v>1363</v>
      </c>
      <c r="B37" s="5" t="s">
        <v>100</v>
      </c>
      <c r="C37" s="7">
        <v>7.4999999999999997E-2</v>
      </c>
      <c r="D37" s="7">
        <f t="shared" si="4"/>
        <v>6.7500000000000004E-2</v>
      </c>
      <c r="E37" s="7">
        <f t="shared" si="5"/>
        <v>3.7500000000000006E-2</v>
      </c>
      <c r="F37" s="7">
        <f t="shared" si="6"/>
        <v>7.5000000000000012E-4</v>
      </c>
      <c r="G37" s="7">
        <f t="shared" si="7"/>
        <v>3.6750000000000005E-2</v>
      </c>
    </row>
    <row r="38" spans="1:7" ht="32.5" customHeight="1" x14ac:dyDescent="0.35">
      <c r="A38" s="29" t="s">
        <v>1364</v>
      </c>
      <c r="B38" s="5" t="s">
        <v>100</v>
      </c>
      <c r="C38" s="7">
        <v>7.4999999999999997E-2</v>
      </c>
      <c r="D38" s="7">
        <f t="shared" si="4"/>
        <v>6.7500000000000004E-2</v>
      </c>
      <c r="E38" s="7">
        <f t="shared" si="5"/>
        <v>3.7500000000000006E-2</v>
      </c>
      <c r="F38" s="7">
        <f t="shared" si="6"/>
        <v>7.5000000000000012E-4</v>
      </c>
      <c r="G38" s="7">
        <f t="shared" si="7"/>
        <v>3.6750000000000005E-2</v>
      </c>
    </row>
    <row r="39" spans="1:7" ht="32.5" customHeight="1" x14ac:dyDescent="0.35">
      <c r="A39" s="29" t="s">
        <v>1365</v>
      </c>
      <c r="B39" s="5" t="s">
        <v>100</v>
      </c>
      <c r="C39" s="7">
        <v>0.1</v>
      </c>
      <c r="D39" s="7">
        <f t="shared" si="4"/>
        <v>0.09</v>
      </c>
      <c r="E39" s="7">
        <f t="shared" si="5"/>
        <v>0.06</v>
      </c>
      <c r="F39" s="7">
        <f t="shared" si="6"/>
        <v>1.1999999999999999E-3</v>
      </c>
      <c r="G39" s="7">
        <f t="shared" si="7"/>
        <v>5.8799999999999998E-2</v>
      </c>
    </row>
    <row r="40" spans="1:7" ht="32.5" customHeight="1" x14ac:dyDescent="0.35">
      <c r="A40" s="29" t="s">
        <v>1366</v>
      </c>
      <c r="B40" s="5" t="s">
        <v>100</v>
      </c>
      <c r="C40" s="7">
        <v>0.1</v>
      </c>
      <c r="D40" s="7">
        <f t="shared" si="4"/>
        <v>0.09</v>
      </c>
      <c r="E40" s="7">
        <f t="shared" si="5"/>
        <v>0.06</v>
      </c>
      <c r="F40" s="7">
        <f t="shared" si="6"/>
        <v>1.1999999999999999E-3</v>
      </c>
      <c r="G40" s="7">
        <f t="shared" si="7"/>
        <v>5.8799999999999998E-2</v>
      </c>
    </row>
    <row r="41" spans="1:7" ht="32.5" customHeight="1" x14ac:dyDescent="0.35">
      <c r="A41" s="29" t="s">
        <v>1367</v>
      </c>
      <c r="B41" s="5" t="s">
        <v>100</v>
      </c>
      <c r="C41" s="7">
        <v>7.4999999999999997E-2</v>
      </c>
      <c r="D41" s="7">
        <f t="shared" si="4"/>
        <v>6.7500000000000004E-2</v>
      </c>
      <c r="E41" s="7">
        <f t="shared" si="5"/>
        <v>3.7500000000000006E-2</v>
      </c>
      <c r="F41" s="7">
        <f t="shared" si="6"/>
        <v>7.5000000000000012E-4</v>
      </c>
      <c r="G41" s="7">
        <f t="shared" si="7"/>
        <v>3.6750000000000005E-2</v>
      </c>
    </row>
    <row r="42" spans="1:7" ht="32.5" customHeight="1" x14ac:dyDescent="0.35">
      <c r="A42" s="29" t="s">
        <v>1368</v>
      </c>
      <c r="B42" s="5" t="s">
        <v>100</v>
      </c>
      <c r="C42" s="7">
        <v>7.4999999999999997E-2</v>
      </c>
      <c r="D42" s="7">
        <f t="shared" si="4"/>
        <v>6.7500000000000004E-2</v>
      </c>
      <c r="E42" s="7">
        <f t="shared" si="5"/>
        <v>3.7500000000000006E-2</v>
      </c>
      <c r="F42" s="7">
        <f t="shared" si="6"/>
        <v>7.5000000000000012E-4</v>
      </c>
      <c r="G42" s="7">
        <f t="shared" si="7"/>
        <v>3.6750000000000005E-2</v>
      </c>
    </row>
    <row r="43" spans="1:7" ht="32.5" customHeight="1" x14ac:dyDescent="0.35">
      <c r="A43" s="29" t="s">
        <v>1369</v>
      </c>
      <c r="B43" s="5" t="s">
        <v>100</v>
      </c>
      <c r="C43" s="7">
        <v>0.05</v>
      </c>
      <c r="D43" s="7" t="s">
        <v>20</v>
      </c>
      <c r="E43" s="7" t="s">
        <v>20</v>
      </c>
      <c r="F43" s="7" t="s">
        <v>20</v>
      </c>
      <c r="G43" s="7" t="s">
        <v>20</v>
      </c>
    </row>
    <row r="44" spans="1:7" ht="32.5" customHeight="1" x14ac:dyDescent="0.35">
      <c r="A44" s="29" t="s">
        <v>1370</v>
      </c>
      <c r="B44" s="5" t="s">
        <v>100</v>
      </c>
      <c r="C44" s="7">
        <v>0.05</v>
      </c>
      <c r="D44" s="7" t="s">
        <v>20</v>
      </c>
      <c r="E44" s="7" t="s">
        <v>20</v>
      </c>
      <c r="F44" s="7" t="s">
        <v>20</v>
      </c>
      <c r="G44" s="7" t="s">
        <v>20</v>
      </c>
    </row>
    <row r="45" spans="1:7" ht="32.5" customHeight="1" x14ac:dyDescent="0.35">
      <c r="A45" s="2" t="s">
        <v>1371</v>
      </c>
      <c r="B45" s="2" t="s">
        <v>1</v>
      </c>
      <c r="C45" s="4" t="s">
        <v>2</v>
      </c>
      <c r="D45" s="4" t="s">
        <v>922</v>
      </c>
      <c r="E45" s="4" t="s">
        <v>4</v>
      </c>
      <c r="F45" s="4" t="s">
        <v>5</v>
      </c>
      <c r="G45" s="4" t="s">
        <v>6</v>
      </c>
    </row>
    <row r="46" spans="1:7" ht="32.5" customHeight="1" x14ac:dyDescent="0.35">
      <c r="A46" s="29" t="s">
        <v>1372</v>
      </c>
      <c r="B46" s="5" t="s">
        <v>100</v>
      </c>
      <c r="C46" s="7">
        <v>0.42499999999999999</v>
      </c>
      <c r="D46" s="7">
        <f t="shared" si="4"/>
        <v>0.38250000000000001</v>
      </c>
      <c r="E46" s="7">
        <f t="shared" si="5"/>
        <v>0.35250000000000004</v>
      </c>
      <c r="F46" s="7">
        <f t="shared" si="6"/>
        <v>7.0500000000000007E-3</v>
      </c>
      <c r="G46" s="7">
        <f t="shared" si="7"/>
        <v>0.34545000000000003</v>
      </c>
    </row>
    <row r="47" spans="1:7" ht="32.5" customHeight="1" x14ac:dyDescent="0.35">
      <c r="A47" s="29" t="s">
        <v>1373</v>
      </c>
      <c r="B47" s="5" t="s">
        <v>100</v>
      </c>
      <c r="C47" s="7">
        <v>0.35</v>
      </c>
      <c r="D47" s="7">
        <f t="shared" si="4"/>
        <v>0.315</v>
      </c>
      <c r="E47" s="7">
        <f t="shared" si="5"/>
        <v>0.28500000000000003</v>
      </c>
      <c r="F47" s="7">
        <f t="shared" si="6"/>
        <v>5.7000000000000011E-3</v>
      </c>
      <c r="G47" s="7">
        <f t="shared" si="7"/>
        <v>0.27930000000000005</v>
      </c>
    </row>
    <row r="48" spans="1:7" ht="32.5" customHeight="1" x14ac:dyDescent="0.35">
      <c r="A48" s="29" t="s">
        <v>1374</v>
      </c>
      <c r="B48" s="5" t="s">
        <v>100</v>
      </c>
      <c r="C48" s="7">
        <v>0.05</v>
      </c>
      <c r="D48" s="7" t="s">
        <v>20</v>
      </c>
      <c r="E48" s="7" t="s">
        <v>20</v>
      </c>
      <c r="F48" s="7" t="s">
        <v>20</v>
      </c>
      <c r="G48" s="7" t="s">
        <v>20</v>
      </c>
    </row>
    <row r="49" spans="1:7" ht="32.5" customHeight="1" x14ac:dyDescent="0.35">
      <c r="A49" s="29" t="s">
        <v>1375</v>
      </c>
      <c r="B49" s="5" t="s">
        <v>100</v>
      </c>
      <c r="C49" s="7">
        <v>0.2</v>
      </c>
      <c r="D49" s="7">
        <f t="shared" si="4"/>
        <v>0.18</v>
      </c>
      <c r="E49" s="7">
        <f t="shared" si="5"/>
        <v>0.15</v>
      </c>
      <c r="F49" s="7">
        <f t="shared" si="6"/>
        <v>3.0000000000000001E-3</v>
      </c>
      <c r="G49" s="7">
        <f t="shared" si="7"/>
        <v>0.14699999999999999</v>
      </c>
    </row>
    <row r="50" spans="1:7" ht="32.5" customHeight="1" x14ac:dyDescent="0.35">
      <c r="A50" s="29" t="s">
        <v>1376</v>
      </c>
      <c r="B50" s="5" t="s">
        <v>100</v>
      </c>
      <c r="C50" s="7">
        <v>0.15</v>
      </c>
      <c r="D50" s="7">
        <f t="shared" si="4"/>
        <v>0.13500000000000001</v>
      </c>
      <c r="E50" s="7">
        <f t="shared" si="5"/>
        <v>0.10500000000000001</v>
      </c>
      <c r="F50" s="7">
        <f t="shared" si="6"/>
        <v>2.1000000000000003E-3</v>
      </c>
      <c r="G50" s="7">
        <f t="shared" si="7"/>
        <v>0.10290000000000001</v>
      </c>
    </row>
    <row r="51" spans="1:7" ht="32.5" customHeight="1" x14ac:dyDescent="0.35">
      <c r="A51" s="29" t="s">
        <v>1377</v>
      </c>
      <c r="B51" s="5" t="s">
        <v>100</v>
      </c>
      <c r="C51" s="7">
        <v>0.05</v>
      </c>
      <c r="D51" s="7" t="s">
        <v>20</v>
      </c>
      <c r="E51" s="7" t="s">
        <v>20</v>
      </c>
      <c r="F51" s="7" t="s">
        <v>20</v>
      </c>
      <c r="G51" s="7" t="s">
        <v>20</v>
      </c>
    </row>
    <row r="52" spans="1:7" ht="32.5" customHeight="1" x14ac:dyDescent="0.35">
      <c r="A52" s="29" t="s">
        <v>1378</v>
      </c>
      <c r="B52" s="5" t="s">
        <v>100</v>
      </c>
      <c r="C52" s="7">
        <v>0.15</v>
      </c>
      <c r="D52" s="7">
        <f t="shared" si="4"/>
        <v>0.13500000000000001</v>
      </c>
      <c r="E52" s="7">
        <f t="shared" si="5"/>
        <v>0.10500000000000001</v>
      </c>
      <c r="F52" s="7">
        <f t="shared" si="6"/>
        <v>2.1000000000000003E-3</v>
      </c>
      <c r="G52" s="7">
        <f t="shared" si="7"/>
        <v>0.10290000000000001</v>
      </c>
    </row>
    <row r="53" spans="1:7" ht="32.5" customHeight="1" x14ac:dyDescent="0.35">
      <c r="A53" s="29" t="s">
        <v>1379</v>
      </c>
      <c r="B53" s="5" t="s">
        <v>100</v>
      </c>
      <c r="C53" s="7">
        <v>0.15</v>
      </c>
      <c r="D53" s="7">
        <f t="shared" si="4"/>
        <v>0.13500000000000001</v>
      </c>
      <c r="E53" s="7">
        <f t="shared" si="5"/>
        <v>0.10500000000000001</v>
      </c>
      <c r="F53" s="7">
        <f t="shared" si="6"/>
        <v>2.1000000000000003E-3</v>
      </c>
      <c r="G53" s="7">
        <f t="shared" si="7"/>
        <v>0.10290000000000001</v>
      </c>
    </row>
    <row r="54" spans="1:7" ht="32.5" customHeight="1" x14ac:dyDescent="0.35">
      <c r="A54" s="29" t="s">
        <v>1380</v>
      </c>
      <c r="B54" s="5" t="s">
        <v>100</v>
      </c>
      <c r="C54" s="7">
        <v>0.05</v>
      </c>
      <c r="D54" s="7" t="s">
        <v>20</v>
      </c>
      <c r="E54" s="7" t="s">
        <v>20</v>
      </c>
      <c r="F54" s="7" t="s">
        <v>20</v>
      </c>
      <c r="G54" s="7" t="s">
        <v>20</v>
      </c>
    </row>
    <row r="55" spans="1:7" ht="32.5" customHeight="1" x14ac:dyDescent="0.35">
      <c r="A55" s="2" t="s">
        <v>1381</v>
      </c>
      <c r="B55" s="2" t="s">
        <v>1</v>
      </c>
      <c r="C55" s="4" t="s">
        <v>2</v>
      </c>
      <c r="D55" s="4" t="s">
        <v>922</v>
      </c>
      <c r="E55" s="4" t="s">
        <v>4</v>
      </c>
      <c r="F55" s="4" t="s">
        <v>5</v>
      </c>
      <c r="G55" s="4" t="s">
        <v>6</v>
      </c>
    </row>
    <row r="56" spans="1:7" ht="32.5" customHeight="1" x14ac:dyDescent="0.35">
      <c r="A56" s="29" t="s">
        <v>1382</v>
      </c>
      <c r="B56" s="5" t="s">
        <v>100</v>
      </c>
      <c r="C56" s="7">
        <v>0.6</v>
      </c>
      <c r="D56" s="7">
        <f t="shared" si="4"/>
        <v>0.54</v>
      </c>
      <c r="E56" s="7">
        <f t="shared" si="5"/>
        <v>0.51</v>
      </c>
      <c r="F56" s="7">
        <f t="shared" si="6"/>
        <v>1.0200000000000001E-2</v>
      </c>
      <c r="G56" s="7">
        <f t="shared" si="7"/>
        <v>0.49980000000000002</v>
      </c>
    </row>
    <row r="57" spans="1:7" ht="32.5" customHeight="1" x14ac:dyDescent="0.35">
      <c r="A57" s="29" t="s">
        <v>1383</v>
      </c>
      <c r="B57" s="5" t="s">
        <v>100</v>
      </c>
      <c r="C57" s="7">
        <v>0.45</v>
      </c>
      <c r="D57" s="7">
        <f t="shared" si="4"/>
        <v>0.40500000000000003</v>
      </c>
      <c r="E57" s="7">
        <f t="shared" si="5"/>
        <v>0.375</v>
      </c>
      <c r="F57" s="7">
        <f t="shared" si="6"/>
        <v>7.4999999999999997E-3</v>
      </c>
      <c r="G57" s="7">
        <f t="shared" si="7"/>
        <v>0.36749999999999999</v>
      </c>
    </row>
  </sheetData>
  <mergeCells count="6">
    <mergeCell ref="A23:A24"/>
    <mergeCell ref="A5:A6"/>
    <mergeCell ref="A7:A8"/>
    <mergeCell ref="A12:A13"/>
    <mergeCell ref="A14:A15"/>
    <mergeCell ref="A21:A22"/>
  </mergeCells>
  <printOptions horizontalCentered="1" verticalCentered="1"/>
  <pageMargins left="0" right="0" top="0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ED18-D708-4E70-A5EE-EF1ABBA24608}">
  <dimension ref="A2:G57"/>
  <sheetViews>
    <sheetView showGridLines="0" topLeftCell="A34" workbookViewId="0">
      <selection activeCell="A2" sqref="A2:G57"/>
    </sheetView>
  </sheetViews>
  <sheetFormatPr defaultRowHeight="26.5" customHeight="1" x14ac:dyDescent="0.35"/>
  <cols>
    <col min="1" max="1" width="37.453125" style="9" customWidth="1"/>
    <col min="2" max="2" width="12.1796875" style="9" bestFit="1" customWidth="1"/>
    <col min="3" max="3" width="5.7265625" hidden="1" customWidth="1"/>
    <col min="4" max="4" width="7.7265625" hidden="1" customWidth="1"/>
    <col min="5" max="5" width="10.453125" hidden="1" customWidth="1"/>
    <col min="6" max="6" width="9.81640625" hidden="1" customWidth="1"/>
    <col min="7" max="7" width="9.453125" customWidth="1"/>
  </cols>
  <sheetData>
    <row r="2" spans="1:7" ht="71.5" customHeight="1" x14ac:dyDescent="0.35">
      <c r="A2" s="1" t="s">
        <v>1389</v>
      </c>
      <c r="B2" s="22"/>
      <c r="C2" s="12"/>
      <c r="D2" s="12"/>
      <c r="E2" s="12"/>
      <c r="F2" s="12"/>
      <c r="G2" s="12"/>
    </row>
    <row r="4" spans="1:7" ht="54" customHeight="1" x14ac:dyDescent="0.35">
      <c r="A4" s="2" t="s">
        <v>986</v>
      </c>
      <c r="B4" s="2" t="s">
        <v>1</v>
      </c>
      <c r="C4" s="4" t="s">
        <v>2</v>
      </c>
      <c r="D4" s="4" t="s">
        <v>922</v>
      </c>
      <c r="E4" s="4" t="s">
        <v>1276</v>
      </c>
      <c r="F4" s="4" t="s">
        <v>363</v>
      </c>
      <c r="G4" s="4" t="s">
        <v>364</v>
      </c>
    </row>
    <row r="5" spans="1:7" ht="26.5" customHeight="1" x14ac:dyDescent="0.35">
      <c r="A5" s="48" t="s">
        <v>1384</v>
      </c>
      <c r="B5" s="5" t="s">
        <v>98</v>
      </c>
      <c r="C5" s="7">
        <v>0.3</v>
      </c>
      <c r="D5" s="7">
        <f>(C5-(C5*10%))</f>
        <v>0.27</v>
      </c>
      <c r="E5" s="7">
        <f>D5-(2.5%)</f>
        <v>0.24500000000000002</v>
      </c>
      <c r="F5" s="7">
        <f>E5*(2%)</f>
        <v>4.9000000000000007E-3</v>
      </c>
      <c r="G5" s="7">
        <f t="shared" ref="G5:G57" si="0">E5-F5</f>
        <v>0.24010000000000004</v>
      </c>
    </row>
    <row r="6" spans="1:7" ht="26.5" customHeight="1" x14ac:dyDescent="0.35">
      <c r="A6" s="48"/>
      <c r="B6" s="5" t="s">
        <v>99</v>
      </c>
      <c r="C6" s="7">
        <v>0.5</v>
      </c>
      <c r="D6" s="7">
        <f t="shared" ref="D6:D57" si="1">(C6-(C6*10%))</f>
        <v>0.45</v>
      </c>
      <c r="E6" s="7">
        <f t="shared" ref="E6:E57" si="2">D6-(2.5%)</f>
        <v>0.42499999999999999</v>
      </c>
      <c r="F6" s="7">
        <f t="shared" ref="F6:F57" si="3">E6*(2%)</f>
        <v>8.5000000000000006E-3</v>
      </c>
      <c r="G6" s="7">
        <f t="shared" si="0"/>
        <v>0.41649999999999998</v>
      </c>
    </row>
    <row r="7" spans="1:7" ht="26.5" customHeight="1" x14ac:dyDescent="0.35">
      <c r="A7" s="48" t="s">
        <v>1385</v>
      </c>
      <c r="B7" s="5" t="s">
        <v>98</v>
      </c>
      <c r="C7" s="7">
        <v>0.15</v>
      </c>
      <c r="D7" s="7">
        <f t="shared" si="1"/>
        <v>0.13500000000000001</v>
      </c>
      <c r="E7" s="7">
        <f t="shared" si="2"/>
        <v>0.11000000000000001</v>
      </c>
      <c r="F7" s="7">
        <f t="shared" si="3"/>
        <v>2.2000000000000001E-3</v>
      </c>
      <c r="G7" s="7">
        <f t="shared" si="0"/>
        <v>0.10780000000000002</v>
      </c>
    </row>
    <row r="8" spans="1:7" ht="26.5" customHeight="1" x14ac:dyDescent="0.35">
      <c r="A8" s="48"/>
      <c r="B8" s="5" t="s">
        <v>99</v>
      </c>
      <c r="C8" s="7">
        <v>0.15</v>
      </c>
      <c r="D8" s="7">
        <f t="shared" si="1"/>
        <v>0.13500000000000001</v>
      </c>
      <c r="E8" s="7">
        <f t="shared" si="2"/>
        <v>0.11000000000000001</v>
      </c>
      <c r="F8" s="7">
        <f t="shared" si="3"/>
        <v>2.2000000000000001E-3</v>
      </c>
      <c r="G8" s="7">
        <f t="shared" si="0"/>
        <v>0.10780000000000002</v>
      </c>
    </row>
    <row r="9" spans="1:7" ht="26.5" customHeight="1" x14ac:dyDescent="0.35">
      <c r="A9" s="5" t="s">
        <v>1386</v>
      </c>
      <c r="B9" s="5" t="s">
        <v>98</v>
      </c>
      <c r="C9" s="7">
        <v>0.15</v>
      </c>
      <c r="D9" s="7">
        <f t="shared" si="1"/>
        <v>0.13500000000000001</v>
      </c>
      <c r="E9" s="7">
        <f t="shared" si="2"/>
        <v>0.11000000000000001</v>
      </c>
      <c r="F9" s="7">
        <f t="shared" si="3"/>
        <v>2.2000000000000001E-3</v>
      </c>
      <c r="G9" s="7">
        <f t="shared" si="0"/>
        <v>0.10780000000000002</v>
      </c>
    </row>
    <row r="10" spans="1:7" ht="26.5" customHeight="1" x14ac:dyDescent="0.35">
      <c r="A10" s="5" t="s">
        <v>1387</v>
      </c>
      <c r="B10" s="5" t="s">
        <v>99</v>
      </c>
      <c r="C10" s="7">
        <v>0.15</v>
      </c>
      <c r="D10" s="7">
        <f t="shared" si="1"/>
        <v>0.13500000000000001</v>
      </c>
      <c r="E10" s="7">
        <f t="shared" si="2"/>
        <v>0.11000000000000001</v>
      </c>
      <c r="F10" s="7">
        <f t="shared" si="3"/>
        <v>2.2000000000000001E-3</v>
      </c>
      <c r="G10" s="7">
        <f t="shared" si="0"/>
        <v>0.10780000000000002</v>
      </c>
    </row>
    <row r="11" spans="1:7" ht="26.5" customHeight="1" x14ac:dyDescent="0.35">
      <c r="A11" s="2" t="s">
        <v>987</v>
      </c>
      <c r="B11" s="2" t="s">
        <v>1</v>
      </c>
      <c r="C11" s="4" t="s">
        <v>2</v>
      </c>
      <c r="D11" s="4" t="s">
        <v>922</v>
      </c>
      <c r="E11" s="4" t="s">
        <v>1276</v>
      </c>
      <c r="F11" s="4" t="s">
        <v>363</v>
      </c>
      <c r="G11" s="4" t="s">
        <v>364</v>
      </c>
    </row>
    <row r="12" spans="1:7" ht="26.5" customHeight="1" x14ac:dyDescent="0.35">
      <c r="A12" s="48" t="s">
        <v>1343</v>
      </c>
      <c r="B12" s="5" t="s">
        <v>98</v>
      </c>
      <c r="C12" s="7">
        <v>0.2</v>
      </c>
      <c r="D12" s="7">
        <f t="shared" si="1"/>
        <v>0.18</v>
      </c>
      <c r="E12" s="7">
        <f t="shared" si="2"/>
        <v>0.155</v>
      </c>
      <c r="F12" s="7">
        <f t="shared" si="3"/>
        <v>3.0999999999999999E-3</v>
      </c>
      <c r="G12" s="7">
        <f t="shared" si="0"/>
        <v>0.15190000000000001</v>
      </c>
    </row>
    <row r="13" spans="1:7" ht="26.5" customHeight="1" x14ac:dyDescent="0.35">
      <c r="A13" s="48"/>
      <c r="B13" s="5" t="s">
        <v>99</v>
      </c>
      <c r="C13" s="7">
        <v>0.8</v>
      </c>
      <c r="D13" s="7">
        <f t="shared" si="1"/>
        <v>0.72</v>
      </c>
      <c r="E13" s="7">
        <f t="shared" si="2"/>
        <v>0.69499999999999995</v>
      </c>
      <c r="F13" s="7">
        <f t="shared" si="3"/>
        <v>1.3899999999999999E-2</v>
      </c>
      <c r="G13" s="7">
        <f t="shared" si="0"/>
        <v>0.68109999999999993</v>
      </c>
    </row>
    <row r="14" spans="1:7" ht="26.5" customHeight="1" x14ac:dyDescent="0.35">
      <c r="A14" s="48" t="s">
        <v>1344</v>
      </c>
      <c r="B14" s="5" t="s">
        <v>98</v>
      </c>
      <c r="C14" s="7">
        <v>0.2</v>
      </c>
      <c r="D14" s="7">
        <f t="shared" si="1"/>
        <v>0.18</v>
      </c>
      <c r="E14" s="7">
        <f t="shared" si="2"/>
        <v>0.155</v>
      </c>
      <c r="F14" s="7">
        <f t="shared" si="3"/>
        <v>3.0999999999999999E-3</v>
      </c>
      <c r="G14" s="7">
        <f t="shared" si="0"/>
        <v>0.15190000000000001</v>
      </c>
    </row>
    <row r="15" spans="1:7" ht="26.5" customHeight="1" x14ac:dyDescent="0.35">
      <c r="A15" s="48"/>
      <c r="B15" s="5" t="s">
        <v>99</v>
      </c>
      <c r="C15" s="7">
        <v>0.2</v>
      </c>
      <c r="D15" s="7">
        <f t="shared" si="1"/>
        <v>0.18</v>
      </c>
      <c r="E15" s="7">
        <f t="shared" si="2"/>
        <v>0.155</v>
      </c>
      <c r="F15" s="7">
        <f t="shared" si="3"/>
        <v>3.0999999999999999E-3</v>
      </c>
      <c r="G15" s="7">
        <f t="shared" si="0"/>
        <v>0.15190000000000001</v>
      </c>
    </row>
    <row r="16" spans="1:7" ht="26.5" customHeight="1" x14ac:dyDescent="0.35">
      <c r="A16" s="5" t="s">
        <v>1345</v>
      </c>
      <c r="B16" s="5" t="s">
        <v>98</v>
      </c>
      <c r="C16" s="7">
        <v>0.2</v>
      </c>
      <c r="D16" s="7">
        <f t="shared" si="1"/>
        <v>0.18</v>
      </c>
      <c r="E16" s="7">
        <f t="shared" si="2"/>
        <v>0.155</v>
      </c>
      <c r="F16" s="7">
        <f t="shared" si="3"/>
        <v>3.0999999999999999E-3</v>
      </c>
      <c r="G16" s="7">
        <f t="shared" si="0"/>
        <v>0.15190000000000001</v>
      </c>
    </row>
    <row r="17" spans="1:7" ht="26.5" customHeight="1" x14ac:dyDescent="0.35">
      <c r="A17" s="5" t="s">
        <v>1346</v>
      </c>
      <c r="B17" s="5" t="s">
        <v>99</v>
      </c>
      <c r="C17" s="7">
        <v>0.2</v>
      </c>
      <c r="D17" s="7">
        <f t="shared" si="1"/>
        <v>0.18</v>
      </c>
      <c r="E17" s="7">
        <f t="shared" si="2"/>
        <v>0.155</v>
      </c>
      <c r="F17" s="7">
        <f t="shared" si="3"/>
        <v>3.0999999999999999E-3</v>
      </c>
      <c r="G17" s="7">
        <f t="shared" si="0"/>
        <v>0.15190000000000001</v>
      </c>
    </row>
    <row r="18" spans="1:7" ht="26.5" customHeight="1" x14ac:dyDescent="0.35">
      <c r="A18" s="2" t="s">
        <v>988</v>
      </c>
      <c r="B18" s="2" t="s">
        <v>1</v>
      </c>
      <c r="C18" s="4" t="s">
        <v>2</v>
      </c>
      <c r="D18" s="4" t="s">
        <v>922</v>
      </c>
      <c r="E18" s="4" t="s">
        <v>1276</v>
      </c>
      <c r="F18" s="4" t="s">
        <v>363</v>
      </c>
      <c r="G18" s="4" t="s">
        <v>364</v>
      </c>
    </row>
    <row r="19" spans="1:7" ht="26.5" customHeight="1" x14ac:dyDescent="0.35">
      <c r="A19" s="5" t="s">
        <v>1347</v>
      </c>
      <c r="B19" s="5" t="s">
        <v>100</v>
      </c>
      <c r="C19" s="7">
        <v>0.2</v>
      </c>
      <c r="D19" s="7">
        <f t="shared" si="1"/>
        <v>0.18</v>
      </c>
      <c r="E19" s="7">
        <f t="shared" si="2"/>
        <v>0.155</v>
      </c>
      <c r="F19" s="7">
        <f t="shared" si="3"/>
        <v>3.0999999999999999E-3</v>
      </c>
      <c r="G19" s="7">
        <f t="shared" si="0"/>
        <v>0.15190000000000001</v>
      </c>
    </row>
    <row r="20" spans="1:7" ht="26.5" customHeight="1" x14ac:dyDescent="0.35">
      <c r="A20" s="5" t="s">
        <v>1348</v>
      </c>
      <c r="B20" s="5" t="s">
        <v>100</v>
      </c>
      <c r="C20" s="7">
        <v>0.1</v>
      </c>
      <c r="D20" s="7">
        <f t="shared" si="1"/>
        <v>0.09</v>
      </c>
      <c r="E20" s="7">
        <f t="shared" si="2"/>
        <v>6.5000000000000002E-2</v>
      </c>
      <c r="F20" s="7">
        <f t="shared" si="3"/>
        <v>1.3000000000000002E-3</v>
      </c>
      <c r="G20" s="7">
        <f t="shared" si="0"/>
        <v>6.3700000000000007E-2</v>
      </c>
    </row>
    <row r="21" spans="1:7" ht="26.5" customHeight="1" x14ac:dyDescent="0.35">
      <c r="A21" s="41" t="s">
        <v>1349</v>
      </c>
      <c r="B21" s="5" t="s">
        <v>1350</v>
      </c>
      <c r="C21" s="7">
        <v>0.125</v>
      </c>
      <c r="D21" s="7">
        <f t="shared" si="1"/>
        <v>0.1125</v>
      </c>
      <c r="E21" s="7">
        <f t="shared" si="2"/>
        <v>8.7499999999999994E-2</v>
      </c>
      <c r="F21" s="7">
        <f t="shared" si="3"/>
        <v>1.7499999999999998E-3</v>
      </c>
      <c r="G21" s="7">
        <f t="shared" si="0"/>
        <v>8.5749999999999993E-2</v>
      </c>
    </row>
    <row r="22" spans="1:7" ht="26.5" customHeight="1" x14ac:dyDescent="0.35">
      <c r="A22" s="43"/>
      <c r="B22" s="5" t="s">
        <v>1351</v>
      </c>
      <c r="C22" s="7">
        <v>0.08</v>
      </c>
      <c r="D22" s="7">
        <f t="shared" si="1"/>
        <v>7.2000000000000008E-2</v>
      </c>
      <c r="E22" s="7">
        <f t="shared" si="2"/>
        <v>4.7000000000000007E-2</v>
      </c>
      <c r="F22" s="7">
        <f t="shared" si="3"/>
        <v>9.4000000000000019E-4</v>
      </c>
      <c r="G22" s="7">
        <f t="shared" si="0"/>
        <v>4.6060000000000004E-2</v>
      </c>
    </row>
    <row r="23" spans="1:7" ht="26.5" customHeight="1" x14ac:dyDescent="0.35">
      <c r="A23" s="41" t="s">
        <v>1352</v>
      </c>
      <c r="B23" s="5" t="s">
        <v>1350</v>
      </c>
      <c r="C23" s="7">
        <v>0.1</v>
      </c>
      <c r="D23" s="7">
        <f t="shared" si="1"/>
        <v>0.09</v>
      </c>
      <c r="E23" s="7">
        <f t="shared" si="2"/>
        <v>6.5000000000000002E-2</v>
      </c>
      <c r="F23" s="7">
        <f t="shared" si="3"/>
        <v>1.3000000000000002E-3</v>
      </c>
      <c r="G23" s="7">
        <f t="shared" si="0"/>
        <v>6.3700000000000007E-2</v>
      </c>
    </row>
    <row r="24" spans="1:7" ht="26.5" customHeight="1" x14ac:dyDescent="0.35">
      <c r="A24" s="43"/>
      <c r="B24" s="5" t="s">
        <v>1351</v>
      </c>
      <c r="C24" s="7">
        <v>0.08</v>
      </c>
      <c r="D24" s="7">
        <f t="shared" si="1"/>
        <v>7.2000000000000008E-2</v>
      </c>
      <c r="E24" s="7">
        <f t="shared" si="2"/>
        <v>4.7000000000000007E-2</v>
      </c>
      <c r="F24" s="7">
        <f t="shared" si="3"/>
        <v>9.4000000000000019E-4</v>
      </c>
      <c r="G24" s="7">
        <f t="shared" si="0"/>
        <v>4.6060000000000004E-2</v>
      </c>
    </row>
    <row r="25" spans="1:7" ht="26.5" customHeight="1" x14ac:dyDescent="0.35">
      <c r="A25" s="5" t="s">
        <v>1353</v>
      </c>
      <c r="B25" s="5" t="s">
        <v>100</v>
      </c>
      <c r="C25" s="7">
        <v>0.08</v>
      </c>
      <c r="D25" s="7">
        <f t="shared" si="1"/>
        <v>7.2000000000000008E-2</v>
      </c>
      <c r="E25" s="7">
        <f t="shared" si="2"/>
        <v>4.7000000000000007E-2</v>
      </c>
      <c r="F25" s="7">
        <f t="shared" si="3"/>
        <v>9.4000000000000019E-4</v>
      </c>
      <c r="G25" s="7">
        <f t="shared" si="0"/>
        <v>4.6060000000000004E-2</v>
      </c>
    </row>
    <row r="26" spans="1:7" ht="26.5" customHeight="1" x14ac:dyDescent="0.35">
      <c r="A26" s="2" t="s">
        <v>975</v>
      </c>
      <c r="B26" s="2" t="s">
        <v>1</v>
      </c>
      <c r="C26" s="4" t="s">
        <v>2</v>
      </c>
      <c r="D26" s="4" t="s">
        <v>922</v>
      </c>
      <c r="E26" s="4" t="s">
        <v>1276</v>
      </c>
      <c r="F26" s="4" t="s">
        <v>363</v>
      </c>
      <c r="G26" s="4" t="s">
        <v>364</v>
      </c>
    </row>
    <row r="27" spans="1:7" ht="32.5" customHeight="1" x14ac:dyDescent="0.35">
      <c r="A27" s="29" t="s">
        <v>1354</v>
      </c>
      <c r="B27" s="5" t="s">
        <v>100</v>
      </c>
      <c r="C27" s="7">
        <v>0.55000000000000004</v>
      </c>
      <c r="D27" s="7">
        <f t="shared" si="1"/>
        <v>0.49500000000000005</v>
      </c>
      <c r="E27" s="7">
        <f t="shared" si="2"/>
        <v>0.47000000000000003</v>
      </c>
      <c r="F27" s="7">
        <f t="shared" si="3"/>
        <v>9.4000000000000004E-3</v>
      </c>
      <c r="G27" s="7">
        <f t="shared" si="0"/>
        <v>0.46060000000000001</v>
      </c>
    </row>
    <row r="28" spans="1:7" ht="32.5" customHeight="1" x14ac:dyDescent="0.35">
      <c r="A28" s="29" t="s">
        <v>979</v>
      </c>
      <c r="B28" s="5" t="s">
        <v>100</v>
      </c>
      <c r="C28" s="7">
        <v>0.55000000000000004</v>
      </c>
      <c r="D28" s="7">
        <f t="shared" si="1"/>
        <v>0.49500000000000005</v>
      </c>
      <c r="E28" s="7">
        <f t="shared" si="2"/>
        <v>0.47000000000000003</v>
      </c>
      <c r="F28" s="7">
        <f t="shared" si="3"/>
        <v>9.4000000000000004E-3</v>
      </c>
      <c r="G28" s="7">
        <f t="shared" si="0"/>
        <v>0.46060000000000001</v>
      </c>
    </row>
    <row r="29" spans="1:7" ht="32.5" customHeight="1" x14ac:dyDescent="0.35">
      <c r="A29" s="29" t="s">
        <v>1355</v>
      </c>
      <c r="B29" s="5" t="s">
        <v>100</v>
      </c>
      <c r="C29" s="7">
        <v>0.4</v>
      </c>
      <c r="D29" s="7">
        <f t="shared" si="1"/>
        <v>0.36</v>
      </c>
      <c r="E29" s="7">
        <f t="shared" si="2"/>
        <v>0.33499999999999996</v>
      </c>
      <c r="F29" s="7">
        <f t="shared" si="3"/>
        <v>6.6999999999999994E-3</v>
      </c>
      <c r="G29" s="7">
        <f t="shared" si="0"/>
        <v>0.32829999999999998</v>
      </c>
    </row>
    <row r="30" spans="1:7" ht="32.5" customHeight="1" x14ac:dyDescent="0.35">
      <c r="A30" s="29" t="s">
        <v>1356</v>
      </c>
      <c r="B30" s="5" t="s">
        <v>100</v>
      </c>
      <c r="C30" s="7">
        <v>0.4</v>
      </c>
      <c r="D30" s="7">
        <f t="shared" si="1"/>
        <v>0.36</v>
      </c>
      <c r="E30" s="7">
        <f t="shared" si="2"/>
        <v>0.33499999999999996</v>
      </c>
      <c r="F30" s="7">
        <f t="shared" si="3"/>
        <v>6.6999999999999994E-3</v>
      </c>
      <c r="G30" s="7">
        <f t="shared" si="0"/>
        <v>0.32829999999999998</v>
      </c>
    </row>
    <row r="31" spans="1:7" ht="32.5" customHeight="1" x14ac:dyDescent="0.35">
      <c r="A31" s="29" t="s">
        <v>1357</v>
      </c>
      <c r="B31" s="5" t="s">
        <v>100</v>
      </c>
      <c r="C31" s="7">
        <v>0.25</v>
      </c>
      <c r="D31" s="7">
        <f t="shared" si="1"/>
        <v>0.22500000000000001</v>
      </c>
      <c r="E31" s="7">
        <f t="shared" si="2"/>
        <v>0.2</v>
      </c>
      <c r="F31" s="7">
        <f t="shared" si="3"/>
        <v>4.0000000000000001E-3</v>
      </c>
      <c r="G31" s="7">
        <f t="shared" si="0"/>
        <v>0.19600000000000001</v>
      </c>
    </row>
    <row r="32" spans="1:7" ht="32.5" customHeight="1" x14ac:dyDescent="0.35">
      <c r="A32" s="29" t="s">
        <v>1358</v>
      </c>
      <c r="B32" s="5" t="s">
        <v>100</v>
      </c>
      <c r="C32" s="7">
        <v>0.25</v>
      </c>
      <c r="D32" s="7">
        <f t="shared" si="1"/>
        <v>0.22500000000000001</v>
      </c>
      <c r="E32" s="7">
        <f t="shared" si="2"/>
        <v>0.2</v>
      </c>
      <c r="F32" s="7">
        <f t="shared" si="3"/>
        <v>4.0000000000000001E-3</v>
      </c>
      <c r="G32" s="7">
        <f t="shared" si="0"/>
        <v>0.19600000000000001</v>
      </c>
    </row>
    <row r="33" spans="1:7" ht="32.5" customHeight="1" x14ac:dyDescent="0.35">
      <c r="A33" s="29" t="s">
        <v>1359</v>
      </c>
      <c r="B33" s="5" t="s">
        <v>100</v>
      </c>
      <c r="C33" s="7">
        <v>0.15</v>
      </c>
      <c r="D33" s="7">
        <f t="shared" si="1"/>
        <v>0.13500000000000001</v>
      </c>
      <c r="E33" s="7">
        <f t="shared" si="2"/>
        <v>0.11000000000000001</v>
      </c>
      <c r="F33" s="7">
        <f t="shared" si="3"/>
        <v>2.2000000000000001E-3</v>
      </c>
      <c r="G33" s="7">
        <f t="shared" si="0"/>
        <v>0.10780000000000002</v>
      </c>
    </row>
    <row r="34" spans="1:7" ht="32.5" customHeight="1" x14ac:dyDescent="0.35">
      <c r="A34" s="29" t="s">
        <v>1360</v>
      </c>
      <c r="B34" s="5" t="s">
        <v>100</v>
      </c>
      <c r="C34" s="7">
        <v>0.15</v>
      </c>
      <c r="D34" s="7">
        <f t="shared" si="1"/>
        <v>0.13500000000000001</v>
      </c>
      <c r="E34" s="7">
        <f t="shared" si="2"/>
        <v>0.11000000000000001</v>
      </c>
      <c r="F34" s="7">
        <f t="shared" si="3"/>
        <v>2.2000000000000001E-3</v>
      </c>
      <c r="G34" s="7">
        <f t="shared" si="0"/>
        <v>0.10780000000000002</v>
      </c>
    </row>
    <row r="35" spans="1:7" ht="32.5" customHeight="1" x14ac:dyDescent="0.35">
      <c r="A35" s="29" t="s">
        <v>1361</v>
      </c>
      <c r="B35" s="5" t="s">
        <v>100</v>
      </c>
      <c r="C35" s="7">
        <v>0.05</v>
      </c>
      <c r="D35" s="7">
        <f t="shared" si="1"/>
        <v>4.4999999999999998E-2</v>
      </c>
      <c r="E35" s="7">
        <f t="shared" si="2"/>
        <v>1.9999999999999997E-2</v>
      </c>
      <c r="F35" s="7">
        <f t="shared" si="3"/>
        <v>3.9999999999999996E-4</v>
      </c>
      <c r="G35" s="7">
        <f t="shared" si="0"/>
        <v>1.9599999999999996E-2</v>
      </c>
    </row>
    <row r="36" spans="1:7" ht="32.5" customHeight="1" x14ac:dyDescent="0.35">
      <c r="A36" s="29" t="s">
        <v>1362</v>
      </c>
      <c r="B36" s="5" t="s">
        <v>100</v>
      </c>
      <c r="C36" s="7">
        <v>0.05</v>
      </c>
      <c r="D36" s="7">
        <f t="shared" si="1"/>
        <v>4.4999999999999998E-2</v>
      </c>
      <c r="E36" s="7">
        <f t="shared" si="2"/>
        <v>1.9999999999999997E-2</v>
      </c>
      <c r="F36" s="7">
        <f t="shared" si="3"/>
        <v>3.9999999999999996E-4</v>
      </c>
      <c r="G36" s="7">
        <f t="shared" si="0"/>
        <v>1.9599999999999996E-2</v>
      </c>
    </row>
    <row r="37" spans="1:7" ht="32.5" customHeight="1" x14ac:dyDescent="0.35">
      <c r="A37" s="29" t="s">
        <v>1363</v>
      </c>
      <c r="B37" s="5" t="s">
        <v>100</v>
      </c>
      <c r="C37" s="7">
        <v>7.4999999999999997E-2</v>
      </c>
      <c r="D37" s="7">
        <f t="shared" si="1"/>
        <v>6.7500000000000004E-2</v>
      </c>
      <c r="E37" s="7">
        <f t="shared" si="2"/>
        <v>4.2500000000000003E-2</v>
      </c>
      <c r="F37" s="7">
        <f t="shared" si="3"/>
        <v>8.5000000000000006E-4</v>
      </c>
      <c r="G37" s="7">
        <f t="shared" si="0"/>
        <v>4.1650000000000006E-2</v>
      </c>
    </row>
    <row r="38" spans="1:7" ht="32.5" customHeight="1" x14ac:dyDescent="0.35">
      <c r="A38" s="29" t="s">
        <v>1364</v>
      </c>
      <c r="B38" s="5" t="s">
        <v>100</v>
      </c>
      <c r="C38" s="7">
        <v>7.4999999999999997E-2</v>
      </c>
      <c r="D38" s="7">
        <f t="shared" si="1"/>
        <v>6.7500000000000004E-2</v>
      </c>
      <c r="E38" s="7">
        <f t="shared" si="2"/>
        <v>4.2500000000000003E-2</v>
      </c>
      <c r="F38" s="7">
        <f t="shared" si="3"/>
        <v>8.5000000000000006E-4</v>
      </c>
      <c r="G38" s="7">
        <f t="shared" si="0"/>
        <v>4.1650000000000006E-2</v>
      </c>
    </row>
    <row r="39" spans="1:7" ht="32.5" customHeight="1" x14ac:dyDescent="0.35">
      <c r="A39" s="29" t="s">
        <v>1365</v>
      </c>
      <c r="B39" s="5" t="s">
        <v>100</v>
      </c>
      <c r="C39" s="7">
        <v>0.1</v>
      </c>
      <c r="D39" s="7">
        <f t="shared" si="1"/>
        <v>0.09</v>
      </c>
      <c r="E39" s="7">
        <f t="shared" si="2"/>
        <v>6.5000000000000002E-2</v>
      </c>
      <c r="F39" s="7">
        <f t="shared" si="3"/>
        <v>1.3000000000000002E-3</v>
      </c>
      <c r="G39" s="7">
        <f t="shared" si="0"/>
        <v>6.3700000000000007E-2</v>
      </c>
    </row>
    <row r="40" spans="1:7" ht="32.5" customHeight="1" x14ac:dyDescent="0.35">
      <c r="A40" s="29" t="s">
        <v>1366</v>
      </c>
      <c r="B40" s="5" t="s">
        <v>100</v>
      </c>
      <c r="C40" s="7">
        <v>0.1</v>
      </c>
      <c r="D40" s="7">
        <f t="shared" si="1"/>
        <v>0.09</v>
      </c>
      <c r="E40" s="7">
        <f t="shared" si="2"/>
        <v>6.5000000000000002E-2</v>
      </c>
      <c r="F40" s="7">
        <f t="shared" si="3"/>
        <v>1.3000000000000002E-3</v>
      </c>
      <c r="G40" s="7">
        <f t="shared" si="0"/>
        <v>6.3700000000000007E-2</v>
      </c>
    </row>
    <row r="41" spans="1:7" ht="32.5" customHeight="1" x14ac:dyDescent="0.35">
      <c r="A41" s="29" t="s">
        <v>1367</v>
      </c>
      <c r="B41" s="5" t="s">
        <v>100</v>
      </c>
      <c r="C41" s="7">
        <v>7.4999999999999997E-2</v>
      </c>
      <c r="D41" s="7">
        <f t="shared" si="1"/>
        <v>6.7500000000000004E-2</v>
      </c>
      <c r="E41" s="7">
        <f t="shared" si="2"/>
        <v>4.2500000000000003E-2</v>
      </c>
      <c r="F41" s="7">
        <f t="shared" si="3"/>
        <v>8.5000000000000006E-4</v>
      </c>
      <c r="G41" s="7">
        <f t="shared" si="0"/>
        <v>4.1650000000000006E-2</v>
      </c>
    </row>
    <row r="42" spans="1:7" ht="32.5" customHeight="1" x14ac:dyDescent="0.35">
      <c r="A42" s="29" t="s">
        <v>1368</v>
      </c>
      <c r="B42" s="5" t="s">
        <v>100</v>
      </c>
      <c r="C42" s="7">
        <v>7.4999999999999997E-2</v>
      </c>
      <c r="D42" s="7">
        <f t="shared" si="1"/>
        <v>6.7500000000000004E-2</v>
      </c>
      <c r="E42" s="7">
        <f t="shared" si="2"/>
        <v>4.2500000000000003E-2</v>
      </c>
      <c r="F42" s="7">
        <f t="shared" si="3"/>
        <v>8.5000000000000006E-4</v>
      </c>
      <c r="G42" s="7">
        <f t="shared" si="0"/>
        <v>4.1650000000000006E-2</v>
      </c>
    </row>
    <row r="43" spans="1:7" ht="32.5" customHeight="1" x14ac:dyDescent="0.35">
      <c r="A43" s="29" t="s">
        <v>1369</v>
      </c>
      <c r="B43" s="5" t="s">
        <v>100</v>
      </c>
      <c r="C43" s="7">
        <v>0.05</v>
      </c>
      <c r="D43" s="7">
        <f t="shared" si="1"/>
        <v>4.4999999999999998E-2</v>
      </c>
      <c r="E43" s="7">
        <f t="shared" si="2"/>
        <v>1.9999999999999997E-2</v>
      </c>
      <c r="F43" s="7">
        <f t="shared" si="3"/>
        <v>3.9999999999999996E-4</v>
      </c>
      <c r="G43" s="7">
        <f t="shared" si="0"/>
        <v>1.9599999999999996E-2</v>
      </c>
    </row>
    <row r="44" spans="1:7" ht="32.5" customHeight="1" x14ac:dyDescent="0.35">
      <c r="A44" s="29" t="s">
        <v>1370</v>
      </c>
      <c r="B44" s="5" t="s">
        <v>100</v>
      </c>
      <c r="C44" s="7">
        <v>0.05</v>
      </c>
      <c r="D44" s="7">
        <f t="shared" si="1"/>
        <v>4.4999999999999998E-2</v>
      </c>
      <c r="E44" s="7">
        <f t="shared" si="2"/>
        <v>1.9999999999999997E-2</v>
      </c>
      <c r="F44" s="7">
        <f t="shared" si="3"/>
        <v>3.9999999999999996E-4</v>
      </c>
      <c r="G44" s="7">
        <f t="shared" si="0"/>
        <v>1.9599999999999996E-2</v>
      </c>
    </row>
    <row r="45" spans="1:7" ht="32.5" customHeight="1" x14ac:dyDescent="0.35">
      <c r="A45" s="2" t="s">
        <v>1371</v>
      </c>
      <c r="B45" s="2" t="s">
        <v>1</v>
      </c>
      <c r="C45" s="4" t="s">
        <v>2</v>
      </c>
      <c r="D45" s="4" t="s">
        <v>922</v>
      </c>
      <c r="E45" s="4" t="s">
        <v>1276</v>
      </c>
      <c r="F45" s="4" t="s">
        <v>363</v>
      </c>
      <c r="G45" s="4" t="s">
        <v>364</v>
      </c>
    </row>
    <row r="46" spans="1:7" ht="32.5" customHeight="1" x14ac:dyDescent="0.35">
      <c r="A46" s="29" t="s">
        <v>1372</v>
      </c>
      <c r="B46" s="5" t="s">
        <v>100</v>
      </c>
      <c r="C46" s="7">
        <v>0.42499999999999999</v>
      </c>
      <c r="D46" s="7">
        <f t="shared" si="1"/>
        <v>0.38250000000000001</v>
      </c>
      <c r="E46" s="7">
        <f t="shared" si="2"/>
        <v>0.35749999999999998</v>
      </c>
      <c r="F46" s="7">
        <f t="shared" si="3"/>
        <v>7.1500000000000001E-3</v>
      </c>
      <c r="G46" s="7">
        <f t="shared" si="0"/>
        <v>0.35034999999999999</v>
      </c>
    </row>
    <row r="47" spans="1:7" ht="32.5" customHeight="1" x14ac:dyDescent="0.35">
      <c r="A47" s="29" t="s">
        <v>1373</v>
      </c>
      <c r="B47" s="5" t="s">
        <v>100</v>
      </c>
      <c r="C47" s="7">
        <v>0.35</v>
      </c>
      <c r="D47" s="7">
        <f t="shared" si="1"/>
        <v>0.315</v>
      </c>
      <c r="E47" s="7">
        <f t="shared" si="2"/>
        <v>0.28999999999999998</v>
      </c>
      <c r="F47" s="7">
        <f t="shared" si="3"/>
        <v>5.7999999999999996E-3</v>
      </c>
      <c r="G47" s="7">
        <f t="shared" si="0"/>
        <v>0.28420000000000001</v>
      </c>
    </row>
    <row r="48" spans="1:7" ht="32.5" customHeight="1" x14ac:dyDescent="0.35">
      <c r="A48" s="29" t="s">
        <v>1374</v>
      </c>
      <c r="B48" s="5" t="s">
        <v>100</v>
      </c>
      <c r="C48" s="7">
        <v>0.05</v>
      </c>
      <c r="D48" s="7">
        <f t="shared" si="1"/>
        <v>4.4999999999999998E-2</v>
      </c>
      <c r="E48" s="7">
        <f t="shared" si="2"/>
        <v>1.9999999999999997E-2</v>
      </c>
      <c r="F48" s="7">
        <f t="shared" si="3"/>
        <v>3.9999999999999996E-4</v>
      </c>
      <c r="G48" s="7">
        <f t="shared" si="0"/>
        <v>1.9599999999999996E-2</v>
      </c>
    </row>
    <row r="49" spans="1:7" ht="32.5" customHeight="1" x14ac:dyDescent="0.35">
      <c r="A49" s="29" t="s">
        <v>1375</v>
      </c>
      <c r="B49" s="5" t="s">
        <v>100</v>
      </c>
      <c r="C49" s="7">
        <v>0.2</v>
      </c>
      <c r="D49" s="7">
        <f t="shared" si="1"/>
        <v>0.18</v>
      </c>
      <c r="E49" s="7">
        <f t="shared" si="2"/>
        <v>0.155</v>
      </c>
      <c r="F49" s="7">
        <f t="shared" si="3"/>
        <v>3.0999999999999999E-3</v>
      </c>
      <c r="G49" s="7">
        <f t="shared" si="0"/>
        <v>0.15190000000000001</v>
      </c>
    </row>
    <row r="50" spans="1:7" ht="32.5" customHeight="1" x14ac:dyDescent="0.35">
      <c r="A50" s="29" t="s">
        <v>1376</v>
      </c>
      <c r="B50" s="5" t="s">
        <v>100</v>
      </c>
      <c r="C50" s="7">
        <v>0.15</v>
      </c>
      <c r="D50" s="7">
        <f t="shared" si="1"/>
        <v>0.13500000000000001</v>
      </c>
      <c r="E50" s="7">
        <f t="shared" si="2"/>
        <v>0.11000000000000001</v>
      </c>
      <c r="F50" s="7">
        <f t="shared" si="3"/>
        <v>2.2000000000000001E-3</v>
      </c>
      <c r="G50" s="7">
        <f t="shared" si="0"/>
        <v>0.10780000000000002</v>
      </c>
    </row>
    <row r="51" spans="1:7" ht="32.5" customHeight="1" x14ac:dyDescent="0.35">
      <c r="A51" s="29" t="s">
        <v>1377</v>
      </c>
      <c r="B51" s="5" t="s">
        <v>100</v>
      </c>
      <c r="C51" s="7">
        <v>0.05</v>
      </c>
      <c r="D51" s="7">
        <f t="shared" si="1"/>
        <v>4.4999999999999998E-2</v>
      </c>
      <c r="E51" s="7">
        <f t="shared" si="2"/>
        <v>1.9999999999999997E-2</v>
      </c>
      <c r="F51" s="7">
        <f t="shared" si="3"/>
        <v>3.9999999999999996E-4</v>
      </c>
      <c r="G51" s="7">
        <f t="shared" si="0"/>
        <v>1.9599999999999996E-2</v>
      </c>
    </row>
    <row r="52" spans="1:7" ht="32.5" customHeight="1" x14ac:dyDescent="0.35">
      <c r="A52" s="29" t="s">
        <v>1378</v>
      </c>
      <c r="B52" s="5" t="s">
        <v>100</v>
      </c>
      <c r="C52" s="7">
        <v>0.15</v>
      </c>
      <c r="D52" s="7">
        <f t="shared" si="1"/>
        <v>0.13500000000000001</v>
      </c>
      <c r="E52" s="7">
        <f t="shared" si="2"/>
        <v>0.11000000000000001</v>
      </c>
      <c r="F52" s="7">
        <f t="shared" si="3"/>
        <v>2.2000000000000001E-3</v>
      </c>
      <c r="G52" s="7">
        <f t="shared" si="0"/>
        <v>0.10780000000000002</v>
      </c>
    </row>
    <row r="53" spans="1:7" ht="32.5" customHeight="1" x14ac:dyDescent="0.35">
      <c r="A53" s="29" t="s">
        <v>1379</v>
      </c>
      <c r="B53" s="5" t="s">
        <v>100</v>
      </c>
      <c r="C53" s="7">
        <v>0.15</v>
      </c>
      <c r="D53" s="7">
        <f t="shared" si="1"/>
        <v>0.13500000000000001</v>
      </c>
      <c r="E53" s="7">
        <f t="shared" si="2"/>
        <v>0.11000000000000001</v>
      </c>
      <c r="F53" s="7">
        <f t="shared" si="3"/>
        <v>2.2000000000000001E-3</v>
      </c>
      <c r="G53" s="7">
        <f t="shared" si="0"/>
        <v>0.10780000000000002</v>
      </c>
    </row>
    <row r="54" spans="1:7" ht="32.5" customHeight="1" x14ac:dyDescent="0.35">
      <c r="A54" s="29" t="s">
        <v>1380</v>
      </c>
      <c r="B54" s="5" t="s">
        <v>100</v>
      </c>
      <c r="C54" s="7">
        <v>0.05</v>
      </c>
      <c r="D54" s="7">
        <f t="shared" si="1"/>
        <v>4.4999999999999998E-2</v>
      </c>
      <c r="E54" s="7">
        <f t="shared" si="2"/>
        <v>1.9999999999999997E-2</v>
      </c>
      <c r="F54" s="7">
        <f t="shared" si="3"/>
        <v>3.9999999999999996E-4</v>
      </c>
      <c r="G54" s="7">
        <f t="shared" si="0"/>
        <v>1.9599999999999996E-2</v>
      </c>
    </row>
    <row r="55" spans="1:7" ht="32.5" customHeight="1" x14ac:dyDescent="0.35">
      <c r="A55" s="2" t="s">
        <v>1381</v>
      </c>
      <c r="B55" s="2" t="s">
        <v>1</v>
      </c>
      <c r="C55" s="4" t="s">
        <v>2</v>
      </c>
      <c r="D55" s="4" t="s">
        <v>922</v>
      </c>
      <c r="E55" s="4" t="s">
        <v>1276</v>
      </c>
      <c r="F55" s="4" t="s">
        <v>363</v>
      </c>
      <c r="G55" s="4" t="s">
        <v>364</v>
      </c>
    </row>
    <row r="56" spans="1:7" ht="32.5" customHeight="1" x14ac:dyDescent="0.35">
      <c r="A56" s="29" t="s">
        <v>1382</v>
      </c>
      <c r="B56" s="5" t="s">
        <v>100</v>
      </c>
      <c r="C56" s="7">
        <v>0.6</v>
      </c>
      <c r="D56" s="7">
        <f t="shared" si="1"/>
        <v>0.54</v>
      </c>
      <c r="E56" s="7">
        <f t="shared" si="2"/>
        <v>0.51500000000000001</v>
      </c>
      <c r="F56" s="7">
        <f t="shared" si="3"/>
        <v>1.03E-2</v>
      </c>
      <c r="G56" s="7">
        <f t="shared" si="0"/>
        <v>0.50470000000000004</v>
      </c>
    </row>
    <row r="57" spans="1:7" ht="32.5" customHeight="1" x14ac:dyDescent="0.35">
      <c r="A57" s="29" t="s">
        <v>1383</v>
      </c>
      <c r="B57" s="5" t="s">
        <v>100</v>
      </c>
      <c r="C57" s="7">
        <v>0.45</v>
      </c>
      <c r="D57" s="7">
        <f t="shared" si="1"/>
        <v>0.40500000000000003</v>
      </c>
      <c r="E57" s="7">
        <f t="shared" si="2"/>
        <v>0.38</v>
      </c>
      <c r="F57" s="7">
        <f t="shared" si="3"/>
        <v>7.6E-3</v>
      </c>
      <c r="G57" s="7">
        <f t="shared" si="0"/>
        <v>0.37240000000000001</v>
      </c>
    </row>
  </sheetData>
  <mergeCells count="6">
    <mergeCell ref="A23:A24"/>
    <mergeCell ref="A5:A6"/>
    <mergeCell ref="A7:A8"/>
    <mergeCell ref="A12:A13"/>
    <mergeCell ref="A14:A15"/>
    <mergeCell ref="A21:A22"/>
  </mergeCells>
  <printOptions horizontalCentered="1" verticalCentered="1"/>
  <pageMargins left="0" right="0" top="0" bottom="0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379B-0333-4CB4-8196-1D518CF88622}">
  <dimension ref="A2:J105"/>
  <sheetViews>
    <sheetView showGridLines="0" topLeftCell="A105" zoomScaleNormal="100" workbookViewId="0">
      <selection activeCell="A2" sqref="A2:G105"/>
    </sheetView>
  </sheetViews>
  <sheetFormatPr defaultColWidth="9.1796875" defaultRowHeight="35.15" customHeight="1" x14ac:dyDescent="0.35"/>
  <cols>
    <col min="1" max="1" width="30.81640625" style="9" customWidth="1"/>
    <col min="2" max="2" width="47.36328125" style="9" bestFit="1" customWidth="1"/>
    <col min="3" max="3" width="5.7265625" style="9" hidden="1" customWidth="1"/>
    <col min="4" max="4" width="8.1796875" style="17" hidden="1" customWidth="1"/>
    <col min="5" max="5" width="9.81640625" style="17" hidden="1" customWidth="1"/>
    <col min="6" max="6" width="6.453125" style="17" hidden="1" customWidth="1"/>
    <col min="7" max="7" width="9.1796875" style="17" bestFit="1" customWidth="1"/>
    <col min="8" max="16384" width="9.1796875" style="17"/>
  </cols>
  <sheetData>
    <row r="2" spans="1:10" ht="35.15" customHeight="1" x14ac:dyDescent="0.35">
      <c r="A2" s="46" t="s">
        <v>1294</v>
      </c>
      <c r="B2" s="15"/>
      <c r="C2" s="15"/>
      <c r="D2" s="16"/>
      <c r="E2" s="16"/>
      <c r="F2" s="16"/>
      <c r="G2" s="16"/>
    </row>
    <row r="3" spans="1:10" ht="18.5" x14ac:dyDescent="0.35">
      <c r="A3" s="46"/>
      <c r="B3" s="15"/>
      <c r="C3" s="15"/>
      <c r="D3" s="16"/>
      <c r="E3" s="16"/>
      <c r="F3" s="16"/>
      <c r="G3" s="16"/>
    </row>
    <row r="4" spans="1:10" ht="18.5" x14ac:dyDescent="0.35">
      <c r="A4" s="18"/>
      <c r="B4" s="19"/>
      <c r="C4" s="19"/>
      <c r="D4" s="20"/>
      <c r="E4" s="20"/>
      <c r="F4" s="20"/>
      <c r="G4" s="20"/>
    </row>
    <row r="5" spans="1:10" ht="14.5" x14ac:dyDescent="0.35">
      <c r="A5" s="2" t="s">
        <v>986</v>
      </c>
      <c r="B5" s="2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10" ht="14.5" x14ac:dyDescent="0.35">
      <c r="A6" s="48" t="s">
        <v>1076</v>
      </c>
      <c r="B6" s="32" t="s">
        <v>1077</v>
      </c>
      <c r="C6" s="7">
        <v>0.1</v>
      </c>
      <c r="D6" s="7">
        <f>(C6-(C6*1.5%))</f>
        <v>9.8500000000000004E-2</v>
      </c>
      <c r="E6" s="7">
        <f>D6-(4%)</f>
        <v>5.8500000000000003E-2</v>
      </c>
      <c r="F6" s="7">
        <f>E6*2%</f>
        <v>1.17E-3</v>
      </c>
      <c r="G6" s="7">
        <f t="shared" ref="G6" si="0">E6-F6</f>
        <v>5.7330000000000006E-2</v>
      </c>
    </row>
    <row r="7" spans="1:10" ht="14.5" x14ac:dyDescent="0.35">
      <c r="A7" s="48"/>
      <c r="B7" s="32" t="s">
        <v>1078</v>
      </c>
      <c r="C7" s="7">
        <v>0.1</v>
      </c>
      <c r="D7" s="7">
        <f t="shared" ref="D7:D70" si="1">(C7-(C7*1.5%))</f>
        <v>9.8500000000000004E-2</v>
      </c>
      <c r="E7" s="7">
        <f t="shared" ref="E7:E70" si="2">D7-(4%)</f>
        <v>5.8500000000000003E-2</v>
      </c>
      <c r="F7" s="7">
        <f t="shared" ref="F7:F70" si="3">E7*2%</f>
        <v>1.17E-3</v>
      </c>
      <c r="G7" s="7">
        <f t="shared" ref="G7:G70" si="4">E7-F7</f>
        <v>5.7330000000000006E-2</v>
      </c>
    </row>
    <row r="8" spans="1:10" ht="14.5" x14ac:dyDescent="0.35">
      <c r="A8" s="48"/>
      <c r="B8" s="5" t="s">
        <v>1079</v>
      </c>
      <c r="C8" s="7">
        <v>0.27500000000000002</v>
      </c>
      <c r="D8" s="7">
        <f t="shared" si="1"/>
        <v>0.27087500000000003</v>
      </c>
      <c r="E8" s="7">
        <f t="shared" si="2"/>
        <v>0.23087500000000002</v>
      </c>
      <c r="F8" s="7">
        <f t="shared" si="3"/>
        <v>4.6175000000000009E-3</v>
      </c>
      <c r="G8" s="7">
        <f t="shared" si="4"/>
        <v>0.22625750000000003</v>
      </c>
    </row>
    <row r="9" spans="1:10" ht="14.5" x14ac:dyDescent="0.35">
      <c r="A9" s="48"/>
      <c r="B9" s="5" t="s">
        <v>1080</v>
      </c>
      <c r="C9" s="7">
        <v>0.27500000000000002</v>
      </c>
      <c r="D9" s="7">
        <f t="shared" si="1"/>
        <v>0.27087500000000003</v>
      </c>
      <c r="E9" s="7">
        <f t="shared" si="2"/>
        <v>0.23087500000000002</v>
      </c>
      <c r="F9" s="7">
        <f t="shared" si="3"/>
        <v>4.6175000000000009E-3</v>
      </c>
      <c r="G9" s="7">
        <f t="shared" si="4"/>
        <v>0.22625750000000003</v>
      </c>
    </row>
    <row r="10" spans="1:10" ht="14.5" x14ac:dyDescent="0.35">
      <c r="A10" s="48"/>
      <c r="B10" s="32" t="s">
        <v>1081</v>
      </c>
      <c r="C10" s="7">
        <v>0.27500000000000002</v>
      </c>
      <c r="D10" s="7">
        <f t="shared" si="1"/>
        <v>0.27087500000000003</v>
      </c>
      <c r="E10" s="7">
        <f t="shared" si="2"/>
        <v>0.23087500000000002</v>
      </c>
      <c r="F10" s="7">
        <f t="shared" si="3"/>
        <v>4.6175000000000009E-3</v>
      </c>
      <c r="G10" s="7">
        <f t="shared" si="4"/>
        <v>0.22625750000000003</v>
      </c>
      <c r="I10" s="33"/>
      <c r="J10" s="33"/>
    </row>
    <row r="11" spans="1:10" ht="14.5" x14ac:dyDescent="0.35">
      <c r="A11" s="48"/>
      <c r="B11" s="32" t="s">
        <v>1082</v>
      </c>
      <c r="C11" s="7">
        <v>0.27500000000000002</v>
      </c>
      <c r="D11" s="7">
        <f t="shared" si="1"/>
        <v>0.27087500000000003</v>
      </c>
      <c r="E11" s="7">
        <f t="shared" si="2"/>
        <v>0.23087500000000002</v>
      </c>
      <c r="F11" s="7">
        <f t="shared" si="3"/>
        <v>4.6175000000000009E-3</v>
      </c>
      <c r="G11" s="7">
        <f t="shared" si="4"/>
        <v>0.22625750000000003</v>
      </c>
    </row>
    <row r="12" spans="1:10" ht="24" x14ac:dyDescent="0.35">
      <c r="A12" s="48"/>
      <c r="B12" s="5" t="s">
        <v>1083</v>
      </c>
      <c r="C12" s="7">
        <v>0.27500000000000002</v>
      </c>
      <c r="D12" s="7">
        <f t="shared" si="1"/>
        <v>0.27087500000000003</v>
      </c>
      <c r="E12" s="7">
        <f t="shared" si="2"/>
        <v>0.23087500000000002</v>
      </c>
      <c r="F12" s="7">
        <f t="shared" si="3"/>
        <v>4.6175000000000009E-3</v>
      </c>
      <c r="G12" s="7">
        <f t="shared" si="4"/>
        <v>0.22625750000000003</v>
      </c>
    </row>
    <row r="13" spans="1:10" ht="24" x14ac:dyDescent="0.35">
      <c r="A13" s="48"/>
      <c r="B13" s="5" t="s">
        <v>1084</v>
      </c>
      <c r="C13" s="7">
        <v>0.27500000000000002</v>
      </c>
      <c r="D13" s="7">
        <f t="shared" si="1"/>
        <v>0.27087500000000003</v>
      </c>
      <c r="E13" s="7">
        <f t="shared" si="2"/>
        <v>0.23087500000000002</v>
      </c>
      <c r="F13" s="7">
        <f t="shared" si="3"/>
        <v>4.6175000000000009E-3</v>
      </c>
      <c r="G13" s="7">
        <f t="shared" si="4"/>
        <v>0.22625750000000003</v>
      </c>
    </row>
    <row r="14" spans="1:10" ht="35.15" customHeight="1" x14ac:dyDescent="0.35">
      <c r="A14" s="48"/>
      <c r="B14" s="32" t="s">
        <v>1085</v>
      </c>
      <c r="C14" s="7">
        <v>0.1</v>
      </c>
      <c r="D14" s="7">
        <f t="shared" si="1"/>
        <v>9.8500000000000004E-2</v>
      </c>
      <c r="E14" s="7">
        <f t="shared" si="2"/>
        <v>5.8500000000000003E-2</v>
      </c>
      <c r="F14" s="7">
        <f t="shared" si="3"/>
        <v>1.17E-3</v>
      </c>
      <c r="G14" s="7">
        <f t="shared" si="4"/>
        <v>5.7330000000000006E-2</v>
      </c>
    </row>
    <row r="15" spans="1:10" ht="37.5" customHeight="1" x14ac:dyDescent="0.35">
      <c r="A15" s="48"/>
      <c r="B15" s="32" t="s">
        <v>1086</v>
      </c>
      <c r="C15" s="7">
        <v>0.1</v>
      </c>
      <c r="D15" s="7">
        <f t="shared" si="1"/>
        <v>9.8500000000000004E-2</v>
      </c>
      <c r="E15" s="7">
        <f t="shared" si="2"/>
        <v>5.8500000000000003E-2</v>
      </c>
      <c r="F15" s="7">
        <f t="shared" si="3"/>
        <v>1.17E-3</v>
      </c>
      <c r="G15" s="7">
        <f t="shared" si="4"/>
        <v>5.7330000000000006E-2</v>
      </c>
    </row>
    <row r="16" spans="1:10" ht="35.15" customHeight="1" x14ac:dyDescent="0.35">
      <c r="A16" s="48"/>
      <c r="B16" s="5" t="s">
        <v>1087</v>
      </c>
      <c r="C16" s="7">
        <v>0.27500000000000002</v>
      </c>
      <c r="D16" s="7">
        <f t="shared" si="1"/>
        <v>0.27087500000000003</v>
      </c>
      <c r="E16" s="7">
        <f t="shared" si="2"/>
        <v>0.23087500000000002</v>
      </c>
      <c r="F16" s="7">
        <f t="shared" si="3"/>
        <v>4.6175000000000009E-3</v>
      </c>
      <c r="G16" s="7">
        <f t="shared" si="4"/>
        <v>0.22625750000000003</v>
      </c>
    </row>
    <row r="17" spans="1:7" ht="35.15" customHeight="1" x14ac:dyDescent="0.35">
      <c r="A17" s="48"/>
      <c r="B17" s="5" t="s">
        <v>1088</v>
      </c>
      <c r="C17" s="7">
        <v>0.27500000000000002</v>
      </c>
      <c r="D17" s="7">
        <f t="shared" si="1"/>
        <v>0.27087500000000003</v>
      </c>
      <c r="E17" s="7">
        <f t="shared" si="2"/>
        <v>0.23087500000000002</v>
      </c>
      <c r="F17" s="7">
        <f t="shared" si="3"/>
        <v>4.6175000000000009E-3</v>
      </c>
      <c r="G17" s="7">
        <f t="shared" si="4"/>
        <v>0.22625750000000003</v>
      </c>
    </row>
    <row r="18" spans="1:7" ht="14.5" x14ac:dyDescent="0.35">
      <c r="A18" s="48" t="s">
        <v>1089</v>
      </c>
      <c r="B18" s="32" t="s">
        <v>1090</v>
      </c>
      <c r="C18" s="7">
        <v>0.05</v>
      </c>
      <c r="D18" s="7" t="s">
        <v>20</v>
      </c>
      <c r="E18" s="7" t="s">
        <v>20</v>
      </c>
      <c r="F18" s="7" t="s">
        <v>20</v>
      </c>
      <c r="G18" s="7" t="s">
        <v>20</v>
      </c>
    </row>
    <row r="19" spans="1:7" ht="14.5" x14ac:dyDescent="0.35">
      <c r="A19" s="48"/>
      <c r="B19" s="32" t="s">
        <v>1091</v>
      </c>
      <c r="C19" s="7">
        <v>0.05</v>
      </c>
      <c r="D19" s="7" t="s">
        <v>20</v>
      </c>
      <c r="E19" s="7" t="s">
        <v>20</v>
      </c>
      <c r="F19" s="7" t="s">
        <v>20</v>
      </c>
      <c r="G19" s="7" t="s">
        <v>20</v>
      </c>
    </row>
    <row r="20" spans="1:7" ht="35.15" customHeight="1" x14ac:dyDescent="0.35">
      <c r="A20" s="48"/>
      <c r="B20" s="5" t="s">
        <v>1092</v>
      </c>
      <c r="C20" s="7">
        <v>0.2</v>
      </c>
      <c r="D20" s="7">
        <f t="shared" si="1"/>
        <v>0.19700000000000001</v>
      </c>
      <c r="E20" s="7">
        <f t="shared" si="2"/>
        <v>0.157</v>
      </c>
      <c r="F20" s="7">
        <f t="shared" si="3"/>
        <v>3.14E-3</v>
      </c>
      <c r="G20" s="7">
        <f t="shared" si="4"/>
        <v>0.15386</v>
      </c>
    </row>
    <row r="21" spans="1:7" ht="14.5" x14ac:dyDescent="0.35">
      <c r="A21" s="48"/>
      <c r="B21" s="5" t="s">
        <v>1093</v>
      </c>
      <c r="C21" s="7">
        <v>0.2</v>
      </c>
      <c r="D21" s="7">
        <f t="shared" si="1"/>
        <v>0.19700000000000001</v>
      </c>
      <c r="E21" s="7">
        <f t="shared" si="2"/>
        <v>0.157</v>
      </c>
      <c r="F21" s="7">
        <f t="shared" si="3"/>
        <v>3.14E-3</v>
      </c>
      <c r="G21" s="7">
        <f t="shared" si="4"/>
        <v>0.15386</v>
      </c>
    </row>
    <row r="22" spans="1:7" ht="35.15" customHeight="1" x14ac:dyDescent="0.35">
      <c r="A22" s="48"/>
      <c r="B22" s="32" t="s">
        <v>1094</v>
      </c>
      <c r="C22" s="7">
        <v>0.2</v>
      </c>
      <c r="D22" s="7">
        <f t="shared" si="1"/>
        <v>0.19700000000000001</v>
      </c>
      <c r="E22" s="7">
        <f t="shared" si="2"/>
        <v>0.157</v>
      </c>
      <c r="F22" s="7">
        <f t="shared" si="3"/>
        <v>3.14E-3</v>
      </c>
      <c r="G22" s="7">
        <f t="shared" si="4"/>
        <v>0.15386</v>
      </c>
    </row>
    <row r="23" spans="1:7" ht="35.15" customHeight="1" x14ac:dyDescent="0.35">
      <c r="A23" s="48"/>
      <c r="B23" s="32" t="s">
        <v>1095</v>
      </c>
      <c r="C23" s="7">
        <v>0.2</v>
      </c>
      <c r="D23" s="7">
        <f t="shared" si="1"/>
        <v>0.19700000000000001</v>
      </c>
      <c r="E23" s="7">
        <f t="shared" si="2"/>
        <v>0.157</v>
      </c>
      <c r="F23" s="7">
        <f t="shared" si="3"/>
        <v>3.14E-3</v>
      </c>
      <c r="G23" s="7">
        <f t="shared" si="4"/>
        <v>0.15386</v>
      </c>
    </row>
    <row r="24" spans="1:7" ht="35.15" customHeight="1" x14ac:dyDescent="0.35">
      <c r="A24" s="48"/>
      <c r="B24" s="5" t="s">
        <v>1083</v>
      </c>
      <c r="C24" s="7">
        <v>0.2</v>
      </c>
      <c r="D24" s="7">
        <f t="shared" si="1"/>
        <v>0.19700000000000001</v>
      </c>
      <c r="E24" s="7">
        <f t="shared" si="2"/>
        <v>0.157</v>
      </c>
      <c r="F24" s="7">
        <f t="shared" si="3"/>
        <v>3.14E-3</v>
      </c>
      <c r="G24" s="7">
        <f t="shared" si="4"/>
        <v>0.15386</v>
      </c>
    </row>
    <row r="25" spans="1:7" ht="35.15" customHeight="1" x14ac:dyDescent="0.35">
      <c r="A25" s="48"/>
      <c r="B25" s="5" t="s">
        <v>1084</v>
      </c>
      <c r="C25" s="7">
        <v>0.2</v>
      </c>
      <c r="D25" s="7">
        <f t="shared" si="1"/>
        <v>0.19700000000000001</v>
      </c>
      <c r="E25" s="7">
        <f t="shared" si="2"/>
        <v>0.157</v>
      </c>
      <c r="F25" s="7">
        <f t="shared" si="3"/>
        <v>3.14E-3</v>
      </c>
      <c r="G25" s="7">
        <f t="shared" si="4"/>
        <v>0.15386</v>
      </c>
    </row>
    <row r="26" spans="1:7" ht="35.15" customHeight="1" x14ac:dyDescent="0.35">
      <c r="A26" s="48"/>
      <c r="B26" s="32" t="s">
        <v>1085</v>
      </c>
      <c r="C26" s="7">
        <v>0.05</v>
      </c>
      <c r="D26" s="7" t="s">
        <v>20</v>
      </c>
      <c r="E26" s="7" t="s">
        <v>20</v>
      </c>
      <c r="F26" s="7" t="s">
        <v>20</v>
      </c>
      <c r="G26" s="7" t="s">
        <v>20</v>
      </c>
    </row>
    <row r="27" spans="1:7" ht="35.15" customHeight="1" x14ac:dyDescent="0.35">
      <c r="A27" s="48"/>
      <c r="B27" s="32" t="s">
        <v>1086</v>
      </c>
      <c r="C27" s="7">
        <v>0.05</v>
      </c>
      <c r="D27" s="7" t="s">
        <v>20</v>
      </c>
      <c r="E27" s="7" t="s">
        <v>20</v>
      </c>
      <c r="F27" s="7" t="s">
        <v>20</v>
      </c>
      <c r="G27" s="7" t="s">
        <v>20</v>
      </c>
    </row>
    <row r="28" spans="1:7" ht="35.15" customHeight="1" x14ac:dyDescent="0.35">
      <c r="A28" s="48"/>
      <c r="B28" s="5" t="s">
        <v>1087</v>
      </c>
      <c r="C28" s="7">
        <v>0.17</v>
      </c>
      <c r="D28" s="7">
        <f t="shared" si="1"/>
        <v>0.16745000000000002</v>
      </c>
      <c r="E28" s="7">
        <f t="shared" si="2"/>
        <v>0.12745000000000001</v>
      </c>
      <c r="F28" s="7">
        <f t="shared" si="3"/>
        <v>2.5490000000000001E-3</v>
      </c>
      <c r="G28" s="7">
        <f t="shared" si="4"/>
        <v>0.12490100000000001</v>
      </c>
    </row>
    <row r="29" spans="1:7" ht="35.15" customHeight="1" x14ac:dyDescent="0.35">
      <c r="A29" s="48"/>
      <c r="B29" s="5" t="s">
        <v>1088</v>
      </c>
      <c r="C29" s="7">
        <v>0.17</v>
      </c>
      <c r="D29" s="7">
        <f t="shared" si="1"/>
        <v>0.16745000000000002</v>
      </c>
      <c r="E29" s="7">
        <f t="shared" si="2"/>
        <v>0.12745000000000001</v>
      </c>
      <c r="F29" s="7">
        <f t="shared" si="3"/>
        <v>2.5490000000000001E-3</v>
      </c>
      <c r="G29" s="7">
        <f t="shared" si="4"/>
        <v>0.12490100000000001</v>
      </c>
    </row>
    <row r="30" spans="1:7" ht="35.15" customHeight="1" x14ac:dyDescent="0.35">
      <c r="A30" s="48" t="s">
        <v>1096</v>
      </c>
      <c r="B30" s="32" t="s">
        <v>1090</v>
      </c>
      <c r="C30" s="7">
        <v>0.12</v>
      </c>
      <c r="D30" s="7">
        <f t="shared" si="1"/>
        <v>0.1182</v>
      </c>
      <c r="E30" s="7">
        <f t="shared" si="2"/>
        <v>7.8199999999999992E-2</v>
      </c>
      <c r="F30" s="7">
        <f t="shared" si="3"/>
        <v>1.5639999999999999E-3</v>
      </c>
      <c r="G30" s="7">
        <f t="shared" si="4"/>
        <v>7.6635999999999996E-2</v>
      </c>
    </row>
    <row r="31" spans="1:7" ht="35.15" customHeight="1" x14ac:dyDescent="0.35">
      <c r="A31" s="48"/>
      <c r="B31" s="32" t="s">
        <v>1091</v>
      </c>
      <c r="C31" s="7">
        <v>0</v>
      </c>
      <c r="D31" s="7" t="s">
        <v>20</v>
      </c>
      <c r="E31" s="7" t="s">
        <v>20</v>
      </c>
      <c r="F31" s="7" t="s">
        <v>20</v>
      </c>
      <c r="G31" s="7" t="s">
        <v>20</v>
      </c>
    </row>
    <row r="32" spans="1:7" ht="35.15" customHeight="1" x14ac:dyDescent="0.35">
      <c r="A32" s="48"/>
      <c r="B32" s="5" t="s">
        <v>1092</v>
      </c>
      <c r="C32" s="7">
        <v>0.12</v>
      </c>
      <c r="D32" s="7">
        <f t="shared" si="1"/>
        <v>0.1182</v>
      </c>
      <c r="E32" s="7">
        <f t="shared" si="2"/>
        <v>7.8199999999999992E-2</v>
      </c>
      <c r="F32" s="7">
        <f t="shared" si="3"/>
        <v>1.5639999999999999E-3</v>
      </c>
      <c r="G32" s="7">
        <f t="shared" si="4"/>
        <v>7.6635999999999996E-2</v>
      </c>
    </row>
    <row r="33" spans="1:7" ht="35.15" customHeight="1" x14ac:dyDescent="0.35">
      <c r="A33" s="48"/>
      <c r="B33" s="5" t="s">
        <v>1093</v>
      </c>
      <c r="C33" s="7">
        <v>0</v>
      </c>
      <c r="D33" s="7" t="s">
        <v>20</v>
      </c>
      <c r="E33" s="7" t="s">
        <v>20</v>
      </c>
      <c r="F33" s="7" t="s">
        <v>20</v>
      </c>
      <c r="G33" s="7" t="s">
        <v>20</v>
      </c>
    </row>
    <row r="34" spans="1:7" ht="35.15" customHeight="1" x14ac:dyDescent="0.35">
      <c r="A34" s="48"/>
      <c r="B34" s="32" t="s">
        <v>1094</v>
      </c>
      <c r="C34" s="7">
        <v>0.12</v>
      </c>
      <c r="D34" s="7">
        <f t="shared" si="1"/>
        <v>0.1182</v>
      </c>
      <c r="E34" s="7">
        <f t="shared" si="2"/>
        <v>7.8199999999999992E-2</v>
      </c>
      <c r="F34" s="7">
        <f t="shared" si="3"/>
        <v>1.5639999999999999E-3</v>
      </c>
      <c r="G34" s="7">
        <f t="shared" si="4"/>
        <v>7.6635999999999996E-2</v>
      </c>
    </row>
    <row r="35" spans="1:7" ht="35.15" customHeight="1" x14ac:dyDescent="0.35">
      <c r="A35" s="48"/>
      <c r="B35" s="32" t="s">
        <v>1095</v>
      </c>
      <c r="C35" s="7">
        <v>0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5.15" customHeight="1" x14ac:dyDescent="0.35">
      <c r="A36" s="48"/>
      <c r="B36" s="5" t="s">
        <v>1083</v>
      </c>
      <c r="C36" s="7">
        <v>0.12</v>
      </c>
      <c r="D36" s="7">
        <f t="shared" si="1"/>
        <v>0.1182</v>
      </c>
      <c r="E36" s="7">
        <f t="shared" si="2"/>
        <v>7.8199999999999992E-2</v>
      </c>
      <c r="F36" s="7">
        <f t="shared" si="3"/>
        <v>1.5639999999999999E-3</v>
      </c>
      <c r="G36" s="7">
        <f t="shared" si="4"/>
        <v>7.6635999999999996E-2</v>
      </c>
    </row>
    <row r="37" spans="1:7" ht="35.15" customHeight="1" x14ac:dyDescent="0.35">
      <c r="A37" s="48"/>
      <c r="B37" s="5" t="s">
        <v>1084</v>
      </c>
      <c r="C37" s="7">
        <v>0</v>
      </c>
      <c r="D37" s="7" t="s">
        <v>20</v>
      </c>
      <c r="E37" s="7" t="s">
        <v>20</v>
      </c>
      <c r="F37" s="7" t="s">
        <v>20</v>
      </c>
      <c r="G37" s="7" t="s">
        <v>20</v>
      </c>
    </row>
    <row r="38" spans="1:7" ht="35.15" customHeight="1" x14ac:dyDescent="0.35">
      <c r="A38" s="48"/>
      <c r="B38" s="32" t="s">
        <v>1085</v>
      </c>
      <c r="C38" s="7">
        <v>0.12</v>
      </c>
      <c r="D38" s="7">
        <f t="shared" si="1"/>
        <v>0.1182</v>
      </c>
      <c r="E38" s="7">
        <f t="shared" si="2"/>
        <v>7.8199999999999992E-2</v>
      </c>
      <c r="F38" s="7">
        <f t="shared" si="3"/>
        <v>1.5639999999999999E-3</v>
      </c>
      <c r="G38" s="7">
        <f t="shared" si="4"/>
        <v>7.6635999999999996E-2</v>
      </c>
    </row>
    <row r="39" spans="1:7" ht="35.15" customHeight="1" x14ac:dyDescent="0.35">
      <c r="A39" s="48"/>
      <c r="B39" s="32" t="s">
        <v>1086</v>
      </c>
      <c r="C39" s="7">
        <v>0</v>
      </c>
      <c r="D39" s="7" t="s">
        <v>20</v>
      </c>
      <c r="E39" s="7" t="s">
        <v>20</v>
      </c>
      <c r="F39" s="7" t="s">
        <v>20</v>
      </c>
      <c r="G39" s="7" t="s">
        <v>20</v>
      </c>
    </row>
    <row r="40" spans="1:7" ht="35.15" customHeight="1" x14ac:dyDescent="0.35">
      <c r="A40" s="48"/>
      <c r="B40" s="5" t="s">
        <v>1087</v>
      </c>
      <c r="C40" s="7">
        <v>0.17</v>
      </c>
      <c r="D40" s="7">
        <f t="shared" si="1"/>
        <v>0.16745000000000002</v>
      </c>
      <c r="E40" s="7">
        <f t="shared" si="2"/>
        <v>0.12745000000000001</v>
      </c>
      <c r="F40" s="7">
        <f t="shared" si="3"/>
        <v>2.5490000000000001E-3</v>
      </c>
      <c r="G40" s="7">
        <f t="shared" si="4"/>
        <v>0.12490100000000001</v>
      </c>
    </row>
    <row r="41" spans="1:7" ht="35.15" customHeight="1" x14ac:dyDescent="0.35">
      <c r="A41" s="48"/>
      <c r="B41" s="5" t="s">
        <v>1088</v>
      </c>
      <c r="C41" s="7">
        <v>0</v>
      </c>
      <c r="D41" s="7" t="s">
        <v>20</v>
      </c>
      <c r="E41" s="7" t="s">
        <v>20</v>
      </c>
      <c r="F41" s="7" t="s">
        <v>20</v>
      </c>
      <c r="G41" s="7" t="s">
        <v>20</v>
      </c>
    </row>
    <row r="42" spans="1:7" ht="35.15" customHeight="1" x14ac:dyDescent="0.35">
      <c r="A42" s="48" t="s">
        <v>1097</v>
      </c>
      <c r="B42" s="32" t="s">
        <v>1090</v>
      </c>
      <c r="C42" s="7">
        <v>0</v>
      </c>
      <c r="D42" s="7" t="s">
        <v>20</v>
      </c>
      <c r="E42" s="7" t="s">
        <v>20</v>
      </c>
      <c r="F42" s="7" t="s">
        <v>20</v>
      </c>
      <c r="G42" s="7" t="s">
        <v>20</v>
      </c>
    </row>
    <row r="43" spans="1:7" ht="35.15" customHeight="1" x14ac:dyDescent="0.35">
      <c r="A43" s="48"/>
      <c r="B43" s="32" t="s">
        <v>1091</v>
      </c>
      <c r="C43" s="7">
        <v>0.05</v>
      </c>
      <c r="D43" s="7" t="s">
        <v>20</v>
      </c>
      <c r="E43" s="7" t="s">
        <v>20</v>
      </c>
      <c r="F43" s="7" t="s">
        <v>20</v>
      </c>
      <c r="G43" s="7" t="s">
        <v>20</v>
      </c>
    </row>
    <row r="44" spans="1:7" ht="35.15" customHeight="1" x14ac:dyDescent="0.35">
      <c r="A44" s="48"/>
      <c r="B44" s="5" t="s">
        <v>1092</v>
      </c>
      <c r="C44" s="7">
        <v>0</v>
      </c>
      <c r="D44" s="7" t="s">
        <v>20</v>
      </c>
      <c r="E44" s="7" t="s">
        <v>20</v>
      </c>
      <c r="F44" s="7" t="s">
        <v>20</v>
      </c>
      <c r="G44" s="7" t="s">
        <v>20</v>
      </c>
    </row>
    <row r="45" spans="1:7" ht="35.15" customHeight="1" x14ac:dyDescent="0.35">
      <c r="A45" s="48"/>
      <c r="B45" s="5" t="s">
        <v>1093</v>
      </c>
      <c r="C45" s="7">
        <v>0.2</v>
      </c>
      <c r="D45" s="7">
        <f t="shared" si="1"/>
        <v>0.19700000000000001</v>
      </c>
      <c r="E45" s="7">
        <f t="shared" si="2"/>
        <v>0.157</v>
      </c>
      <c r="F45" s="7">
        <f t="shared" si="3"/>
        <v>3.14E-3</v>
      </c>
      <c r="G45" s="7">
        <f t="shared" si="4"/>
        <v>0.15386</v>
      </c>
    </row>
    <row r="46" spans="1:7" ht="35.15" customHeight="1" x14ac:dyDescent="0.35">
      <c r="A46" s="48"/>
      <c r="B46" s="32" t="s">
        <v>1094</v>
      </c>
      <c r="C46" s="7">
        <v>0</v>
      </c>
      <c r="D46" s="7" t="s">
        <v>20</v>
      </c>
      <c r="E46" s="7" t="s">
        <v>20</v>
      </c>
      <c r="F46" s="7" t="s">
        <v>20</v>
      </c>
      <c r="G46" s="7" t="s">
        <v>20</v>
      </c>
    </row>
    <row r="47" spans="1:7" ht="35.15" customHeight="1" x14ac:dyDescent="0.35">
      <c r="A47" s="48"/>
      <c r="B47" s="32" t="s">
        <v>1095</v>
      </c>
      <c r="C47" s="7">
        <v>0.2</v>
      </c>
      <c r="D47" s="7">
        <f t="shared" si="1"/>
        <v>0.19700000000000001</v>
      </c>
      <c r="E47" s="7">
        <f t="shared" si="2"/>
        <v>0.157</v>
      </c>
      <c r="F47" s="7">
        <f t="shared" si="3"/>
        <v>3.14E-3</v>
      </c>
      <c r="G47" s="7">
        <f t="shared" si="4"/>
        <v>0.15386</v>
      </c>
    </row>
    <row r="48" spans="1:7" ht="24" x14ac:dyDescent="0.35">
      <c r="A48" s="48"/>
      <c r="B48" s="5" t="s">
        <v>1083</v>
      </c>
      <c r="C48" s="7">
        <v>0</v>
      </c>
      <c r="D48" s="7" t="s">
        <v>20</v>
      </c>
      <c r="E48" s="7" t="s">
        <v>20</v>
      </c>
      <c r="F48" s="7" t="s">
        <v>20</v>
      </c>
      <c r="G48" s="7" t="s">
        <v>20</v>
      </c>
    </row>
    <row r="49" spans="1:10" ht="35.15" customHeight="1" x14ac:dyDescent="0.35">
      <c r="A49" s="48"/>
      <c r="B49" s="5" t="s">
        <v>1084</v>
      </c>
      <c r="C49" s="7">
        <v>0.2</v>
      </c>
      <c r="D49" s="7">
        <f t="shared" si="1"/>
        <v>0.19700000000000001</v>
      </c>
      <c r="E49" s="7">
        <f t="shared" si="2"/>
        <v>0.157</v>
      </c>
      <c r="F49" s="7">
        <f t="shared" si="3"/>
        <v>3.14E-3</v>
      </c>
      <c r="G49" s="7">
        <f t="shared" si="4"/>
        <v>0.15386</v>
      </c>
    </row>
    <row r="50" spans="1:10" ht="35.15" customHeight="1" x14ac:dyDescent="0.35">
      <c r="A50" s="48"/>
      <c r="B50" s="32" t="s">
        <v>1085</v>
      </c>
      <c r="C50" s="7">
        <v>0</v>
      </c>
      <c r="D50" s="7" t="s">
        <v>20</v>
      </c>
      <c r="E50" s="7" t="s">
        <v>20</v>
      </c>
      <c r="F50" s="7" t="s">
        <v>20</v>
      </c>
      <c r="G50" s="7" t="s">
        <v>20</v>
      </c>
    </row>
    <row r="51" spans="1:10" ht="35.15" customHeight="1" x14ac:dyDescent="0.35">
      <c r="A51" s="48"/>
      <c r="B51" s="32" t="s">
        <v>1086</v>
      </c>
      <c r="C51" s="7">
        <v>0.05</v>
      </c>
      <c r="D51" s="7" t="s">
        <v>20</v>
      </c>
      <c r="E51" s="7" t="s">
        <v>20</v>
      </c>
      <c r="F51" s="7" t="s">
        <v>20</v>
      </c>
      <c r="G51" s="7" t="s">
        <v>20</v>
      </c>
    </row>
    <row r="52" spans="1:10" ht="35.15" customHeight="1" x14ac:dyDescent="0.35">
      <c r="A52" s="48"/>
      <c r="B52" s="5" t="s">
        <v>1087</v>
      </c>
      <c r="C52" s="7">
        <v>0</v>
      </c>
      <c r="D52" s="7" t="s">
        <v>20</v>
      </c>
      <c r="E52" s="7" t="s">
        <v>20</v>
      </c>
      <c r="F52" s="7" t="s">
        <v>20</v>
      </c>
      <c r="G52" s="7" t="s">
        <v>20</v>
      </c>
    </row>
    <row r="53" spans="1:10" ht="35.15" customHeight="1" x14ac:dyDescent="0.35">
      <c r="A53" s="48"/>
      <c r="B53" s="5" t="s">
        <v>1088</v>
      </c>
      <c r="C53" s="7">
        <v>0.17</v>
      </c>
      <c r="D53" s="7">
        <f t="shared" si="1"/>
        <v>0.16745000000000002</v>
      </c>
      <c r="E53" s="7">
        <f t="shared" si="2"/>
        <v>0.12745000000000001</v>
      </c>
      <c r="F53" s="7">
        <f t="shared" si="3"/>
        <v>2.5490000000000001E-3</v>
      </c>
      <c r="G53" s="7">
        <f t="shared" si="4"/>
        <v>0.12490100000000001</v>
      </c>
    </row>
    <row r="54" spans="1:10" ht="14.5" x14ac:dyDescent="0.35">
      <c r="A54" s="2" t="s">
        <v>987</v>
      </c>
      <c r="B54" s="2" t="s">
        <v>1</v>
      </c>
      <c r="C54" s="4" t="s">
        <v>2</v>
      </c>
      <c r="D54" s="4" t="s">
        <v>3</v>
      </c>
      <c r="E54" s="4" t="s">
        <v>4</v>
      </c>
      <c r="F54" s="4" t="s">
        <v>5</v>
      </c>
      <c r="G54" s="4" t="s">
        <v>6</v>
      </c>
    </row>
    <row r="55" spans="1:10" ht="14.5" x14ac:dyDescent="0.35">
      <c r="A55" s="41" t="s">
        <v>1098</v>
      </c>
      <c r="B55" s="5" t="s">
        <v>1099</v>
      </c>
      <c r="C55" s="7">
        <v>0.05</v>
      </c>
      <c r="D55" s="7" t="s">
        <v>20</v>
      </c>
      <c r="E55" s="7" t="s">
        <v>20</v>
      </c>
      <c r="F55" s="7" t="s">
        <v>20</v>
      </c>
      <c r="G55" s="7" t="s">
        <v>20</v>
      </c>
    </row>
    <row r="56" spans="1:10" ht="14.5" x14ac:dyDescent="0.35">
      <c r="A56" s="43"/>
      <c r="B56" s="5" t="s">
        <v>1100</v>
      </c>
      <c r="C56" s="7">
        <v>0.22500000000000001</v>
      </c>
      <c r="D56" s="7">
        <f t="shared" si="1"/>
        <v>0.22162500000000002</v>
      </c>
      <c r="E56" s="7">
        <f t="shared" si="2"/>
        <v>0.18162500000000001</v>
      </c>
      <c r="F56" s="7">
        <f t="shared" si="3"/>
        <v>3.6325000000000003E-3</v>
      </c>
      <c r="G56" s="7">
        <f t="shared" si="4"/>
        <v>0.1779925</v>
      </c>
    </row>
    <row r="57" spans="1:10" ht="14.5" x14ac:dyDescent="0.35">
      <c r="A57" s="41" t="s">
        <v>1101</v>
      </c>
      <c r="B57" s="5" t="s">
        <v>1099</v>
      </c>
      <c r="C57" s="7">
        <v>0.05</v>
      </c>
      <c r="D57" s="7" t="s">
        <v>20</v>
      </c>
      <c r="E57" s="7" t="s">
        <v>20</v>
      </c>
      <c r="F57" s="7" t="s">
        <v>20</v>
      </c>
      <c r="G57" s="7" t="s">
        <v>20</v>
      </c>
    </row>
    <row r="58" spans="1:10" ht="14.5" x14ac:dyDescent="0.35">
      <c r="A58" s="43"/>
      <c r="B58" s="5" t="s">
        <v>1100</v>
      </c>
      <c r="C58" s="7">
        <v>0.17499999999999999</v>
      </c>
      <c r="D58" s="7">
        <f t="shared" si="1"/>
        <v>0.172375</v>
      </c>
      <c r="E58" s="7">
        <f t="shared" si="2"/>
        <v>0.13237499999999999</v>
      </c>
      <c r="F58" s="7">
        <f t="shared" si="3"/>
        <v>2.6475000000000001E-3</v>
      </c>
      <c r="G58" s="7">
        <f t="shared" si="4"/>
        <v>0.1297275</v>
      </c>
    </row>
    <row r="59" spans="1:10" ht="14.5" x14ac:dyDescent="0.35">
      <c r="A59" s="41" t="s">
        <v>1102</v>
      </c>
      <c r="B59" s="5" t="s">
        <v>1099</v>
      </c>
      <c r="C59" s="7">
        <v>0.05</v>
      </c>
      <c r="D59" s="7" t="s">
        <v>20</v>
      </c>
      <c r="E59" s="7" t="s">
        <v>20</v>
      </c>
      <c r="F59" s="7" t="s">
        <v>20</v>
      </c>
      <c r="G59" s="7" t="s">
        <v>20</v>
      </c>
    </row>
    <row r="60" spans="1:10" ht="14.5" x14ac:dyDescent="0.35">
      <c r="A60" s="43"/>
      <c r="B60" s="5" t="s">
        <v>1100</v>
      </c>
      <c r="C60" s="7">
        <v>0.22500000000000001</v>
      </c>
      <c r="D60" s="7">
        <f t="shared" si="1"/>
        <v>0.22162500000000002</v>
      </c>
      <c r="E60" s="7">
        <f t="shared" si="2"/>
        <v>0.18162500000000001</v>
      </c>
      <c r="F60" s="7">
        <f t="shared" si="3"/>
        <v>3.6325000000000003E-3</v>
      </c>
      <c r="G60" s="7">
        <f t="shared" si="4"/>
        <v>0.1779925</v>
      </c>
    </row>
    <row r="61" spans="1:10" ht="14.5" x14ac:dyDescent="0.35">
      <c r="A61" s="41" t="s">
        <v>1103</v>
      </c>
      <c r="B61" s="5" t="s">
        <v>1099</v>
      </c>
      <c r="C61" s="7">
        <v>0.2</v>
      </c>
      <c r="D61" s="7">
        <f t="shared" si="1"/>
        <v>0.19700000000000001</v>
      </c>
      <c r="E61" s="7">
        <f t="shared" si="2"/>
        <v>0.157</v>
      </c>
      <c r="F61" s="7">
        <f t="shared" si="3"/>
        <v>3.14E-3</v>
      </c>
      <c r="G61" s="7">
        <f t="shared" si="4"/>
        <v>0.15386</v>
      </c>
    </row>
    <row r="62" spans="1:10" ht="14.5" x14ac:dyDescent="0.35">
      <c r="A62" s="43"/>
      <c r="B62" s="5" t="s">
        <v>1100</v>
      </c>
      <c r="C62" s="7">
        <v>0.2</v>
      </c>
      <c r="D62" s="7">
        <f t="shared" si="1"/>
        <v>0.19700000000000001</v>
      </c>
      <c r="E62" s="7">
        <f t="shared" si="2"/>
        <v>0.157</v>
      </c>
      <c r="F62" s="7">
        <f t="shared" si="3"/>
        <v>3.14E-3</v>
      </c>
      <c r="G62" s="7">
        <f t="shared" si="4"/>
        <v>0.15386</v>
      </c>
    </row>
    <row r="63" spans="1:10" ht="14.5" x14ac:dyDescent="0.35">
      <c r="A63" s="2" t="s">
        <v>1104</v>
      </c>
      <c r="B63" s="2" t="s">
        <v>1</v>
      </c>
      <c r="C63" s="4" t="s">
        <v>2</v>
      </c>
      <c r="D63" s="4" t="s">
        <v>3</v>
      </c>
      <c r="E63" s="4" t="s">
        <v>4</v>
      </c>
      <c r="F63" s="4" t="s">
        <v>5</v>
      </c>
      <c r="G63" s="4" t="s">
        <v>6</v>
      </c>
    </row>
    <row r="64" spans="1:10" ht="14.5" x14ac:dyDescent="0.35">
      <c r="A64" s="48" t="s">
        <v>1105</v>
      </c>
      <c r="B64" s="5" t="s">
        <v>1213</v>
      </c>
      <c r="C64" s="7">
        <v>0.25</v>
      </c>
      <c r="D64" s="7">
        <f t="shared" si="1"/>
        <v>0.24625</v>
      </c>
      <c r="E64" s="7">
        <f t="shared" si="2"/>
        <v>0.20624999999999999</v>
      </c>
      <c r="F64" s="7">
        <f t="shared" si="3"/>
        <v>4.1250000000000002E-3</v>
      </c>
      <c r="G64" s="7">
        <f t="shared" si="4"/>
        <v>0.202125</v>
      </c>
      <c r="I64" s="31"/>
      <c r="J64" s="31"/>
    </row>
    <row r="65" spans="1:10" ht="14.5" x14ac:dyDescent="0.35">
      <c r="A65" s="48"/>
      <c r="B65" s="5" t="s">
        <v>1100</v>
      </c>
      <c r="C65" s="7">
        <v>0.4</v>
      </c>
      <c r="D65" s="7">
        <f t="shared" si="1"/>
        <v>0.39400000000000002</v>
      </c>
      <c r="E65" s="7">
        <f t="shared" si="2"/>
        <v>0.35400000000000004</v>
      </c>
      <c r="F65" s="7">
        <f t="shared" si="3"/>
        <v>7.0800000000000012E-3</v>
      </c>
      <c r="G65" s="7">
        <f t="shared" si="4"/>
        <v>0.34692000000000006</v>
      </c>
      <c r="I65" s="31"/>
      <c r="J65" s="31"/>
    </row>
    <row r="66" spans="1:10" ht="26.15" customHeight="1" x14ac:dyDescent="0.35">
      <c r="A66" s="41" t="s">
        <v>1106</v>
      </c>
      <c r="B66" s="5" t="s">
        <v>1107</v>
      </c>
      <c r="C66" s="7">
        <v>0.1</v>
      </c>
      <c r="D66" s="7">
        <f t="shared" si="1"/>
        <v>9.8500000000000004E-2</v>
      </c>
      <c r="E66" s="7">
        <f t="shared" si="2"/>
        <v>5.8500000000000003E-2</v>
      </c>
      <c r="F66" s="7">
        <f t="shared" si="3"/>
        <v>1.17E-3</v>
      </c>
      <c r="G66" s="7">
        <f t="shared" si="4"/>
        <v>5.7330000000000006E-2</v>
      </c>
    </row>
    <row r="67" spans="1:10" ht="25" customHeight="1" x14ac:dyDescent="0.35">
      <c r="A67" s="43"/>
      <c r="B67" s="5" t="s">
        <v>1100</v>
      </c>
      <c r="C67" s="7">
        <v>0.2</v>
      </c>
      <c r="D67" s="7">
        <f t="shared" si="1"/>
        <v>0.19700000000000001</v>
      </c>
      <c r="E67" s="7">
        <f t="shared" si="2"/>
        <v>0.157</v>
      </c>
      <c r="F67" s="7">
        <f t="shared" si="3"/>
        <v>3.14E-3</v>
      </c>
      <c r="G67" s="7">
        <f t="shared" si="4"/>
        <v>0.15386</v>
      </c>
    </row>
    <row r="68" spans="1:10" ht="14.5" x14ac:dyDescent="0.35">
      <c r="A68" s="41" t="s">
        <v>1108</v>
      </c>
      <c r="B68" s="5" t="s">
        <v>1109</v>
      </c>
      <c r="C68" s="7">
        <v>0.1</v>
      </c>
      <c r="D68" s="7">
        <f t="shared" si="1"/>
        <v>9.8500000000000004E-2</v>
      </c>
      <c r="E68" s="7">
        <f t="shared" si="2"/>
        <v>5.8500000000000003E-2</v>
      </c>
      <c r="F68" s="7">
        <f t="shared" si="3"/>
        <v>1.17E-3</v>
      </c>
      <c r="G68" s="7">
        <f t="shared" si="4"/>
        <v>5.7330000000000006E-2</v>
      </c>
    </row>
    <row r="69" spans="1:10" ht="21.65" customHeight="1" x14ac:dyDescent="0.35">
      <c r="A69" s="43"/>
      <c r="B69" s="5" t="s">
        <v>1100</v>
      </c>
      <c r="C69" s="7">
        <v>0.2</v>
      </c>
      <c r="D69" s="7">
        <f t="shared" si="1"/>
        <v>0.19700000000000001</v>
      </c>
      <c r="E69" s="7">
        <f t="shared" si="2"/>
        <v>0.157</v>
      </c>
      <c r="F69" s="7">
        <f t="shared" si="3"/>
        <v>3.14E-3</v>
      </c>
      <c r="G69" s="7">
        <f t="shared" si="4"/>
        <v>0.15386</v>
      </c>
    </row>
    <row r="70" spans="1:10" ht="27.65" customHeight="1" x14ac:dyDescent="0.35">
      <c r="A70" s="41" t="s">
        <v>1110</v>
      </c>
      <c r="B70" s="5" t="s">
        <v>1111</v>
      </c>
      <c r="C70" s="7">
        <v>7.4999999999999997E-2</v>
      </c>
      <c r="D70" s="7">
        <f t="shared" si="1"/>
        <v>7.3874999999999996E-2</v>
      </c>
      <c r="E70" s="7">
        <f t="shared" si="2"/>
        <v>3.3874999999999995E-2</v>
      </c>
      <c r="F70" s="7">
        <f t="shared" si="3"/>
        <v>6.7749999999999993E-4</v>
      </c>
      <c r="G70" s="7">
        <f t="shared" si="4"/>
        <v>3.3197499999999998E-2</v>
      </c>
    </row>
    <row r="71" spans="1:10" ht="14.5" x14ac:dyDescent="0.35">
      <c r="A71" s="43"/>
      <c r="B71" s="5" t="s">
        <v>1100</v>
      </c>
      <c r="C71" s="7">
        <v>0.1</v>
      </c>
      <c r="D71" s="7">
        <f t="shared" ref="D71:D105" si="5">(C71-(C71*1.5%))</f>
        <v>9.8500000000000004E-2</v>
      </c>
      <c r="E71" s="7">
        <f t="shared" ref="E71:E105" si="6">D71-(4%)</f>
        <v>5.8500000000000003E-2</v>
      </c>
      <c r="F71" s="7">
        <f t="shared" ref="F71:F105" si="7">E71*2%</f>
        <v>1.17E-3</v>
      </c>
      <c r="G71" s="7">
        <f t="shared" ref="G71:G105" si="8">E71-F71</f>
        <v>5.7330000000000006E-2</v>
      </c>
    </row>
    <row r="72" spans="1:10" ht="24" x14ac:dyDescent="0.35">
      <c r="A72" s="29" t="s">
        <v>1112</v>
      </c>
      <c r="B72" s="5" t="s">
        <v>1113</v>
      </c>
      <c r="C72" s="7">
        <v>0.05</v>
      </c>
      <c r="D72" s="7" t="s">
        <v>20</v>
      </c>
      <c r="E72" s="7" t="s">
        <v>20</v>
      </c>
      <c r="F72" s="7" t="s">
        <v>20</v>
      </c>
      <c r="G72" s="7" t="s">
        <v>20</v>
      </c>
    </row>
    <row r="73" spans="1:10" ht="24" x14ac:dyDescent="0.35">
      <c r="A73" s="41" t="s">
        <v>1114</v>
      </c>
      <c r="B73" s="5" t="s">
        <v>1115</v>
      </c>
      <c r="C73" s="7">
        <v>0.15</v>
      </c>
      <c r="D73" s="7">
        <f t="shared" si="5"/>
        <v>0.14774999999999999</v>
      </c>
      <c r="E73" s="7">
        <f t="shared" si="6"/>
        <v>0.10774999999999998</v>
      </c>
      <c r="F73" s="7">
        <f t="shared" si="7"/>
        <v>2.1549999999999998E-3</v>
      </c>
      <c r="G73" s="7">
        <f t="shared" si="8"/>
        <v>0.10559499999999998</v>
      </c>
    </row>
    <row r="74" spans="1:10" ht="14.5" x14ac:dyDescent="0.35">
      <c r="A74" s="43"/>
      <c r="B74" s="5" t="s">
        <v>1100</v>
      </c>
      <c r="C74" s="7">
        <v>0.25</v>
      </c>
      <c r="D74" s="7">
        <f t="shared" si="5"/>
        <v>0.24625</v>
      </c>
      <c r="E74" s="7">
        <f t="shared" si="6"/>
        <v>0.20624999999999999</v>
      </c>
      <c r="F74" s="7">
        <f t="shared" si="7"/>
        <v>4.1250000000000002E-3</v>
      </c>
      <c r="G74" s="7">
        <f t="shared" si="8"/>
        <v>0.202125</v>
      </c>
    </row>
    <row r="75" spans="1:10" ht="24" x14ac:dyDescent="0.35">
      <c r="A75" s="48" t="s">
        <v>1116</v>
      </c>
      <c r="B75" s="5" t="s">
        <v>1117</v>
      </c>
      <c r="C75" s="7">
        <v>0.625</v>
      </c>
      <c r="D75" s="7">
        <f t="shared" si="5"/>
        <v>0.61562499999999998</v>
      </c>
      <c r="E75" s="7">
        <f t="shared" si="6"/>
        <v>0.57562499999999994</v>
      </c>
      <c r="F75" s="7">
        <f t="shared" si="7"/>
        <v>1.1512499999999998E-2</v>
      </c>
      <c r="G75" s="7">
        <f t="shared" si="8"/>
        <v>0.56411249999999991</v>
      </c>
    </row>
    <row r="76" spans="1:10" ht="14.5" x14ac:dyDescent="0.35">
      <c r="A76" s="48"/>
      <c r="B76" s="5" t="s">
        <v>1100</v>
      </c>
      <c r="C76" s="7">
        <v>0.625</v>
      </c>
      <c r="D76" s="7">
        <f t="shared" si="5"/>
        <v>0.61562499999999998</v>
      </c>
      <c r="E76" s="7">
        <f t="shared" si="6"/>
        <v>0.57562499999999994</v>
      </c>
      <c r="F76" s="7">
        <f t="shared" si="7"/>
        <v>1.1512499999999998E-2</v>
      </c>
      <c r="G76" s="7">
        <f t="shared" si="8"/>
        <v>0.56411249999999991</v>
      </c>
    </row>
    <row r="77" spans="1:10" ht="14.5" x14ac:dyDescent="0.35">
      <c r="A77" s="2" t="s">
        <v>1118</v>
      </c>
      <c r="B77" s="2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4" t="s">
        <v>6</v>
      </c>
    </row>
    <row r="78" spans="1:10" ht="24" x14ac:dyDescent="0.35">
      <c r="A78" s="41" t="s">
        <v>1217</v>
      </c>
      <c r="B78" s="5" t="s">
        <v>1119</v>
      </c>
      <c r="C78" s="7">
        <v>0.5</v>
      </c>
      <c r="D78" s="7">
        <f t="shared" ref="D78" si="9">(C78-(C78*1.5%))</f>
        <v>0.49249999999999999</v>
      </c>
      <c r="E78" s="7">
        <f t="shared" ref="E78" si="10">D78-(4%)</f>
        <v>0.45250000000000001</v>
      </c>
      <c r="F78" s="7">
        <f t="shared" ref="F78" si="11">E78*2%</f>
        <v>9.0500000000000008E-3</v>
      </c>
      <c r="G78" s="7">
        <f t="shared" ref="G78" si="12">E78-F78</f>
        <v>0.44345000000000001</v>
      </c>
    </row>
    <row r="79" spans="1:10" ht="14.5" x14ac:dyDescent="0.35">
      <c r="A79" s="43"/>
      <c r="B79" s="5" t="s">
        <v>1120</v>
      </c>
      <c r="C79" s="7">
        <v>0.5</v>
      </c>
      <c r="D79" s="7">
        <f t="shared" si="5"/>
        <v>0.49249999999999999</v>
      </c>
      <c r="E79" s="7">
        <f t="shared" si="6"/>
        <v>0.45250000000000001</v>
      </c>
      <c r="F79" s="7">
        <f t="shared" si="7"/>
        <v>9.0500000000000008E-3</v>
      </c>
      <c r="G79" s="7">
        <f t="shared" si="8"/>
        <v>0.44345000000000001</v>
      </c>
    </row>
    <row r="80" spans="1:10" ht="14.5" x14ac:dyDescent="0.35">
      <c r="A80" s="41" t="s">
        <v>1216</v>
      </c>
      <c r="B80" s="5" t="s">
        <v>1122</v>
      </c>
      <c r="C80" s="7">
        <v>0.2</v>
      </c>
      <c r="D80" s="7">
        <f t="shared" ref="D80:D81" si="13">(C80-(C80*1.5%))</f>
        <v>0.19700000000000001</v>
      </c>
      <c r="E80" s="7">
        <f t="shared" ref="E80:E81" si="14">D80-(4%)</f>
        <v>0.157</v>
      </c>
      <c r="F80" s="7">
        <f t="shared" ref="F80:F81" si="15">E80*2%</f>
        <v>3.14E-3</v>
      </c>
      <c r="G80" s="7">
        <f t="shared" ref="G80:G81" si="16">E80-F80</f>
        <v>0.15386</v>
      </c>
    </row>
    <row r="81" spans="1:10" ht="14.5" x14ac:dyDescent="0.35">
      <c r="A81" s="43"/>
      <c r="B81" s="5" t="s">
        <v>1120</v>
      </c>
      <c r="C81" s="7">
        <v>0.57499999999999996</v>
      </c>
      <c r="D81" s="7">
        <f t="shared" si="13"/>
        <v>0.56637499999999996</v>
      </c>
      <c r="E81" s="7">
        <f t="shared" si="14"/>
        <v>0.52637499999999993</v>
      </c>
      <c r="F81" s="7">
        <f t="shared" si="15"/>
        <v>1.0527499999999999E-2</v>
      </c>
      <c r="G81" s="7">
        <f t="shared" si="16"/>
        <v>0.5158474999999999</v>
      </c>
    </row>
    <row r="82" spans="1:10" ht="14.5" x14ac:dyDescent="0.35">
      <c r="A82" s="41" t="s">
        <v>1121</v>
      </c>
      <c r="B82" s="5" t="s">
        <v>1122</v>
      </c>
      <c r="C82" s="7">
        <v>0.2</v>
      </c>
      <c r="D82" s="7">
        <f t="shared" si="5"/>
        <v>0.19700000000000001</v>
      </c>
      <c r="E82" s="7">
        <f t="shared" si="6"/>
        <v>0.157</v>
      </c>
      <c r="F82" s="7">
        <f t="shared" si="7"/>
        <v>3.14E-3</v>
      </c>
      <c r="G82" s="7">
        <f t="shared" si="8"/>
        <v>0.15386</v>
      </c>
      <c r="I82" s="31"/>
      <c r="J82" s="31"/>
    </row>
    <row r="83" spans="1:10" ht="14.5" x14ac:dyDescent="0.35">
      <c r="A83" s="43"/>
      <c r="B83" s="5" t="s">
        <v>1120</v>
      </c>
      <c r="C83" s="7">
        <v>0.57499999999999996</v>
      </c>
      <c r="D83" s="7">
        <f t="shared" si="5"/>
        <v>0.56637499999999996</v>
      </c>
      <c r="E83" s="7">
        <f t="shared" si="6"/>
        <v>0.52637499999999993</v>
      </c>
      <c r="F83" s="7">
        <f t="shared" si="7"/>
        <v>1.0527499999999999E-2</v>
      </c>
      <c r="G83" s="7">
        <f t="shared" si="8"/>
        <v>0.5158474999999999</v>
      </c>
      <c r="I83" s="31"/>
      <c r="J83" s="31"/>
    </row>
    <row r="84" spans="1:10" ht="24" x14ac:dyDescent="0.35">
      <c r="A84" s="41" t="s">
        <v>1123</v>
      </c>
      <c r="B84" s="5" t="s">
        <v>1124</v>
      </c>
      <c r="C84" s="7">
        <v>0.15</v>
      </c>
      <c r="D84" s="7">
        <f t="shared" si="5"/>
        <v>0.14774999999999999</v>
      </c>
      <c r="E84" s="7">
        <f t="shared" si="6"/>
        <v>0.10774999999999998</v>
      </c>
      <c r="F84" s="7">
        <f t="shared" si="7"/>
        <v>2.1549999999999998E-3</v>
      </c>
      <c r="G84" s="7">
        <f t="shared" si="8"/>
        <v>0.10559499999999998</v>
      </c>
      <c r="I84" s="31"/>
      <c r="J84" s="31"/>
    </row>
    <row r="85" spans="1:10" ht="14.5" x14ac:dyDescent="0.35">
      <c r="A85" s="43"/>
      <c r="B85" s="5" t="s">
        <v>1120</v>
      </c>
      <c r="C85" s="7">
        <v>0.45</v>
      </c>
      <c r="D85" s="7">
        <f t="shared" si="5"/>
        <v>0.44325000000000003</v>
      </c>
      <c r="E85" s="7">
        <f t="shared" si="6"/>
        <v>0.40325000000000005</v>
      </c>
      <c r="F85" s="7">
        <f t="shared" si="7"/>
        <v>8.065000000000001E-3</v>
      </c>
      <c r="G85" s="7">
        <f t="shared" si="8"/>
        <v>0.39518500000000006</v>
      </c>
      <c r="I85" s="31"/>
      <c r="J85" s="31"/>
    </row>
    <row r="86" spans="1:10" ht="24" x14ac:dyDescent="0.35">
      <c r="A86" s="41" t="s">
        <v>1125</v>
      </c>
      <c r="B86" s="5" t="s">
        <v>1124</v>
      </c>
      <c r="C86" s="7">
        <v>0.1</v>
      </c>
      <c r="D86" s="7">
        <f t="shared" si="5"/>
        <v>9.8500000000000004E-2</v>
      </c>
      <c r="E86" s="7">
        <f t="shared" si="6"/>
        <v>5.8500000000000003E-2</v>
      </c>
      <c r="F86" s="7">
        <f t="shared" si="7"/>
        <v>1.17E-3</v>
      </c>
      <c r="G86" s="7">
        <f t="shared" si="8"/>
        <v>5.7330000000000006E-2</v>
      </c>
      <c r="I86" s="31"/>
      <c r="J86" s="31"/>
    </row>
    <row r="87" spans="1:10" ht="14.5" x14ac:dyDescent="0.35">
      <c r="A87" s="43"/>
      <c r="B87" s="5" t="s">
        <v>1120</v>
      </c>
      <c r="C87" s="7">
        <v>0.27500000000000002</v>
      </c>
      <c r="D87" s="7">
        <f t="shared" si="5"/>
        <v>0.27087500000000003</v>
      </c>
      <c r="E87" s="7">
        <f t="shared" si="6"/>
        <v>0.23087500000000002</v>
      </c>
      <c r="F87" s="7">
        <f t="shared" si="7"/>
        <v>4.6175000000000009E-3</v>
      </c>
      <c r="G87" s="7">
        <f t="shared" si="8"/>
        <v>0.22625750000000003</v>
      </c>
      <c r="I87" s="31"/>
      <c r="J87" s="31"/>
    </row>
    <row r="88" spans="1:10" ht="24" x14ac:dyDescent="0.35">
      <c r="A88" s="41" t="s">
        <v>1126</v>
      </c>
      <c r="B88" s="5" t="s">
        <v>1124</v>
      </c>
      <c r="C88" s="7">
        <v>0.1</v>
      </c>
      <c r="D88" s="7">
        <f t="shared" si="5"/>
        <v>9.8500000000000004E-2</v>
      </c>
      <c r="E88" s="7">
        <f t="shared" si="6"/>
        <v>5.8500000000000003E-2</v>
      </c>
      <c r="F88" s="7">
        <f t="shared" si="7"/>
        <v>1.17E-3</v>
      </c>
      <c r="G88" s="7">
        <f t="shared" si="8"/>
        <v>5.7330000000000006E-2</v>
      </c>
      <c r="I88" s="31"/>
      <c r="J88" s="31"/>
    </row>
    <row r="89" spans="1:10" ht="14.5" x14ac:dyDescent="0.35">
      <c r="A89" s="43"/>
      <c r="B89" s="5" t="s">
        <v>1120</v>
      </c>
      <c r="C89" s="7">
        <v>0.17499999999999999</v>
      </c>
      <c r="D89" s="7">
        <f t="shared" si="5"/>
        <v>0.172375</v>
      </c>
      <c r="E89" s="7">
        <f t="shared" si="6"/>
        <v>0.13237499999999999</v>
      </c>
      <c r="F89" s="7">
        <f t="shared" si="7"/>
        <v>2.6475000000000001E-3</v>
      </c>
      <c r="G89" s="7">
        <f t="shared" si="8"/>
        <v>0.1297275</v>
      </c>
      <c r="I89" s="31"/>
      <c r="J89" s="31"/>
    </row>
    <row r="90" spans="1:10" ht="24" x14ac:dyDescent="0.35">
      <c r="A90" s="41" t="s">
        <v>1127</v>
      </c>
      <c r="B90" s="5" t="s">
        <v>1124</v>
      </c>
      <c r="C90" s="7">
        <v>2.5000000000000001E-2</v>
      </c>
      <c r="D90" s="7" t="s">
        <v>20</v>
      </c>
      <c r="E90" s="7" t="s">
        <v>20</v>
      </c>
      <c r="F90" s="7" t="s">
        <v>20</v>
      </c>
      <c r="G90" s="7" t="s">
        <v>20</v>
      </c>
      <c r="I90" s="31"/>
      <c r="J90" s="31"/>
    </row>
    <row r="91" spans="1:10" ht="14.5" x14ac:dyDescent="0.35">
      <c r="A91" s="43"/>
      <c r="B91" s="5" t="s">
        <v>1120</v>
      </c>
      <c r="C91" s="7">
        <v>2.5000000000000001E-2</v>
      </c>
      <c r="D91" s="7" t="s">
        <v>20</v>
      </c>
      <c r="E91" s="7" t="s">
        <v>20</v>
      </c>
      <c r="F91" s="7" t="s">
        <v>20</v>
      </c>
      <c r="G91" s="7" t="s">
        <v>20</v>
      </c>
      <c r="I91" s="31"/>
      <c r="J91" s="31"/>
    </row>
    <row r="92" spans="1:10" ht="24" x14ac:dyDescent="0.35">
      <c r="A92" s="41" t="s">
        <v>1128</v>
      </c>
      <c r="B92" s="5" t="s">
        <v>1119</v>
      </c>
      <c r="C92" s="7">
        <v>0.05</v>
      </c>
      <c r="D92" s="7" t="s">
        <v>20</v>
      </c>
      <c r="E92" s="7" t="s">
        <v>20</v>
      </c>
      <c r="F92" s="7" t="s">
        <v>20</v>
      </c>
      <c r="G92" s="7" t="s">
        <v>20</v>
      </c>
      <c r="I92" s="31"/>
      <c r="J92" s="31"/>
    </row>
    <row r="93" spans="1:10" ht="14.5" x14ac:dyDescent="0.35">
      <c r="A93" s="43"/>
      <c r="B93" s="5" t="s">
        <v>1120</v>
      </c>
      <c r="C93" s="7">
        <v>0.15</v>
      </c>
      <c r="D93" s="7">
        <f t="shared" si="5"/>
        <v>0.14774999999999999</v>
      </c>
      <c r="E93" s="7">
        <f t="shared" si="6"/>
        <v>0.10774999999999998</v>
      </c>
      <c r="F93" s="7">
        <f t="shared" si="7"/>
        <v>2.1549999999999998E-3</v>
      </c>
      <c r="G93" s="7">
        <f t="shared" si="8"/>
        <v>0.10559499999999998</v>
      </c>
      <c r="I93" s="31"/>
      <c r="J93" s="31"/>
    </row>
    <row r="94" spans="1:10" ht="24" x14ac:dyDescent="0.35">
      <c r="A94" s="41" t="s">
        <v>1129</v>
      </c>
      <c r="B94" s="5" t="s">
        <v>1119</v>
      </c>
      <c r="C94" s="7">
        <v>0.05</v>
      </c>
      <c r="D94" s="7" t="s">
        <v>20</v>
      </c>
      <c r="E94" s="7" t="s">
        <v>20</v>
      </c>
      <c r="F94" s="7" t="s">
        <v>20</v>
      </c>
      <c r="G94" s="7" t="s">
        <v>20</v>
      </c>
      <c r="I94" s="31"/>
      <c r="J94" s="31"/>
    </row>
    <row r="95" spans="1:10" ht="14.5" x14ac:dyDescent="0.35">
      <c r="A95" s="43"/>
      <c r="B95" s="5" t="s">
        <v>1120</v>
      </c>
      <c r="C95" s="7">
        <v>0.15</v>
      </c>
      <c r="D95" s="7">
        <f t="shared" si="5"/>
        <v>0.14774999999999999</v>
      </c>
      <c r="E95" s="7">
        <f t="shared" si="6"/>
        <v>0.10774999999999998</v>
      </c>
      <c r="F95" s="7">
        <f t="shared" si="7"/>
        <v>2.1549999999999998E-3</v>
      </c>
      <c r="G95" s="7">
        <f t="shared" si="8"/>
        <v>0.10559499999999998</v>
      </c>
      <c r="I95" s="31"/>
      <c r="J95" s="31"/>
    </row>
    <row r="96" spans="1:10" ht="24" x14ac:dyDescent="0.35">
      <c r="A96" s="41" t="s">
        <v>1214</v>
      </c>
      <c r="B96" s="5" t="s">
        <v>1119</v>
      </c>
      <c r="C96" s="7">
        <v>2.5000000000000001E-2</v>
      </c>
      <c r="D96" s="7" t="s">
        <v>20</v>
      </c>
      <c r="E96" s="7" t="s">
        <v>20</v>
      </c>
      <c r="F96" s="7" t="s">
        <v>20</v>
      </c>
      <c r="G96" s="7" t="s">
        <v>20</v>
      </c>
      <c r="I96" s="31"/>
      <c r="J96" s="31"/>
    </row>
    <row r="97" spans="1:10" ht="14.5" x14ac:dyDescent="0.35">
      <c r="A97" s="43"/>
      <c r="B97" s="5" t="s">
        <v>1120</v>
      </c>
      <c r="C97" s="7">
        <v>0.125</v>
      </c>
      <c r="D97" s="7">
        <f t="shared" si="5"/>
        <v>0.123125</v>
      </c>
      <c r="E97" s="7">
        <f t="shared" si="6"/>
        <v>8.3125000000000004E-2</v>
      </c>
      <c r="F97" s="7">
        <f t="shared" si="7"/>
        <v>1.6625000000000001E-3</v>
      </c>
      <c r="G97" s="7">
        <f t="shared" si="8"/>
        <v>8.1462500000000007E-2</v>
      </c>
      <c r="I97" s="31"/>
      <c r="J97" s="31"/>
    </row>
    <row r="98" spans="1:10" ht="24" x14ac:dyDescent="0.35">
      <c r="A98" s="41" t="s">
        <v>1215</v>
      </c>
      <c r="B98" s="5" t="s">
        <v>1119</v>
      </c>
      <c r="C98" s="7">
        <v>0.05</v>
      </c>
      <c r="D98" s="7" t="s">
        <v>20</v>
      </c>
      <c r="E98" s="7" t="s">
        <v>20</v>
      </c>
      <c r="F98" s="7" t="s">
        <v>20</v>
      </c>
      <c r="G98" s="7" t="s">
        <v>20</v>
      </c>
      <c r="I98" s="31"/>
      <c r="J98" s="31"/>
    </row>
    <row r="99" spans="1:10" ht="14.5" x14ac:dyDescent="0.35">
      <c r="A99" s="43"/>
      <c r="B99" s="5" t="s">
        <v>1120</v>
      </c>
      <c r="C99" s="7">
        <v>0.05</v>
      </c>
      <c r="D99" s="7" t="s">
        <v>20</v>
      </c>
      <c r="E99" s="7" t="s">
        <v>20</v>
      </c>
      <c r="F99" s="7" t="s">
        <v>20</v>
      </c>
      <c r="G99" s="7" t="s">
        <v>20</v>
      </c>
      <c r="I99" s="31"/>
      <c r="J99" s="31"/>
    </row>
    <row r="100" spans="1:10" ht="24" x14ac:dyDescent="0.35">
      <c r="A100" s="41" t="s">
        <v>1130</v>
      </c>
      <c r="B100" s="5" t="s">
        <v>1119</v>
      </c>
      <c r="C100" s="7">
        <v>0</v>
      </c>
      <c r="D100" s="7" t="s">
        <v>20</v>
      </c>
      <c r="E100" s="7" t="s">
        <v>20</v>
      </c>
      <c r="F100" s="7" t="s">
        <v>20</v>
      </c>
      <c r="G100" s="7" t="s">
        <v>20</v>
      </c>
    </row>
    <row r="101" spans="1:10" ht="14.5" x14ac:dyDescent="0.35">
      <c r="A101" s="43"/>
      <c r="B101" s="5" t="s">
        <v>1120</v>
      </c>
      <c r="C101" s="7">
        <v>0.05</v>
      </c>
      <c r="D101" s="7" t="s">
        <v>20</v>
      </c>
      <c r="E101" s="7" t="s">
        <v>20</v>
      </c>
      <c r="F101" s="7" t="s">
        <v>20</v>
      </c>
      <c r="G101" s="7" t="s">
        <v>20</v>
      </c>
    </row>
    <row r="102" spans="1:10" ht="14.5" x14ac:dyDescent="0.35">
      <c r="A102" s="2" t="s">
        <v>988</v>
      </c>
      <c r="B102" s="2" t="s">
        <v>1</v>
      </c>
      <c r="C102" s="4" t="s">
        <v>2</v>
      </c>
      <c r="D102" s="4" t="s">
        <v>3</v>
      </c>
      <c r="E102" s="4" t="s">
        <v>4</v>
      </c>
      <c r="F102" s="4" t="s">
        <v>5</v>
      </c>
      <c r="G102" s="4" t="s">
        <v>6</v>
      </c>
    </row>
    <row r="103" spans="1:10" ht="14.5" x14ac:dyDescent="0.35">
      <c r="A103" s="48" t="s">
        <v>1131</v>
      </c>
      <c r="B103" s="5" t="s">
        <v>1132</v>
      </c>
      <c r="C103" s="7">
        <v>0.2</v>
      </c>
      <c r="D103" s="7">
        <f t="shared" si="5"/>
        <v>0.19700000000000001</v>
      </c>
      <c r="E103" s="7">
        <f t="shared" si="6"/>
        <v>0.157</v>
      </c>
      <c r="F103" s="7">
        <f t="shared" si="7"/>
        <v>3.14E-3</v>
      </c>
      <c r="G103" s="7">
        <f t="shared" si="8"/>
        <v>0.15386</v>
      </c>
    </row>
    <row r="104" spans="1:10" ht="14.5" x14ac:dyDescent="0.35">
      <c r="A104" s="48"/>
      <c r="B104" s="5" t="s">
        <v>1133</v>
      </c>
      <c r="C104" s="7">
        <v>0.25</v>
      </c>
      <c r="D104" s="7">
        <f t="shared" si="5"/>
        <v>0.24625</v>
      </c>
      <c r="E104" s="7">
        <f t="shared" si="6"/>
        <v>0.20624999999999999</v>
      </c>
      <c r="F104" s="7">
        <f t="shared" si="7"/>
        <v>4.1250000000000002E-3</v>
      </c>
      <c r="G104" s="7">
        <f t="shared" si="8"/>
        <v>0.202125</v>
      </c>
    </row>
    <row r="105" spans="1:10" ht="14.5" x14ac:dyDescent="0.35">
      <c r="A105" s="48"/>
      <c r="B105" s="5" t="s">
        <v>1134</v>
      </c>
      <c r="C105" s="7">
        <v>0.1</v>
      </c>
      <c r="D105" s="7">
        <f t="shared" si="5"/>
        <v>9.8500000000000004E-2</v>
      </c>
      <c r="E105" s="7">
        <f t="shared" si="6"/>
        <v>5.8500000000000003E-2</v>
      </c>
      <c r="F105" s="7">
        <f t="shared" si="7"/>
        <v>1.17E-3</v>
      </c>
      <c r="G105" s="7">
        <f t="shared" si="8"/>
        <v>5.7330000000000006E-2</v>
      </c>
    </row>
  </sheetData>
  <mergeCells count="28">
    <mergeCell ref="A103:A105"/>
    <mergeCell ref="A55:A56"/>
    <mergeCell ref="A57:A58"/>
    <mergeCell ref="A59:A60"/>
    <mergeCell ref="A98:A99"/>
    <mergeCell ref="A100:A101"/>
    <mergeCell ref="A88:A89"/>
    <mergeCell ref="A90:A91"/>
    <mergeCell ref="A92:A93"/>
    <mergeCell ref="A94:A95"/>
    <mergeCell ref="A96:A97"/>
    <mergeCell ref="A75:A76"/>
    <mergeCell ref="A78:A79"/>
    <mergeCell ref="A82:A83"/>
    <mergeCell ref="A84:A85"/>
    <mergeCell ref="A86:A87"/>
    <mergeCell ref="A80:A81"/>
    <mergeCell ref="A61:A62"/>
    <mergeCell ref="A2:A3"/>
    <mergeCell ref="A6:A17"/>
    <mergeCell ref="A18:A29"/>
    <mergeCell ref="A30:A41"/>
    <mergeCell ref="A42:A53"/>
    <mergeCell ref="A73:A74"/>
    <mergeCell ref="A64:A65"/>
    <mergeCell ref="A66:A67"/>
    <mergeCell ref="A68:A69"/>
    <mergeCell ref="A70:A71"/>
  </mergeCells>
  <printOptions horizontalCentered="1" verticalCentered="1"/>
  <pageMargins left="0" right="0" top="0" bottom="0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E2AE-3B6F-4442-B53E-79D2A320D631}">
  <dimension ref="A2:J105"/>
  <sheetViews>
    <sheetView showGridLines="0" zoomScaleNormal="100" workbookViewId="0">
      <selection activeCell="A5" sqref="A5"/>
    </sheetView>
  </sheetViews>
  <sheetFormatPr defaultColWidth="9.1796875" defaultRowHeight="35.15" customHeight="1" x14ac:dyDescent="0.35"/>
  <cols>
    <col min="1" max="1" width="30.81640625" style="9" customWidth="1"/>
    <col min="2" max="2" width="47.453125" style="9" bestFit="1" customWidth="1"/>
    <col min="3" max="3" width="5.7265625" style="9" hidden="1" customWidth="1"/>
    <col min="4" max="4" width="9" style="17" hidden="1" customWidth="1"/>
    <col min="5" max="5" width="10.453125" style="17" hidden="1" customWidth="1"/>
    <col min="6" max="6" width="9.81640625" style="17" hidden="1" customWidth="1"/>
    <col min="7" max="7" width="9.1796875" style="17" bestFit="1" customWidth="1"/>
    <col min="8" max="16384" width="9.1796875" style="17"/>
  </cols>
  <sheetData>
    <row r="2" spans="1:10" ht="35.15" customHeight="1" x14ac:dyDescent="0.35">
      <c r="A2" s="46" t="s">
        <v>1295</v>
      </c>
      <c r="B2" s="15"/>
      <c r="C2" s="15"/>
      <c r="D2" s="16"/>
      <c r="E2" s="16"/>
      <c r="F2" s="16"/>
      <c r="G2" s="16"/>
    </row>
    <row r="3" spans="1:10" ht="18.5" x14ac:dyDescent="0.35">
      <c r="A3" s="46"/>
      <c r="B3" s="15"/>
      <c r="C3" s="15"/>
      <c r="D3" s="16"/>
      <c r="E3" s="16"/>
      <c r="F3" s="16"/>
      <c r="G3" s="16"/>
    </row>
    <row r="4" spans="1:10" ht="18.5" x14ac:dyDescent="0.35">
      <c r="A4" s="18"/>
      <c r="B4" s="19"/>
      <c r="C4" s="19"/>
      <c r="D4" s="20"/>
      <c r="E4" s="20"/>
      <c r="F4" s="20"/>
      <c r="G4" s="20"/>
    </row>
    <row r="5" spans="1:10" ht="14.5" x14ac:dyDescent="0.35">
      <c r="A5" s="2" t="s">
        <v>986</v>
      </c>
      <c r="B5" s="2" t="s">
        <v>1</v>
      </c>
      <c r="C5" s="4" t="s">
        <v>2</v>
      </c>
      <c r="D5" s="4" t="s">
        <v>1275</v>
      </c>
      <c r="E5" s="4" t="s">
        <v>1276</v>
      </c>
      <c r="F5" s="4" t="s">
        <v>363</v>
      </c>
      <c r="G5" s="4" t="s">
        <v>364</v>
      </c>
    </row>
    <row r="6" spans="1:10" ht="14.5" x14ac:dyDescent="0.35">
      <c r="A6" s="48" t="s">
        <v>1076</v>
      </c>
      <c r="B6" s="32" t="s">
        <v>1077</v>
      </c>
      <c r="C6" s="7">
        <v>0.1</v>
      </c>
      <c r="D6" s="7">
        <f>(C6-(C6*1.25%))</f>
        <v>9.8750000000000004E-2</v>
      </c>
      <c r="E6" s="7">
        <f>D6-(2.5%)</f>
        <v>7.375000000000001E-2</v>
      </c>
      <c r="F6" s="7">
        <f>E6*(2%)</f>
        <v>1.4750000000000002E-3</v>
      </c>
      <c r="G6" s="7">
        <f t="shared" ref="G6" si="0">E6-F6</f>
        <v>7.2275000000000006E-2</v>
      </c>
    </row>
    <row r="7" spans="1:10" ht="14.5" x14ac:dyDescent="0.35">
      <c r="A7" s="48"/>
      <c r="B7" s="32" t="s">
        <v>1078</v>
      </c>
      <c r="C7" s="7">
        <v>0.1</v>
      </c>
      <c r="D7" s="7">
        <f t="shared" ref="D7:D70" si="1">(C7-(C7*1.25%))</f>
        <v>9.8750000000000004E-2</v>
      </c>
      <c r="E7" s="7">
        <f t="shared" ref="E7:E70" si="2">D7-(2.5%)</f>
        <v>7.375000000000001E-2</v>
      </c>
      <c r="F7" s="7">
        <f t="shared" ref="F7:F70" si="3">E7*(2%)</f>
        <v>1.4750000000000002E-3</v>
      </c>
      <c r="G7" s="7">
        <f t="shared" ref="G7:G70" si="4">E7-F7</f>
        <v>7.2275000000000006E-2</v>
      </c>
    </row>
    <row r="8" spans="1:10" ht="14.5" x14ac:dyDescent="0.35">
      <c r="A8" s="48"/>
      <c r="B8" s="5" t="s">
        <v>1079</v>
      </c>
      <c r="C8" s="7">
        <v>0.27500000000000002</v>
      </c>
      <c r="D8" s="7">
        <f t="shared" si="1"/>
        <v>0.27156250000000004</v>
      </c>
      <c r="E8" s="7">
        <f t="shared" si="2"/>
        <v>0.24656250000000005</v>
      </c>
      <c r="F8" s="7">
        <f t="shared" si="3"/>
        <v>4.9312500000000007E-3</v>
      </c>
      <c r="G8" s="7">
        <f t="shared" si="4"/>
        <v>0.24163125000000005</v>
      </c>
    </row>
    <row r="9" spans="1:10" ht="14.5" x14ac:dyDescent="0.35">
      <c r="A9" s="48"/>
      <c r="B9" s="5" t="s">
        <v>1080</v>
      </c>
      <c r="C9" s="7">
        <v>0.27500000000000002</v>
      </c>
      <c r="D9" s="7">
        <f t="shared" si="1"/>
        <v>0.27156250000000004</v>
      </c>
      <c r="E9" s="7">
        <f t="shared" si="2"/>
        <v>0.24656250000000005</v>
      </c>
      <c r="F9" s="7">
        <f t="shared" si="3"/>
        <v>4.9312500000000007E-3</v>
      </c>
      <c r="G9" s="7">
        <f t="shared" si="4"/>
        <v>0.24163125000000005</v>
      </c>
    </row>
    <row r="10" spans="1:10" ht="14.5" x14ac:dyDescent="0.35">
      <c r="A10" s="48"/>
      <c r="B10" s="32" t="s">
        <v>1081</v>
      </c>
      <c r="C10" s="7">
        <v>0.27500000000000002</v>
      </c>
      <c r="D10" s="7">
        <f t="shared" si="1"/>
        <v>0.27156250000000004</v>
      </c>
      <c r="E10" s="7">
        <f t="shared" si="2"/>
        <v>0.24656250000000005</v>
      </c>
      <c r="F10" s="7">
        <f t="shared" si="3"/>
        <v>4.9312500000000007E-3</v>
      </c>
      <c r="G10" s="7">
        <f t="shared" si="4"/>
        <v>0.24163125000000005</v>
      </c>
      <c r="I10" s="33"/>
      <c r="J10" s="33"/>
    </row>
    <row r="11" spans="1:10" ht="14.5" x14ac:dyDescent="0.35">
      <c r="A11" s="48"/>
      <c r="B11" s="32" t="s">
        <v>1082</v>
      </c>
      <c r="C11" s="7">
        <v>0.27500000000000002</v>
      </c>
      <c r="D11" s="7">
        <f t="shared" si="1"/>
        <v>0.27156250000000004</v>
      </c>
      <c r="E11" s="7">
        <f t="shared" si="2"/>
        <v>0.24656250000000005</v>
      </c>
      <c r="F11" s="7">
        <f t="shared" si="3"/>
        <v>4.9312500000000007E-3</v>
      </c>
      <c r="G11" s="7">
        <f t="shared" si="4"/>
        <v>0.24163125000000005</v>
      </c>
    </row>
    <row r="12" spans="1:10" ht="24" x14ac:dyDescent="0.35">
      <c r="A12" s="48"/>
      <c r="B12" s="5" t="s">
        <v>1083</v>
      </c>
      <c r="C12" s="7">
        <v>0.27500000000000002</v>
      </c>
      <c r="D12" s="7">
        <f t="shared" si="1"/>
        <v>0.27156250000000004</v>
      </c>
      <c r="E12" s="7">
        <f t="shared" si="2"/>
        <v>0.24656250000000005</v>
      </c>
      <c r="F12" s="7">
        <f t="shared" si="3"/>
        <v>4.9312500000000007E-3</v>
      </c>
      <c r="G12" s="7">
        <f t="shared" si="4"/>
        <v>0.24163125000000005</v>
      </c>
    </row>
    <row r="13" spans="1:10" ht="24" x14ac:dyDescent="0.35">
      <c r="A13" s="48"/>
      <c r="B13" s="5" t="s">
        <v>1084</v>
      </c>
      <c r="C13" s="7">
        <v>0.27500000000000002</v>
      </c>
      <c r="D13" s="7">
        <f t="shared" si="1"/>
        <v>0.27156250000000004</v>
      </c>
      <c r="E13" s="7">
        <f t="shared" si="2"/>
        <v>0.24656250000000005</v>
      </c>
      <c r="F13" s="7">
        <f t="shared" si="3"/>
        <v>4.9312500000000007E-3</v>
      </c>
      <c r="G13" s="7">
        <f t="shared" si="4"/>
        <v>0.24163125000000005</v>
      </c>
    </row>
    <row r="14" spans="1:10" ht="35.15" customHeight="1" x14ac:dyDescent="0.35">
      <c r="A14" s="48"/>
      <c r="B14" s="32" t="s">
        <v>1085</v>
      </c>
      <c r="C14" s="7">
        <v>0.1</v>
      </c>
      <c r="D14" s="7">
        <f t="shared" si="1"/>
        <v>9.8750000000000004E-2</v>
      </c>
      <c r="E14" s="7">
        <f t="shared" si="2"/>
        <v>7.375000000000001E-2</v>
      </c>
      <c r="F14" s="7">
        <f t="shared" si="3"/>
        <v>1.4750000000000002E-3</v>
      </c>
      <c r="G14" s="7">
        <f t="shared" si="4"/>
        <v>7.2275000000000006E-2</v>
      </c>
    </row>
    <row r="15" spans="1:10" ht="37.5" customHeight="1" x14ac:dyDescent="0.35">
      <c r="A15" s="48"/>
      <c r="B15" s="32" t="s">
        <v>1086</v>
      </c>
      <c r="C15" s="7">
        <v>0.1</v>
      </c>
      <c r="D15" s="7">
        <f t="shared" si="1"/>
        <v>9.8750000000000004E-2</v>
      </c>
      <c r="E15" s="7">
        <f t="shared" si="2"/>
        <v>7.375000000000001E-2</v>
      </c>
      <c r="F15" s="7">
        <f t="shared" si="3"/>
        <v>1.4750000000000002E-3</v>
      </c>
      <c r="G15" s="7">
        <f t="shared" si="4"/>
        <v>7.2275000000000006E-2</v>
      </c>
    </row>
    <row r="16" spans="1:10" ht="35.15" customHeight="1" x14ac:dyDescent="0.35">
      <c r="A16" s="48"/>
      <c r="B16" s="5" t="s">
        <v>1087</v>
      </c>
      <c r="C16" s="7">
        <v>0.27500000000000002</v>
      </c>
      <c r="D16" s="7">
        <f t="shared" si="1"/>
        <v>0.27156250000000004</v>
      </c>
      <c r="E16" s="7">
        <f t="shared" si="2"/>
        <v>0.24656250000000005</v>
      </c>
      <c r="F16" s="7">
        <f t="shared" si="3"/>
        <v>4.9312500000000007E-3</v>
      </c>
      <c r="G16" s="7">
        <f t="shared" si="4"/>
        <v>0.24163125000000005</v>
      </c>
    </row>
    <row r="17" spans="1:7" ht="35.15" customHeight="1" x14ac:dyDescent="0.35">
      <c r="A17" s="48"/>
      <c r="B17" s="5" t="s">
        <v>1088</v>
      </c>
      <c r="C17" s="7">
        <v>0.27500000000000002</v>
      </c>
      <c r="D17" s="7">
        <f t="shared" si="1"/>
        <v>0.27156250000000004</v>
      </c>
      <c r="E17" s="7">
        <f t="shared" si="2"/>
        <v>0.24656250000000005</v>
      </c>
      <c r="F17" s="7">
        <f t="shared" si="3"/>
        <v>4.9312500000000007E-3</v>
      </c>
      <c r="G17" s="7">
        <f t="shared" si="4"/>
        <v>0.24163125000000005</v>
      </c>
    </row>
    <row r="18" spans="1:7" ht="14.5" x14ac:dyDescent="0.35">
      <c r="A18" s="48" t="s">
        <v>1089</v>
      </c>
      <c r="B18" s="32" t="s">
        <v>1090</v>
      </c>
      <c r="C18" s="7">
        <v>0.05</v>
      </c>
      <c r="D18" s="7">
        <f t="shared" si="1"/>
        <v>4.9375000000000002E-2</v>
      </c>
      <c r="E18" s="7">
        <f t="shared" si="2"/>
        <v>2.4375000000000001E-2</v>
      </c>
      <c r="F18" s="7">
        <f t="shared" si="3"/>
        <v>4.8750000000000003E-4</v>
      </c>
      <c r="G18" s="7">
        <f t="shared" si="4"/>
        <v>2.3887500000000002E-2</v>
      </c>
    </row>
    <row r="19" spans="1:7" ht="14.5" x14ac:dyDescent="0.35">
      <c r="A19" s="48"/>
      <c r="B19" s="32" t="s">
        <v>1091</v>
      </c>
      <c r="C19" s="7">
        <v>0.05</v>
      </c>
      <c r="D19" s="7">
        <f t="shared" si="1"/>
        <v>4.9375000000000002E-2</v>
      </c>
      <c r="E19" s="7">
        <f t="shared" si="2"/>
        <v>2.4375000000000001E-2</v>
      </c>
      <c r="F19" s="7">
        <f t="shared" si="3"/>
        <v>4.8750000000000003E-4</v>
      </c>
      <c r="G19" s="7">
        <f t="shared" si="4"/>
        <v>2.3887500000000002E-2</v>
      </c>
    </row>
    <row r="20" spans="1:7" ht="35.15" customHeight="1" x14ac:dyDescent="0.35">
      <c r="A20" s="48"/>
      <c r="B20" s="5" t="s">
        <v>1092</v>
      </c>
      <c r="C20" s="7">
        <v>0.2</v>
      </c>
      <c r="D20" s="7">
        <f t="shared" si="1"/>
        <v>0.19750000000000001</v>
      </c>
      <c r="E20" s="7">
        <f t="shared" si="2"/>
        <v>0.17250000000000001</v>
      </c>
      <c r="F20" s="7">
        <f t="shared" si="3"/>
        <v>3.4500000000000004E-3</v>
      </c>
      <c r="G20" s="7">
        <f t="shared" si="4"/>
        <v>0.16905000000000001</v>
      </c>
    </row>
    <row r="21" spans="1:7" ht="14.5" x14ac:dyDescent="0.35">
      <c r="A21" s="48"/>
      <c r="B21" s="5" t="s">
        <v>1093</v>
      </c>
      <c r="C21" s="7">
        <v>0.2</v>
      </c>
      <c r="D21" s="7">
        <f t="shared" si="1"/>
        <v>0.19750000000000001</v>
      </c>
      <c r="E21" s="7">
        <f t="shared" si="2"/>
        <v>0.17250000000000001</v>
      </c>
      <c r="F21" s="7">
        <f t="shared" si="3"/>
        <v>3.4500000000000004E-3</v>
      </c>
      <c r="G21" s="7">
        <f t="shared" si="4"/>
        <v>0.16905000000000001</v>
      </c>
    </row>
    <row r="22" spans="1:7" ht="35.15" customHeight="1" x14ac:dyDescent="0.35">
      <c r="A22" s="48"/>
      <c r="B22" s="32" t="s">
        <v>1094</v>
      </c>
      <c r="C22" s="7">
        <v>0.2</v>
      </c>
      <c r="D22" s="7">
        <f t="shared" si="1"/>
        <v>0.19750000000000001</v>
      </c>
      <c r="E22" s="7">
        <f t="shared" si="2"/>
        <v>0.17250000000000001</v>
      </c>
      <c r="F22" s="7">
        <f t="shared" si="3"/>
        <v>3.4500000000000004E-3</v>
      </c>
      <c r="G22" s="7">
        <f t="shared" si="4"/>
        <v>0.16905000000000001</v>
      </c>
    </row>
    <row r="23" spans="1:7" ht="35.15" customHeight="1" x14ac:dyDescent="0.35">
      <c r="A23" s="48"/>
      <c r="B23" s="32" t="s">
        <v>1095</v>
      </c>
      <c r="C23" s="7">
        <v>0.2</v>
      </c>
      <c r="D23" s="7">
        <f t="shared" si="1"/>
        <v>0.19750000000000001</v>
      </c>
      <c r="E23" s="7">
        <f t="shared" si="2"/>
        <v>0.17250000000000001</v>
      </c>
      <c r="F23" s="7">
        <f t="shared" si="3"/>
        <v>3.4500000000000004E-3</v>
      </c>
      <c r="G23" s="7">
        <f t="shared" si="4"/>
        <v>0.16905000000000001</v>
      </c>
    </row>
    <row r="24" spans="1:7" ht="35.15" customHeight="1" x14ac:dyDescent="0.35">
      <c r="A24" s="48"/>
      <c r="B24" s="5" t="s">
        <v>1083</v>
      </c>
      <c r="C24" s="7">
        <v>0.2</v>
      </c>
      <c r="D24" s="7">
        <f t="shared" si="1"/>
        <v>0.19750000000000001</v>
      </c>
      <c r="E24" s="7">
        <f t="shared" si="2"/>
        <v>0.17250000000000001</v>
      </c>
      <c r="F24" s="7">
        <f t="shared" si="3"/>
        <v>3.4500000000000004E-3</v>
      </c>
      <c r="G24" s="7">
        <f t="shared" si="4"/>
        <v>0.16905000000000001</v>
      </c>
    </row>
    <row r="25" spans="1:7" ht="35.15" customHeight="1" x14ac:dyDescent="0.35">
      <c r="A25" s="48"/>
      <c r="B25" s="5" t="s">
        <v>1084</v>
      </c>
      <c r="C25" s="7">
        <v>0.2</v>
      </c>
      <c r="D25" s="7">
        <f t="shared" si="1"/>
        <v>0.19750000000000001</v>
      </c>
      <c r="E25" s="7">
        <f t="shared" si="2"/>
        <v>0.17250000000000001</v>
      </c>
      <c r="F25" s="7">
        <f t="shared" si="3"/>
        <v>3.4500000000000004E-3</v>
      </c>
      <c r="G25" s="7">
        <f t="shared" si="4"/>
        <v>0.16905000000000001</v>
      </c>
    </row>
    <row r="26" spans="1:7" ht="35.15" customHeight="1" x14ac:dyDescent="0.35">
      <c r="A26" s="48"/>
      <c r="B26" s="32" t="s">
        <v>1085</v>
      </c>
      <c r="C26" s="7">
        <v>0.05</v>
      </c>
      <c r="D26" s="7">
        <f t="shared" si="1"/>
        <v>4.9375000000000002E-2</v>
      </c>
      <c r="E26" s="7">
        <f t="shared" si="2"/>
        <v>2.4375000000000001E-2</v>
      </c>
      <c r="F26" s="7">
        <f t="shared" si="3"/>
        <v>4.8750000000000003E-4</v>
      </c>
      <c r="G26" s="7">
        <f t="shared" si="4"/>
        <v>2.3887500000000002E-2</v>
      </c>
    </row>
    <row r="27" spans="1:7" ht="35.15" customHeight="1" x14ac:dyDescent="0.35">
      <c r="A27" s="48"/>
      <c r="B27" s="32" t="s">
        <v>1086</v>
      </c>
      <c r="C27" s="7">
        <v>0.05</v>
      </c>
      <c r="D27" s="7">
        <f t="shared" si="1"/>
        <v>4.9375000000000002E-2</v>
      </c>
      <c r="E27" s="7">
        <f t="shared" si="2"/>
        <v>2.4375000000000001E-2</v>
      </c>
      <c r="F27" s="7">
        <f t="shared" si="3"/>
        <v>4.8750000000000003E-4</v>
      </c>
      <c r="G27" s="7">
        <f t="shared" si="4"/>
        <v>2.3887500000000002E-2</v>
      </c>
    </row>
    <row r="28" spans="1:7" ht="35.15" customHeight="1" x14ac:dyDescent="0.35">
      <c r="A28" s="48"/>
      <c r="B28" s="5" t="s">
        <v>1087</v>
      </c>
      <c r="C28" s="7">
        <v>0.17</v>
      </c>
      <c r="D28" s="7">
        <f t="shared" si="1"/>
        <v>0.16787500000000002</v>
      </c>
      <c r="E28" s="7">
        <f t="shared" si="2"/>
        <v>0.14287500000000003</v>
      </c>
      <c r="F28" s="7">
        <f t="shared" si="3"/>
        <v>2.8575000000000007E-3</v>
      </c>
      <c r="G28" s="7">
        <f t="shared" si="4"/>
        <v>0.14001750000000002</v>
      </c>
    </row>
    <row r="29" spans="1:7" ht="35.15" customHeight="1" x14ac:dyDescent="0.35">
      <c r="A29" s="48"/>
      <c r="B29" s="5" t="s">
        <v>1088</v>
      </c>
      <c r="C29" s="7">
        <v>0.17</v>
      </c>
      <c r="D29" s="7">
        <f t="shared" si="1"/>
        <v>0.16787500000000002</v>
      </c>
      <c r="E29" s="7">
        <f t="shared" si="2"/>
        <v>0.14287500000000003</v>
      </c>
      <c r="F29" s="7">
        <f t="shared" si="3"/>
        <v>2.8575000000000007E-3</v>
      </c>
      <c r="G29" s="7">
        <f t="shared" si="4"/>
        <v>0.14001750000000002</v>
      </c>
    </row>
    <row r="30" spans="1:7" ht="35.15" customHeight="1" x14ac:dyDescent="0.35">
      <c r="A30" s="48" t="s">
        <v>1096</v>
      </c>
      <c r="B30" s="32" t="s">
        <v>1090</v>
      </c>
      <c r="C30" s="7">
        <v>0.12</v>
      </c>
      <c r="D30" s="7">
        <f t="shared" si="1"/>
        <v>0.11849999999999999</v>
      </c>
      <c r="E30" s="7">
        <f t="shared" si="2"/>
        <v>9.35E-2</v>
      </c>
      <c r="F30" s="7">
        <f t="shared" si="3"/>
        <v>1.8700000000000001E-3</v>
      </c>
      <c r="G30" s="7">
        <f t="shared" si="4"/>
        <v>9.1630000000000003E-2</v>
      </c>
    </row>
    <row r="31" spans="1:7" ht="35.15" customHeight="1" x14ac:dyDescent="0.35">
      <c r="A31" s="48"/>
      <c r="B31" s="32" t="s">
        <v>1091</v>
      </c>
      <c r="C31" s="7">
        <v>0</v>
      </c>
      <c r="D31" s="7" t="s">
        <v>20</v>
      </c>
      <c r="E31" s="7" t="s">
        <v>20</v>
      </c>
      <c r="F31" s="7" t="s">
        <v>20</v>
      </c>
      <c r="G31" s="7" t="s">
        <v>20</v>
      </c>
    </row>
    <row r="32" spans="1:7" ht="35.15" customHeight="1" x14ac:dyDescent="0.35">
      <c r="A32" s="48"/>
      <c r="B32" s="5" t="s">
        <v>1092</v>
      </c>
      <c r="C32" s="7">
        <v>0.12</v>
      </c>
      <c r="D32" s="7">
        <f t="shared" si="1"/>
        <v>0.11849999999999999</v>
      </c>
      <c r="E32" s="7">
        <f t="shared" si="2"/>
        <v>9.35E-2</v>
      </c>
      <c r="F32" s="7">
        <f t="shared" si="3"/>
        <v>1.8700000000000001E-3</v>
      </c>
      <c r="G32" s="7">
        <f t="shared" si="4"/>
        <v>9.1630000000000003E-2</v>
      </c>
    </row>
    <row r="33" spans="1:7" ht="35.15" customHeight="1" x14ac:dyDescent="0.35">
      <c r="A33" s="48"/>
      <c r="B33" s="5" t="s">
        <v>1093</v>
      </c>
      <c r="C33" s="7">
        <v>0</v>
      </c>
      <c r="D33" s="7" t="s">
        <v>20</v>
      </c>
      <c r="E33" s="7" t="s">
        <v>20</v>
      </c>
      <c r="F33" s="7" t="s">
        <v>20</v>
      </c>
      <c r="G33" s="7" t="s">
        <v>20</v>
      </c>
    </row>
    <row r="34" spans="1:7" ht="35.15" customHeight="1" x14ac:dyDescent="0.35">
      <c r="A34" s="48"/>
      <c r="B34" s="32" t="s">
        <v>1094</v>
      </c>
      <c r="C34" s="7">
        <v>0.12</v>
      </c>
      <c r="D34" s="7">
        <f t="shared" si="1"/>
        <v>0.11849999999999999</v>
      </c>
      <c r="E34" s="7">
        <f t="shared" si="2"/>
        <v>9.35E-2</v>
      </c>
      <c r="F34" s="7">
        <f t="shared" si="3"/>
        <v>1.8700000000000001E-3</v>
      </c>
      <c r="G34" s="7">
        <f t="shared" si="4"/>
        <v>9.1630000000000003E-2</v>
      </c>
    </row>
    <row r="35" spans="1:7" ht="35.15" customHeight="1" x14ac:dyDescent="0.35">
      <c r="A35" s="48"/>
      <c r="B35" s="32" t="s">
        <v>1095</v>
      </c>
      <c r="C35" s="7">
        <v>0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5.15" customHeight="1" x14ac:dyDescent="0.35">
      <c r="A36" s="48"/>
      <c r="B36" s="5" t="s">
        <v>1083</v>
      </c>
      <c r="C36" s="7">
        <v>0.12</v>
      </c>
      <c r="D36" s="7">
        <f t="shared" si="1"/>
        <v>0.11849999999999999</v>
      </c>
      <c r="E36" s="7">
        <f t="shared" si="2"/>
        <v>9.35E-2</v>
      </c>
      <c r="F36" s="7">
        <f t="shared" si="3"/>
        <v>1.8700000000000001E-3</v>
      </c>
      <c r="G36" s="7">
        <f t="shared" si="4"/>
        <v>9.1630000000000003E-2</v>
      </c>
    </row>
    <row r="37" spans="1:7" ht="35.15" customHeight="1" x14ac:dyDescent="0.35">
      <c r="A37" s="48"/>
      <c r="B37" s="5" t="s">
        <v>1084</v>
      </c>
      <c r="C37" s="7">
        <v>0</v>
      </c>
      <c r="D37" s="7" t="s">
        <v>20</v>
      </c>
      <c r="E37" s="7" t="s">
        <v>20</v>
      </c>
      <c r="F37" s="7" t="s">
        <v>20</v>
      </c>
      <c r="G37" s="7" t="s">
        <v>20</v>
      </c>
    </row>
    <row r="38" spans="1:7" ht="35.15" customHeight="1" x14ac:dyDescent="0.35">
      <c r="A38" s="48"/>
      <c r="B38" s="32" t="s">
        <v>1085</v>
      </c>
      <c r="C38" s="7">
        <v>0.12</v>
      </c>
      <c r="D38" s="7">
        <f t="shared" si="1"/>
        <v>0.11849999999999999</v>
      </c>
      <c r="E38" s="7">
        <f t="shared" si="2"/>
        <v>9.35E-2</v>
      </c>
      <c r="F38" s="7">
        <f t="shared" si="3"/>
        <v>1.8700000000000001E-3</v>
      </c>
      <c r="G38" s="7">
        <f t="shared" si="4"/>
        <v>9.1630000000000003E-2</v>
      </c>
    </row>
    <row r="39" spans="1:7" ht="35.15" customHeight="1" x14ac:dyDescent="0.35">
      <c r="A39" s="48"/>
      <c r="B39" s="32" t="s">
        <v>1086</v>
      </c>
      <c r="C39" s="7">
        <v>0</v>
      </c>
      <c r="D39" s="7" t="s">
        <v>20</v>
      </c>
      <c r="E39" s="7" t="s">
        <v>20</v>
      </c>
      <c r="F39" s="7" t="s">
        <v>20</v>
      </c>
      <c r="G39" s="7" t="s">
        <v>20</v>
      </c>
    </row>
    <row r="40" spans="1:7" ht="35.15" customHeight="1" x14ac:dyDescent="0.35">
      <c r="A40" s="48"/>
      <c r="B40" s="5" t="s">
        <v>1087</v>
      </c>
      <c r="C40" s="7">
        <v>0.17</v>
      </c>
      <c r="D40" s="7">
        <f t="shared" si="1"/>
        <v>0.16787500000000002</v>
      </c>
      <c r="E40" s="7">
        <f t="shared" si="2"/>
        <v>0.14287500000000003</v>
      </c>
      <c r="F40" s="7">
        <f t="shared" si="3"/>
        <v>2.8575000000000007E-3</v>
      </c>
      <c r="G40" s="7">
        <f t="shared" si="4"/>
        <v>0.14001750000000002</v>
      </c>
    </row>
    <row r="41" spans="1:7" ht="35.15" customHeight="1" x14ac:dyDescent="0.35">
      <c r="A41" s="48"/>
      <c r="B41" s="5" t="s">
        <v>1088</v>
      </c>
      <c r="C41" s="7">
        <v>0</v>
      </c>
      <c r="D41" s="7" t="s">
        <v>20</v>
      </c>
      <c r="E41" s="7" t="s">
        <v>20</v>
      </c>
      <c r="F41" s="7" t="s">
        <v>20</v>
      </c>
      <c r="G41" s="7" t="s">
        <v>20</v>
      </c>
    </row>
    <row r="42" spans="1:7" ht="35.15" customHeight="1" x14ac:dyDescent="0.35">
      <c r="A42" s="48" t="s">
        <v>1097</v>
      </c>
      <c r="B42" s="32" t="s">
        <v>1090</v>
      </c>
      <c r="C42" s="7">
        <v>0</v>
      </c>
      <c r="D42" s="7" t="s">
        <v>20</v>
      </c>
      <c r="E42" s="7" t="s">
        <v>20</v>
      </c>
      <c r="F42" s="7" t="s">
        <v>20</v>
      </c>
      <c r="G42" s="7" t="s">
        <v>20</v>
      </c>
    </row>
    <row r="43" spans="1:7" ht="35.15" customHeight="1" x14ac:dyDescent="0.35">
      <c r="A43" s="48"/>
      <c r="B43" s="32" t="s">
        <v>1091</v>
      </c>
      <c r="C43" s="7">
        <v>0.05</v>
      </c>
      <c r="D43" s="7">
        <f t="shared" si="1"/>
        <v>4.9375000000000002E-2</v>
      </c>
      <c r="E43" s="7">
        <f t="shared" si="2"/>
        <v>2.4375000000000001E-2</v>
      </c>
      <c r="F43" s="7">
        <f t="shared" si="3"/>
        <v>4.8750000000000003E-4</v>
      </c>
      <c r="G43" s="7">
        <f t="shared" si="4"/>
        <v>2.3887500000000002E-2</v>
      </c>
    </row>
    <row r="44" spans="1:7" ht="35.15" customHeight="1" x14ac:dyDescent="0.35">
      <c r="A44" s="48"/>
      <c r="B44" s="5" t="s">
        <v>1092</v>
      </c>
      <c r="C44" s="7">
        <v>0</v>
      </c>
      <c r="D44" s="7" t="s">
        <v>20</v>
      </c>
      <c r="E44" s="7" t="s">
        <v>20</v>
      </c>
      <c r="F44" s="7" t="s">
        <v>20</v>
      </c>
      <c r="G44" s="7" t="s">
        <v>20</v>
      </c>
    </row>
    <row r="45" spans="1:7" ht="35.15" customHeight="1" x14ac:dyDescent="0.35">
      <c r="A45" s="48"/>
      <c r="B45" s="5" t="s">
        <v>1093</v>
      </c>
      <c r="C45" s="7">
        <v>0.2</v>
      </c>
      <c r="D45" s="7">
        <f t="shared" si="1"/>
        <v>0.19750000000000001</v>
      </c>
      <c r="E45" s="7">
        <f t="shared" si="2"/>
        <v>0.17250000000000001</v>
      </c>
      <c r="F45" s="7">
        <f t="shared" si="3"/>
        <v>3.4500000000000004E-3</v>
      </c>
      <c r="G45" s="7">
        <f t="shared" si="4"/>
        <v>0.16905000000000001</v>
      </c>
    </row>
    <row r="46" spans="1:7" ht="35.15" customHeight="1" x14ac:dyDescent="0.35">
      <c r="A46" s="48"/>
      <c r="B46" s="32" t="s">
        <v>1094</v>
      </c>
      <c r="C46" s="7">
        <v>0</v>
      </c>
      <c r="D46" s="7" t="s">
        <v>20</v>
      </c>
      <c r="E46" s="7" t="s">
        <v>20</v>
      </c>
      <c r="F46" s="7" t="s">
        <v>20</v>
      </c>
      <c r="G46" s="7" t="s">
        <v>20</v>
      </c>
    </row>
    <row r="47" spans="1:7" ht="35.15" customHeight="1" x14ac:dyDescent="0.35">
      <c r="A47" s="48"/>
      <c r="B47" s="32" t="s">
        <v>1095</v>
      </c>
      <c r="C47" s="7">
        <v>0.2</v>
      </c>
      <c r="D47" s="7">
        <f t="shared" si="1"/>
        <v>0.19750000000000001</v>
      </c>
      <c r="E47" s="7">
        <f t="shared" si="2"/>
        <v>0.17250000000000001</v>
      </c>
      <c r="F47" s="7">
        <f t="shared" si="3"/>
        <v>3.4500000000000004E-3</v>
      </c>
      <c r="G47" s="7">
        <f t="shared" si="4"/>
        <v>0.16905000000000001</v>
      </c>
    </row>
    <row r="48" spans="1:7" ht="24" x14ac:dyDescent="0.35">
      <c r="A48" s="48"/>
      <c r="B48" s="5" t="s">
        <v>1083</v>
      </c>
      <c r="C48" s="7">
        <v>0</v>
      </c>
      <c r="D48" s="7" t="s">
        <v>20</v>
      </c>
      <c r="E48" s="7" t="s">
        <v>20</v>
      </c>
      <c r="F48" s="7" t="s">
        <v>20</v>
      </c>
      <c r="G48" s="7" t="s">
        <v>20</v>
      </c>
    </row>
    <row r="49" spans="1:10" ht="35.15" customHeight="1" x14ac:dyDescent="0.35">
      <c r="A49" s="48"/>
      <c r="B49" s="5" t="s">
        <v>1084</v>
      </c>
      <c r="C49" s="7">
        <v>0.2</v>
      </c>
      <c r="D49" s="7">
        <f t="shared" si="1"/>
        <v>0.19750000000000001</v>
      </c>
      <c r="E49" s="7">
        <f t="shared" si="2"/>
        <v>0.17250000000000001</v>
      </c>
      <c r="F49" s="7">
        <f t="shared" si="3"/>
        <v>3.4500000000000004E-3</v>
      </c>
      <c r="G49" s="7">
        <f t="shared" si="4"/>
        <v>0.16905000000000001</v>
      </c>
    </row>
    <row r="50" spans="1:10" ht="35.15" customHeight="1" x14ac:dyDescent="0.35">
      <c r="A50" s="48"/>
      <c r="B50" s="32" t="s">
        <v>1085</v>
      </c>
      <c r="C50" s="7">
        <v>0</v>
      </c>
      <c r="D50" s="7" t="s">
        <v>20</v>
      </c>
      <c r="E50" s="7" t="s">
        <v>20</v>
      </c>
      <c r="F50" s="7" t="s">
        <v>20</v>
      </c>
      <c r="G50" s="7" t="s">
        <v>20</v>
      </c>
    </row>
    <row r="51" spans="1:10" ht="35.15" customHeight="1" x14ac:dyDescent="0.35">
      <c r="A51" s="48"/>
      <c r="B51" s="32" t="s">
        <v>1086</v>
      </c>
      <c r="C51" s="7">
        <v>0.05</v>
      </c>
      <c r="D51" s="7">
        <f t="shared" si="1"/>
        <v>4.9375000000000002E-2</v>
      </c>
      <c r="E51" s="7">
        <f t="shared" si="2"/>
        <v>2.4375000000000001E-2</v>
      </c>
      <c r="F51" s="7">
        <f t="shared" si="3"/>
        <v>4.8750000000000003E-4</v>
      </c>
      <c r="G51" s="7">
        <f t="shared" si="4"/>
        <v>2.3887500000000002E-2</v>
      </c>
    </row>
    <row r="52" spans="1:10" ht="35.15" customHeight="1" x14ac:dyDescent="0.35">
      <c r="A52" s="48"/>
      <c r="B52" s="5" t="s">
        <v>1087</v>
      </c>
      <c r="C52" s="7">
        <v>0</v>
      </c>
      <c r="D52" s="7" t="s">
        <v>20</v>
      </c>
      <c r="E52" s="7" t="s">
        <v>20</v>
      </c>
      <c r="F52" s="7" t="s">
        <v>20</v>
      </c>
      <c r="G52" s="7" t="s">
        <v>20</v>
      </c>
    </row>
    <row r="53" spans="1:10" ht="35.15" customHeight="1" x14ac:dyDescent="0.35">
      <c r="A53" s="48"/>
      <c r="B53" s="5" t="s">
        <v>1088</v>
      </c>
      <c r="C53" s="7">
        <v>0.17</v>
      </c>
      <c r="D53" s="7">
        <f t="shared" si="1"/>
        <v>0.16787500000000002</v>
      </c>
      <c r="E53" s="7">
        <f t="shared" si="2"/>
        <v>0.14287500000000003</v>
      </c>
      <c r="F53" s="7">
        <f t="shared" si="3"/>
        <v>2.8575000000000007E-3</v>
      </c>
      <c r="G53" s="7">
        <f t="shared" si="4"/>
        <v>0.14001750000000002</v>
      </c>
    </row>
    <row r="54" spans="1:10" ht="14.5" x14ac:dyDescent="0.35">
      <c r="A54" s="2" t="s">
        <v>987</v>
      </c>
      <c r="B54" s="2" t="s">
        <v>1</v>
      </c>
      <c r="C54" s="4" t="s">
        <v>2</v>
      </c>
      <c r="D54" s="4" t="s">
        <v>1275</v>
      </c>
      <c r="E54" s="4" t="s">
        <v>1276</v>
      </c>
      <c r="F54" s="4" t="s">
        <v>363</v>
      </c>
      <c r="G54" s="4" t="s">
        <v>364</v>
      </c>
    </row>
    <row r="55" spans="1:10" ht="14.5" x14ac:dyDescent="0.35">
      <c r="A55" s="41" t="s">
        <v>1098</v>
      </c>
      <c r="B55" s="5" t="s">
        <v>1099</v>
      </c>
      <c r="C55" s="7">
        <v>0.05</v>
      </c>
      <c r="D55" s="7">
        <f t="shared" si="1"/>
        <v>4.9375000000000002E-2</v>
      </c>
      <c r="E55" s="7">
        <f t="shared" si="2"/>
        <v>2.4375000000000001E-2</v>
      </c>
      <c r="F55" s="7">
        <f t="shared" si="3"/>
        <v>4.8750000000000003E-4</v>
      </c>
      <c r="G55" s="7">
        <f t="shared" si="4"/>
        <v>2.3887500000000002E-2</v>
      </c>
    </row>
    <row r="56" spans="1:10" ht="14.5" x14ac:dyDescent="0.35">
      <c r="A56" s="43"/>
      <c r="B56" s="5" t="s">
        <v>1100</v>
      </c>
      <c r="C56" s="7">
        <v>0.22500000000000001</v>
      </c>
      <c r="D56" s="7">
        <f t="shared" si="1"/>
        <v>0.22218750000000001</v>
      </c>
      <c r="E56" s="7">
        <f t="shared" si="2"/>
        <v>0.19718750000000002</v>
      </c>
      <c r="F56" s="7">
        <f t="shared" si="3"/>
        <v>3.9437500000000002E-3</v>
      </c>
      <c r="G56" s="7">
        <f t="shared" si="4"/>
        <v>0.19324375000000002</v>
      </c>
    </row>
    <row r="57" spans="1:10" ht="14.5" x14ac:dyDescent="0.35">
      <c r="A57" s="41" t="s">
        <v>1101</v>
      </c>
      <c r="B57" s="5" t="s">
        <v>1099</v>
      </c>
      <c r="C57" s="7">
        <v>0.05</v>
      </c>
      <c r="D57" s="7">
        <f t="shared" si="1"/>
        <v>4.9375000000000002E-2</v>
      </c>
      <c r="E57" s="7">
        <f t="shared" si="2"/>
        <v>2.4375000000000001E-2</v>
      </c>
      <c r="F57" s="7">
        <f t="shared" si="3"/>
        <v>4.8750000000000003E-4</v>
      </c>
      <c r="G57" s="7">
        <f t="shared" si="4"/>
        <v>2.3887500000000002E-2</v>
      </c>
    </row>
    <row r="58" spans="1:10" ht="14.5" x14ac:dyDescent="0.35">
      <c r="A58" s="43"/>
      <c r="B58" s="5" t="s">
        <v>1100</v>
      </c>
      <c r="C58" s="7">
        <v>0.17499999999999999</v>
      </c>
      <c r="D58" s="7">
        <f t="shared" si="1"/>
        <v>0.17281249999999998</v>
      </c>
      <c r="E58" s="7">
        <f t="shared" si="2"/>
        <v>0.14781249999999999</v>
      </c>
      <c r="F58" s="7">
        <f t="shared" si="3"/>
        <v>2.9562499999999997E-3</v>
      </c>
      <c r="G58" s="7">
        <f t="shared" si="4"/>
        <v>0.14485624999999999</v>
      </c>
    </row>
    <row r="59" spans="1:10" ht="14.5" x14ac:dyDescent="0.35">
      <c r="A59" s="41" t="s">
        <v>1102</v>
      </c>
      <c r="B59" s="5" t="s">
        <v>1099</v>
      </c>
      <c r="C59" s="7">
        <v>0.05</v>
      </c>
      <c r="D59" s="7">
        <f t="shared" si="1"/>
        <v>4.9375000000000002E-2</v>
      </c>
      <c r="E59" s="7">
        <f t="shared" si="2"/>
        <v>2.4375000000000001E-2</v>
      </c>
      <c r="F59" s="7">
        <f t="shared" si="3"/>
        <v>4.8750000000000003E-4</v>
      </c>
      <c r="G59" s="7">
        <f t="shared" si="4"/>
        <v>2.3887500000000002E-2</v>
      </c>
    </row>
    <row r="60" spans="1:10" ht="14.5" x14ac:dyDescent="0.35">
      <c r="A60" s="43"/>
      <c r="B60" s="5" t="s">
        <v>1100</v>
      </c>
      <c r="C60" s="7">
        <v>0.22500000000000001</v>
      </c>
      <c r="D60" s="7">
        <f t="shared" si="1"/>
        <v>0.22218750000000001</v>
      </c>
      <c r="E60" s="7">
        <f t="shared" si="2"/>
        <v>0.19718750000000002</v>
      </c>
      <c r="F60" s="7">
        <f t="shared" si="3"/>
        <v>3.9437500000000002E-3</v>
      </c>
      <c r="G60" s="7">
        <f t="shared" si="4"/>
        <v>0.19324375000000002</v>
      </c>
    </row>
    <row r="61" spans="1:10" ht="14.5" x14ac:dyDescent="0.35">
      <c r="A61" s="41" t="s">
        <v>1103</v>
      </c>
      <c r="B61" s="5" t="s">
        <v>1099</v>
      </c>
      <c r="C61" s="7">
        <v>0.2</v>
      </c>
      <c r="D61" s="7">
        <f t="shared" si="1"/>
        <v>0.19750000000000001</v>
      </c>
      <c r="E61" s="7">
        <f t="shared" si="2"/>
        <v>0.17250000000000001</v>
      </c>
      <c r="F61" s="7">
        <f t="shared" si="3"/>
        <v>3.4500000000000004E-3</v>
      </c>
      <c r="G61" s="7">
        <f t="shared" si="4"/>
        <v>0.16905000000000001</v>
      </c>
    </row>
    <row r="62" spans="1:10" ht="14.5" x14ac:dyDescent="0.35">
      <c r="A62" s="43"/>
      <c r="B62" s="5" t="s">
        <v>1100</v>
      </c>
      <c r="C62" s="7">
        <v>0.2</v>
      </c>
      <c r="D62" s="7">
        <f t="shared" si="1"/>
        <v>0.19750000000000001</v>
      </c>
      <c r="E62" s="7">
        <f t="shared" si="2"/>
        <v>0.17250000000000001</v>
      </c>
      <c r="F62" s="7">
        <f t="shared" si="3"/>
        <v>3.4500000000000004E-3</v>
      </c>
      <c r="G62" s="7">
        <f t="shared" si="4"/>
        <v>0.16905000000000001</v>
      </c>
    </row>
    <row r="63" spans="1:10" ht="14.5" x14ac:dyDescent="0.35">
      <c r="A63" s="2" t="s">
        <v>1104</v>
      </c>
      <c r="B63" s="2" t="s">
        <v>1</v>
      </c>
      <c r="C63" s="4" t="s">
        <v>2</v>
      </c>
      <c r="D63" s="4" t="s">
        <v>1275</v>
      </c>
      <c r="E63" s="4" t="s">
        <v>1276</v>
      </c>
      <c r="F63" s="4" t="s">
        <v>363</v>
      </c>
      <c r="G63" s="4" t="s">
        <v>364</v>
      </c>
    </row>
    <row r="64" spans="1:10" ht="14.5" x14ac:dyDescent="0.35">
      <c r="A64" s="48" t="s">
        <v>1105</v>
      </c>
      <c r="B64" s="5" t="s">
        <v>1213</v>
      </c>
      <c r="C64" s="7">
        <v>0.25</v>
      </c>
      <c r="D64" s="7">
        <f t="shared" si="1"/>
        <v>0.24687500000000001</v>
      </c>
      <c r="E64" s="7">
        <f t="shared" si="2"/>
        <v>0.22187500000000002</v>
      </c>
      <c r="F64" s="7">
        <f t="shared" si="3"/>
        <v>4.4375000000000005E-3</v>
      </c>
      <c r="G64" s="7">
        <f t="shared" si="4"/>
        <v>0.21743750000000001</v>
      </c>
      <c r="I64" s="31"/>
      <c r="J64" s="31"/>
    </row>
    <row r="65" spans="1:10" ht="14.5" x14ac:dyDescent="0.35">
      <c r="A65" s="48"/>
      <c r="B65" s="5" t="s">
        <v>1100</v>
      </c>
      <c r="C65" s="7">
        <v>0.4</v>
      </c>
      <c r="D65" s="7">
        <f t="shared" si="1"/>
        <v>0.39500000000000002</v>
      </c>
      <c r="E65" s="7">
        <f t="shared" si="2"/>
        <v>0.37</v>
      </c>
      <c r="F65" s="7">
        <f t="shared" si="3"/>
        <v>7.4000000000000003E-3</v>
      </c>
      <c r="G65" s="7">
        <f t="shared" si="4"/>
        <v>0.36259999999999998</v>
      </c>
      <c r="I65" s="31"/>
      <c r="J65" s="31"/>
    </row>
    <row r="66" spans="1:10" ht="26.15" customHeight="1" x14ac:dyDescent="0.35">
      <c r="A66" s="41" t="s">
        <v>1106</v>
      </c>
      <c r="B66" s="5" t="s">
        <v>1107</v>
      </c>
      <c r="C66" s="7">
        <v>0.1</v>
      </c>
      <c r="D66" s="7">
        <f t="shared" si="1"/>
        <v>9.8750000000000004E-2</v>
      </c>
      <c r="E66" s="7">
        <f t="shared" si="2"/>
        <v>7.375000000000001E-2</v>
      </c>
      <c r="F66" s="7">
        <f t="shared" si="3"/>
        <v>1.4750000000000002E-3</v>
      </c>
      <c r="G66" s="7">
        <f t="shared" si="4"/>
        <v>7.2275000000000006E-2</v>
      </c>
    </row>
    <row r="67" spans="1:10" ht="25" customHeight="1" x14ac:dyDescent="0.35">
      <c r="A67" s="43"/>
      <c r="B67" s="5" t="s">
        <v>1100</v>
      </c>
      <c r="C67" s="7">
        <v>0.2</v>
      </c>
      <c r="D67" s="7">
        <f t="shared" si="1"/>
        <v>0.19750000000000001</v>
      </c>
      <c r="E67" s="7">
        <f t="shared" si="2"/>
        <v>0.17250000000000001</v>
      </c>
      <c r="F67" s="7">
        <f t="shared" si="3"/>
        <v>3.4500000000000004E-3</v>
      </c>
      <c r="G67" s="7">
        <f t="shared" si="4"/>
        <v>0.16905000000000001</v>
      </c>
    </row>
    <row r="68" spans="1:10" ht="14.5" x14ac:dyDescent="0.35">
      <c r="A68" s="41" t="s">
        <v>1108</v>
      </c>
      <c r="B68" s="5" t="s">
        <v>1109</v>
      </c>
      <c r="C68" s="7">
        <v>0.1</v>
      </c>
      <c r="D68" s="7">
        <f t="shared" si="1"/>
        <v>9.8750000000000004E-2</v>
      </c>
      <c r="E68" s="7">
        <f t="shared" si="2"/>
        <v>7.375000000000001E-2</v>
      </c>
      <c r="F68" s="7">
        <f t="shared" si="3"/>
        <v>1.4750000000000002E-3</v>
      </c>
      <c r="G68" s="7">
        <f t="shared" si="4"/>
        <v>7.2275000000000006E-2</v>
      </c>
    </row>
    <row r="69" spans="1:10" ht="21.65" customHeight="1" x14ac:dyDescent="0.35">
      <c r="A69" s="43"/>
      <c r="B69" s="5" t="s">
        <v>1100</v>
      </c>
      <c r="C69" s="7">
        <v>0.2</v>
      </c>
      <c r="D69" s="7">
        <f t="shared" si="1"/>
        <v>0.19750000000000001</v>
      </c>
      <c r="E69" s="7">
        <f t="shared" si="2"/>
        <v>0.17250000000000001</v>
      </c>
      <c r="F69" s="7">
        <f t="shared" si="3"/>
        <v>3.4500000000000004E-3</v>
      </c>
      <c r="G69" s="7">
        <f t="shared" si="4"/>
        <v>0.16905000000000001</v>
      </c>
    </row>
    <row r="70" spans="1:10" ht="27.65" customHeight="1" x14ac:dyDescent="0.35">
      <c r="A70" s="41" t="s">
        <v>1110</v>
      </c>
      <c r="B70" s="5" t="s">
        <v>1111</v>
      </c>
      <c r="C70" s="7">
        <v>7.4999999999999997E-2</v>
      </c>
      <c r="D70" s="7">
        <f t="shared" si="1"/>
        <v>7.4062500000000003E-2</v>
      </c>
      <c r="E70" s="7">
        <f t="shared" si="2"/>
        <v>4.9062500000000002E-2</v>
      </c>
      <c r="F70" s="7">
        <f t="shared" si="3"/>
        <v>9.8125000000000013E-4</v>
      </c>
      <c r="G70" s="7">
        <f t="shared" si="4"/>
        <v>4.8081249999999999E-2</v>
      </c>
    </row>
    <row r="71" spans="1:10" ht="14.5" x14ac:dyDescent="0.35">
      <c r="A71" s="43"/>
      <c r="B71" s="5" t="s">
        <v>1100</v>
      </c>
      <c r="C71" s="7">
        <v>0.1</v>
      </c>
      <c r="D71" s="7">
        <f t="shared" ref="D71:D105" si="5">(C71-(C71*1.25%))</f>
        <v>9.8750000000000004E-2</v>
      </c>
      <c r="E71" s="7">
        <f t="shared" ref="E71:E105" si="6">D71-(2.5%)</f>
        <v>7.375000000000001E-2</v>
      </c>
      <c r="F71" s="7">
        <f t="shared" ref="F71:F105" si="7">E71*(2%)</f>
        <v>1.4750000000000002E-3</v>
      </c>
      <c r="G71" s="7">
        <f t="shared" ref="G71:G105" si="8">E71-F71</f>
        <v>7.2275000000000006E-2</v>
      </c>
    </row>
    <row r="72" spans="1:10" ht="24" x14ac:dyDescent="0.35">
      <c r="A72" s="29" t="s">
        <v>1112</v>
      </c>
      <c r="B72" s="5" t="s">
        <v>1113</v>
      </c>
      <c r="C72" s="7">
        <v>0.05</v>
      </c>
      <c r="D72" s="7">
        <f t="shared" si="5"/>
        <v>4.9375000000000002E-2</v>
      </c>
      <c r="E72" s="7">
        <f t="shared" si="6"/>
        <v>2.4375000000000001E-2</v>
      </c>
      <c r="F72" s="7">
        <f t="shared" si="7"/>
        <v>4.8750000000000003E-4</v>
      </c>
      <c r="G72" s="7">
        <f t="shared" si="8"/>
        <v>2.3887500000000002E-2</v>
      </c>
    </row>
    <row r="73" spans="1:10" ht="24" x14ac:dyDescent="0.35">
      <c r="A73" s="41" t="s">
        <v>1114</v>
      </c>
      <c r="B73" s="5" t="s">
        <v>1115</v>
      </c>
      <c r="C73" s="7">
        <v>0.15</v>
      </c>
      <c r="D73" s="7">
        <f t="shared" si="5"/>
        <v>0.14812500000000001</v>
      </c>
      <c r="E73" s="7">
        <f t="shared" si="6"/>
        <v>0.12312500000000001</v>
      </c>
      <c r="F73" s="7">
        <f t="shared" si="7"/>
        <v>2.4625000000000003E-3</v>
      </c>
      <c r="G73" s="7">
        <f t="shared" si="8"/>
        <v>0.12066250000000001</v>
      </c>
    </row>
    <row r="74" spans="1:10" ht="14.5" x14ac:dyDescent="0.35">
      <c r="A74" s="43"/>
      <c r="B74" s="5" t="s">
        <v>1100</v>
      </c>
      <c r="C74" s="7">
        <v>0.25</v>
      </c>
      <c r="D74" s="7">
        <f t="shared" si="5"/>
        <v>0.24687500000000001</v>
      </c>
      <c r="E74" s="7">
        <f t="shared" si="6"/>
        <v>0.22187500000000002</v>
      </c>
      <c r="F74" s="7">
        <f t="shared" si="7"/>
        <v>4.4375000000000005E-3</v>
      </c>
      <c r="G74" s="7">
        <f t="shared" si="8"/>
        <v>0.21743750000000001</v>
      </c>
    </row>
    <row r="75" spans="1:10" ht="24" x14ac:dyDescent="0.35">
      <c r="A75" s="48" t="s">
        <v>1116</v>
      </c>
      <c r="B75" s="5" t="s">
        <v>1117</v>
      </c>
      <c r="C75" s="7">
        <v>0.625</v>
      </c>
      <c r="D75" s="7">
        <f t="shared" si="5"/>
        <v>0.6171875</v>
      </c>
      <c r="E75" s="7">
        <f t="shared" si="6"/>
        <v>0.59218749999999998</v>
      </c>
      <c r="F75" s="7">
        <f t="shared" si="7"/>
        <v>1.184375E-2</v>
      </c>
      <c r="G75" s="7">
        <f t="shared" si="8"/>
        <v>0.58034374999999994</v>
      </c>
    </row>
    <row r="76" spans="1:10" ht="14.5" x14ac:dyDescent="0.35">
      <c r="A76" s="48"/>
      <c r="B76" s="5" t="s">
        <v>1100</v>
      </c>
      <c r="C76" s="7">
        <v>0.625</v>
      </c>
      <c r="D76" s="7">
        <f t="shared" si="5"/>
        <v>0.6171875</v>
      </c>
      <c r="E76" s="7">
        <f t="shared" si="6"/>
        <v>0.59218749999999998</v>
      </c>
      <c r="F76" s="7">
        <f t="shared" si="7"/>
        <v>1.184375E-2</v>
      </c>
      <c r="G76" s="7">
        <f t="shared" si="8"/>
        <v>0.58034374999999994</v>
      </c>
    </row>
    <row r="77" spans="1:10" ht="14.5" x14ac:dyDescent="0.35">
      <c r="A77" s="2" t="s">
        <v>1118</v>
      </c>
      <c r="B77" s="2" t="s">
        <v>1</v>
      </c>
      <c r="C77" s="4" t="s">
        <v>2</v>
      </c>
      <c r="D77" s="4" t="s">
        <v>1275</v>
      </c>
      <c r="E77" s="4" t="s">
        <v>1276</v>
      </c>
      <c r="F77" s="4" t="s">
        <v>363</v>
      </c>
      <c r="G77" s="4" t="s">
        <v>364</v>
      </c>
    </row>
    <row r="78" spans="1:10" ht="24" x14ac:dyDescent="0.35">
      <c r="A78" s="41" t="s">
        <v>1217</v>
      </c>
      <c r="B78" s="5" t="s">
        <v>1119</v>
      </c>
      <c r="C78" s="7">
        <v>0.5</v>
      </c>
      <c r="D78" s="7">
        <f t="shared" si="5"/>
        <v>0.49375000000000002</v>
      </c>
      <c r="E78" s="7">
        <f t="shared" si="6"/>
        <v>0.46875</v>
      </c>
      <c r="F78" s="7">
        <f t="shared" si="7"/>
        <v>9.3749999999999997E-3</v>
      </c>
      <c r="G78" s="7">
        <f t="shared" si="8"/>
        <v>0.45937499999999998</v>
      </c>
    </row>
    <row r="79" spans="1:10" ht="14.5" x14ac:dyDescent="0.35">
      <c r="A79" s="43"/>
      <c r="B79" s="5" t="s">
        <v>1120</v>
      </c>
      <c r="C79" s="7">
        <v>0.5</v>
      </c>
      <c r="D79" s="7">
        <f t="shared" si="5"/>
        <v>0.49375000000000002</v>
      </c>
      <c r="E79" s="7">
        <f t="shared" si="6"/>
        <v>0.46875</v>
      </c>
      <c r="F79" s="7">
        <f t="shared" si="7"/>
        <v>9.3749999999999997E-3</v>
      </c>
      <c r="G79" s="7">
        <f t="shared" si="8"/>
        <v>0.45937499999999998</v>
      </c>
    </row>
    <row r="80" spans="1:10" ht="14.5" x14ac:dyDescent="0.35">
      <c r="A80" s="41" t="s">
        <v>1216</v>
      </c>
      <c r="B80" s="5" t="s">
        <v>1122</v>
      </c>
      <c r="C80" s="7">
        <v>0.2</v>
      </c>
      <c r="D80" s="7">
        <f t="shared" si="5"/>
        <v>0.19750000000000001</v>
      </c>
      <c r="E80" s="7">
        <f t="shared" si="6"/>
        <v>0.17250000000000001</v>
      </c>
      <c r="F80" s="7">
        <f t="shared" si="7"/>
        <v>3.4500000000000004E-3</v>
      </c>
      <c r="G80" s="7">
        <f t="shared" si="8"/>
        <v>0.16905000000000001</v>
      </c>
    </row>
    <row r="81" spans="1:10" ht="14.5" x14ac:dyDescent="0.35">
      <c r="A81" s="43"/>
      <c r="B81" s="5" t="s">
        <v>1120</v>
      </c>
      <c r="C81" s="7">
        <v>0.57499999999999996</v>
      </c>
      <c r="D81" s="7">
        <f t="shared" si="5"/>
        <v>0.56781249999999994</v>
      </c>
      <c r="E81" s="7">
        <f t="shared" si="6"/>
        <v>0.54281249999999992</v>
      </c>
      <c r="F81" s="7">
        <f t="shared" si="7"/>
        <v>1.0856249999999998E-2</v>
      </c>
      <c r="G81" s="7">
        <f t="shared" si="8"/>
        <v>0.53195624999999991</v>
      </c>
    </row>
    <row r="82" spans="1:10" ht="14.5" x14ac:dyDescent="0.35">
      <c r="A82" s="41" t="s">
        <v>1121</v>
      </c>
      <c r="B82" s="5" t="s">
        <v>1122</v>
      </c>
      <c r="C82" s="7">
        <v>0.2</v>
      </c>
      <c r="D82" s="7">
        <f t="shared" si="5"/>
        <v>0.19750000000000001</v>
      </c>
      <c r="E82" s="7">
        <f t="shared" si="6"/>
        <v>0.17250000000000001</v>
      </c>
      <c r="F82" s="7">
        <f t="shared" si="7"/>
        <v>3.4500000000000004E-3</v>
      </c>
      <c r="G82" s="7">
        <f t="shared" si="8"/>
        <v>0.16905000000000001</v>
      </c>
      <c r="I82" s="31"/>
      <c r="J82" s="31"/>
    </row>
    <row r="83" spans="1:10" ht="14.5" x14ac:dyDescent="0.35">
      <c r="A83" s="43"/>
      <c r="B83" s="5" t="s">
        <v>1120</v>
      </c>
      <c r="C83" s="7">
        <v>0.57499999999999996</v>
      </c>
      <c r="D83" s="7">
        <f t="shared" si="5"/>
        <v>0.56781249999999994</v>
      </c>
      <c r="E83" s="7">
        <f t="shared" si="6"/>
        <v>0.54281249999999992</v>
      </c>
      <c r="F83" s="7">
        <f t="shared" si="7"/>
        <v>1.0856249999999998E-2</v>
      </c>
      <c r="G83" s="7">
        <f t="shared" si="8"/>
        <v>0.53195624999999991</v>
      </c>
      <c r="I83" s="31"/>
      <c r="J83" s="31"/>
    </row>
    <row r="84" spans="1:10" ht="24" x14ac:dyDescent="0.35">
      <c r="A84" s="41" t="s">
        <v>1123</v>
      </c>
      <c r="B84" s="5" t="s">
        <v>1124</v>
      </c>
      <c r="C84" s="7">
        <v>0.15</v>
      </c>
      <c r="D84" s="7">
        <f t="shared" si="5"/>
        <v>0.14812500000000001</v>
      </c>
      <c r="E84" s="7">
        <f t="shared" si="6"/>
        <v>0.12312500000000001</v>
      </c>
      <c r="F84" s="7">
        <f t="shared" si="7"/>
        <v>2.4625000000000003E-3</v>
      </c>
      <c r="G84" s="7">
        <f t="shared" si="8"/>
        <v>0.12066250000000001</v>
      </c>
      <c r="I84" s="31"/>
      <c r="J84" s="31"/>
    </row>
    <row r="85" spans="1:10" ht="14.5" x14ac:dyDescent="0.35">
      <c r="A85" s="43"/>
      <c r="B85" s="5" t="s">
        <v>1120</v>
      </c>
      <c r="C85" s="7">
        <v>0.45</v>
      </c>
      <c r="D85" s="7">
        <f t="shared" si="5"/>
        <v>0.44437500000000002</v>
      </c>
      <c r="E85" s="7">
        <f t="shared" si="6"/>
        <v>0.419375</v>
      </c>
      <c r="F85" s="7">
        <f t="shared" si="7"/>
        <v>8.3875000000000009E-3</v>
      </c>
      <c r="G85" s="7">
        <f t="shared" si="8"/>
        <v>0.41098750000000001</v>
      </c>
      <c r="I85" s="31"/>
      <c r="J85" s="31"/>
    </row>
    <row r="86" spans="1:10" ht="24" x14ac:dyDescent="0.35">
      <c r="A86" s="41" t="s">
        <v>1125</v>
      </c>
      <c r="B86" s="5" t="s">
        <v>1124</v>
      </c>
      <c r="C86" s="7">
        <v>0.1</v>
      </c>
      <c r="D86" s="7">
        <f t="shared" si="5"/>
        <v>9.8750000000000004E-2</v>
      </c>
      <c r="E86" s="7">
        <f t="shared" si="6"/>
        <v>7.375000000000001E-2</v>
      </c>
      <c r="F86" s="7">
        <f t="shared" si="7"/>
        <v>1.4750000000000002E-3</v>
      </c>
      <c r="G86" s="7">
        <f t="shared" si="8"/>
        <v>7.2275000000000006E-2</v>
      </c>
      <c r="I86" s="31"/>
      <c r="J86" s="31"/>
    </row>
    <row r="87" spans="1:10" ht="14.5" x14ac:dyDescent="0.35">
      <c r="A87" s="43"/>
      <c r="B87" s="5" t="s">
        <v>1120</v>
      </c>
      <c r="C87" s="7">
        <v>0.27500000000000002</v>
      </c>
      <c r="D87" s="7">
        <f t="shared" si="5"/>
        <v>0.27156250000000004</v>
      </c>
      <c r="E87" s="7">
        <f t="shared" si="6"/>
        <v>0.24656250000000005</v>
      </c>
      <c r="F87" s="7">
        <f t="shared" si="7"/>
        <v>4.9312500000000007E-3</v>
      </c>
      <c r="G87" s="7">
        <f t="shared" si="8"/>
        <v>0.24163125000000005</v>
      </c>
      <c r="I87" s="31"/>
      <c r="J87" s="31"/>
    </row>
    <row r="88" spans="1:10" ht="24" x14ac:dyDescent="0.35">
      <c r="A88" s="41" t="s">
        <v>1126</v>
      </c>
      <c r="B88" s="5" t="s">
        <v>1124</v>
      </c>
      <c r="C88" s="7">
        <v>0.1</v>
      </c>
      <c r="D88" s="7">
        <f t="shared" si="5"/>
        <v>9.8750000000000004E-2</v>
      </c>
      <c r="E88" s="7">
        <f t="shared" si="6"/>
        <v>7.375000000000001E-2</v>
      </c>
      <c r="F88" s="7">
        <f t="shared" si="7"/>
        <v>1.4750000000000002E-3</v>
      </c>
      <c r="G88" s="7">
        <f t="shared" si="8"/>
        <v>7.2275000000000006E-2</v>
      </c>
      <c r="I88" s="31"/>
      <c r="J88" s="31"/>
    </row>
    <row r="89" spans="1:10" ht="14.5" x14ac:dyDescent="0.35">
      <c r="A89" s="43"/>
      <c r="B89" s="5" t="s">
        <v>1120</v>
      </c>
      <c r="C89" s="7">
        <v>0.17499999999999999</v>
      </c>
      <c r="D89" s="7">
        <f t="shared" si="5"/>
        <v>0.17281249999999998</v>
      </c>
      <c r="E89" s="7">
        <f t="shared" si="6"/>
        <v>0.14781249999999999</v>
      </c>
      <c r="F89" s="7">
        <f t="shared" si="7"/>
        <v>2.9562499999999997E-3</v>
      </c>
      <c r="G89" s="7">
        <f t="shared" si="8"/>
        <v>0.14485624999999999</v>
      </c>
      <c r="I89" s="31"/>
      <c r="J89" s="31"/>
    </row>
    <row r="90" spans="1:10" ht="24" x14ac:dyDescent="0.35">
      <c r="A90" s="41" t="s">
        <v>1127</v>
      </c>
      <c r="B90" s="5" t="s">
        <v>1124</v>
      </c>
      <c r="C90" s="7">
        <v>2.5000000000000001E-2</v>
      </c>
      <c r="D90" s="7" t="s">
        <v>20</v>
      </c>
      <c r="E90" s="7" t="s">
        <v>20</v>
      </c>
      <c r="F90" s="7" t="s">
        <v>20</v>
      </c>
      <c r="G90" s="7" t="s">
        <v>20</v>
      </c>
      <c r="I90" s="31"/>
      <c r="J90" s="31"/>
    </row>
    <row r="91" spans="1:10" ht="14.5" x14ac:dyDescent="0.35">
      <c r="A91" s="43"/>
      <c r="B91" s="5" t="s">
        <v>1120</v>
      </c>
      <c r="C91" s="7">
        <v>2.5000000000000001E-2</v>
      </c>
      <c r="D91" s="7" t="s">
        <v>20</v>
      </c>
      <c r="E91" s="7" t="s">
        <v>20</v>
      </c>
      <c r="F91" s="7" t="s">
        <v>20</v>
      </c>
      <c r="G91" s="7" t="s">
        <v>20</v>
      </c>
      <c r="I91" s="31"/>
      <c r="J91" s="31"/>
    </row>
    <row r="92" spans="1:10" ht="24" x14ac:dyDescent="0.35">
      <c r="A92" s="41" t="s">
        <v>1128</v>
      </c>
      <c r="B92" s="5" t="s">
        <v>1119</v>
      </c>
      <c r="C92" s="7">
        <v>0.05</v>
      </c>
      <c r="D92" s="7">
        <f t="shared" si="5"/>
        <v>4.9375000000000002E-2</v>
      </c>
      <c r="E92" s="7">
        <f t="shared" si="6"/>
        <v>2.4375000000000001E-2</v>
      </c>
      <c r="F92" s="7">
        <f t="shared" si="7"/>
        <v>4.8750000000000003E-4</v>
      </c>
      <c r="G92" s="7">
        <f t="shared" si="8"/>
        <v>2.3887500000000002E-2</v>
      </c>
      <c r="I92" s="31"/>
      <c r="J92" s="31"/>
    </row>
    <row r="93" spans="1:10" ht="14.5" x14ac:dyDescent="0.35">
      <c r="A93" s="43"/>
      <c r="B93" s="5" t="s">
        <v>1120</v>
      </c>
      <c r="C93" s="7">
        <v>0.15</v>
      </c>
      <c r="D93" s="7">
        <f t="shared" si="5"/>
        <v>0.14812500000000001</v>
      </c>
      <c r="E93" s="7">
        <f t="shared" si="6"/>
        <v>0.12312500000000001</v>
      </c>
      <c r="F93" s="7">
        <f t="shared" si="7"/>
        <v>2.4625000000000003E-3</v>
      </c>
      <c r="G93" s="7">
        <f t="shared" si="8"/>
        <v>0.12066250000000001</v>
      </c>
      <c r="I93" s="31"/>
      <c r="J93" s="31"/>
    </row>
    <row r="94" spans="1:10" ht="24" x14ac:dyDescent="0.35">
      <c r="A94" s="41" t="s">
        <v>1129</v>
      </c>
      <c r="B94" s="5" t="s">
        <v>1119</v>
      </c>
      <c r="C94" s="7">
        <v>0.05</v>
      </c>
      <c r="D94" s="7">
        <f t="shared" si="5"/>
        <v>4.9375000000000002E-2</v>
      </c>
      <c r="E94" s="7">
        <f t="shared" si="6"/>
        <v>2.4375000000000001E-2</v>
      </c>
      <c r="F94" s="7">
        <f t="shared" si="7"/>
        <v>4.8750000000000003E-4</v>
      </c>
      <c r="G94" s="7">
        <f t="shared" si="8"/>
        <v>2.3887500000000002E-2</v>
      </c>
      <c r="I94" s="31"/>
      <c r="J94" s="31"/>
    </row>
    <row r="95" spans="1:10" ht="14.5" x14ac:dyDescent="0.35">
      <c r="A95" s="43"/>
      <c r="B95" s="5" t="s">
        <v>1120</v>
      </c>
      <c r="C95" s="7">
        <v>0.15</v>
      </c>
      <c r="D95" s="7">
        <f t="shared" si="5"/>
        <v>0.14812500000000001</v>
      </c>
      <c r="E95" s="7">
        <f t="shared" si="6"/>
        <v>0.12312500000000001</v>
      </c>
      <c r="F95" s="7">
        <f t="shared" si="7"/>
        <v>2.4625000000000003E-3</v>
      </c>
      <c r="G95" s="7">
        <f t="shared" si="8"/>
        <v>0.12066250000000001</v>
      </c>
      <c r="I95" s="31"/>
      <c r="J95" s="31"/>
    </row>
    <row r="96" spans="1:10" ht="24" x14ac:dyDescent="0.35">
      <c r="A96" s="41" t="s">
        <v>1214</v>
      </c>
      <c r="B96" s="5" t="s">
        <v>1119</v>
      </c>
      <c r="C96" s="7">
        <v>2.5000000000000001E-2</v>
      </c>
      <c r="D96" s="7" t="s">
        <v>20</v>
      </c>
      <c r="E96" s="7" t="s">
        <v>20</v>
      </c>
      <c r="F96" s="7" t="s">
        <v>20</v>
      </c>
      <c r="G96" s="7" t="s">
        <v>20</v>
      </c>
      <c r="I96" s="31"/>
      <c r="J96" s="31"/>
    </row>
    <row r="97" spans="1:10" ht="14.5" x14ac:dyDescent="0.35">
      <c r="A97" s="43"/>
      <c r="B97" s="5" t="s">
        <v>1120</v>
      </c>
      <c r="C97" s="7">
        <v>0.125</v>
      </c>
      <c r="D97" s="7">
        <f t="shared" si="5"/>
        <v>0.12343750000000001</v>
      </c>
      <c r="E97" s="7">
        <f t="shared" si="6"/>
        <v>9.8437500000000011E-2</v>
      </c>
      <c r="F97" s="7">
        <f t="shared" si="7"/>
        <v>1.9687500000000004E-3</v>
      </c>
      <c r="G97" s="7">
        <f t="shared" si="8"/>
        <v>9.6468750000000006E-2</v>
      </c>
      <c r="I97" s="31"/>
      <c r="J97" s="31"/>
    </row>
    <row r="98" spans="1:10" ht="24" x14ac:dyDescent="0.35">
      <c r="A98" s="41" t="s">
        <v>1215</v>
      </c>
      <c r="B98" s="5" t="s">
        <v>1119</v>
      </c>
      <c r="C98" s="7">
        <v>0.05</v>
      </c>
      <c r="D98" s="7">
        <f t="shared" si="5"/>
        <v>4.9375000000000002E-2</v>
      </c>
      <c r="E98" s="7">
        <f t="shared" si="6"/>
        <v>2.4375000000000001E-2</v>
      </c>
      <c r="F98" s="7">
        <f t="shared" si="7"/>
        <v>4.8750000000000003E-4</v>
      </c>
      <c r="G98" s="7">
        <f t="shared" si="8"/>
        <v>2.3887500000000002E-2</v>
      </c>
      <c r="I98" s="31"/>
      <c r="J98" s="31"/>
    </row>
    <row r="99" spans="1:10" ht="14.5" x14ac:dyDescent="0.35">
      <c r="A99" s="43"/>
      <c r="B99" s="5" t="s">
        <v>1120</v>
      </c>
      <c r="C99" s="7">
        <v>0.05</v>
      </c>
      <c r="D99" s="7">
        <f t="shared" si="5"/>
        <v>4.9375000000000002E-2</v>
      </c>
      <c r="E99" s="7">
        <f t="shared" si="6"/>
        <v>2.4375000000000001E-2</v>
      </c>
      <c r="F99" s="7">
        <f t="shared" si="7"/>
        <v>4.8750000000000003E-4</v>
      </c>
      <c r="G99" s="7">
        <f t="shared" si="8"/>
        <v>2.3887500000000002E-2</v>
      </c>
      <c r="I99" s="31"/>
      <c r="J99" s="31"/>
    </row>
    <row r="100" spans="1:10" ht="24" x14ac:dyDescent="0.35">
      <c r="A100" s="41" t="s">
        <v>1130</v>
      </c>
      <c r="B100" s="5" t="s">
        <v>1119</v>
      </c>
      <c r="C100" s="7">
        <v>0</v>
      </c>
      <c r="D100" s="7" t="s">
        <v>20</v>
      </c>
      <c r="E100" s="7" t="s">
        <v>20</v>
      </c>
      <c r="F100" s="7" t="s">
        <v>20</v>
      </c>
      <c r="G100" s="7" t="s">
        <v>20</v>
      </c>
    </row>
    <row r="101" spans="1:10" ht="14.5" x14ac:dyDescent="0.35">
      <c r="A101" s="43"/>
      <c r="B101" s="5" t="s">
        <v>1120</v>
      </c>
      <c r="C101" s="7">
        <v>0.05</v>
      </c>
      <c r="D101" s="7">
        <f t="shared" si="5"/>
        <v>4.9375000000000002E-2</v>
      </c>
      <c r="E101" s="7">
        <f t="shared" si="6"/>
        <v>2.4375000000000001E-2</v>
      </c>
      <c r="F101" s="7">
        <f t="shared" si="7"/>
        <v>4.8750000000000003E-4</v>
      </c>
      <c r="G101" s="7">
        <f t="shared" si="8"/>
        <v>2.3887500000000002E-2</v>
      </c>
    </row>
    <row r="102" spans="1:10" ht="14.5" x14ac:dyDescent="0.35">
      <c r="A102" s="2" t="s">
        <v>988</v>
      </c>
      <c r="B102" s="2" t="s">
        <v>1</v>
      </c>
      <c r="C102" s="4" t="s">
        <v>2</v>
      </c>
      <c r="D102" s="4" t="s">
        <v>1275</v>
      </c>
      <c r="E102" s="4" t="s">
        <v>1276</v>
      </c>
      <c r="F102" s="4" t="s">
        <v>363</v>
      </c>
      <c r="G102" s="4" t="s">
        <v>364</v>
      </c>
    </row>
    <row r="103" spans="1:10" ht="14.5" x14ac:dyDescent="0.35">
      <c r="A103" s="48" t="s">
        <v>1131</v>
      </c>
      <c r="B103" s="5" t="s">
        <v>1132</v>
      </c>
      <c r="C103" s="7">
        <v>0.2</v>
      </c>
      <c r="D103" s="7">
        <f t="shared" si="5"/>
        <v>0.19750000000000001</v>
      </c>
      <c r="E103" s="7">
        <f t="shared" si="6"/>
        <v>0.17250000000000001</v>
      </c>
      <c r="F103" s="7">
        <f t="shared" si="7"/>
        <v>3.4500000000000004E-3</v>
      </c>
      <c r="G103" s="7">
        <f t="shared" si="8"/>
        <v>0.16905000000000001</v>
      </c>
    </row>
    <row r="104" spans="1:10" ht="14.5" x14ac:dyDescent="0.35">
      <c r="A104" s="48"/>
      <c r="B104" s="5" t="s">
        <v>1133</v>
      </c>
      <c r="C104" s="7">
        <v>0.25</v>
      </c>
      <c r="D104" s="7">
        <f t="shared" si="5"/>
        <v>0.24687500000000001</v>
      </c>
      <c r="E104" s="7">
        <f t="shared" si="6"/>
        <v>0.22187500000000002</v>
      </c>
      <c r="F104" s="7">
        <f t="shared" si="7"/>
        <v>4.4375000000000005E-3</v>
      </c>
      <c r="G104" s="7">
        <f t="shared" si="8"/>
        <v>0.21743750000000001</v>
      </c>
    </row>
    <row r="105" spans="1:10" ht="14.5" x14ac:dyDescent="0.35">
      <c r="A105" s="48"/>
      <c r="B105" s="5" t="s">
        <v>1134</v>
      </c>
      <c r="C105" s="7">
        <v>0.1</v>
      </c>
      <c r="D105" s="7">
        <f t="shared" si="5"/>
        <v>9.8750000000000004E-2</v>
      </c>
      <c r="E105" s="7">
        <f t="shared" si="6"/>
        <v>7.375000000000001E-2</v>
      </c>
      <c r="F105" s="7">
        <f t="shared" si="7"/>
        <v>1.4750000000000002E-3</v>
      </c>
      <c r="G105" s="7">
        <f t="shared" si="8"/>
        <v>7.2275000000000006E-2</v>
      </c>
    </row>
  </sheetData>
  <mergeCells count="28">
    <mergeCell ref="A55:A56"/>
    <mergeCell ref="A2:A3"/>
    <mergeCell ref="A6:A17"/>
    <mergeCell ref="A18:A29"/>
    <mergeCell ref="A30:A41"/>
    <mergeCell ref="A42:A53"/>
    <mergeCell ref="A82:A83"/>
    <mergeCell ref="A57:A58"/>
    <mergeCell ref="A59:A60"/>
    <mergeCell ref="A61:A62"/>
    <mergeCell ref="A64:A65"/>
    <mergeCell ref="A66:A67"/>
    <mergeCell ref="A68:A69"/>
    <mergeCell ref="A70:A71"/>
    <mergeCell ref="A73:A74"/>
    <mergeCell ref="A75:A76"/>
    <mergeCell ref="A78:A79"/>
    <mergeCell ref="A80:A81"/>
    <mergeCell ref="A96:A97"/>
    <mergeCell ref="A98:A99"/>
    <mergeCell ref="A100:A101"/>
    <mergeCell ref="A103:A105"/>
    <mergeCell ref="A84:A85"/>
    <mergeCell ref="A86:A87"/>
    <mergeCell ref="A88:A89"/>
    <mergeCell ref="A90:A91"/>
    <mergeCell ref="A92:A93"/>
    <mergeCell ref="A94:A95"/>
  </mergeCells>
  <printOptions horizontalCentered="1" verticalCentered="1"/>
  <pageMargins left="0" right="0" top="0" bottom="0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B0B5-DFF5-46C7-80F9-90D8E179C4B5}">
  <dimension ref="A2:J105"/>
  <sheetViews>
    <sheetView showGridLines="0" topLeftCell="A75" zoomScaleNormal="100" workbookViewId="0">
      <selection activeCell="B81" sqref="B81"/>
    </sheetView>
  </sheetViews>
  <sheetFormatPr defaultColWidth="9.1796875" defaultRowHeight="35.15" customHeight="1" x14ac:dyDescent="0.35"/>
  <cols>
    <col min="1" max="1" width="30.81640625" style="9" customWidth="1"/>
    <col min="2" max="2" width="47.36328125" style="9" bestFit="1" customWidth="1"/>
    <col min="3" max="3" width="5.7265625" style="9" bestFit="1" customWidth="1"/>
    <col min="4" max="4" width="7.7265625" style="17" bestFit="1" customWidth="1"/>
    <col min="5" max="5" width="9.453125" style="17" bestFit="1" customWidth="1"/>
    <col min="6" max="6" width="9.81640625" style="17" bestFit="1" customWidth="1"/>
    <col min="7" max="7" width="5.7265625" style="17" bestFit="1" customWidth="1"/>
    <col min="8" max="16384" width="9.1796875" style="17"/>
  </cols>
  <sheetData>
    <row r="2" spans="1:10" ht="35.15" customHeight="1" x14ac:dyDescent="0.35">
      <c r="A2" s="46" t="s">
        <v>1296</v>
      </c>
      <c r="B2" s="15"/>
      <c r="C2" s="15"/>
      <c r="D2" s="16"/>
      <c r="E2" s="16"/>
      <c r="F2" s="16"/>
      <c r="G2" s="16"/>
    </row>
    <row r="3" spans="1:10" ht="18.5" x14ac:dyDescent="0.35">
      <c r="A3" s="46"/>
      <c r="B3" s="15"/>
      <c r="C3" s="15"/>
      <c r="D3" s="16"/>
      <c r="E3" s="16"/>
      <c r="F3" s="16"/>
      <c r="G3" s="16"/>
    </row>
    <row r="4" spans="1:10" ht="18.5" x14ac:dyDescent="0.35">
      <c r="A4" s="18"/>
      <c r="B4" s="19"/>
      <c r="C4" s="19"/>
      <c r="D4" s="20"/>
      <c r="E4" s="20"/>
      <c r="F4" s="20"/>
      <c r="G4" s="20"/>
    </row>
    <row r="5" spans="1:10" ht="14.5" x14ac:dyDescent="0.35">
      <c r="A5" s="2" t="s">
        <v>986</v>
      </c>
      <c r="B5" s="2" t="s">
        <v>1</v>
      </c>
      <c r="C5" s="4" t="s">
        <v>2</v>
      </c>
      <c r="D5" s="4" t="s">
        <v>922</v>
      </c>
      <c r="E5" s="4" t="s">
        <v>1135</v>
      </c>
      <c r="F5" s="4" t="s">
        <v>363</v>
      </c>
      <c r="G5" s="4" t="s">
        <v>364</v>
      </c>
    </row>
    <row r="6" spans="1:10" ht="14.5" x14ac:dyDescent="0.35">
      <c r="A6" s="48" t="s">
        <v>1076</v>
      </c>
      <c r="B6" s="32" t="s">
        <v>1077</v>
      </c>
      <c r="C6" s="7">
        <v>0.1</v>
      </c>
      <c r="D6" s="7">
        <f>(C6-(C6*10%))</f>
        <v>0.09</v>
      </c>
      <c r="E6" s="7">
        <f>D6-(3%)</f>
        <v>0.06</v>
      </c>
      <c r="F6" s="7">
        <f>E6*(2%)</f>
        <v>1.1999999999999999E-3</v>
      </c>
      <c r="G6" s="7">
        <f t="shared" ref="G6" si="0">E6-F6</f>
        <v>5.8799999999999998E-2</v>
      </c>
    </row>
    <row r="7" spans="1:10" ht="14.5" x14ac:dyDescent="0.35">
      <c r="A7" s="48"/>
      <c r="B7" s="32" t="s">
        <v>1078</v>
      </c>
      <c r="C7" s="7">
        <v>0.1</v>
      </c>
      <c r="D7" s="7">
        <f t="shared" ref="D7:D70" si="1">(C7-(C7*10%))</f>
        <v>0.09</v>
      </c>
      <c r="E7" s="7">
        <f t="shared" ref="E7:E70" si="2">D7-(3%)</f>
        <v>0.06</v>
      </c>
      <c r="F7" s="7">
        <f t="shared" ref="F7:F70" si="3">E7*(2%)</f>
        <v>1.1999999999999999E-3</v>
      </c>
      <c r="G7" s="7">
        <f t="shared" ref="G7:G70" si="4">E7-F7</f>
        <v>5.8799999999999998E-2</v>
      </c>
    </row>
    <row r="8" spans="1:10" ht="14.5" x14ac:dyDescent="0.35">
      <c r="A8" s="48"/>
      <c r="B8" s="5" t="s">
        <v>1079</v>
      </c>
      <c r="C8" s="7">
        <v>0.27500000000000002</v>
      </c>
      <c r="D8" s="7">
        <f t="shared" si="1"/>
        <v>0.24750000000000003</v>
      </c>
      <c r="E8" s="7">
        <f t="shared" si="2"/>
        <v>0.21750000000000003</v>
      </c>
      <c r="F8" s="7">
        <f t="shared" si="3"/>
        <v>4.3500000000000006E-3</v>
      </c>
      <c r="G8" s="7">
        <f t="shared" si="4"/>
        <v>0.21315000000000003</v>
      </c>
    </row>
    <row r="9" spans="1:10" ht="14.5" x14ac:dyDescent="0.35">
      <c r="A9" s="48"/>
      <c r="B9" s="5" t="s">
        <v>1080</v>
      </c>
      <c r="C9" s="7">
        <v>0.27500000000000002</v>
      </c>
      <c r="D9" s="7">
        <f t="shared" si="1"/>
        <v>0.24750000000000003</v>
      </c>
      <c r="E9" s="7">
        <f t="shared" si="2"/>
        <v>0.21750000000000003</v>
      </c>
      <c r="F9" s="7">
        <f t="shared" si="3"/>
        <v>4.3500000000000006E-3</v>
      </c>
      <c r="G9" s="7">
        <f t="shared" si="4"/>
        <v>0.21315000000000003</v>
      </c>
    </row>
    <row r="10" spans="1:10" ht="14.5" x14ac:dyDescent="0.35">
      <c r="A10" s="48"/>
      <c r="B10" s="32" t="s">
        <v>1081</v>
      </c>
      <c r="C10" s="7">
        <v>0.27500000000000002</v>
      </c>
      <c r="D10" s="7">
        <f t="shared" si="1"/>
        <v>0.24750000000000003</v>
      </c>
      <c r="E10" s="7">
        <f t="shared" si="2"/>
        <v>0.21750000000000003</v>
      </c>
      <c r="F10" s="7">
        <f t="shared" si="3"/>
        <v>4.3500000000000006E-3</v>
      </c>
      <c r="G10" s="7">
        <f t="shared" si="4"/>
        <v>0.21315000000000003</v>
      </c>
      <c r="I10" s="33"/>
      <c r="J10" s="33"/>
    </row>
    <row r="11" spans="1:10" ht="14.5" x14ac:dyDescent="0.35">
      <c r="A11" s="48"/>
      <c r="B11" s="32" t="s">
        <v>1082</v>
      </c>
      <c r="C11" s="7">
        <v>0.27500000000000002</v>
      </c>
      <c r="D11" s="7">
        <f t="shared" si="1"/>
        <v>0.24750000000000003</v>
      </c>
      <c r="E11" s="7">
        <f t="shared" si="2"/>
        <v>0.21750000000000003</v>
      </c>
      <c r="F11" s="7">
        <f t="shared" si="3"/>
        <v>4.3500000000000006E-3</v>
      </c>
      <c r="G11" s="7">
        <f t="shared" si="4"/>
        <v>0.21315000000000003</v>
      </c>
    </row>
    <row r="12" spans="1:10" ht="24" x14ac:dyDescent="0.35">
      <c r="A12" s="48"/>
      <c r="B12" s="5" t="s">
        <v>1083</v>
      </c>
      <c r="C12" s="7">
        <v>0.27500000000000002</v>
      </c>
      <c r="D12" s="7">
        <f t="shared" si="1"/>
        <v>0.24750000000000003</v>
      </c>
      <c r="E12" s="7">
        <f t="shared" si="2"/>
        <v>0.21750000000000003</v>
      </c>
      <c r="F12" s="7">
        <f t="shared" si="3"/>
        <v>4.3500000000000006E-3</v>
      </c>
      <c r="G12" s="7">
        <f t="shared" si="4"/>
        <v>0.21315000000000003</v>
      </c>
    </row>
    <row r="13" spans="1:10" ht="24" x14ac:dyDescent="0.35">
      <c r="A13" s="48"/>
      <c r="B13" s="5" t="s">
        <v>1084</v>
      </c>
      <c r="C13" s="7">
        <v>0.27500000000000002</v>
      </c>
      <c r="D13" s="7">
        <f t="shared" si="1"/>
        <v>0.24750000000000003</v>
      </c>
      <c r="E13" s="7">
        <f t="shared" si="2"/>
        <v>0.21750000000000003</v>
      </c>
      <c r="F13" s="7">
        <f t="shared" si="3"/>
        <v>4.3500000000000006E-3</v>
      </c>
      <c r="G13" s="7">
        <f t="shared" si="4"/>
        <v>0.21315000000000003</v>
      </c>
    </row>
    <row r="14" spans="1:10" ht="35.15" customHeight="1" x14ac:dyDescent="0.35">
      <c r="A14" s="48"/>
      <c r="B14" s="32" t="s">
        <v>1085</v>
      </c>
      <c r="C14" s="7">
        <v>0.1</v>
      </c>
      <c r="D14" s="7">
        <f t="shared" si="1"/>
        <v>0.09</v>
      </c>
      <c r="E14" s="7">
        <f t="shared" si="2"/>
        <v>0.06</v>
      </c>
      <c r="F14" s="7">
        <f t="shared" si="3"/>
        <v>1.1999999999999999E-3</v>
      </c>
      <c r="G14" s="7">
        <f t="shared" si="4"/>
        <v>5.8799999999999998E-2</v>
      </c>
    </row>
    <row r="15" spans="1:10" ht="37.5" customHeight="1" x14ac:dyDescent="0.35">
      <c r="A15" s="48"/>
      <c r="B15" s="32" t="s">
        <v>1086</v>
      </c>
      <c r="C15" s="7">
        <v>0.1</v>
      </c>
      <c r="D15" s="7">
        <f t="shared" si="1"/>
        <v>0.09</v>
      </c>
      <c r="E15" s="7">
        <f t="shared" si="2"/>
        <v>0.06</v>
      </c>
      <c r="F15" s="7">
        <f t="shared" si="3"/>
        <v>1.1999999999999999E-3</v>
      </c>
      <c r="G15" s="7">
        <f t="shared" si="4"/>
        <v>5.8799999999999998E-2</v>
      </c>
    </row>
    <row r="16" spans="1:10" ht="35.15" customHeight="1" x14ac:dyDescent="0.35">
      <c r="A16" s="48"/>
      <c r="B16" s="5" t="s">
        <v>1087</v>
      </c>
      <c r="C16" s="7">
        <v>0.27500000000000002</v>
      </c>
      <c r="D16" s="7">
        <f t="shared" si="1"/>
        <v>0.24750000000000003</v>
      </c>
      <c r="E16" s="7">
        <f t="shared" si="2"/>
        <v>0.21750000000000003</v>
      </c>
      <c r="F16" s="7">
        <f t="shared" si="3"/>
        <v>4.3500000000000006E-3</v>
      </c>
      <c r="G16" s="7">
        <f t="shared" si="4"/>
        <v>0.21315000000000003</v>
      </c>
    </row>
    <row r="17" spans="1:7" ht="35.15" customHeight="1" x14ac:dyDescent="0.35">
      <c r="A17" s="48"/>
      <c r="B17" s="5" t="s">
        <v>1088</v>
      </c>
      <c r="C17" s="7">
        <v>0.27500000000000002</v>
      </c>
      <c r="D17" s="7">
        <f t="shared" si="1"/>
        <v>0.24750000000000003</v>
      </c>
      <c r="E17" s="7">
        <f t="shared" si="2"/>
        <v>0.21750000000000003</v>
      </c>
      <c r="F17" s="7">
        <f t="shared" si="3"/>
        <v>4.3500000000000006E-3</v>
      </c>
      <c r="G17" s="7">
        <f t="shared" si="4"/>
        <v>0.21315000000000003</v>
      </c>
    </row>
    <row r="18" spans="1:7" ht="14.5" x14ac:dyDescent="0.35">
      <c r="A18" s="48" t="s">
        <v>1089</v>
      </c>
      <c r="B18" s="32" t="s">
        <v>1090</v>
      </c>
      <c r="C18" s="7">
        <v>0.05</v>
      </c>
      <c r="D18" s="7" t="s">
        <v>20</v>
      </c>
      <c r="E18" s="7" t="s">
        <v>20</v>
      </c>
      <c r="F18" s="7" t="s">
        <v>20</v>
      </c>
      <c r="G18" s="7" t="s">
        <v>20</v>
      </c>
    </row>
    <row r="19" spans="1:7" ht="14.5" x14ac:dyDescent="0.35">
      <c r="A19" s="48"/>
      <c r="B19" s="32" t="s">
        <v>1091</v>
      </c>
      <c r="C19" s="7">
        <v>0.05</v>
      </c>
      <c r="D19" s="7" t="s">
        <v>20</v>
      </c>
      <c r="E19" s="7" t="s">
        <v>20</v>
      </c>
      <c r="F19" s="7" t="s">
        <v>20</v>
      </c>
      <c r="G19" s="7" t="s">
        <v>20</v>
      </c>
    </row>
    <row r="20" spans="1:7" ht="35.15" customHeight="1" x14ac:dyDescent="0.35">
      <c r="A20" s="48"/>
      <c r="B20" s="5" t="s">
        <v>1092</v>
      </c>
      <c r="C20" s="7">
        <v>0.2</v>
      </c>
      <c r="D20" s="7">
        <f t="shared" si="1"/>
        <v>0.18</v>
      </c>
      <c r="E20" s="7">
        <f t="shared" si="2"/>
        <v>0.15</v>
      </c>
      <c r="F20" s="7">
        <f t="shared" si="3"/>
        <v>3.0000000000000001E-3</v>
      </c>
      <c r="G20" s="7">
        <f t="shared" si="4"/>
        <v>0.14699999999999999</v>
      </c>
    </row>
    <row r="21" spans="1:7" ht="14.5" x14ac:dyDescent="0.35">
      <c r="A21" s="48"/>
      <c r="B21" s="5" t="s">
        <v>1093</v>
      </c>
      <c r="C21" s="7">
        <v>0.2</v>
      </c>
      <c r="D21" s="7">
        <f t="shared" si="1"/>
        <v>0.18</v>
      </c>
      <c r="E21" s="7">
        <f t="shared" si="2"/>
        <v>0.15</v>
      </c>
      <c r="F21" s="7">
        <f t="shared" si="3"/>
        <v>3.0000000000000001E-3</v>
      </c>
      <c r="G21" s="7">
        <f t="shared" si="4"/>
        <v>0.14699999999999999</v>
      </c>
    </row>
    <row r="22" spans="1:7" ht="35.15" customHeight="1" x14ac:dyDescent="0.35">
      <c r="A22" s="48"/>
      <c r="B22" s="32" t="s">
        <v>1094</v>
      </c>
      <c r="C22" s="7">
        <v>0.2</v>
      </c>
      <c r="D22" s="7">
        <f t="shared" si="1"/>
        <v>0.18</v>
      </c>
      <c r="E22" s="7">
        <f t="shared" si="2"/>
        <v>0.15</v>
      </c>
      <c r="F22" s="7">
        <f t="shared" si="3"/>
        <v>3.0000000000000001E-3</v>
      </c>
      <c r="G22" s="7">
        <f t="shared" si="4"/>
        <v>0.14699999999999999</v>
      </c>
    </row>
    <row r="23" spans="1:7" ht="35.15" customHeight="1" x14ac:dyDescent="0.35">
      <c r="A23" s="48"/>
      <c r="B23" s="32" t="s">
        <v>1095</v>
      </c>
      <c r="C23" s="7">
        <v>0.2</v>
      </c>
      <c r="D23" s="7">
        <f t="shared" si="1"/>
        <v>0.18</v>
      </c>
      <c r="E23" s="7">
        <f t="shared" si="2"/>
        <v>0.15</v>
      </c>
      <c r="F23" s="7">
        <f t="shared" si="3"/>
        <v>3.0000000000000001E-3</v>
      </c>
      <c r="G23" s="7">
        <f t="shared" si="4"/>
        <v>0.14699999999999999</v>
      </c>
    </row>
    <row r="24" spans="1:7" ht="35.15" customHeight="1" x14ac:dyDescent="0.35">
      <c r="A24" s="48"/>
      <c r="B24" s="5" t="s">
        <v>1083</v>
      </c>
      <c r="C24" s="7">
        <v>0.2</v>
      </c>
      <c r="D24" s="7">
        <f t="shared" si="1"/>
        <v>0.18</v>
      </c>
      <c r="E24" s="7">
        <f t="shared" si="2"/>
        <v>0.15</v>
      </c>
      <c r="F24" s="7">
        <f t="shared" si="3"/>
        <v>3.0000000000000001E-3</v>
      </c>
      <c r="G24" s="7">
        <f t="shared" si="4"/>
        <v>0.14699999999999999</v>
      </c>
    </row>
    <row r="25" spans="1:7" ht="35.15" customHeight="1" x14ac:dyDescent="0.35">
      <c r="A25" s="48"/>
      <c r="B25" s="5" t="s">
        <v>1084</v>
      </c>
      <c r="C25" s="7">
        <v>0.2</v>
      </c>
      <c r="D25" s="7">
        <f t="shared" si="1"/>
        <v>0.18</v>
      </c>
      <c r="E25" s="7">
        <f t="shared" si="2"/>
        <v>0.15</v>
      </c>
      <c r="F25" s="7">
        <f t="shared" si="3"/>
        <v>3.0000000000000001E-3</v>
      </c>
      <c r="G25" s="7">
        <f t="shared" si="4"/>
        <v>0.14699999999999999</v>
      </c>
    </row>
    <row r="26" spans="1:7" ht="35.15" customHeight="1" x14ac:dyDescent="0.35">
      <c r="A26" s="48"/>
      <c r="B26" s="32" t="s">
        <v>1085</v>
      </c>
      <c r="C26" s="7">
        <v>0.05</v>
      </c>
      <c r="D26" s="7" t="s">
        <v>20</v>
      </c>
      <c r="E26" s="7" t="s">
        <v>20</v>
      </c>
      <c r="F26" s="7" t="s">
        <v>20</v>
      </c>
      <c r="G26" s="7" t="s">
        <v>20</v>
      </c>
    </row>
    <row r="27" spans="1:7" ht="35.15" customHeight="1" x14ac:dyDescent="0.35">
      <c r="A27" s="48"/>
      <c r="B27" s="32" t="s">
        <v>1086</v>
      </c>
      <c r="C27" s="7">
        <v>0.05</v>
      </c>
      <c r="D27" s="7" t="s">
        <v>20</v>
      </c>
      <c r="E27" s="7" t="s">
        <v>20</v>
      </c>
      <c r="F27" s="7" t="s">
        <v>20</v>
      </c>
      <c r="G27" s="7" t="s">
        <v>20</v>
      </c>
    </row>
    <row r="28" spans="1:7" ht="35.15" customHeight="1" x14ac:dyDescent="0.35">
      <c r="A28" s="48"/>
      <c r="B28" s="5" t="s">
        <v>1087</v>
      </c>
      <c r="C28" s="7">
        <v>0.17</v>
      </c>
      <c r="D28" s="7">
        <f t="shared" si="1"/>
        <v>0.15300000000000002</v>
      </c>
      <c r="E28" s="7">
        <f t="shared" si="2"/>
        <v>0.12300000000000003</v>
      </c>
      <c r="F28" s="7">
        <f t="shared" si="3"/>
        <v>2.4600000000000004E-3</v>
      </c>
      <c r="G28" s="7">
        <f t="shared" si="4"/>
        <v>0.12054000000000002</v>
      </c>
    </row>
    <row r="29" spans="1:7" ht="35.15" customHeight="1" x14ac:dyDescent="0.35">
      <c r="A29" s="48"/>
      <c r="B29" s="5" t="s">
        <v>1088</v>
      </c>
      <c r="C29" s="7">
        <v>0.17</v>
      </c>
      <c r="D29" s="7">
        <f t="shared" si="1"/>
        <v>0.15300000000000002</v>
      </c>
      <c r="E29" s="7">
        <f t="shared" si="2"/>
        <v>0.12300000000000003</v>
      </c>
      <c r="F29" s="7">
        <f t="shared" si="3"/>
        <v>2.4600000000000004E-3</v>
      </c>
      <c r="G29" s="7">
        <f t="shared" si="4"/>
        <v>0.12054000000000002</v>
      </c>
    </row>
    <row r="30" spans="1:7" ht="35.15" customHeight="1" x14ac:dyDescent="0.35">
      <c r="A30" s="48" t="s">
        <v>1096</v>
      </c>
      <c r="B30" s="32" t="s">
        <v>1090</v>
      </c>
      <c r="C30" s="7">
        <v>0.12</v>
      </c>
      <c r="D30" s="7">
        <f t="shared" si="1"/>
        <v>0.108</v>
      </c>
      <c r="E30" s="7">
        <f t="shared" si="2"/>
        <v>7.8E-2</v>
      </c>
      <c r="F30" s="7">
        <f t="shared" si="3"/>
        <v>1.56E-3</v>
      </c>
      <c r="G30" s="7">
        <f t="shared" si="4"/>
        <v>7.6439999999999994E-2</v>
      </c>
    </row>
    <row r="31" spans="1:7" ht="35.15" customHeight="1" x14ac:dyDescent="0.35">
      <c r="A31" s="48"/>
      <c r="B31" s="32" t="s">
        <v>1091</v>
      </c>
      <c r="C31" s="7">
        <v>0</v>
      </c>
      <c r="D31" s="7" t="s">
        <v>20</v>
      </c>
      <c r="E31" s="7" t="s">
        <v>20</v>
      </c>
      <c r="F31" s="7" t="s">
        <v>20</v>
      </c>
      <c r="G31" s="7" t="s">
        <v>20</v>
      </c>
    </row>
    <row r="32" spans="1:7" ht="35.15" customHeight="1" x14ac:dyDescent="0.35">
      <c r="A32" s="48"/>
      <c r="B32" s="5" t="s">
        <v>1092</v>
      </c>
      <c r="C32" s="7">
        <v>0.12</v>
      </c>
      <c r="D32" s="7">
        <f t="shared" si="1"/>
        <v>0.108</v>
      </c>
      <c r="E32" s="7">
        <f t="shared" si="2"/>
        <v>7.8E-2</v>
      </c>
      <c r="F32" s="7">
        <f t="shared" si="3"/>
        <v>1.56E-3</v>
      </c>
      <c r="G32" s="7">
        <f t="shared" si="4"/>
        <v>7.6439999999999994E-2</v>
      </c>
    </row>
    <row r="33" spans="1:7" ht="35.15" customHeight="1" x14ac:dyDescent="0.35">
      <c r="A33" s="48"/>
      <c r="B33" s="5" t="s">
        <v>1093</v>
      </c>
      <c r="C33" s="7">
        <v>0</v>
      </c>
      <c r="D33" s="7" t="s">
        <v>20</v>
      </c>
      <c r="E33" s="7" t="s">
        <v>20</v>
      </c>
      <c r="F33" s="7" t="s">
        <v>20</v>
      </c>
      <c r="G33" s="7" t="s">
        <v>20</v>
      </c>
    </row>
    <row r="34" spans="1:7" ht="35.15" customHeight="1" x14ac:dyDescent="0.35">
      <c r="A34" s="48"/>
      <c r="B34" s="32" t="s">
        <v>1094</v>
      </c>
      <c r="C34" s="7">
        <v>0.12</v>
      </c>
      <c r="D34" s="7">
        <f t="shared" si="1"/>
        <v>0.108</v>
      </c>
      <c r="E34" s="7">
        <f t="shared" si="2"/>
        <v>7.8E-2</v>
      </c>
      <c r="F34" s="7">
        <f t="shared" si="3"/>
        <v>1.56E-3</v>
      </c>
      <c r="G34" s="7">
        <f t="shared" si="4"/>
        <v>7.6439999999999994E-2</v>
      </c>
    </row>
    <row r="35" spans="1:7" ht="35.15" customHeight="1" x14ac:dyDescent="0.35">
      <c r="A35" s="48"/>
      <c r="B35" s="32" t="s">
        <v>1095</v>
      </c>
      <c r="C35" s="7">
        <v>0</v>
      </c>
      <c r="D35" s="7" t="s">
        <v>20</v>
      </c>
      <c r="E35" s="7" t="s">
        <v>20</v>
      </c>
      <c r="F35" s="7" t="s">
        <v>20</v>
      </c>
      <c r="G35" s="7" t="s">
        <v>20</v>
      </c>
    </row>
    <row r="36" spans="1:7" ht="35.15" customHeight="1" x14ac:dyDescent="0.35">
      <c r="A36" s="48"/>
      <c r="B36" s="5" t="s">
        <v>1083</v>
      </c>
      <c r="C36" s="7">
        <v>0.12</v>
      </c>
      <c r="D36" s="7">
        <f t="shared" si="1"/>
        <v>0.108</v>
      </c>
      <c r="E36" s="7">
        <f t="shared" si="2"/>
        <v>7.8E-2</v>
      </c>
      <c r="F36" s="7">
        <f t="shared" si="3"/>
        <v>1.56E-3</v>
      </c>
      <c r="G36" s="7">
        <f t="shared" si="4"/>
        <v>7.6439999999999994E-2</v>
      </c>
    </row>
    <row r="37" spans="1:7" ht="35.15" customHeight="1" x14ac:dyDescent="0.35">
      <c r="A37" s="48"/>
      <c r="B37" s="5" t="s">
        <v>1084</v>
      </c>
      <c r="C37" s="7">
        <v>0</v>
      </c>
      <c r="D37" s="7" t="s">
        <v>20</v>
      </c>
      <c r="E37" s="7" t="s">
        <v>20</v>
      </c>
      <c r="F37" s="7" t="s">
        <v>20</v>
      </c>
      <c r="G37" s="7" t="s">
        <v>20</v>
      </c>
    </row>
    <row r="38" spans="1:7" ht="35.15" customHeight="1" x14ac:dyDescent="0.35">
      <c r="A38" s="48"/>
      <c r="B38" s="32" t="s">
        <v>1085</v>
      </c>
      <c r="C38" s="7">
        <v>0.12</v>
      </c>
      <c r="D38" s="7">
        <f t="shared" si="1"/>
        <v>0.108</v>
      </c>
      <c r="E38" s="7">
        <f t="shared" si="2"/>
        <v>7.8E-2</v>
      </c>
      <c r="F38" s="7">
        <f t="shared" si="3"/>
        <v>1.56E-3</v>
      </c>
      <c r="G38" s="7">
        <f t="shared" si="4"/>
        <v>7.6439999999999994E-2</v>
      </c>
    </row>
    <row r="39" spans="1:7" ht="35.15" customHeight="1" x14ac:dyDescent="0.35">
      <c r="A39" s="48"/>
      <c r="B39" s="32" t="s">
        <v>1086</v>
      </c>
      <c r="C39" s="7">
        <v>0</v>
      </c>
      <c r="D39" s="7" t="s">
        <v>20</v>
      </c>
      <c r="E39" s="7" t="s">
        <v>20</v>
      </c>
      <c r="F39" s="7" t="s">
        <v>20</v>
      </c>
      <c r="G39" s="7" t="s">
        <v>20</v>
      </c>
    </row>
    <row r="40" spans="1:7" ht="35.15" customHeight="1" x14ac:dyDescent="0.35">
      <c r="A40" s="48"/>
      <c r="B40" s="5" t="s">
        <v>1087</v>
      </c>
      <c r="C40" s="7">
        <v>0.17</v>
      </c>
      <c r="D40" s="7">
        <f t="shared" si="1"/>
        <v>0.15300000000000002</v>
      </c>
      <c r="E40" s="7">
        <f t="shared" si="2"/>
        <v>0.12300000000000003</v>
      </c>
      <c r="F40" s="7">
        <f t="shared" si="3"/>
        <v>2.4600000000000004E-3</v>
      </c>
      <c r="G40" s="7">
        <f t="shared" si="4"/>
        <v>0.12054000000000002</v>
      </c>
    </row>
    <row r="41" spans="1:7" ht="35.15" customHeight="1" x14ac:dyDescent="0.35">
      <c r="A41" s="48"/>
      <c r="B41" s="5" t="s">
        <v>1088</v>
      </c>
      <c r="C41" s="7">
        <v>0</v>
      </c>
      <c r="D41" s="7" t="s">
        <v>20</v>
      </c>
      <c r="E41" s="7" t="s">
        <v>20</v>
      </c>
      <c r="F41" s="7" t="s">
        <v>20</v>
      </c>
      <c r="G41" s="7" t="s">
        <v>20</v>
      </c>
    </row>
    <row r="42" spans="1:7" ht="35.15" customHeight="1" x14ac:dyDescent="0.35">
      <c r="A42" s="48" t="s">
        <v>1097</v>
      </c>
      <c r="B42" s="32" t="s">
        <v>1090</v>
      </c>
      <c r="C42" s="7">
        <v>0</v>
      </c>
      <c r="D42" s="7" t="s">
        <v>20</v>
      </c>
      <c r="E42" s="7" t="s">
        <v>20</v>
      </c>
      <c r="F42" s="7" t="s">
        <v>20</v>
      </c>
      <c r="G42" s="7" t="s">
        <v>20</v>
      </c>
    </row>
    <row r="43" spans="1:7" ht="35.15" customHeight="1" x14ac:dyDescent="0.35">
      <c r="A43" s="48"/>
      <c r="B43" s="32" t="s">
        <v>1091</v>
      </c>
      <c r="C43" s="7">
        <v>0.05</v>
      </c>
      <c r="D43" s="7" t="s">
        <v>20</v>
      </c>
      <c r="E43" s="7" t="s">
        <v>20</v>
      </c>
      <c r="F43" s="7" t="s">
        <v>20</v>
      </c>
      <c r="G43" s="7" t="s">
        <v>20</v>
      </c>
    </row>
    <row r="44" spans="1:7" ht="35.15" customHeight="1" x14ac:dyDescent="0.35">
      <c r="A44" s="48"/>
      <c r="B44" s="5" t="s">
        <v>1092</v>
      </c>
      <c r="C44" s="7">
        <v>0</v>
      </c>
      <c r="D44" s="7" t="s">
        <v>20</v>
      </c>
      <c r="E44" s="7" t="s">
        <v>20</v>
      </c>
      <c r="F44" s="7" t="s">
        <v>20</v>
      </c>
      <c r="G44" s="7" t="s">
        <v>20</v>
      </c>
    </row>
    <row r="45" spans="1:7" ht="35.15" customHeight="1" x14ac:dyDescent="0.35">
      <c r="A45" s="48"/>
      <c r="B45" s="5" t="s">
        <v>1093</v>
      </c>
      <c r="C45" s="7">
        <v>0.2</v>
      </c>
      <c r="D45" s="7">
        <f t="shared" si="1"/>
        <v>0.18</v>
      </c>
      <c r="E45" s="7">
        <f t="shared" si="2"/>
        <v>0.15</v>
      </c>
      <c r="F45" s="7">
        <f t="shared" si="3"/>
        <v>3.0000000000000001E-3</v>
      </c>
      <c r="G45" s="7">
        <f t="shared" si="4"/>
        <v>0.14699999999999999</v>
      </c>
    </row>
    <row r="46" spans="1:7" ht="35.15" customHeight="1" x14ac:dyDescent="0.35">
      <c r="A46" s="48"/>
      <c r="B46" s="32" t="s">
        <v>1094</v>
      </c>
      <c r="C46" s="7">
        <v>0</v>
      </c>
      <c r="D46" s="7" t="s">
        <v>20</v>
      </c>
      <c r="E46" s="7" t="s">
        <v>20</v>
      </c>
      <c r="F46" s="7" t="s">
        <v>20</v>
      </c>
      <c r="G46" s="7" t="s">
        <v>20</v>
      </c>
    </row>
    <row r="47" spans="1:7" ht="35.15" customHeight="1" x14ac:dyDescent="0.35">
      <c r="A47" s="48"/>
      <c r="B47" s="32" t="s">
        <v>1095</v>
      </c>
      <c r="C47" s="7">
        <v>0.2</v>
      </c>
      <c r="D47" s="7">
        <f t="shared" si="1"/>
        <v>0.18</v>
      </c>
      <c r="E47" s="7">
        <f t="shared" si="2"/>
        <v>0.15</v>
      </c>
      <c r="F47" s="7">
        <f t="shared" si="3"/>
        <v>3.0000000000000001E-3</v>
      </c>
      <c r="G47" s="7">
        <f t="shared" si="4"/>
        <v>0.14699999999999999</v>
      </c>
    </row>
    <row r="48" spans="1:7" ht="24" x14ac:dyDescent="0.35">
      <c r="A48" s="48"/>
      <c r="B48" s="5" t="s">
        <v>1083</v>
      </c>
      <c r="C48" s="7">
        <v>0</v>
      </c>
      <c r="D48" s="7" t="s">
        <v>20</v>
      </c>
      <c r="E48" s="7" t="s">
        <v>20</v>
      </c>
      <c r="F48" s="7" t="s">
        <v>20</v>
      </c>
      <c r="G48" s="7" t="s">
        <v>20</v>
      </c>
    </row>
    <row r="49" spans="1:10" ht="35.15" customHeight="1" x14ac:dyDescent="0.35">
      <c r="A49" s="48"/>
      <c r="B49" s="5" t="s">
        <v>1084</v>
      </c>
      <c r="C49" s="7">
        <v>0.2</v>
      </c>
      <c r="D49" s="7">
        <f t="shared" si="1"/>
        <v>0.18</v>
      </c>
      <c r="E49" s="7">
        <f t="shared" si="2"/>
        <v>0.15</v>
      </c>
      <c r="F49" s="7">
        <f t="shared" si="3"/>
        <v>3.0000000000000001E-3</v>
      </c>
      <c r="G49" s="7">
        <f t="shared" si="4"/>
        <v>0.14699999999999999</v>
      </c>
    </row>
    <row r="50" spans="1:10" ht="35.15" customHeight="1" x14ac:dyDescent="0.35">
      <c r="A50" s="48"/>
      <c r="B50" s="32" t="s">
        <v>1085</v>
      </c>
      <c r="C50" s="7">
        <v>0</v>
      </c>
      <c r="D50" s="7" t="s">
        <v>20</v>
      </c>
      <c r="E50" s="7" t="s">
        <v>20</v>
      </c>
      <c r="F50" s="7" t="s">
        <v>20</v>
      </c>
      <c r="G50" s="7" t="s">
        <v>20</v>
      </c>
    </row>
    <row r="51" spans="1:10" ht="35.15" customHeight="1" x14ac:dyDescent="0.35">
      <c r="A51" s="48"/>
      <c r="B51" s="32" t="s">
        <v>1086</v>
      </c>
      <c r="C51" s="7">
        <v>0.05</v>
      </c>
      <c r="D51" s="7" t="s">
        <v>20</v>
      </c>
      <c r="E51" s="7" t="s">
        <v>20</v>
      </c>
      <c r="F51" s="7" t="s">
        <v>20</v>
      </c>
      <c r="G51" s="7" t="s">
        <v>20</v>
      </c>
    </row>
    <row r="52" spans="1:10" ht="35.15" customHeight="1" x14ac:dyDescent="0.35">
      <c r="A52" s="48"/>
      <c r="B52" s="5" t="s">
        <v>1087</v>
      </c>
      <c r="C52" s="7">
        <v>0</v>
      </c>
      <c r="D52" s="7" t="s">
        <v>20</v>
      </c>
      <c r="E52" s="7" t="s">
        <v>20</v>
      </c>
      <c r="F52" s="7" t="s">
        <v>20</v>
      </c>
      <c r="G52" s="7" t="s">
        <v>20</v>
      </c>
    </row>
    <row r="53" spans="1:10" ht="35.15" customHeight="1" x14ac:dyDescent="0.35">
      <c r="A53" s="48"/>
      <c r="B53" s="5" t="s">
        <v>1088</v>
      </c>
      <c r="C53" s="7">
        <v>0.17</v>
      </c>
      <c r="D53" s="7">
        <f t="shared" si="1"/>
        <v>0.15300000000000002</v>
      </c>
      <c r="E53" s="7">
        <f t="shared" si="2"/>
        <v>0.12300000000000003</v>
      </c>
      <c r="F53" s="7">
        <f t="shared" si="3"/>
        <v>2.4600000000000004E-3</v>
      </c>
      <c r="G53" s="7">
        <f t="shared" si="4"/>
        <v>0.12054000000000002</v>
      </c>
    </row>
    <row r="54" spans="1:10" ht="14.5" x14ac:dyDescent="0.35">
      <c r="A54" s="2" t="s">
        <v>987</v>
      </c>
      <c r="B54" s="2" t="s">
        <v>1</v>
      </c>
      <c r="C54" s="4" t="s">
        <v>2</v>
      </c>
      <c r="D54" s="4" t="s">
        <v>922</v>
      </c>
      <c r="E54" s="4" t="s">
        <v>1135</v>
      </c>
      <c r="F54" s="4" t="s">
        <v>363</v>
      </c>
      <c r="G54" s="4" t="s">
        <v>364</v>
      </c>
    </row>
    <row r="55" spans="1:10" ht="14.5" x14ac:dyDescent="0.35">
      <c r="A55" s="41" t="s">
        <v>1098</v>
      </c>
      <c r="B55" s="5" t="s">
        <v>1099</v>
      </c>
      <c r="C55" s="7">
        <v>0.05</v>
      </c>
      <c r="D55" s="7" t="s">
        <v>20</v>
      </c>
      <c r="E55" s="7" t="s">
        <v>20</v>
      </c>
      <c r="F55" s="7" t="s">
        <v>20</v>
      </c>
      <c r="G55" s="7" t="s">
        <v>20</v>
      </c>
    </row>
    <row r="56" spans="1:10" ht="14.5" x14ac:dyDescent="0.35">
      <c r="A56" s="43"/>
      <c r="B56" s="5" t="s">
        <v>1100</v>
      </c>
      <c r="C56" s="7">
        <v>0.22500000000000001</v>
      </c>
      <c r="D56" s="7">
        <f t="shared" si="1"/>
        <v>0.20250000000000001</v>
      </c>
      <c r="E56" s="7">
        <f t="shared" si="2"/>
        <v>0.17250000000000001</v>
      </c>
      <c r="F56" s="7">
        <f t="shared" si="3"/>
        <v>3.4500000000000004E-3</v>
      </c>
      <c r="G56" s="7">
        <f t="shared" si="4"/>
        <v>0.16905000000000001</v>
      </c>
    </row>
    <row r="57" spans="1:10" ht="14.5" x14ac:dyDescent="0.35">
      <c r="A57" s="41" t="s">
        <v>1101</v>
      </c>
      <c r="B57" s="5" t="s">
        <v>1099</v>
      </c>
      <c r="C57" s="7">
        <v>0.05</v>
      </c>
      <c r="D57" s="7" t="s">
        <v>20</v>
      </c>
      <c r="E57" s="7" t="s">
        <v>20</v>
      </c>
      <c r="F57" s="7" t="s">
        <v>20</v>
      </c>
      <c r="G57" s="7" t="s">
        <v>20</v>
      </c>
    </row>
    <row r="58" spans="1:10" ht="14.5" x14ac:dyDescent="0.35">
      <c r="A58" s="43"/>
      <c r="B58" s="5" t="s">
        <v>1100</v>
      </c>
      <c r="C58" s="7">
        <v>0.17499999999999999</v>
      </c>
      <c r="D58" s="7">
        <f t="shared" si="1"/>
        <v>0.1575</v>
      </c>
      <c r="E58" s="7">
        <f t="shared" si="2"/>
        <v>0.1275</v>
      </c>
      <c r="F58" s="7">
        <f t="shared" si="3"/>
        <v>2.5500000000000002E-3</v>
      </c>
      <c r="G58" s="7">
        <f t="shared" si="4"/>
        <v>0.12495000000000001</v>
      </c>
    </row>
    <row r="59" spans="1:10" ht="14.5" x14ac:dyDescent="0.35">
      <c r="A59" s="41" t="s">
        <v>1102</v>
      </c>
      <c r="B59" s="5" t="s">
        <v>1099</v>
      </c>
      <c r="C59" s="7">
        <v>0.05</v>
      </c>
      <c r="D59" s="7" t="s">
        <v>20</v>
      </c>
      <c r="E59" s="7" t="s">
        <v>20</v>
      </c>
      <c r="F59" s="7" t="s">
        <v>20</v>
      </c>
      <c r="G59" s="7" t="s">
        <v>20</v>
      </c>
    </row>
    <row r="60" spans="1:10" ht="14.5" x14ac:dyDescent="0.35">
      <c r="A60" s="43"/>
      <c r="B60" s="5" t="s">
        <v>1100</v>
      </c>
      <c r="C60" s="7">
        <v>0.22500000000000001</v>
      </c>
      <c r="D60" s="7">
        <f t="shared" si="1"/>
        <v>0.20250000000000001</v>
      </c>
      <c r="E60" s="7">
        <f t="shared" si="2"/>
        <v>0.17250000000000001</v>
      </c>
      <c r="F60" s="7">
        <f t="shared" si="3"/>
        <v>3.4500000000000004E-3</v>
      </c>
      <c r="G60" s="7">
        <f t="shared" si="4"/>
        <v>0.16905000000000001</v>
      </c>
    </row>
    <row r="61" spans="1:10" ht="14.5" x14ac:dyDescent="0.35">
      <c r="A61" s="41" t="s">
        <v>1103</v>
      </c>
      <c r="B61" s="5" t="s">
        <v>1099</v>
      </c>
      <c r="C61" s="7">
        <v>0.2</v>
      </c>
      <c r="D61" s="7">
        <f t="shared" si="1"/>
        <v>0.18</v>
      </c>
      <c r="E61" s="7">
        <f t="shared" si="2"/>
        <v>0.15</v>
      </c>
      <c r="F61" s="7">
        <f t="shared" si="3"/>
        <v>3.0000000000000001E-3</v>
      </c>
      <c r="G61" s="7">
        <f t="shared" si="4"/>
        <v>0.14699999999999999</v>
      </c>
    </row>
    <row r="62" spans="1:10" ht="14.5" x14ac:dyDescent="0.35">
      <c r="A62" s="43"/>
      <c r="B62" s="5" t="s">
        <v>1100</v>
      </c>
      <c r="C62" s="7">
        <v>0.2</v>
      </c>
      <c r="D62" s="7">
        <f t="shared" si="1"/>
        <v>0.18</v>
      </c>
      <c r="E62" s="7">
        <f t="shared" si="2"/>
        <v>0.15</v>
      </c>
      <c r="F62" s="7">
        <f t="shared" si="3"/>
        <v>3.0000000000000001E-3</v>
      </c>
      <c r="G62" s="7">
        <f t="shared" si="4"/>
        <v>0.14699999999999999</v>
      </c>
    </row>
    <row r="63" spans="1:10" ht="14.5" x14ac:dyDescent="0.35">
      <c r="A63" s="2" t="s">
        <v>1104</v>
      </c>
      <c r="B63" s="2" t="s">
        <v>1</v>
      </c>
      <c r="C63" s="4" t="s">
        <v>2</v>
      </c>
      <c r="D63" s="4" t="s">
        <v>922</v>
      </c>
      <c r="E63" s="4" t="s">
        <v>1135</v>
      </c>
      <c r="F63" s="4" t="s">
        <v>363</v>
      </c>
      <c r="G63" s="4" t="s">
        <v>364</v>
      </c>
    </row>
    <row r="64" spans="1:10" ht="14.5" x14ac:dyDescent="0.35">
      <c r="A64" s="48" t="s">
        <v>1105</v>
      </c>
      <c r="B64" s="5" t="s">
        <v>1213</v>
      </c>
      <c r="C64" s="7">
        <v>0.25</v>
      </c>
      <c r="D64" s="7">
        <f t="shared" si="1"/>
        <v>0.22500000000000001</v>
      </c>
      <c r="E64" s="7">
        <f t="shared" si="2"/>
        <v>0.19500000000000001</v>
      </c>
      <c r="F64" s="7">
        <f t="shared" si="3"/>
        <v>3.9000000000000003E-3</v>
      </c>
      <c r="G64" s="7">
        <f t="shared" si="4"/>
        <v>0.19110000000000002</v>
      </c>
      <c r="I64" s="31"/>
      <c r="J64" s="31"/>
    </row>
    <row r="65" spans="1:10" ht="14.5" x14ac:dyDescent="0.35">
      <c r="A65" s="48"/>
      <c r="B65" s="5" t="s">
        <v>1100</v>
      </c>
      <c r="C65" s="7">
        <v>0.4</v>
      </c>
      <c r="D65" s="7">
        <f t="shared" si="1"/>
        <v>0.36</v>
      </c>
      <c r="E65" s="7">
        <f t="shared" si="2"/>
        <v>0.32999999999999996</v>
      </c>
      <c r="F65" s="7">
        <f t="shared" si="3"/>
        <v>6.5999999999999991E-3</v>
      </c>
      <c r="G65" s="7">
        <f t="shared" si="4"/>
        <v>0.32339999999999997</v>
      </c>
      <c r="I65" s="31"/>
      <c r="J65" s="31"/>
    </row>
    <row r="66" spans="1:10" ht="26.15" customHeight="1" x14ac:dyDescent="0.35">
      <c r="A66" s="41" t="s">
        <v>1106</v>
      </c>
      <c r="B66" s="5" t="s">
        <v>1107</v>
      </c>
      <c r="C66" s="7">
        <v>0.1</v>
      </c>
      <c r="D66" s="7">
        <f t="shared" si="1"/>
        <v>0.09</v>
      </c>
      <c r="E66" s="7">
        <f t="shared" si="2"/>
        <v>0.06</v>
      </c>
      <c r="F66" s="7">
        <f t="shared" si="3"/>
        <v>1.1999999999999999E-3</v>
      </c>
      <c r="G66" s="7">
        <f t="shared" si="4"/>
        <v>5.8799999999999998E-2</v>
      </c>
    </row>
    <row r="67" spans="1:10" ht="25" customHeight="1" x14ac:dyDescent="0.35">
      <c r="A67" s="43"/>
      <c r="B67" s="5" t="s">
        <v>1100</v>
      </c>
      <c r="C67" s="7">
        <v>0.2</v>
      </c>
      <c r="D67" s="7">
        <f t="shared" si="1"/>
        <v>0.18</v>
      </c>
      <c r="E67" s="7">
        <f t="shared" si="2"/>
        <v>0.15</v>
      </c>
      <c r="F67" s="7">
        <f t="shared" si="3"/>
        <v>3.0000000000000001E-3</v>
      </c>
      <c r="G67" s="7">
        <f t="shared" si="4"/>
        <v>0.14699999999999999</v>
      </c>
    </row>
    <row r="68" spans="1:10" ht="14.5" x14ac:dyDescent="0.35">
      <c r="A68" s="41" t="s">
        <v>1108</v>
      </c>
      <c r="B68" s="5" t="s">
        <v>1109</v>
      </c>
      <c r="C68" s="7">
        <v>0.1</v>
      </c>
      <c r="D68" s="7">
        <f t="shared" si="1"/>
        <v>0.09</v>
      </c>
      <c r="E68" s="7">
        <f t="shared" si="2"/>
        <v>0.06</v>
      </c>
      <c r="F68" s="7">
        <f t="shared" si="3"/>
        <v>1.1999999999999999E-3</v>
      </c>
      <c r="G68" s="7">
        <f t="shared" si="4"/>
        <v>5.8799999999999998E-2</v>
      </c>
    </row>
    <row r="69" spans="1:10" ht="21.65" customHeight="1" x14ac:dyDescent="0.35">
      <c r="A69" s="43"/>
      <c r="B69" s="5" t="s">
        <v>1100</v>
      </c>
      <c r="C69" s="7">
        <v>0.2</v>
      </c>
      <c r="D69" s="7">
        <f t="shared" si="1"/>
        <v>0.18</v>
      </c>
      <c r="E69" s="7">
        <f t="shared" si="2"/>
        <v>0.15</v>
      </c>
      <c r="F69" s="7">
        <f t="shared" si="3"/>
        <v>3.0000000000000001E-3</v>
      </c>
      <c r="G69" s="7">
        <f t="shared" si="4"/>
        <v>0.14699999999999999</v>
      </c>
    </row>
    <row r="70" spans="1:10" ht="27.65" customHeight="1" x14ac:dyDescent="0.35">
      <c r="A70" s="41" t="s">
        <v>1110</v>
      </c>
      <c r="B70" s="5" t="s">
        <v>1111</v>
      </c>
      <c r="C70" s="7">
        <v>7.4999999999999997E-2</v>
      </c>
      <c r="D70" s="7">
        <f t="shared" si="1"/>
        <v>6.7500000000000004E-2</v>
      </c>
      <c r="E70" s="7">
        <f t="shared" si="2"/>
        <v>3.7500000000000006E-2</v>
      </c>
      <c r="F70" s="7">
        <f t="shared" si="3"/>
        <v>7.5000000000000012E-4</v>
      </c>
      <c r="G70" s="7">
        <f t="shared" si="4"/>
        <v>3.6750000000000005E-2</v>
      </c>
    </row>
    <row r="71" spans="1:10" ht="14.5" x14ac:dyDescent="0.35">
      <c r="A71" s="43"/>
      <c r="B71" s="5" t="s">
        <v>1100</v>
      </c>
      <c r="C71" s="7">
        <v>0.1</v>
      </c>
      <c r="D71" s="7">
        <f t="shared" ref="D71:D105" si="5">(C71-(C71*10%))</f>
        <v>0.09</v>
      </c>
      <c r="E71" s="7">
        <f t="shared" ref="E71:E105" si="6">D71-(3%)</f>
        <v>0.06</v>
      </c>
      <c r="F71" s="7">
        <f t="shared" ref="F71:F105" si="7">E71*(2%)</f>
        <v>1.1999999999999999E-3</v>
      </c>
      <c r="G71" s="7">
        <f t="shared" ref="G71:G105" si="8">E71-F71</f>
        <v>5.8799999999999998E-2</v>
      </c>
    </row>
    <row r="72" spans="1:10" ht="24" x14ac:dyDescent="0.35">
      <c r="A72" s="29" t="s">
        <v>1112</v>
      </c>
      <c r="B72" s="5" t="s">
        <v>1113</v>
      </c>
      <c r="C72" s="7">
        <v>0.05</v>
      </c>
      <c r="D72" s="7" t="s">
        <v>20</v>
      </c>
      <c r="E72" s="7" t="s">
        <v>20</v>
      </c>
      <c r="F72" s="7" t="s">
        <v>20</v>
      </c>
      <c r="G72" s="7" t="s">
        <v>20</v>
      </c>
    </row>
    <row r="73" spans="1:10" ht="24" x14ac:dyDescent="0.35">
      <c r="A73" s="41" t="s">
        <v>1114</v>
      </c>
      <c r="B73" s="5" t="s">
        <v>1115</v>
      </c>
      <c r="C73" s="7">
        <v>0.15</v>
      </c>
      <c r="D73" s="7">
        <f t="shared" si="5"/>
        <v>0.13500000000000001</v>
      </c>
      <c r="E73" s="7">
        <f t="shared" si="6"/>
        <v>0.10500000000000001</v>
      </c>
      <c r="F73" s="7">
        <f t="shared" si="7"/>
        <v>2.1000000000000003E-3</v>
      </c>
      <c r="G73" s="7">
        <f t="shared" si="8"/>
        <v>0.10290000000000001</v>
      </c>
    </row>
    <row r="74" spans="1:10" ht="14.5" x14ac:dyDescent="0.35">
      <c r="A74" s="43"/>
      <c r="B74" s="5" t="s">
        <v>1100</v>
      </c>
      <c r="C74" s="7">
        <v>0.25</v>
      </c>
      <c r="D74" s="7">
        <f t="shared" si="5"/>
        <v>0.22500000000000001</v>
      </c>
      <c r="E74" s="7">
        <f t="shared" si="6"/>
        <v>0.19500000000000001</v>
      </c>
      <c r="F74" s="7">
        <f t="shared" si="7"/>
        <v>3.9000000000000003E-3</v>
      </c>
      <c r="G74" s="7">
        <f t="shared" si="8"/>
        <v>0.19110000000000002</v>
      </c>
    </row>
    <row r="75" spans="1:10" ht="24" x14ac:dyDescent="0.35">
      <c r="A75" s="48" t="s">
        <v>1116</v>
      </c>
      <c r="B75" s="5" t="s">
        <v>1117</v>
      </c>
      <c r="C75" s="7">
        <v>0.625</v>
      </c>
      <c r="D75" s="7">
        <f t="shared" si="5"/>
        <v>0.5625</v>
      </c>
      <c r="E75" s="7">
        <f t="shared" si="6"/>
        <v>0.53249999999999997</v>
      </c>
      <c r="F75" s="7">
        <f t="shared" si="7"/>
        <v>1.065E-2</v>
      </c>
      <c r="G75" s="7">
        <f t="shared" si="8"/>
        <v>0.52184999999999993</v>
      </c>
    </row>
    <row r="76" spans="1:10" ht="14.5" x14ac:dyDescent="0.35">
      <c r="A76" s="48"/>
      <c r="B76" s="5" t="s">
        <v>1100</v>
      </c>
      <c r="C76" s="7">
        <v>0.625</v>
      </c>
      <c r="D76" s="7">
        <f t="shared" si="5"/>
        <v>0.5625</v>
      </c>
      <c r="E76" s="7">
        <f t="shared" si="6"/>
        <v>0.53249999999999997</v>
      </c>
      <c r="F76" s="7">
        <f t="shared" si="7"/>
        <v>1.065E-2</v>
      </c>
      <c r="G76" s="7">
        <f t="shared" si="8"/>
        <v>0.52184999999999993</v>
      </c>
    </row>
    <row r="77" spans="1:10" ht="14.5" x14ac:dyDescent="0.35">
      <c r="A77" s="2" t="s">
        <v>1118</v>
      </c>
      <c r="B77" s="2" t="s">
        <v>1</v>
      </c>
      <c r="C77" s="4" t="s">
        <v>2</v>
      </c>
      <c r="D77" s="4" t="s">
        <v>922</v>
      </c>
      <c r="E77" s="4" t="s">
        <v>1135</v>
      </c>
      <c r="F77" s="4" t="s">
        <v>363</v>
      </c>
      <c r="G77" s="4" t="s">
        <v>364</v>
      </c>
    </row>
    <row r="78" spans="1:10" ht="24" x14ac:dyDescent="0.35">
      <c r="A78" s="41" t="s">
        <v>1217</v>
      </c>
      <c r="B78" s="5" t="s">
        <v>1119</v>
      </c>
      <c r="C78" s="7">
        <v>0.5</v>
      </c>
      <c r="D78" s="7">
        <f t="shared" si="5"/>
        <v>0.45</v>
      </c>
      <c r="E78" s="7">
        <f t="shared" si="6"/>
        <v>0.42000000000000004</v>
      </c>
      <c r="F78" s="7">
        <f t="shared" si="7"/>
        <v>8.4000000000000012E-3</v>
      </c>
      <c r="G78" s="7">
        <f t="shared" si="8"/>
        <v>0.41160000000000002</v>
      </c>
    </row>
    <row r="79" spans="1:10" ht="14.5" x14ac:dyDescent="0.35">
      <c r="A79" s="43"/>
      <c r="B79" s="5" t="s">
        <v>1120</v>
      </c>
      <c r="C79" s="7">
        <v>0.5</v>
      </c>
      <c r="D79" s="7">
        <f t="shared" si="5"/>
        <v>0.45</v>
      </c>
      <c r="E79" s="7">
        <f t="shared" si="6"/>
        <v>0.42000000000000004</v>
      </c>
      <c r="F79" s="7">
        <f t="shared" si="7"/>
        <v>8.4000000000000012E-3</v>
      </c>
      <c r="G79" s="7">
        <f t="shared" si="8"/>
        <v>0.41160000000000002</v>
      </c>
    </row>
    <row r="80" spans="1:10" ht="14.5" x14ac:dyDescent="0.35">
      <c r="A80" s="41" t="s">
        <v>1216</v>
      </c>
      <c r="B80" s="5" t="s">
        <v>1122</v>
      </c>
      <c r="C80" s="7">
        <v>0.2</v>
      </c>
      <c r="D80" s="7">
        <f t="shared" si="5"/>
        <v>0.18</v>
      </c>
      <c r="E80" s="7">
        <f t="shared" si="6"/>
        <v>0.15</v>
      </c>
      <c r="F80" s="7">
        <f t="shared" si="7"/>
        <v>3.0000000000000001E-3</v>
      </c>
      <c r="G80" s="7">
        <f t="shared" si="8"/>
        <v>0.14699999999999999</v>
      </c>
    </row>
    <row r="81" spans="1:10" ht="14.5" x14ac:dyDescent="0.35">
      <c r="A81" s="43"/>
      <c r="B81" s="5" t="s">
        <v>1120</v>
      </c>
      <c r="C81" s="7">
        <v>0.57499999999999996</v>
      </c>
      <c r="D81" s="7">
        <f t="shared" si="5"/>
        <v>0.51749999999999996</v>
      </c>
      <c r="E81" s="7">
        <f t="shared" si="6"/>
        <v>0.48749999999999993</v>
      </c>
      <c r="F81" s="7">
        <f t="shared" si="7"/>
        <v>9.7499999999999983E-3</v>
      </c>
      <c r="G81" s="7">
        <f t="shared" si="8"/>
        <v>0.47774999999999995</v>
      </c>
    </row>
    <row r="82" spans="1:10" ht="14.5" x14ac:dyDescent="0.35">
      <c r="A82" s="41" t="s">
        <v>1121</v>
      </c>
      <c r="B82" s="5" t="s">
        <v>1122</v>
      </c>
      <c r="C82" s="7">
        <v>0.2</v>
      </c>
      <c r="D82" s="7">
        <f t="shared" si="5"/>
        <v>0.18</v>
      </c>
      <c r="E82" s="7">
        <f t="shared" si="6"/>
        <v>0.15</v>
      </c>
      <c r="F82" s="7">
        <f t="shared" si="7"/>
        <v>3.0000000000000001E-3</v>
      </c>
      <c r="G82" s="7">
        <f t="shared" si="8"/>
        <v>0.14699999999999999</v>
      </c>
      <c r="I82" s="31"/>
      <c r="J82" s="31"/>
    </row>
    <row r="83" spans="1:10" ht="14.5" x14ac:dyDescent="0.35">
      <c r="A83" s="43"/>
      <c r="B83" s="5" t="s">
        <v>1120</v>
      </c>
      <c r="C83" s="7">
        <v>0.57499999999999996</v>
      </c>
      <c r="D83" s="7">
        <f t="shared" si="5"/>
        <v>0.51749999999999996</v>
      </c>
      <c r="E83" s="7">
        <f t="shared" si="6"/>
        <v>0.48749999999999993</v>
      </c>
      <c r="F83" s="7">
        <f t="shared" si="7"/>
        <v>9.7499999999999983E-3</v>
      </c>
      <c r="G83" s="7">
        <f t="shared" si="8"/>
        <v>0.47774999999999995</v>
      </c>
      <c r="I83" s="31"/>
      <c r="J83" s="31"/>
    </row>
    <row r="84" spans="1:10" ht="24" x14ac:dyDescent="0.35">
      <c r="A84" s="41" t="s">
        <v>1123</v>
      </c>
      <c r="B84" s="5" t="s">
        <v>1124</v>
      </c>
      <c r="C84" s="7">
        <v>0.15</v>
      </c>
      <c r="D84" s="7">
        <f t="shared" si="5"/>
        <v>0.13500000000000001</v>
      </c>
      <c r="E84" s="7">
        <f t="shared" si="6"/>
        <v>0.10500000000000001</v>
      </c>
      <c r="F84" s="7">
        <f t="shared" si="7"/>
        <v>2.1000000000000003E-3</v>
      </c>
      <c r="G84" s="7">
        <f t="shared" si="8"/>
        <v>0.10290000000000001</v>
      </c>
      <c r="I84" s="31"/>
      <c r="J84" s="31"/>
    </row>
    <row r="85" spans="1:10" ht="14.5" x14ac:dyDescent="0.35">
      <c r="A85" s="43"/>
      <c r="B85" s="5" t="s">
        <v>1120</v>
      </c>
      <c r="C85" s="7">
        <v>0.45</v>
      </c>
      <c r="D85" s="7">
        <f t="shared" si="5"/>
        <v>0.40500000000000003</v>
      </c>
      <c r="E85" s="7">
        <f t="shared" si="6"/>
        <v>0.375</v>
      </c>
      <c r="F85" s="7">
        <f t="shared" si="7"/>
        <v>7.4999999999999997E-3</v>
      </c>
      <c r="G85" s="7">
        <f t="shared" si="8"/>
        <v>0.36749999999999999</v>
      </c>
      <c r="I85" s="31"/>
      <c r="J85" s="31"/>
    </row>
    <row r="86" spans="1:10" ht="24" x14ac:dyDescent="0.35">
      <c r="A86" s="41" t="s">
        <v>1125</v>
      </c>
      <c r="B86" s="5" t="s">
        <v>1124</v>
      </c>
      <c r="C86" s="7">
        <v>0.1</v>
      </c>
      <c r="D86" s="7">
        <f t="shared" si="5"/>
        <v>0.09</v>
      </c>
      <c r="E86" s="7">
        <f t="shared" si="6"/>
        <v>0.06</v>
      </c>
      <c r="F86" s="7">
        <f t="shared" si="7"/>
        <v>1.1999999999999999E-3</v>
      </c>
      <c r="G86" s="7">
        <f t="shared" si="8"/>
        <v>5.8799999999999998E-2</v>
      </c>
      <c r="I86" s="31"/>
      <c r="J86" s="31"/>
    </row>
    <row r="87" spans="1:10" ht="14.5" x14ac:dyDescent="0.35">
      <c r="A87" s="43"/>
      <c r="B87" s="5" t="s">
        <v>1120</v>
      </c>
      <c r="C87" s="7">
        <v>0.27500000000000002</v>
      </c>
      <c r="D87" s="7">
        <f t="shared" si="5"/>
        <v>0.24750000000000003</v>
      </c>
      <c r="E87" s="7">
        <f t="shared" si="6"/>
        <v>0.21750000000000003</v>
      </c>
      <c r="F87" s="7">
        <f t="shared" si="7"/>
        <v>4.3500000000000006E-3</v>
      </c>
      <c r="G87" s="7">
        <f t="shared" si="8"/>
        <v>0.21315000000000003</v>
      </c>
      <c r="I87" s="31"/>
      <c r="J87" s="31"/>
    </row>
    <row r="88" spans="1:10" ht="24" x14ac:dyDescent="0.35">
      <c r="A88" s="41" t="s">
        <v>1126</v>
      </c>
      <c r="B88" s="5" t="s">
        <v>1124</v>
      </c>
      <c r="C88" s="7">
        <v>0.1</v>
      </c>
      <c r="D88" s="7">
        <f t="shared" si="5"/>
        <v>0.09</v>
      </c>
      <c r="E88" s="7">
        <f t="shared" si="6"/>
        <v>0.06</v>
      </c>
      <c r="F88" s="7">
        <f t="shared" si="7"/>
        <v>1.1999999999999999E-3</v>
      </c>
      <c r="G88" s="7">
        <f t="shared" si="8"/>
        <v>5.8799999999999998E-2</v>
      </c>
      <c r="I88" s="31"/>
      <c r="J88" s="31"/>
    </row>
    <row r="89" spans="1:10" ht="14.5" x14ac:dyDescent="0.35">
      <c r="A89" s="43"/>
      <c r="B89" s="5" t="s">
        <v>1120</v>
      </c>
      <c r="C89" s="7">
        <v>0.17499999999999999</v>
      </c>
      <c r="D89" s="7">
        <f t="shared" si="5"/>
        <v>0.1575</v>
      </c>
      <c r="E89" s="7">
        <f t="shared" si="6"/>
        <v>0.1275</v>
      </c>
      <c r="F89" s="7">
        <f t="shared" si="7"/>
        <v>2.5500000000000002E-3</v>
      </c>
      <c r="G89" s="7">
        <f t="shared" si="8"/>
        <v>0.12495000000000001</v>
      </c>
      <c r="I89" s="31"/>
      <c r="J89" s="31"/>
    </row>
    <row r="90" spans="1:10" ht="24" x14ac:dyDescent="0.35">
      <c r="A90" s="41" t="s">
        <v>1127</v>
      </c>
      <c r="B90" s="5" t="s">
        <v>1124</v>
      </c>
      <c r="C90" s="7">
        <v>2.5000000000000001E-2</v>
      </c>
      <c r="D90" s="7" t="s">
        <v>20</v>
      </c>
      <c r="E90" s="7" t="s">
        <v>20</v>
      </c>
      <c r="F90" s="7" t="s">
        <v>20</v>
      </c>
      <c r="G90" s="7" t="s">
        <v>20</v>
      </c>
      <c r="I90" s="31"/>
      <c r="J90" s="31"/>
    </row>
    <row r="91" spans="1:10" ht="14.5" x14ac:dyDescent="0.35">
      <c r="A91" s="43"/>
      <c r="B91" s="5" t="s">
        <v>1120</v>
      </c>
      <c r="C91" s="7">
        <v>2.5000000000000001E-2</v>
      </c>
      <c r="D91" s="7" t="s">
        <v>20</v>
      </c>
      <c r="E91" s="7" t="s">
        <v>20</v>
      </c>
      <c r="F91" s="7" t="s">
        <v>20</v>
      </c>
      <c r="G91" s="7" t="s">
        <v>20</v>
      </c>
      <c r="I91" s="31"/>
      <c r="J91" s="31"/>
    </row>
    <row r="92" spans="1:10" ht="24" x14ac:dyDescent="0.35">
      <c r="A92" s="41" t="s">
        <v>1128</v>
      </c>
      <c r="B92" s="5" t="s">
        <v>1119</v>
      </c>
      <c r="C92" s="7">
        <v>0.05</v>
      </c>
      <c r="D92" s="7" t="s">
        <v>20</v>
      </c>
      <c r="E92" s="7" t="s">
        <v>20</v>
      </c>
      <c r="F92" s="7" t="s">
        <v>20</v>
      </c>
      <c r="G92" s="7" t="s">
        <v>20</v>
      </c>
      <c r="I92" s="31"/>
      <c r="J92" s="31"/>
    </row>
    <row r="93" spans="1:10" ht="14.5" x14ac:dyDescent="0.35">
      <c r="A93" s="43"/>
      <c r="B93" s="5" t="s">
        <v>1120</v>
      </c>
      <c r="C93" s="7">
        <v>0.15</v>
      </c>
      <c r="D93" s="7">
        <f t="shared" si="5"/>
        <v>0.13500000000000001</v>
      </c>
      <c r="E93" s="7">
        <f t="shared" si="6"/>
        <v>0.10500000000000001</v>
      </c>
      <c r="F93" s="7">
        <f t="shared" si="7"/>
        <v>2.1000000000000003E-3</v>
      </c>
      <c r="G93" s="7">
        <f t="shared" si="8"/>
        <v>0.10290000000000001</v>
      </c>
      <c r="I93" s="31"/>
      <c r="J93" s="31"/>
    </row>
    <row r="94" spans="1:10" ht="24" x14ac:dyDescent="0.35">
      <c r="A94" s="41" t="s">
        <v>1129</v>
      </c>
      <c r="B94" s="5" t="s">
        <v>1119</v>
      </c>
      <c r="C94" s="7">
        <v>0.05</v>
      </c>
      <c r="D94" s="7" t="s">
        <v>20</v>
      </c>
      <c r="E94" s="7" t="s">
        <v>20</v>
      </c>
      <c r="F94" s="7" t="s">
        <v>20</v>
      </c>
      <c r="G94" s="7" t="s">
        <v>20</v>
      </c>
      <c r="I94" s="31"/>
      <c r="J94" s="31"/>
    </row>
    <row r="95" spans="1:10" ht="14.5" x14ac:dyDescent="0.35">
      <c r="A95" s="43"/>
      <c r="B95" s="5" t="s">
        <v>1120</v>
      </c>
      <c r="C95" s="7">
        <v>0.15</v>
      </c>
      <c r="D95" s="7">
        <f t="shared" si="5"/>
        <v>0.13500000000000001</v>
      </c>
      <c r="E95" s="7">
        <f t="shared" si="6"/>
        <v>0.10500000000000001</v>
      </c>
      <c r="F95" s="7">
        <f t="shared" si="7"/>
        <v>2.1000000000000003E-3</v>
      </c>
      <c r="G95" s="7">
        <f t="shared" si="8"/>
        <v>0.10290000000000001</v>
      </c>
      <c r="I95" s="31"/>
      <c r="J95" s="31"/>
    </row>
    <row r="96" spans="1:10" ht="24" x14ac:dyDescent="0.35">
      <c r="A96" s="41" t="s">
        <v>1214</v>
      </c>
      <c r="B96" s="5" t="s">
        <v>1119</v>
      </c>
      <c r="C96" s="7">
        <v>2.5000000000000001E-2</v>
      </c>
      <c r="D96" s="7" t="s">
        <v>20</v>
      </c>
      <c r="E96" s="7" t="s">
        <v>20</v>
      </c>
      <c r="F96" s="7" t="s">
        <v>20</v>
      </c>
      <c r="G96" s="7" t="s">
        <v>20</v>
      </c>
      <c r="I96" s="31"/>
      <c r="J96" s="31"/>
    </row>
    <row r="97" spans="1:10" ht="14.5" x14ac:dyDescent="0.35">
      <c r="A97" s="43"/>
      <c r="B97" s="5" t="s">
        <v>1120</v>
      </c>
      <c r="C97" s="7">
        <v>0.125</v>
      </c>
      <c r="D97" s="7">
        <f t="shared" si="5"/>
        <v>0.1125</v>
      </c>
      <c r="E97" s="7">
        <f t="shared" si="6"/>
        <v>8.2500000000000004E-2</v>
      </c>
      <c r="F97" s="7">
        <f t="shared" si="7"/>
        <v>1.6500000000000002E-3</v>
      </c>
      <c r="G97" s="7">
        <f t="shared" si="8"/>
        <v>8.0850000000000005E-2</v>
      </c>
      <c r="I97" s="31"/>
      <c r="J97" s="31"/>
    </row>
    <row r="98" spans="1:10" ht="24" x14ac:dyDescent="0.35">
      <c r="A98" s="41" t="s">
        <v>1215</v>
      </c>
      <c r="B98" s="5" t="s">
        <v>1119</v>
      </c>
      <c r="C98" s="7">
        <v>0.05</v>
      </c>
      <c r="D98" s="7" t="s">
        <v>20</v>
      </c>
      <c r="E98" s="7" t="s">
        <v>20</v>
      </c>
      <c r="F98" s="7" t="s">
        <v>20</v>
      </c>
      <c r="G98" s="7" t="s">
        <v>20</v>
      </c>
      <c r="I98" s="31"/>
      <c r="J98" s="31"/>
    </row>
    <row r="99" spans="1:10" ht="14.5" x14ac:dyDescent="0.35">
      <c r="A99" s="43"/>
      <c r="B99" s="5" t="s">
        <v>1120</v>
      </c>
      <c r="C99" s="7">
        <v>0.05</v>
      </c>
      <c r="D99" s="7" t="s">
        <v>20</v>
      </c>
      <c r="E99" s="7" t="s">
        <v>20</v>
      </c>
      <c r="F99" s="7" t="s">
        <v>20</v>
      </c>
      <c r="G99" s="7" t="s">
        <v>20</v>
      </c>
      <c r="I99" s="31"/>
      <c r="J99" s="31"/>
    </row>
    <row r="100" spans="1:10" ht="24" x14ac:dyDescent="0.35">
      <c r="A100" s="41" t="s">
        <v>1130</v>
      </c>
      <c r="B100" s="5" t="s">
        <v>1119</v>
      </c>
      <c r="C100" s="7">
        <v>0</v>
      </c>
      <c r="D100" s="7" t="s">
        <v>20</v>
      </c>
      <c r="E100" s="7" t="s">
        <v>20</v>
      </c>
      <c r="F100" s="7" t="s">
        <v>20</v>
      </c>
      <c r="G100" s="7" t="s">
        <v>20</v>
      </c>
    </row>
    <row r="101" spans="1:10" ht="14.5" x14ac:dyDescent="0.35">
      <c r="A101" s="43"/>
      <c r="B101" s="5" t="s">
        <v>1120</v>
      </c>
      <c r="C101" s="7">
        <v>0.05</v>
      </c>
      <c r="D101" s="7" t="s">
        <v>20</v>
      </c>
      <c r="E101" s="7" t="s">
        <v>20</v>
      </c>
      <c r="F101" s="7" t="s">
        <v>20</v>
      </c>
      <c r="G101" s="7" t="s">
        <v>20</v>
      </c>
    </row>
    <row r="102" spans="1:10" ht="14.5" x14ac:dyDescent="0.35">
      <c r="A102" s="2" t="s">
        <v>988</v>
      </c>
      <c r="B102" s="2" t="s">
        <v>1</v>
      </c>
      <c r="C102" s="4" t="s">
        <v>2</v>
      </c>
      <c r="D102" s="4" t="s">
        <v>922</v>
      </c>
      <c r="E102" s="4" t="s">
        <v>1135</v>
      </c>
      <c r="F102" s="4" t="s">
        <v>363</v>
      </c>
      <c r="G102" s="4" t="s">
        <v>364</v>
      </c>
    </row>
    <row r="103" spans="1:10" ht="14.5" x14ac:dyDescent="0.35">
      <c r="A103" s="48" t="s">
        <v>1131</v>
      </c>
      <c r="B103" s="5" t="s">
        <v>1132</v>
      </c>
      <c r="C103" s="7">
        <v>0.2</v>
      </c>
      <c r="D103" s="7">
        <f t="shared" si="5"/>
        <v>0.18</v>
      </c>
      <c r="E103" s="7">
        <f t="shared" si="6"/>
        <v>0.15</v>
      </c>
      <c r="F103" s="7">
        <f t="shared" si="7"/>
        <v>3.0000000000000001E-3</v>
      </c>
      <c r="G103" s="7">
        <f t="shared" si="8"/>
        <v>0.14699999999999999</v>
      </c>
    </row>
    <row r="104" spans="1:10" ht="14.5" x14ac:dyDescent="0.35">
      <c r="A104" s="48"/>
      <c r="B104" s="5" t="s">
        <v>1133</v>
      </c>
      <c r="C104" s="7">
        <v>0.25</v>
      </c>
      <c r="D104" s="7">
        <f t="shared" si="5"/>
        <v>0.22500000000000001</v>
      </c>
      <c r="E104" s="7">
        <f t="shared" si="6"/>
        <v>0.19500000000000001</v>
      </c>
      <c r="F104" s="7">
        <f t="shared" si="7"/>
        <v>3.9000000000000003E-3</v>
      </c>
      <c r="G104" s="7">
        <f t="shared" si="8"/>
        <v>0.19110000000000002</v>
      </c>
    </row>
    <row r="105" spans="1:10" ht="14.5" x14ac:dyDescent="0.35">
      <c r="A105" s="48"/>
      <c r="B105" s="5" t="s">
        <v>1134</v>
      </c>
      <c r="C105" s="7">
        <v>0.1</v>
      </c>
      <c r="D105" s="7">
        <f t="shared" si="5"/>
        <v>0.09</v>
      </c>
      <c r="E105" s="7">
        <f t="shared" si="6"/>
        <v>0.06</v>
      </c>
      <c r="F105" s="7">
        <f t="shared" si="7"/>
        <v>1.1999999999999999E-3</v>
      </c>
      <c r="G105" s="7">
        <f t="shared" si="8"/>
        <v>5.8799999999999998E-2</v>
      </c>
    </row>
  </sheetData>
  <mergeCells count="28">
    <mergeCell ref="A55:A56"/>
    <mergeCell ref="A2:A3"/>
    <mergeCell ref="A6:A17"/>
    <mergeCell ref="A18:A29"/>
    <mergeCell ref="A30:A41"/>
    <mergeCell ref="A42:A53"/>
    <mergeCell ref="A82:A83"/>
    <mergeCell ref="A57:A58"/>
    <mergeCell ref="A59:A60"/>
    <mergeCell ref="A61:A62"/>
    <mergeCell ref="A64:A65"/>
    <mergeCell ref="A66:A67"/>
    <mergeCell ref="A68:A69"/>
    <mergeCell ref="A70:A71"/>
    <mergeCell ref="A73:A74"/>
    <mergeCell ref="A75:A76"/>
    <mergeCell ref="A78:A79"/>
    <mergeCell ref="A80:A81"/>
    <mergeCell ref="A96:A97"/>
    <mergeCell ref="A98:A99"/>
    <mergeCell ref="A100:A101"/>
    <mergeCell ref="A103:A105"/>
    <mergeCell ref="A84:A85"/>
    <mergeCell ref="A86:A87"/>
    <mergeCell ref="A88:A89"/>
    <mergeCell ref="A90:A91"/>
    <mergeCell ref="A92:A93"/>
    <mergeCell ref="A94:A95"/>
  </mergeCells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TN_Retail</vt:lpstr>
      <vt:lpstr>TN_SuperConsolidator</vt:lpstr>
      <vt:lpstr>KL_Retail</vt:lpstr>
      <vt:lpstr>KL_SuperConsolidator</vt:lpstr>
      <vt:lpstr>KA_Retail</vt:lpstr>
      <vt:lpstr>AP &amp;&amp; TS_Retail</vt:lpstr>
      <vt:lpstr>IFFCO_Retail</vt:lpstr>
      <vt:lpstr>IFFCO_SuperConsolidator</vt:lpstr>
      <vt:lpstr>NewIndia - Retail</vt:lpstr>
      <vt:lpstr>NewIndia - SuperConsolidtor</vt:lpstr>
      <vt:lpstr>NationalInsurance - Retail</vt:lpstr>
      <vt:lpstr>NationalInsurance - SuperConsol</vt:lpstr>
      <vt:lpstr>OrientalInsurance - Retail</vt:lpstr>
      <vt:lpstr>OrientalInsurance - SuperConsol</vt:lpstr>
      <vt:lpstr>UnitedIndia - TN&amp;&amp;KL Retail</vt:lpstr>
      <vt:lpstr>UnitedIndia - TN&amp;&amp;KL SuperConso</vt:lpstr>
      <vt:lpstr>UnitedIndia - Otherthan KL&amp;&amp;TN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B.</dc:creator>
  <cp:keywords/>
  <dc:description/>
  <cp:lastModifiedBy>SS 1</cp:lastModifiedBy>
  <cp:revision/>
  <cp:lastPrinted>2026-01-19T10:51:58Z</cp:lastPrinted>
  <dcterms:created xsi:type="dcterms:W3CDTF">2015-06-05T18:17:20Z</dcterms:created>
  <dcterms:modified xsi:type="dcterms:W3CDTF">2026-01-22T06:24:54Z</dcterms:modified>
  <cp:category/>
  <cp:contentStatus/>
</cp:coreProperties>
</file>