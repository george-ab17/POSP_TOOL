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10" yWindow="-110" windowWidth="19420" windowHeight="10300"/>
  </bookViews>
  <sheets>
    <sheet name="model" sheetId="4" r:id="rId1"/>
    <sheet name="Sheet1" sheetId="5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5" i="5" l="1"/>
  <c r="D185" i="5" s="1"/>
  <c r="C184" i="5"/>
  <c r="D184" i="5" s="1"/>
  <c r="C183" i="5"/>
  <c r="D183" i="5" s="1"/>
  <c r="C182" i="5"/>
  <c r="D182" i="5" s="1"/>
  <c r="C181" i="5"/>
  <c r="D181" i="5" s="1"/>
  <c r="C180" i="5"/>
  <c r="D180" i="5" s="1"/>
  <c r="C179" i="5"/>
  <c r="D179" i="5" s="1"/>
  <c r="C178" i="5"/>
  <c r="D178" i="5" s="1"/>
  <c r="C177" i="5"/>
  <c r="D177" i="5" s="1"/>
  <c r="C176" i="5"/>
  <c r="D176" i="5" s="1"/>
  <c r="C175" i="5"/>
  <c r="D175" i="5" s="1"/>
  <c r="C174" i="5"/>
  <c r="D174" i="5" s="1"/>
  <c r="C173" i="5"/>
  <c r="D173" i="5" s="1"/>
  <c r="C172" i="5"/>
  <c r="D172" i="5" s="1"/>
  <c r="C171" i="5"/>
  <c r="D171" i="5" s="1"/>
  <c r="C170" i="5"/>
  <c r="D170" i="5" s="1"/>
  <c r="C169" i="5"/>
  <c r="D169" i="5" s="1"/>
  <c r="C168" i="5"/>
  <c r="D168" i="5" s="1"/>
  <c r="C167" i="5"/>
  <c r="D167" i="5" s="1"/>
  <c r="C166" i="5"/>
  <c r="D166" i="5" s="1"/>
  <c r="C165" i="5"/>
  <c r="D165" i="5" s="1"/>
  <c r="C164" i="5"/>
  <c r="D164" i="5" s="1"/>
  <c r="C163" i="5"/>
  <c r="D163" i="5" s="1"/>
  <c r="C162" i="5"/>
  <c r="D162" i="5" s="1"/>
  <c r="C161" i="5"/>
  <c r="D161" i="5" s="1"/>
  <c r="C160" i="5"/>
  <c r="D160" i="5" s="1"/>
  <c r="C159" i="5"/>
  <c r="D159" i="5" s="1"/>
  <c r="C158" i="5"/>
  <c r="D158" i="5" s="1"/>
  <c r="C157" i="5"/>
  <c r="D157" i="5" s="1"/>
  <c r="C156" i="5"/>
  <c r="D156" i="5" s="1"/>
  <c r="C155" i="5"/>
  <c r="D155" i="5" s="1"/>
  <c r="C154" i="5"/>
  <c r="D154" i="5" s="1"/>
  <c r="C153" i="5"/>
  <c r="D153" i="5" s="1"/>
  <c r="C152" i="5"/>
  <c r="D152" i="5" s="1"/>
  <c r="C151" i="5"/>
  <c r="D151" i="5" s="1"/>
  <c r="C150" i="5"/>
  <c r="D150" i="5" s="1"/>
  <c r="C149" i="5"/>
  <c r="D149" i="5" s="1"/>
  <c r="C148" i="5"/>
  <c r="D148" i="5" s="1"/>
  <c r="C147" i="5"/>
  <c r="D147" i="5" s="1"/>
  <c r="C146" i="5"/>
  <c r="D146" i="5" s="1"/>
  <c r="C145" i="5"/>
  <c r="D145" i="5" s="1"/>
  <c r="C144" i="5"/>
  <c r="D144" i="5" s="1"/>
  <c r="C143" i="5"/>
  <c r="D143" i="5" s="1"/>
  <c r="C142" i="5"/>
  <c r="D142" i="5" s="1"/>
  <c r="C141" i="5"/>
  <c r="D141" i="5" s="1"/>
  <c r="C140" i="5"/>
  <c r="D140" i="5" s="1"/>
  <c r="C139" i="5"/>
  <c r="D139" i="5" s="1"/>
  <c r="C138" i="5"/>
  <c r="D138" i="5" s="1"/>
  <c r="C137" i="5"/>
  <c r="D137" i="5" s="1"/>
  <c r="C136" i="5"/>
  <c r="D136" i="5" s="1"/>
  <c r="C135" i="5"/>
  <c r="D135" i="5" s="1"/>
  <c r="C134" i="5"/>
  <c r="D134" i="5" s="1"/>
  <c r="C133" i="5"/>
  <c r="D133" i="5" s="1"/>
  <c r="C132" i="5"/>
  <c r="D132" i="5" s="1"/>
  <c r="C131" i="5"/>
  <c r="D131" i="5" s="1"/>
  <c r="C130" i="5"/>
  <c r="D130" i="5" s="1"/>
  <c r="C129" i="5"/>
  <c r="D129" i="5" s="1"/>
  <c r="C128" i="5"/>
  <c r="D128" i="5" s="1"/>
  <c r="C127" i="5"/>
  <c r="D127" i="5" s="1"/>
  <c r="C126" i="5"/>
  <c r="D126" i="5" s="1"/>
  <c r="C125" i="5"/>
  <c r="D125" i="5" s="1"/>
  <c r="C124" i="5"/>
  <c r="D124" i="5" s="1"/>
  <c r="C123" i="5"/>
  <c r="D123" i="5" s="1"/>
  <c r="C122" i="5"/>
  <c r="D122" i="5" s="1"/>
  <c r="C121" i="5"/>
  <c r="D121" i="5" s="1"/>
  <c r="C120" i="5"/>
  <c r="D120" i="5" s="1"/>
  <c r="C119" i="5"/>
  <c r="D119" i="5" s="1"/>
  <c r="C118" i="5"/>
  <c r="D118" i="5" s="1"/>
  <c r="C117" i="5"/>
  <c r="D117" i="5" s="1"/>
  <c r="C116" i="5"/>
  <c r="D116" i="5" s="1"/>
  <c r="C115" i="5"/>
  <c r="D115" i="5" s="1"/>
  <c r="C114" i="5"/>
  <c r="D114" i="5" s="1"/>
  <c r="C113" i="5"/>
  <c r="D113" i="5" s="1"/>
  <c r="C112" i="5"/>
  <c r="D112" i="5" s="1"/>
  <c r="C111" i="5"/>
  <c r="D111" i="5" s="1"/>
  <c r="C110" i="5"/>
  <c r="D110" i="5" s="1"/>
  <c r="C109" i="5"/>
  <c r="D109" i="5" s="1"/>
  <c r="C108" i="5"/>
  <c r="D108" i="5" s="1"/>
  <c r="C107" i="5"/>
  <c r="D107" i="5" s="1"/>
  <c r="C106" i="5"/>
  <c r="D106" i="5" s="1"/>
  <c r="C105" i="5"/>
  <c r="D105" i="5" s="1"/>
  <c r="C104" i="5"/>
  <c r="D104" i="5" s="1"/>
  <c r="C103" i="5"/>
  <c r="D103" i="5" s="1"/>
  <c r="C102" i="5"/>
  <c r="D102" i="5" s="1"/>
  <c r="C101" i="5"/>
  <c r="D101" i="5" s="1"/>
  <c r="C100" i="5"/>
  <c r="D100" i="5" s="1"/>
  <c r="C99" i="5"/>
  <c r="D99" i="5" s="1"/>
  <c r="C98" i="5"/>
  <c r="D98" i="5" s="1"/>
  <c r="C97" i="5"/>
  <c r="D97" i="5" s="1"/>
  <c r="C96" i="5"/>
  <c r="D96" i="5" s="1"/>
  <c r="C95" i="5"/>
  <c r="D95" i="5" s="1"/>
  <c r="C94" i="5"/>
  <c r="D94" i="5" s="1"/>
  <c r="C93" i="5"/>
  <c r="D93" i="5" s="1"/>
  <c r="C92" i="5"/>
  <c r="D92" i="5" s="1"/>
  <c r="C91" i="5"/>
  <c r="D91" i="5" s="1"/>
  <c r="C90" i="5"/>
  <c r="D90" i="5" s="1"/>
  <c r="C89" i="5"/>
  <c r="D89" i="5" s="1"/>
  <c r="C88" i="5"/>
  <c r="D88" i="5" s="1"/>
  <c r="C87" i="5"/>
  <c r="D87" i="5" s="1"/>
  <c r="C86" i="5"/>
  <c r="D86" i="5" s="1"/>
  <c r="C85" i="5"/>
  <c r="D85" i="5" s="1"/>
  <c r="C84" i="5"/>
  <c r="D84" i="5" s="1"/>
  <c r="C83" i="5"/>
  <c r="D83" i="5" s="1"/>
  <c r="C82" i="5"/>
  <c r="D82" i="5" s="1"/>
  <c r="C81" i="5"/>
  <c r="D81" i="5" s="1"/>
  <c r="C80" i="5"/>
  <c r="D80" i="5" s="1"/>
  <c r="C79" i="5"/>
  <c r="D79" i="5" s="1"/>
  <c r="C78" i="5"/>
  <c r="D78" i="5" s="1"/>
  <c r="C77" i="5"/>
  <c r="D77" i="5" s="1"/>
  <c r="C76" i="5"/>
  <c r="D76" i="5" s="1"/>
  <c r="C75" i="5"/>
  <c r="D75" i="5" s="1"/>
  <c r="C74" i="5"/>
  <c r="D74" i="5" s="1"/>
  <c r="C73" i="5"/>
  <c r="D73" i="5" s="1"/>
  <c r="C72" i="5"/>
  <c r="D72" i="5" s="1"/>
  <c r="C71" i="5"/>
  <c r="D71" i="5" s="1"/>
  <c r="C70" i="5"/>
  <c r="D70" i="5" s="1"/>
  <c r="C69" i="5"/>
  <c r="D69" i="5" s="1"/>
  <c r="C68" i="5"/>
  <c r="D68" i="5" s="1"/>
  <c r="C67" i="5"/>
  <c r="D67" i="5" s="1"/>
  <c r="C66" i="5"/>
  <c r="D66" i="5" s="1"/>
  <c r="C65" i="5"/>
  <c r="D65" i="5" s="1"/>
  <c r="C64" i="5"/>
  <c r="D64" i="5" s="1"/>
  <c r="C63" i="5"/>
  <c r="D63" i="5" s="1"/>
  <c r="C62" i="5"/>
  <c r="D62" i="5" s="1"/>
  <c r="C61" i="5"/>
  <c r="D61" i="5" s="1"/>
  <c r="C60" i="5"/>
  <c r="D60" i="5" s="1"/>
  <c r="C59" i="5"/>
  <c r="D59" i="5" s="1"/>
  <c r="C58" i="5"/>
  <c r="D58" i="5" s="1"/>
  <c r="C57" i="5"/>
  <c r="D57" i="5" s="1"/>
  <c r="C56" i="5"/>
  <c r="D56" i="5" s="1"/>
  <c r="C55" i="5"/>
  <c r="D55" i="5" s="1"/>
  <c r="C54" i="5"/>
  <c r="D54" i="5" s="1"/>
  <c r="C53" i="5"/>
  <c r="D53" i="5" s="1"/>
  <c r="C52" i="5"/>
  <c r="D52" i="5" s="1"/>
  <c r="C51" i="5"/>
  <c r="D51" i="5" s="1"/>
  <c r="C50" i="5"/>
  <c r="D50" i="5" s="1"/>
  <c r="C49" i="5"/>
  <c r="D49" i="5" s="1"/>
  <c r="C48" i="5"/>
  <c r="D48" i="5" s="1"/>
  <c r="C47" i="5"/>
  <c r="D47" i="5" s="1"/>
  <c r="C46" i="5"/>
  <c r="D46" i="5" s="1"/>
  <c r="C45" i="5"/>
  <c r="D45" i="5" s="1"/>
  <c r="C44" i="5"/>
  <c r="D44" i="5" s="1"/>
  <c r="C43" i="5"/>
  <c r="D43" i="5" s="1"/>
  <c r="C42" i="5"/>
  <c r="D42" i="5" s="1"/>
  <c r="C41" i="5"/>
  <c r="D41" i="5" s="1"/>
  <c r="C40" i="5"/>
  <c r="D40" i="5" s="1"/>
  <c r="C39" i="5"/>
  <c r="D39" i="5" s="1"/>
  <c r="C38" i="5"/>
  <c r="D38" i="5" s="1"/>
  <c r="C37" i="5"/>
  <c r="D37" i="5" s="1"/>
  <c r="C36" i="5"/>
  <c r="D36" i="5" s="1"/>
  <c r="C35" i="5"/>
  <c r="D35" i="5" s="1"/>
  <c r="C34" i="5"/>
  <c r="D34" i="5" s="1"/>
  <c r="C33" i="5"/>
  <c r="D33" i="5" s="1"/>
  <c r="C32" i="5"/>
  <c r="D32" i="5" s="1"/>
  <c r="C31" i="5"/>
  <c r="D31" i="5" s="1"/>
  <c r="C30" i="5"/>
  <c r="D30" i="5" s="1"/>
  <c r="C29" i="5"/>
  <c r="D29" i="5" s="1"/>
  <c r="C28" i="5"/>
  <c r="D28" i="5" s="1"/>
  <c r="C27" i="5"/>
  <c r="D27" i="5" s="1"/>
  <c r="C26" i="5"/>
  <c r="D26" i="5" s="1"/>
  <c r="C25" i="5"/>
  <c r="D25" i="5" s="1"/>
  <c r="C24" i="5"/>
  <c r="D24" i="5" s="1"/>
  <c r="C23" i="5"/>
  <c r="D23" i="5" s="1"/>
  <c r="C22" i="5"/>
  <c r="D22" i="5" s="1"/>
  <c r="C21" i="5"/>
  <c r="D21" i="5" s="1"/>
  <c r="C20" i="5"/>
  <c r="D20" i="5" s="1"/>
  <c r="D19" i="5"/>
  <c r="C19" i="5"/>
  <c r="C18" i="5"/>
  <c r="D18" i="5" s="1"/>
  <c r="C17" i="5"/>
  <c r="D17" i="5" s="1"/>
  <c r="C16" i="5"/>
  <c r="D16" i="5" s="1"/>
  <c r="C15" i="5"/>
  <c r="D15" i="5" s="1"/>
  <c r="C14" i="5"/>
  <c r="D14" i="5" s="1"/>
  <c r="C13" i="5"/>
  <c r="D13" i="5" s="1"/>
  <c r="C12" i="5"/>
  <c r="D12" i="5" s="1"/>
  <c r="C11" i="5"/>
  <c r="D11" i="5" s="1"/>
  <c r="C10" i="5"/>
  <c r="D10" i="5" s="1"/>
  <c r="C9" i="5"/>
  <c r="D9" i="5" s="1"/>
  <c r="C8" i="5"/>
  <c r="D8" i="5" s="1"/>
  <c r="C7" i="5"/>
  <c r="D7" i="5" s="1"/>
  <c r="C6" i="5"/>
  <c r="D6" i="5" s="1"/>
  <c r="C5" i="5"/>
  <c r="D5" i="5" s="1"/>
  <c r="C4" i="5"/>
  <c r="D4" i="5" s="1"/>
  <c r="C3" i="5"/>
  <c r="D3" i="5" s="1"/>
  <c r="C2" i="5"/>
  <c r="D2" i="5" s="1"/>
  <c r="Q2" i="4" l="1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L2" i="4" l="1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Y185" i="4" l="1"/>
  <c r="Y177" i="4"/>
  <c r="Y175" i="4"/>
  <c r="Y157" i="4"/>
  <c r="Y127" i="4"/>
  <c r="Y121" i="4"/>
  <c r="Y123" i="4"/>
  <c r="Y120" i="4"/>
  <c r="Y108" i="4"/>
  <c r="Y109" i="4"/>
  <c r="Y110" i="4"/>
  <c r="Y112" i="4"/>
  <c r="Y114" i="4"/>
  <c r="Y115" i="4"/>
  <c r="Y116" i="4"/>
  <c r="Y117" i="4"/>
  <c r="Y102" i="4"/>
  <c r="Y103" i="4"/>
  <c r="Y104" i="4"/>
  <c r="Y105" i="4"/>
  <c r="Y100" i="4"/>
  <c r="Y101" i="4"/>
  <c r="Y95" i="4"/>
  <c r="Y96" i="4"/>
  <c r="Y97" i="4"/>
  <c r="Y82" i="4"/>
  <c r="Y83" i="4"/>
  <c r="Y84" i="4"/>
  <c r="Y85" i="4"/>
  <c r="Y78" i="4"/>
  <c r="Y62" i="4"/>
  <c r="Y63" i="4"/>
  <c r="Y64" i="4"/>
  <c r="Y57" i="4"/>
  <c r="Y58" i="4"/>
  <c r="Y59" i="4"/>
  <c r="Y60" i="4"/>
  <c r="Y184" i="4" l="1"/>
  <c r="Y183" i="4"/>
  <c r="Y182" i="4"/>
  <c r="Y181" i="4"/>
  <c r="Y180" i="4"/>
  <c r="Y179" i="4"/>
  <c r="Y178" i="4"/>
  <c r="Y173" i="4"/>
  <c r="Y176" i="4"/>
  <c r="Y174" i="4"/>
  <c r="Y172" i="4"/>
  <c r="Y171" i="4"/>
  <c r="Y170" i="4"/>
  <c r="Y169" i="4"/>
  <c r="Y168" i="4"/>
  <c r="Y167" i="4"/>
  <c r="Y166" i="4"/>
  <c r="Y164" i="4"/>
  <c r="Y165" i="4"/>
  <c r="Y163" i="4"/>
  <c r="Y162" i="4"/>
  <c r="Y161" i="4"/>
  <c r="Y160" i="4"/>
  <c r="Y159" i="4"/>
  <c r="Y158" i="4"/>
  <c r="Y156" i="4"/>
  <c r="Y155" i="4"/>
  <c r="Y154" i="4"/>
  <c r="Y153" i="4"/>
  <c r="Y152" i="4"/>
  <c r="Y151" i="4"/>
  <c r="Y150" i="4"/>
  <c r="Y149" i="4"/>
  <c r="Y148" i="4"/>
  <c r="Y147" i="4"/>
  <c r="Y146" i="4"/>
  <c r="Y118" i="4"/>
  <c r="Y145" i="4"/>
  <c r="Y144" i="4"/>
  <c r="Y143" i="4"/>
  <c r="Y142" i="4"/>
  <c r="Y141" i="4"/>
  <c r="Y140" i="4"/>
  <c r="Y139" i="4"/>
  <c r="Y138" i="4"/>
  <c r="Y137" i="4"/>
  <c r="Y136" i="4"/>
  <c r="Y135" i="4"/>
  <c r="Y132" i="4"/>
  <c r="Y133" i="4"/>
  <c r="Y134" i="4"/>
  <c r="Y131" i="4"/>
  <c r="Y130" i="4"/>
  <c r="Y129" i="4"/>
  <c r="Y128" i="4"/>
  <c r="Y126" i="4"/>
  <c r="Y125" i="4"/>
  <c r="Y124" i="4"/>
  <c r="Y122" i="4"/>
  <c r="Y119" i="4"/>
  <c r="Y111" i="4"/>
  <c r="Y107" i="4"/>
  <c r="Y106" i="4"/>
  <c r="Y113" i="4"/>
  <c r="Y99" i="4"/>
  <c r="Y98" i="4"/>
  <c r="Y94" i="4"/>
  <c r="Y92" i="4"/>
  <c r="Y91" i="4"/>
  <c r="Y90" i="4"/>
  <c r="Y93" i="4"/>
  <c r="Y89" i="4"/>
  <c r="Y88" i="4"/>
  <c r="Y87" i="4"/>
  <c r="Y86" i="4"/>
  <c r="Y81" i="4"/>
  <c r="Y80" i="4"/>
  <c r="Y79" i="4"/>
  <c r="Y77" i="4"/>
  <c r="Y76" i="4"/>
  <c r="Y75" i="4"/>
  <c r="Y74" i="4"/>
  <c r="Y73" i="4"/>
  <c r="Y72" i="4"/>
  <c r="Y71" i="4"/>
  <c r="Y70" i="4"/>
  <c r="Y69" i="4"/>
  <c r="Y67" i="4"/>
  <c r="Y68" i="4"/>
  <c r="Y66" i="4"/>
  <c r="Y65" i="4"/>
  <c r="Y61" i="4"/>
  <c r="Y56" i="4"/>
  <c r="Y55" i="4"/>
  <c r="Y54" i="4"/>
  <c r="Y53" i="4"/>
  <c r="Y45" i="4" l="1"/>
  <c r="Y31" i="4"/>
  <c r="Y28" i="4"/>
  <c r="Y27" i="4"/>
  <c r="Y22" i="4"/>
  <c r="Y6" i="4"/>
  <c r="Y15" i="4"/>
  <c r="Y19" i="4"/>
  <c r="Y38" i="4" l="1"/>
  <c r="Y14" i="4"/>
  <c r="Y52" i="4"/>
  <c r="Y51" i="4"/>
  <c r="Y50" i="4"/>
  <c r="Y49" i="4"/>
  <c r="Y46" i="4"/>
  <c r="Y48" i="4"/>
  <c r="Y47" i="4"/>
  <c r="Y44" i="4"/>
  <c r="Y43" i="4"/>
  <c r="Y42" i="4"/>
  <c r="Y41" i="4"/>
  <c r="Y40" i="4"/>
  <c r="Y39" i="4"/>
  <c r="Y37" i="4"/>
  <c r="Y36" i="4"/>
  <c r="Y35" i="4"/>
  <c r="Y34" i="4"/>
  <c r="Y32" i="4"/>
  <c r="Y33" i="4"/>
  <c r="Y9" i="4"/>
  <c r="Y5" i="4"/>
  <c r="Y4" i="4"/>
  <c r="Y17" i="4"/>
  <c r="Y8" i="4"/>
  <c r="Y11" i="4"/>
  <c r="Y7" i="4"/>
  <c r="Y18" i="4"/>
  <c r="Y10" i="4"/>
  <c r="Y30" i="4"/>
  <c r="Y29" i="4"/>
  <c r="Y26" i="4"/>
  <c r="Y25" i="4"/>
  <c r="Y24" i="4"/>
  <c r="Y23" i="4"/>
  <c r="Y21" i="4"/>
  <c r="Y16" i="4"/>
  <c r="Y13" i="4"/>
  <c r="Y20" i="4"/>
  <c r="Y12" i="4"/>
  <c r="Y3" i="4" l="1"/>
  <c r="Y2" i="4" l="1"/>
</calcChain>
</file>

<file path=xl/sharedStrings.xml><?xml version="1.0" encoding="utf-8"?>
<sst xmlns="http://schemas.openxmlformats.org/spreadsheetml/2006/main" count="4017" uniqueCount="161">
  <si>
    <t>Company</t>
  </si>
  <si>
    <t>RTO_Code</t>
  </si>
  <si>
    <t>Vehicle_Category</t>
  </si>
  <si>
    <t>Vehicle_Type</t>
  </si>
  <si>
    <t>Fuel_Type</t>
  </si>
  <si>
    <t>Vehicle_Age</t>
  </si>
  <si>
    <t>Policy_Type</t>
  </si>
  <si>
    <t>Business_Type</t>
  </si>
  <si>
    <t>CC_Slab</t>
  </si>
  <si>
    <t>GVW_Slab</t>
  </si>
  <si>
    <t>Watt_Slab</t>
  </si>
  <si>
    <t>Seating_Capacity</t>
  </si>
  <si>
    <t>NCB_Slab</t>
  </si>
  <si>
    <t>CPA_Cover</t>
  </si>
  <si>
    <t>Zero_Depreciation</t>
  </si>
  <si>
    <t>Trailer</t>
  </si>
  <si>
    <t>TN</t>
  </si>
  <si>
    <t>Comprehensive (1+1)</t>
  </si>
  <si>
    <t>N/A</t>
  </si>
  <si>
    <t>Shriram</t>
  </si>
  <si>
    <t>SATP</t>
  </si>
  <si>
    <t>Royal</t>
  </si>
  <si>
    <t>GCV</t>
  </si>
  <si>
    <t>3 Wheeler Goods</t>
  </si>
  <si>
    <t>Payin</t>
  </si>
  <si>
    <t>Gross_payout</t>
  </si>
  <si>
    <t>Out TDS</t>
  </si>
  <si>
    <t>Final Payout</t>
  </si>
  <si>
    <t>Petrol,Diesel,CNG</t>
  </si>
  <si>
    <t>upto 15 years</t>
  </si>
  <si>
    <t>Comprehensive (1+1),SATP</t>
  </si>
  <si>
    <t>All</t>
  </si>
  <si>
    <t>EV</t>
  </si>
  <si>
    <t>Upto 2000</t>
  </si>
  <si>
    <t>Above 2000</t>
  </si>
  <si>
    <t>Entire Tamilnadu</t>
  </si>
  <si>
    <t>Chola</t>
  </si>
  <si>
    <t>Yes</t>
  </si>
  <si>
    <t>ICICI</t>
  </si>
  <si>
    <t>Old</t>
  </si>
  <si>
    <t>Universal</t>
  </si>
  <si>
    <t>Tata AIG</t>
  </si>
  <si>
    <t>TN-CHN</t>
  </si>
  <si>
    <t>Up to 2300 kg</t>
  </si>
  <si>
    <t>01,02,03,04,05,06,07,09,10,11,12,13,14,22,85,19,21,87</t>
  </si>
  <si>
    <t>18,20,74,75,37, 38, 40, 41, 66, 99</t>
  </si>
  <si>
    <t>69, 92, 96,33, 36, 86,39, 42, 78,15,16,23,24,25,28,29,31,32,34,43,45,46,47,48,49,50,51,52,55,56,57,58,59,60,61,63,64,65,68,70,73,81,82,83,84,88,91,93,94,95,97</t>
  </si>
  <si>
    <t>72, 76, 79</t>
  </si>
  <si>
    <t>33, 36, 86,39, 42, 78,15,16,23,24,25,28,29,31,32,34,43,45,46,47,48,49,50,51,52,55,56,57,58,59,60,61,63,64,65,68,70,73,81,82,83,84,88,91,93,94,95,97</t>
  </si>
  <si>
    <t>27, 30, 54, 77, 90</t>
  </si>
  <si>
    <t>4 Wheeler Goods</t>
  </si>
  <si>
    <t>Up to 3500 kg</t>
  </si>
  <si>
    <t>SBI</t>
  </si>
  <si>
    <t>01,02,03,04,05,07,09,10</t>
  </si>
  <si>
    <t>New</t>
  </si>
  <si>
    <t>Up to 2000 kg</t>
  </si>
  <si>
    <t>11,13,14,18,20,22,58,59,64,85</t>
  </si>
  <si>
    <t>23,49,55,58,59,64,67,75,61,21</t>
  </si>
  <si>
    <t>PY</t>
  </si>
  <si>
    <t>01,02,03,04,05</t>
  </si>
  <si>
    <t>Declined-29,39,50,52,56</t>
  </si>
  <si>
    <t>upto 5 years</t>
  </si>
  <si>
    <t>Up to 2800 kg</t>
  </si>
  <si>
    <t>01,02,03,04,05,06,07,09,10,11,12,13,14,18,19,20,22,85,87,66,38,37,99,39,40,41,42</t>
  </si>
  <si>
    <t>6 to 15 years</t>
  </si>
  <si>
    <t>6 to 25 years</t>
  </si>
  <si>
    <t>Reliance</t>
  </si>
  <si>
    <t>2001 to 2500 kg</t>
  </si>
  <si>
    <t>Date_till</t>
  </si>
  <si>
    <t>Make</t>
  </si>
  <si>
    <t>Model</t>
  </si>
  <si>
    <t>Date_from</t>
  </si>
  <si>
    <t>TATA</t>
  </si>
  <si>
    <t xml:space="preserve">except Bolero </t>
  </si>
  <si>
    <t>Up to 2500 kg</t>
  </si>
  <si>
    <t>Magma</t>
  </si>
  <si>
    <t>Raheja</t>
  </si>
  <si>
    <t>Up to 2450 kg</t>
  </si>
  <si>
    <t>1 to 6 years</t>
  </si>
  <si>
    <t>Taxi</t>
  </si>
  <si>
    <t>PCV</t>
  </si>
  <si>
    <t>Upto 6+1</t>
  </si>
  <si>
    <t>Commission on OD</t>
  </si>
  <si>
    <t xml:space="preserve">Declined-82,30,23,55,42,50,86,39,33,54 </t>
  </si>
  <si>
    <t>7 to 10</t>
  </si>
  <si>
    <t>Above 1000 CC</t>
  </si>
  <si>
    <t>Private-Car</t>
  </si>
  <si>
    <t>Private Car</t>
  </si>
  <si>
    <t>Old,Rollover,Renewal</t>
  </si>
  <si>
    <t>Flatbed</t>
  </si>
  <si>
    <t>Misc</t>
  </si>
  <si>
    <t>Tractor</t>
  </si>
  <si>
    <t>Loader, Excavators/Earth Movers, Crane, Bulldozers/Bullgraders, Road Rollers, Fork Lift Trucks</t>
  </si>
  <si>
    <t>Tractor,Harvestor</t>
  </si>
  <si>
    <t>Conditions</t>
  </si>
  <si>
    <t>Educational Bus under school name</t>
  </si>
  <si>
    <t xml:space="preserve">If age less than 10 years ,additionla payout 2.5% &amp; if seating capacity 18 to 30,additional payout 2.5% </t>
  </si>
  <si>
    <t xml:space="preserve">if seating capacity above 30,additional payout 7.5% </t>
  </si>
  <si>
    <t xml:space="preserve">Educational Bus </t>
  </si>
  <si>
    <t>18 to 36</t>
  </si>
  <si>
    <t>Staff Bus</t>
  </si>
  <si>
    <t>Above 15 years</t>
  </si>
  <si>
    <t>01,02,03,04,05,06,07,09,10</t>
  </si>
  <si>
    <t>Innova , Innova crysta, Hycross, Scorpio, Bolero</t>
  </si>
  <si>
    <t>01,02,03,04,05,06,07,09,10,11,12,13,14,18,19,20,21,22,85,87,08</t>
  </si>
  <si>
    <t>Diesel</t>
  </si>
  <si>
    <t>SAOD</t>
  </si>
  <si>
    <t>Auto</t>
  </si>
  <si>
    <t>Petrol,CNG,EV</t>
  </si>
  <si>
    <t>TN-PY</t>
  </si>
  <si>
    <t xml:space="preserve"> Bajaj,Piaggio</t>
  </si>
  <si>
    <t>CNG</t>
  </si>
  <si>
    <t>Piaggio</t>
  </si>
  <si>
    <t>Petrol,LPG,CNG</t>
  </si>
  <si>
    <t>Above 10 years</t>
  </si>
  <si>
    <t>HDFC</t>
  </si>
  <si>
    <t>No</t>
  </si>
  <si>
    <t>Mahindra,Ashok</t>
  </si>
  <si>
    <t>TATA,Maruthi</t>
  </si>
  <si>
    <t>Two-Wheeler</t>
  </si>
  <si>
    <t>Bike</t>
  </si>
  <si>
    <t>Up to 150 CC</t>
  </si>
  <si>
    <t>Commission on TP</t>
  </si>
  <si>
    <t xml:space="preserve">150 to 350 CC </t>
  </si>
  <si>
    <t>Commission on first year premium</t>
  </si>
  <si>
    <t>Hero,Yamaha</t>
  </si>
  <si>
    <t>TVS</t>
  </si>
  <si>
    <t>Suzuhi</t>
  </si>
  <si>
    <t>RE</t>
  </si>
  <si>
    <t>Honda</t>
  </si>
  <si>
    <t>Above 350 CC</t>
  </si>
  <si>
    <t>Scooter</t>
  </si>
  <si>
    <t>Except TVS</t>
  </si>
  <si>
    <t>Except Hero</t>
  </si>
  <si>
    <t>Bundle (1+5)</t>
  </si>
  <si>
    <t>01,02,03,04,05,06,07,09,10,11,12,13,14,18,22,85</t>
  </si>
  <si>
    <t>37,38,40,41,66,99</t>
  </si>
  <si>
    <t>33,86</t>
  </si>
  <si>
    <t>30,54,90</t>
  </si>
  <si>
    <t>39,42</t>
  </si>
  <si>
    <t>39,42,20</t>
  </si>
  <si>
    <t>01,02,03,04,05,06,07,09,10,11,12,13,14,18,22,85,21 ,72</t>
  </si>
  <si>
    <t>01,02,03,04,05,06,07,09,10,11,12,13,14,18,22,85,21</t>
  </si>
  <si>
    <t>01,02,03,04,05,06,07,09,10,11,12,13,14,18,22,85,21,72</t>
  </si>
  <si>
    <t>62,67</t>
  </si>
  <si>
    <t>01,02,03,04,05,06,07,09,10,11,12,13,14,18,22,85,21,62,72,67</t>
  </si>
  <si>
    <t>01,02,03,05</t>
  </si>
  <si>
    <t>Entire pondicherry</t>
  </si>
  <si>
    <t>33,86, 58,59,64, 01,02,03,05</t>
  </si>
  <si>
    <t>Declined-05</t>
  </si>
  <si>
    <t>New,Old,Renewal,Rollover</t>
  </si>
  <si>
    <t>Petrol</t>
  </si>
  <si>
    <t>Vehicle_Age_Min</t>
  </si>
  <si>
    <t>Vehicle_Age_Max</t>
  </si>
  <si>
    <t>01, 02, 03, 04, 05, 06, 07, 09, 10, 11, 12, 13, 14, 18, 19, 20, 21, 22,37, 38, 39, 40, 41, 42, 66, 99</t>
  </si>
  <si>
    <t>01,02,03,04,05,06,07,09,10,11,12,13,14,18,22,8537,38,40,41,66,99</t>
  </si>
  <si>
    <t>01,02,03,04,05,06,07,09,10,11,12,13,14,18,22,8537,38,40,41,66,99,60</t>
  </si>
  <si>
    <t>GVW_Min</t>
  </si>
  <si>
    <t>GVW_Max</t>
  </si>
  <si>
    <t>ro-chn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</si>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</sst>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8"/>
      <name val="Calibri"/>
      <charset val="134"/>
      <scheme val="minor"/>
    </font>
    <font>
      <b/>
      <sz val="11"/>
      <color rgb="FFFFFFFF"/>
      <name val="Calibri"/>
      <family val="2"/>
      <charset val="134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rgb="FFD9E1F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58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10" fontId="3" fillId="2" borderId="4" xfId="0" applyNumberFormat="1" applyFont="1" applyFill="1" applyBorder="1" applyAlignment="1">
      <alignment horizontal="center" vertical="center" wrapText="1"/>
    </xf>
    <xf numFmtId="10" fontId="3" fillId="2" borderId="4" xfId="1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8" fillId="2" borderId="4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0" fontId="0" fillId="0" borderId="3" xfId="0" applyNumberFormat="1" applyBorder="1" applyAlignment="1">
      <alignment horizontal="center" vertical="center" wrapText="1"/>
    </xf>
    <xf numFmtId="10" fontId="0" fillId="0" borderId="3" xfId="1" applyNumberFormat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0" fontId="0" fillId="0" borderId="7" xfId="0" applyNumberFormat="1" applyBorder="1" applyAlignment="1">
      <alignment horizontal="center" vertical="center" wrapText="1"/>
    </xf>
    <xf numFmtId="10" fontId="0" fillId="0" borderId="6" xfId="1" applyNumberFormat="1" applyFont="1" applyBorder="1" applyAlignment="1">
      <alignment horizontal="center" vertical="center" wrapText="1"/>
    </xf>
    <xf numFmtId="10" fontId="0" fillId="0" borderId="6" xfId="0" applyNumberForma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0" fontId="2" fillId="0" borderId="6" xfId="1" applyNumberFormat="1" applyFont="1" applyBorder="1" applyAlignment="1">
      <alignment horizontal="center" vertical="center" wrapText="1"/>
    </xf>
    <xf numFmtId="10" fontId="2" fillId="0" borderId="3" xfId="1" applyNumberFormat="1" applyFont="1" applyBorder="1" applyAlignment="1">
      <alignment horizontal="center" vertical="center" wrapText="1"/>
    </xf>
    <xf numFmtId="10" fontId="0" fillId="0" borderId="1" xfId="1" applyNumberFormat="1" applyFont="1" applyBorder="1" applyAlignment="1">
      <alignment horizontal="center" vertical="center" wrapText="1"/>
    </xf>
    <xf numFmtId="14" fontId="0" fillId="3" borderId="3" xfId="0" applyNumberFormat="1" applyFill="1" applyBorder="1" applyAlignment="1">
      <alignment horizontal="center" vertical="center" wrapText="1"/>
    </xf>
    <xf numFmtId="10" fontId="0" fillId="0" borderId="7" xfId="1" applyNumberFormat="1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4" fontId="0" fillId="3" borderId="6" xfId="0" applyNumberForma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0" fontId="1" fillId="0" borderId="3" xfId="1" applyNumberFormat="1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0" fontId="1" fillId="0" borderId="6" xfId="1" applyNumberFormat="1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9">
    <dxf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rgb="FF000000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D9E1F2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fill>
        <patternFill patternType="solid">
          <fgColor rgb="FFD9E1F2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fill>
        <patternFill patternType="solid">
          <fgColor rgb="FFD9E1F2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fill>
        <patternFill patternType="solid">
          <fgColor rgb="FFD9E1F2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fill>
        <patternFill patternType="solid">
          <fgColor rgb="FFD9E1F2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fill>
        <patternFill patternType="solid">
          <fgColor rgb="FFD9E1F2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rgb="FF000000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numFmt numFmtId="14" formatCode="0.00%"/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Y185" totalsRowShown="0" headerRowDxfId="28" dataDxfId="26" headerRowBorderDxfId="27" tableBorderDxfId="25" headerRowCellStyle="Percent">
  <autoFilter ref="A1:Y185">
    <filterColumn colId="3">
      <filters>
        <filter val="GCV"/>
      </filters>
    </filterColumn>
  </autoFilter>
  <tableColumns count="25">
    <tableColumn id="1" name="Company" dataDxfId="24"/>
    <tableColumn id="2" name="State" dataDxfId="23"/>
    <tableColumn id="3" name="RTO_Code" dataDxfId="22"/>
    <tableColumn id="4" name="Vehicle_Category" dataDxfId="21"/>
    <tableColumn id="26" name="Date_from" dataDxfId="20"/>
    <tableColumn id="25" name="Date_till" dataDxfId="19"/>
    <tableColumn id="24" name="Make" dataDxfId="18"/>
    <tableColumn id="23" name="Model" dataDxfId="17"/>
    <tableColumn id="5" name="Vehicle_Type" dataDxfId="16"/>
    <tableColumn id="6" name="Fuel_Type" dataDxfId="15"/>
    <tableColumn id="28" name="Vehicle_Age_Min" dataDxfId="14">
      <calculatedColumnFormula>IF(Sheet1!E2="All","N/A",
IF(LEFT(Sheet1!E2,4)="upto","N/A",
IF(LEFT(Sheet1!E2,5)="Above",VALUE(MID(Sheet1!E2,7,2))+1,
IF(ISNUMBER(SEARCH("to",Sheet1!E2)),VALUE(LEFT(Sheet1!E2,FIND(" to",Sheet1!E2)-1)),
"N/A"))))</calculatedColumnFormula>
    </tableColumn>
    <tableColumn id="27" name="Vehicle_Age_Max" dataDxfId="13">
      <calculatedColumnFormula>IF(Sheet1!E2="All","N/A",
IF(LEFT(Sheet1!E2,4)="upto",VALUE(MID(Sheet1!E2,6,2)),
IF(LEFT(Sheet1!E2,5)="Above","N/A",
IF(ISNUMBER(SEARCH("to",Sheet1!E2)),VALUE(MID(Sheet1!E2,FIND("to ",Sheet1!E2)+3,2)),
"N/A"))))</calculatedColumnFormula>
    </tableColumn>
    <tableColumn id="8" name="Policy_Type" dataDxfId="12"/>
    <tableColumn id="9" name="Business_Type" dataDxfId="11"/>
    <tableColumn id="10" name="CC_Slab" dataDxfId="10"/>
    <tableColumn id="30" name="GVW_Min" dataDxfId="9">
      <calculatedColumnFormula>IF(Sheet1!A2="No","No",
IF(LEFT(Sheet1!A2,5)="Up to",0,
VALUE(LEFT(Sheet1!A2,FIND(" ",Sheet1!A2)-1))))</calculatedColumnFormula>
    </tableColumn>
    <tableColumn id="29" name="GVW_Max" dataDxfId="8">
      <calculatedColumnFormula>IF(Sheet1!A2="No","No",
IF(LEFT(Sheet1!A2,5)="Up to",
VALUE(MID(Sheet1!A2,7,FIND("kg",Sheet1!A2)-7)),
VALUE(MID(Sheet1!A2,FIND("to",Sheet1!A2)+3,FIND("kg",Sheet1!A2)-FIND("to",Sheet1!A2)-3))))</calculatedColumnFormula>
    </tableColumn>
    <tableColumn id="12" name="Watt_Slab" dataDxfId="7"/>
    <tableColumn id="13" name="Seating_Capacity" dataDxfId="6"/>
    <tableColumn id="14" name="Conditions" dataDxfId="5"/>
    <tableColumn id="15" name="NCB_Slab" dataDxfId="4"/>
    <tableColumn id="16" name="CPA_Cover" dataDxfId="3"/>
    <tableColumn id="17" name="Zero_Depreciation" dataDxfId="2"/>
    <tableColumn id="18" name="Trailer" dataDxfId="1"/>
    <tableColumn id="22" name="Final Payout" dataDxfId="0">
      <calculatedColumnFormula>Sheet1!C2-Sheet1!D2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5"/>
  <sheetViews>
    <sheetView tabSelected="1" zoomScale="70" zoomScaleNormal="70" workbookViewId="0">
      <pane ySplit="1" topLeftCell="A2" activePane="bottomLeft" state="frozen"/>
      <selection pane="bottomLeft" activeCell="I2" sqref="I2"/>
    </sheetView>
  </sheetViews>
  <sheetFormatPr defaultColWidth="9.1796875" defaultRowHeight="14.5"/>
  <cols>
    <col min="1" max="1" width="13.26953125" style="4" bestFit="1" customWidth="1"/>
    <col min="2" max="2" width="9.1796875" style="4"/>
    <col min="3" max="3" width="21" style="22" customWidth="1"/>
    <col min="4" max="8" width="17.26953125" style="4" customWidth="1"/>
    <col min="9" max="9" width="26.453125" style="4" customWidth="1"/>
    <col min="10" max="10" width="18.54296875" style="4" customWidth="1"/>
    <col min="11" max="11" width="21.453125" style="4" customWidth="1"/>
    <col min="12" max="12" width="21.7265625" style="4" customWidth="1"/>
    <col min="13" max="13" width="29.81640625" style="4" customWidth="1"/>
    <col min="14" max="14" width="15.26953125" style="4" customWidth="1"/>
    <col min="15" max="15" width="13.26953125" style="4" bestFit="1" customWidth="1"/>
    <col min="16" max="17" width="13.26953125" style="4" customWidth="1"/>
    <col min="18" max="18" width="14.08984375" style="4" bestFit="1" customWidth="1"/>
    <col min="19" max="19" width="17" style="4" customWidth="1"/>
    <col min="20" max="20" width="18.26953125" style="4" bestFit="1" customWidth="1"/>
    <col min="21" max="21" width="10.7265625" style="4" customWidth="1"/>
    <col min="22" max="22" width="12" style="4" customWidth="1"/>
    <col min="23" max="23" width="18.36328125" style="4" customWidth="1"/>
    <col min="24" max="24" width="9.1796875" style="4"/>
    <col min="25" max="25" width="15.7265625" style="4" customWidth="1"/>
    <col min="26" max="16384" width="9.1796875" style="6"/>
  </cols>
  <sheetData>
    <row r="1" spans="1:25">
      <c r="A1" s="8" t="s">
        <v>0</v>
      </c>
      <c r="B1" s="8" t="s">
        <v>160</v>
      </c>
      <c r="C1" s="8" t="s">
        <v>1</v>
      </c>
      <c r="D1" s="8" t="s">
        <v>2</v>
      </c>
      <c r="E1" s="8" t="s">
        <v>71</v>
      </c>
      <c r="F1" s="23" t="s">
        <v>68</v>
      </c>
      <c r="G1" s="23" t="s">
        <v>69</v>
      </c>
      <c r="H1" s="23" t="s">
        <v>70</v>
      </c>
      <c r="I1" s="8" t="s">
        <v>3</v>
      </c>
      <c r="J1" s="8" t="s">
        <v>4</v>
      </c>
      <c r="K1" s="56" t="s">
        <v>152</v>
      </c>
      <c r="L1" s="56" t="s">
        <v>153</v>
      </c>
      <c r="M1" s="8" t="s">
        <v>6</v>
      </c>
      <c r="N1" s="8" t="s">
        <v>7</v>
      </c>
      <c r="O1" s="8" t="s">
        <v>8</v>
      </c>
      <c r="P1" s="8" t="s">
        <v>157</v>
      </c>
      <c r="Q1" s="8" t="s">
        <v>158</v>
      </c>
      <c r="R1" s="8" t="s">
        <v>10</v>
      </c>
      <c r="S1" s="8" t="s">
        <v>11</v>
      </c>
      <c r="T1" s="23" t="s">
        <v>94</v>
      </c>
      <c r="U1" s="8" t="s">
        <v>12</v>
      </c>
      <c r="V1" s="8" t="s">
        <v>13</v>
      </c>
      <c r="W1" s="8" t="s">
        <v>14</v>
      </c>
      <c r="X1" s="8" t="s">
        <v>15</v>
      </c>
      <c r="Y1" s="8" t="s">
        <v>27</v>
      </c>
    </row>
    <row r="2" spans="1:25" ht="29">
      <c r="A2" s="2" t="s">
        <v>19</v>
      </c>
      <c r="B2" s="2" t="s">
        <v>16</v>
      </c>
      <c r="C2" s="2" t="s">
        <v>35</v>
      </c>
      <c r="D2" s="31" t="s">
        <v>22</v>
      </c>
      <c r="E2" s="31" t="s">
        <v>18</v>
      </c>
      <c r="F2" s="31" t="s">
        <v>18</v>
      </c>
      <c r="G2" s="31" t="s">
        <v>18</v>
      </c>
      <c r="H2" s="31" t="s">
        <v>18</v>
      </c>
      <c r="I2" s="31" t="s">
        <v>23</v>
      </c>
      <c r="J2" s="2" t="s">
        <v>28</v>
      </c>
      <c r="K2" s="2" t="str">
        <f>IF(Sheet1!E2="All","N/A",
IF(LEFT(Sheet1!E2,4)="upto","N/A",
IF(LEFT(Sheet1!E2,5)="Above",VALUE(MID(Sheet1!E2,7,2))+1,
IF(ISNUMBER(SEARCH("to",Sheet1!E2)),VALUE(LEFT(Sheet1!E2,FIND(" to",Sheet1!E2)-1)),
"N/A"))))</f>
        <v>N/A</v>
      </c>
      <c r="L2" s="2">
        <f>IF(Sheet1!E2="All","N/A",
IF(LEFT(Sheet1!E2,4)="upto",VALUE(MID(Sheet1!E2,6,2)),
IF(LEFT(Sheet1!E2,5)="Above","N/A",
IF(ISNUMBER(SEARCH("to",Sheet1!E2)),VALUE(MID(Sheet1!E2,FIND("to ",Sheet1!E2)+3,2)),
"N/A"))))</f>
        <v>15</v>
      </c>
      <c r="M2" s="2" t="s">
        <v>30</v>
      </c>
      <c r="N2" s="2" t="s">
        <v>150</v>
      </c>
      <c r="O2" s="2" t="s">
        <v>116</v>
      </c>
      <c r="P2" s="2" t="str">
        <f>IF(Sheet1!A2="No","No",
IF(LEFT(Sheet1!A2,5)="Up to",0,
VALUE(LEFT(Sheet1!A2,FIND(" ",Sheet1!A2)-1))))</f>
        <v>No</v>
      </c>
      <c r="Q2" s="2" t="str">
        <f>IF(Sheet1!A2="No","No",
IF(LEFT(Sheet1!A2,5)="Up to",
VALUE(MID(Sheet1!A2,7,FIND("kg",Sheet1!A2)-7)),
VALUE(MID(Sheet1!A2,FIND("to",Sheet1!A2)+3,FIND("kg",Sheet1!A2)-FIND("to",Sheet1!A2)-3))))</f>
        <v>No</v>
      </c>
      <c r="R2" s="2" t="s">
        <v>116</v>
      </c>
      <c r="S2" s="2" t="s">
        <v>116</v>
      </c>
      <c r="T2" s="2" t="s">
        <v>116</v>
      </c>
      <c r="U2" s="2" t="s">
        <v>116</v>
      </c>
      <c r="V2" s="2" t="s">
        <v>116</v>
      </c>
      <c r="W2" s="2" t="s">
        <v>116</v>
      </c>
      <c r="X2" s="2" t="s">
        <v>116</v>
      </c>
      <c r="Y2" s="32">
        <f>Sheet1!C2-Sheet1!D2</f>
        <v>0.24990000000000001</v>
      </c>
    </row>
    <row r="3" spans="1:25" ht="29">
      <c r="A3" s="2" t="s">
        <v>19</v>
      </c>
      <c r="B3" s="2" t="s">
        <v>16</v>
      </c>
      <c r="C3" s="2" t="s">
        <v>35</v>
      </c>
      <c r="D3" s="31" t="s">
        <v>22</v>
      </c>
      <c r="E3" s="31" t="s">
        <v>18</v>
      </c>
      <c r="F3" s="31" t="s">
        <v>18</v>
      </c>
      <c r="G3" s="31" t="s">
        <v>18</v>
      </c>
      <c r="H3" s="31" t="s">
        <v>18</v>
      </c>
      <c r="I3" s="31" t="s">
        <v>23</v>
      </c>
      <c r="J3" s="3" t="s">
        <v>32</v>
      </c>
      <c r="K3" s="57" t="str">
        <f>IF(Sheet1!E3="All","N/A",
IF(LEFT(Sheet1!E3,4)="upto","N/A",
IF(LEFT(Sheet1!E3,5)="Above",VALUE(MID(Sheet1!E3,7,2))+1,
IF(ISNUMBER(SEARCH("to",Sheet1!E3)),VALUE(LEFT(Sheet1!E3,FIND(" to",Sheet1!E3)-1)),
"N/A"))))</f>
        <v>N/A</v>
      </c>
      <c r="L3" s="57">
        <f>IF(Sheet1!E3="All","N/A",
IF(LEFT(Sheet1!E3,4)="upto",VALUE(MID(Sheet1!E3,6,2)),
IF(LEFT(Sheet1!E3,5)="Above","N/A",
IF(ISNUMBER(SEARCH("to",Sheet1!E3)),VALUE(MID(Sheet1!E3,FIND("to ",Sheet1!E3)+3,2)),
"N/A"))))</f>
        <v>15</v>
      </c>
      <c r="M3" s="2" t="s">
        <v>30</v>
      </c>
      <c r="N3" s="2" t="s">
        <v>150</v>
      </c>
      <c r="O3" s="2" t="s">
        <v>116</v>
      </c>
      <c r="P3" s="2" t="str">
        <f>IF(Sheet1!A3="No","No",
IF(LEFT(Sheet1!A3,5)="Up to",0,
VALUE(LEFT(Sheet1!A3,FIND(" ",Sheet1!A3)-1))))</f>
        <v>No</v>
      </c>
      <c r="Q3" s="2" t="str">
        <f>IF(Sheet1!A3="No","No",
IF(LEFT(Sheet1!A3,5)="Up to",
VALUE(MID(Sheet1!A3,7,FIND("kg",Sheet1!A3)-7)),
VALUE(MID(Sheet1!A3,FIND("to",Sheet1!A3)+3,FIND("kg",Sheet1!A3)-FIND("to",Sheet1!A3)-3))))</f>
        <v>No</v>
      </c>
      <c r="R3" s="2" t="s">
        <v>33</v>
      </c>
      <c r="S3" s="2" t="s">
        <v>116</v>
      </c>
      <c r="T3" s="2" t="s">
        <v>116</v>
      </c>
      <c r="U3" s="2" t="s">
        <v>116</v>
      </c>
      <c r="V3" s="2" t="s">
        <v>116</v>
      </c>
      <c r="W3" s="2" t="s">
        <v>116</v>
      </c>
      <c r="X3" s="2" t="s">
        <v>116</v>
      </c>
      <c r="Y3" s="32">
        <f>Sheet1!C3-Sheet1!D3</f>
        <v>0.34790000000000004</v>
      </c>
    </row>
    <row r="4" spans="1:25" ht="29">
      <c r="A4" s="2" t="s">
        <v>19</v>
      </c>
      <c r="B4" s="2" t="s">
        <v>16</v>
      </c>
      <c r="C4" s="2" t="s">
        <v>35</v>
      </c>
      <c r="D4" s="31" t="s">
        <v>22</v>
      </c>
      <c r="E4" s="31" t="s">
        <v>18</v>
      </c>
      <c r="F4" s="31" t="s">
        <v>18</v>
      </c>
      <c r="G4" s="31" t="s">
        <v>18</v>
      </c>
      <c r="H4" s="31" t="s">
        <v>18</v>
      </c>
      <c r="I4" s="31" t="s">
        <v>23</v>
      </c>
      <c r="J4" s="3" t="s">
        <v>32</v>
      </c>
      <c r="K4" s="57" t="str">
        <f>IF(Sheet1!E4="All","N/A",
IF(LEFT(Sheet1!E4,4)="upto","N/A",
IF(LEFT(Sheet1!E4,5)="Above",VALUE(MID(Sheet1!E4,7,2))+1,
IF(ISNUMBER(SEARCH("to",Sheet1!E4)),VALUE(LEFT(Sheet1!E4,FIND(" to",Sheet1!E4)-1)),
"N/A"))))</f>
        <v>N/A</v>
      </c>
      <c r="L4" s="57">
        <f>IF(Sheet1!E4="All","N/A",
IF(LEFT(Sheet1!E4,4)="upto",VALUE(MID(Sheet1!E4,6,2)),
IF(LEFT(Sheet1!E4,5)="Above","N/A",
IF(ISNUMBER(SEARCH("to",Sheet1!E4)),VALUE(MID(Sheet1!E4,FIND("to ",Sheet1!E4)+3,2)),
"N/A"))))</f>
        <v>15</v>
      </c>
      <c r="M4" s="2" t="s">
        <v>30</v>
      </c>
      <c r="N4" s="2" t="s">
        <v>150</v>
      </c>
      <c r="O4" s="2" t="s">
        <v>116</v>
      </c>
      <c r="P4" s="2" t="str">
        <f>IF(Sheet1!A4="No","No",
IF(LEFT(Sheet1!A4,5)="Up to",0,
VALUE(LEFT(Sheet1!A4,FIND(" ",Sheet1!A4)-1))))</f>
        <v>No</v>
      </c>
      <c r="Q4" s="2" t="str">
        <f>IF(Sheet1!A4="No","No",
IF(LEFT(Sheet1!A4,5)="Up to",
VALUE(MID(Sheet1!A4,7,FIND("kg",Sheet1!A4)-7)),
VALUE(MID(Sheet1!A4,FIND("to",Sheet1!A4)+3,FIND("kg",Sheet1!A4)-FIND("to",Sheet1!A4)-3))))</f>
        <v>No</v>
      </c>
      <c r="R4" s="3" t="s">
        <v>34</v>
      </c>
      <c r="S4" s="2" t="s">
        <v>116</v>
      </c>
      <c r="T4" s="2" t="s">
        <v>116</v>
      </c>
      <c r="U4" s="2" t="s">
        <v>116</v>
      </c>
      <c r="V4" s="2" t="s">
        <v>116</v>
      </c>
      <c r="W4" s="2" t="s">
        <v>116</v>
      </c>
      <c r="X4" s="2" t="s">
        <v>116</v>
      </c>
      <c r="Y4" s="32">
        <f>Sheet1!C4-Sheet1!D4</f>
        <v>0.27440000000000003</v>
      </c>
    </row>
    <row r="5" spans="1:25" ht="22" customHeight="1">
      <c r="A5" s="1" t="s">
        <v>21</v>
      </c>
      <c r="B5" s="2" t="s">
        <v>16</v>
      </c>
      <c r="C5" s="2">
        <v>19</v>
      </c>
      <c r="D5" s="31" t="s">
        <v>22</v>
      </c>
      <c r="E5" s="31" t="s">
        <v>18</v>
      </c>
      <c r="F5" s="31" t="s">
        <v>18</v>
      </c>
      <c r="G5" s="31" t="s">
        <v>18</v>
      </c>
      <c r="H5" s="31" t="s">
        <v>18</v>
      </c>
      <c r="I5" s="31" t="s">
        <v>23</v>
      </c>
      <c r="J5" s="3" t="s">
        <v>32</v>
      </c>
      <c r="K5" s="3" t="str">
        <f>IF(Sheet1!E5="All","N/A",
IF(LEFT(Sheet1!E5,4)="upto","N/A",
IF(LEFT(Sheet1!E5,5)="Above",VALUE(MID(Sheet1!E5,7,2))+1,
IF(ISNUMBER(SEARCH("to",Sheet1!E5)),VALUE(LEFT(Sheet1!E5,FIND(" to",Sheet1!E5)-1)),
"N/A"))))</f>
        <v>N/A</v>
      </c>
      <c r="L5" s="3" t="str">
        <f>IF(Sheet1!E5="All","N/A",
IF(LEFT(Sheet1!E5,4)="upto",VALUE(MID(Sheet1!E5,6,2)),
IF(LEFT(Sheet1!E5,5)="Above","N/A",
IF(ISNUMBER(SEARCH("to",Sheet1!E5)),VALUE(MID(Sheet1!E5,FIND("to ",Sheet1!E5)+3,2)),
"N/A"))))</f>
        <v>N/A</v>
      </c>
      <c r="M5" s="1" t="s">
        <v>17</v>
      </c>
      <c r="N5" s="2" t="s">
        <v>150</v>
      </c>
      <c r="O5" s="2" t="s">
        <v>116</v>
      </c>
      <c r="P5" s="2" t="str">
        <f>IF(Sheet1!A5="No","No",
IF(LEFT(Sheet1!A5,5)="Up to",0,
VALUE(LEFT(Sheet1!A5,FIND(" ",Sheet1!A5)-1))))</f>
        <v>No</v>
      </c>
      <c r="Q5" s="2" t="str">
        <f>IF(Sheet1!A5="No","No",
IF(LEFT(Sheet1!A5,5)="Up to",
VALUE(MID(Sheet1!A5,7,FIND("kg",Sheet1!A5)-7)),
VALUE(MID(Sheet1!A5,FIND("to",Sheet1!A5)+3,FIND("kg",Sheet1!A5)-FIND("to",Sheet1!A5)-3))))</f>
        <v>No</v>
      </c>
      <c r="R5" s="3" t="s">
        <v>116</v>
      </c>
      <c r="S5" s="2" t="s">
        <v>116</v>
      </c>
      <c r="T5" s="2" t="s">
        <v>116</v>
      </c>
      <c r="U5" s="2" t="s">
        <v>116</v>
      </c>
      <c r="V5" s="2" t="s">
        <v>116</v>
      </c>
      <c r="W5" s="2" t="s">
        <v>116</v>
      </c>
      <c r="X5" s="2" t="s">
        <v>116</v>
      </c>
      <c r="Y5" s="32">
        <f>Sheet1!C5-Sheet1!D5</f>
        <v>4.41E-2</v>
      </c>
    </row>
    <row r="6" spans="1:25" ht="43.5">
      <c r="A6" s="1" t="s">
        <v>21</v>
      </c>
      <c r="B6" s="2" t="s">
        <v>16</v>
      </c>
      <c r="C6" s="3" t="s">
        <v>141</v>
      </c>
      <c r="D6" s="31" t="s">
        <v>22</v>
      </c>
      <c r="E6" s="31" t="s">
        <v>18</v>
      </c>
      <c r="F6" s="31" t="s">
        <v>18</v>
      </c>
      <c r="G6" s="31" t="s">
        <v>18</v>
      </c>
      <c r="H6" s="31" t="s">
        <v>18</v>
      </c>
      <c r="I6" s="31" t="s">
        <v>23</v>
      </c>
      <c r="J6" s="3" t="s">
        <v>32</v>
      </c>
      <c r="K6" s="3" t="str">
        <f>IF(Sheet1!E6="All","N/A",
IF(LEFT(Sheet1!E6,4)="upto","N/A",
IF(LEFT(Sheet1!E6,5)="Above",VALUE(MID(Sheet1!E6,7,2))+1,
IF(ISNUMBER(SEARCH("to",Sheet1!E6)),VALUE(LEFT(Sheet1!E6,FIND(" to",Sheet1!E6)-1)),
"N/A"))))</f>
        <v>N/A</v>
      </c>
      <c r="L6" s="3" t="str">
        <f>IF(Sheet1!E6="All","N/A",
IF(LEFT(Sheet1!E6,4)="upto",VALUE(MID(Sheet1!E6,6,2)),
IF(LEFT(Sheet1!E6,5)="Above","N/A",
IF(ISNUMBER(SEARCH("to",Sheet1!E6)),VALUE(MID(Sheet1!E6,FIND("to ",Sheet1!E6)+3,2)),
"N/A"))))</f>
        <v>N/A</v>
      </c>
      <c r="M6" s="1" t="s">
        <v>17</v>
      </c>
      <c r="N6" s="2" t="s">
        <v>150</v>
      </c>
      <c r="O6" s="2" t="s">
        <v>116</v>
      </c>
      <c r="P6" s="2" t="str">
        <f>IF(Sheet1!A6="No","No",
IF(LEFT(Sheet1!A6,5)="Up to",0,
VALUE(LEFT(Sheet1!A6,FIND(" ",Sheet1!A6)-1))))</f>
        <v>No</v>
      </c>
      <c r="Q6" s="2" t="str">
        <f>IF(Sheet1!A6="No","No",
IF(LEFT(Sheet1!A6,5)="Up to",
VALUE(MID(Sheet1!A6,7,FIND("kg",Sheet1!A6)-7)),
VALUE(MID(Sheet1!A6,FIND("to",Sheet1!A6)+3,FIND("kg",Sheet1!A6)-FIND("to",Sheet1!A6)-3))))</f>
        <v>No</v>
      </c>
      <c r="R6" s="3" t="s">
        <v>116</v>
      </c>
      <c r="S6" s="2" t="s">
        <v>116</v>
      </c>
      <c r="T6" s="2" t="s">
        <v>116</v>
      </c>
      <c r="U6" s="2" t="s">
        <v>116</v>
      </c>
      <c r="V6" s="2" t="s">
        <v>116</v>
      </c>
      <c r="W6" s="2" t="s">
        <v>116</v>
      </c>
      <c r="X6" s="2" t="s">
        <v>116</v>
      </c>
      <c r="Y6" s="32">
        <f>Sheet1!C6-Sheet1!D6</f>
        <v>0.21070000000000003</v>
      </c>
    </row>
    <row r="7" spans="1:25" ht="29">
      <c r="A7" s="1" t="s">
        <v>21</v>
      </c>
      <c r="B7" s="2" t="s">
        <v>16</v>
      </c>
      <c r="C7" s="3" t="s">
        <v>136</v>
      </c>
      <c r="D7" s="31" t="s">
        <v>22</v>
      </c>
      <c r="E7" s="31" t="s">
        <v>18</v>
      </c>
      <c r="F7" s="31" t="s">
        <v>18</v>
      </c>
      <c r="G7" s="31" t="s">
        <v>18</v>
      </c>
      <c r="H7" s="31" t="s">
        <v>18</v>
      </c>
      <c r="I7" s="31" t="s">
        <v>23</v>
      </c>
      <c r="J7" s="3" t="s">
        <v>32</v>
      </c>
      <c r="K7" s="3" t="str">
        <f>IF(Sheet1!E7="All","N/A",
IF(LEFT(Sheet1!E7,4)="upto","N/A",
IF(LEFT(Sheet1!E7,5)="Above",VALUE(MID(Sheet1!E7,7,2))+1,
IF(ISNUMBER(SEARCH("to",Sheet1!E7)),VALUE(LEFT(Sheet1!E7,FIND(" to",Sheet1!E7)-1)),
"N/A"))))</f>
        <v>N/A</v>
      </c>
      <c r="L7" s="3" t="str">
        <f>IF(Sheet1!E7="All","N/A",
IF(LEFT(Sheet1!E7,4)="upto",VALUE(MID(Sheet1!E7,6,2)),
IF(LEFT(Sheet1!E7,5)="Above","N/A",
IF(ISNUMBER(SEARCH("to",Sheet1!E7)),VALUE(MID(Sheet1!E7,FIND("to ",Sheet1!E7)+3,2)),
"N/A"))))</f>
        <v>N/A</v>
      </c>
      <c r="M7" s="1" t="s">
        <v>17</v>
      </c>
      <c r="N7" s="2" t="s">
        <v>150</v>
      </c>
      <c r="O7" s="2" t="s">
        <v>116</v>
      </c>
      <c r="P7" s="2" t="str">
        <f>IF(Sheet1!A7="No","No",
IF(LEFT(Sheet1!A7,5)="Up to",0,
VALUE(LEFT(Sheet1!A7,FIND(" ",Sheet1!A7)-1))))</f>
        <v>No</v>
      </c>
      <c r="Q7" s="2" t="str">
        <f>IF(Sheet1!A7="No","No",
IF(LEFT(Sheet1!A7,5)="Up to",
VALUE(MID(Sheet1!A7,7,FIND("kg",Sheet1!A7)-7)),
VALUE(MID(Sheet1!A7,FIND("to",Sheet1!A7)+3,FIND("kg",Sheet1!A7)-FIND("to",Sheet1!A7)-3))))</f>
        <v>No</v>
      </c>
      <c r="R7" s="3" t="s">
        <v>116</v>
      </c>
      <c r="S7" s="2" t="s">
        <v>116</v>
      </c>
      <c r="T7" s="2" t="s">
        <v>116</v>
      </c>
      <c r="U7" s="2" t="s">
        <v>116</v>
      </c>
      <c r="V7" s="2" t="s">
        <v>116</v>
      </c>
      <c r="W7" s="2" t="s">
        <v>116</v>
      </c>
      <c r="X7" s="2" t="s">
        <v>116</v>
      </c>
      <c r="Y7" s="32">
        <f>Sheet1!C7-Sheet1!D7</f>
        <v>0.1421</v>
      </c>
    </row>
    <row r="8" spans="1:25" ht="29">
      <c r="A8" s="1" t="s">
        <v>21</v>
      </c>
      <c r="B8" s="2" t="s">
        <v>16</v>
      </c>
      <c r="C8" s="3" t="s">
        <v>137</v>
      </c>
      <c r="D8" s="31" t="s">
        <v>22</v>
      </c>
      <c r="E8" s="31" t="s">
        <v>18</v>
      </c>
      <c r="F8" s="31" t="s">
        <v>18</v>
      </c>
      <c r="G8" s="31" t="s">
        <v>18</v>
      </c>
      <c r="H8" s="31" t="s">
        <v>18</v>
      </c>
      <c r="I8" s="31" t="s">
        <v>23</v>
      </c>
      <c r="J8" s="3" t="s">
        <v>32</v>
      </c>
      <c r="K8" s="3" t="str">
        <f>IF(Sheet1!E8="All","N/A",
IF(LEFT(Sheet1!E8,4)="upto","N/A",
IF(LEFT(Sheet1!E8,5)="Above",VALUE(MID(Sheet1!E8,7,2))+1,
IF(ISNUMBER(SEARCH("to",Sheet1!E8)),VALUE(LEFT(Sheet1!E8,FIND(" to",Sheet1!E8)-1)),
"N/A"))))</f>
        <v>N/A</v>
      </c>
      <c r="L8" s="3" t="str">
        <f>IF(Sheet1!E8="All","N/A",
IF(LEFT(Sheet1!E8,4)="upto",VALUE(MID(Sheet1!E8,6,2)),
IF(LEFT(Sheet1!E8,5)="Above","N/A",
IF(ISNUMBER(SEARCH("to",Sheet1!E8)),VALUE(MID(Sheet1!E8,FIND("to ",Sheet1!E8)+3,2)),
"N/A"))))</f>
        <v>N/A</v>
      </c>
      <c r="M8" s="1" t="s">
        <v>17</v>
      </c>
      <c r="N8" s="2" t="s">
        <v>150</v>
      </c>
      <c r="O8" s="2" t="s">
        <v>116</v>
      </c>
      <c r="P8" s="2" t="str">
        <f>IF(Sheet1!A8="No","No",
IF(LEFT(Sheet1!A8,5)="Up to",0,
VALUE(LEFT(Sheet1!A8,FIND(" ",Sheet1!A8)-1))))</f>
        <v>No</v>
      </c>
      <c r="Q8" s="2" t="str">
        <f>IF(Sheet1!A8="No","No",
IF(LEFT(Sheet1!A8,5)="Up to",
VALUE(MID(Sheet1!A8,7,FIND("kg",Sheet1!A8)-7)),
VALUE(MID(Sheet1!A8,FIND("to",Sheet1!A8)+3,FIND("kg",Sheet1!A8)-FIND("to",Sheet1!A8)-3))))</f>
        <v>No</v>
      </c>
      <c r="R8" s="3" t="s">
        <v>116</v>
      </c>
      <c r="S8" s="2" t="s">
        <v>116</v>
      </c>
      <c r="T8" s="2" t="s">
        <v>116</v>
      </c>
      <c r="U8" s="2" t="s">
        <v>116</v>
      </c>
      <c r="V8" s="2" t="s">
        <v>116</v>
      </c>
      <c r="W8" s="2" t="s">
        <v>116</v>
      </c>
      <c r="X8" s="2" t="s">
        <v>116</v>
      </c>
      <c r="Y8" s="32">
        <f>Sheet1!C8-Sheet1!D8</f>
        <v>3.4300000000000004E-2</v>
      </c>
    </row>
    <row r="9" spans="1:25" ht="29">
      <c r="A9" s="1" t="s">
        <v>21</v>
      </c>
      <c r="B9" s="2" t="s">
        <v>16</v>
      </c>
      <c r="C9" s="3">
        <v>75</v>
      </c>
      <c r="D9" s="31" t="s">
        <v>22</v>
      </c>
      <c r="E9" s="31" t="s">
        <v>18</v>
      </c>
      <c r="F9" s="31" t="s">
        <v>18</v>
      </c>
      <c r="G9" s="31" t="s">
        <v>18</v>
      </c>
      <c r="H9" s="31" t="s">
        <v>18</v>
      </c>
      <c r="I9" s="31" t="s">
        <v>23</v>
      </c>
      <c r="J9" s="3" t="s">
        <v>32</v>
      </c>
      <c r="K9" s="3" t="str">
        <f>IF(Sheet1!E9="All","N/A",
IF(LEFT(Sheet1!E9,4)="upto","N/A",
IF(LEFT(Sheet1!E9,5)="Above",VALUE(MID(Sheet1!E9,7,2))+1,
IF(ISNUMBER(SEARCH("to",Sheet1!E9)),VALUE(LEFT(Sheet1!E9,FIND(" to",Sheet1!E9)-1)),
"N/A"))))</f>
        <v>N/A</v>
      </c>
      <c r="L9" s="3" t="str">
        <f>IF(Sheet1!E9="All","N/A",
IF(LEFT(Sheet1!E9,4)="upto",VALUE(MID(Sheet1!E9,6,2)),
IF(LEFT(Sheet1!E9,5)="Above","N/A",
IF(ISNUMBER(SEARCH("to",Sheet1!E9)),VALUE(MID(Sheet1!E9,FIND("to ",Sheet1!E9)+3,2)),
"N/A"))))</f>
        <v>N/A</v>
      </c>
      <c r="M9" s="1" t="s">
        <v>17</v>
      </c>
      <c r="N9" s="2" t="s">
        <v>150</v>
      </c>
      <c r="O9" s="2" t="s">
        <v>116</v>
      </c>
      <c r="P9" s="2" t="str">
        <f>IF(Sheet1!A9="No","No",
IF(LEFT(Sheet1!A9,5)="Up to",0,
VALUE(LEFT(Sheet1!A9,FIND(" ",Sheet1!A9)-1))))</f>
        <v>No</v>
      </c>
      <c r="Q9" s="2" t="str">
        <f>IF(Sheet1!A9="No","No",
IF(LEFT(Sheet1!A9,5)="Up to",
VALUE(MID(Sheet1!A9,7,FIND("kg",Sheet1!A9)-7)),
VALUE(MID(Sheet1!A9,FIND("to",Sheet1!A9)+3,FIND("kg",Sheet1!A9)-FIND("to",Sheet1!A9)-3))))</f>
        <v>No</v>
      </c>
      <c r="R9" s="3" t="s">
        <v>116</v>
      </c>
      <c r="S9" s="2" t="s">
        <v>116</v>
      </c>
      <c r="T9" s="2" t="s">
        <v>116</v>
      </c>
      <c r="U9" s="2" t="s">
        <v>116</v>
      </c>
      <c r="V9" s="2" t="s">
        <v>116</v>
      </c>
      <c r="W9" s="2" t="s">
        <v>116</v>
      </c>
      <c r="X9" s="2" t="s">
        <v>116</v>
      </c>
      <c r="Y9" s="32">
        <f>Sheet1!C9-Sheet1!D9</f>
        <v>0.16169999999999998</v>
      </c>
    </row>
    <row r="10" spans="1:25" ht="29">
      <c r="A10" s="1" t="s">
        <v>21</v>
      </c>
      <c r="B10" s="2" t="s">
        <v>16</v>
      </c>
      <c r="C10" s="3" t="s">
        <v>144</v>
      </c>
      <c r="D10" s="31" t="s">
        <v>22</v>
      </c>
      <c r="E10" s="31" t="s">
        <v>18</v>
      </c>
      <c r="F10" s="31" t="s">
        <v>18</v>
      </c>
      <c r="G10" s="31" t="s">
        <v>18</v>
      </c>
      <c r="H10" s="31" t="s">
        <v>18</v>
      </c>
      <c r="I10" s="31" t="s">
        <v>23</v>
      </c>
      <c r="J10" s="3" t="s">
        <v>32</v>
      </c>
      <c r="K10" s="3" t="str">
        <f>IF(Sheet1!E10="All","N/A",
IF(LEFT(Sheet1!E10,4)="upto","N/A",
IF(LEFT(Sheet1!E10,5)="Above",VALUE(MID(Sheet1!E10,7,2))+1,
IF(ISNUMBER(SEARCH("to",Sheet1!E10)),VALUE(LEFT(Sheet1!E10,FIND(" to",Sheet1!E10)-1)),
"N/A"))))</f>
        <v>N/A</v>
      </c>
      <c r="L10" s="3" t="str">
        <f>IF(Sheet1!E10="All","N/A",
IF(LEFT(Sheet1!E10,4)="upto",VALUE(MID(Sheet1!E10,6,2)),
IF(LEFT(Sheet1!E10,5)="Above","N/A",
IF(ISNUMBER(SEARCH("to",Sheet1!E10)),VALUE(MID(Sheet1!E10,FIND("to ",Sheet1!E10)+3,2)),
"N/A"))))</f>
        <v>N/A</v>
      </c>
      <c r="M10" s="1" t="s">
        <v>17</v>
      </c>
      <c r="N10" s="2" t="s">
        <v>150</v>
      </c>
      <c r="O10" s="2" t="s">
        <v>116</v>
      </c>
      <c r="P10" s="2" t="str">
        <f>IF(Sheet1!A10="No","No",
IF(LEFT(Sheet1!A10,5)="Up to",0,
VALUE(LEFT(Sheet1!A10,FIND(" ",Sheet1!A10)-1))))</f>
        <v>No</v>
      </c>
      <c r="Q10" s="2" t="str">
        <f>IF(Sheet1!A10="No","No",
IF(LEFT(Sheet1!A10,5)="Up to",
VALUE(MID(Sheet1!A10,7,FIND("kg",Sheet1!A10)-7)),
VALUE(MID(Sheet1!A10,FIND("to",Sheet1!A10)+3,FIND("kg",Sheet1!A10)-FIND("to",Sheet1!A10)-3))))</f>
        <v>No</v>
      </c>
      <c r="R10" s="3" t="s">
        <v>116</v>
      </c>
      <c r="S10" s="2" t="s">
        <v>116</v>
      </c>
      <c r="T10" s="2" t="s">
        <v>116</v>
      </c>
      <c r="U10" s="2" t="s">
        <v>116</v>
      </c>
      <c r="V10" s="2" t="s">
        <v>116</v>
      </c>
      <c r="W10" s="2" t="s">
        <v>116</v>
      </c>
      <c r="X10" s="2" t="s">
        <v>116</v>
      </c>
      <c r="Y10" s="32">
        <f>Sheet1!C10-Sheet1!D10</f>
        <v>0.19110000000000002</v>
      </c>
    </row>
    <row r="11" spans="1:25" ht="29">
      <c r="A11" s="1" t="s">
        <v>21</v>
      </c>
      <c r="B11" s="2" t="s">
        <v>16</v>
      </c>
      <c r="C11" s="3" t="s">
        <v>139</v>
      </c>
      <c r="D11" s="31" t="s">
        <v>22</v>
      </c>
      <c r="E11" s="31" t="s">
        <v>18</v>
      </c>
      <c r="F11" s="31" t="s">
        <v>18</v>
      </c>
      <c r="G11" s="31" t="s">
        <v>18</v>
      </c>
      <c r="H11" s="31" t="s">
        <v>18</v>
      </c>
      <c r="I11" s="31" t="s">
        <v>23</v>
      </c>
      <c r="J11" s="3" t="s">
        <v>32</v>
      </c>
      <c r="K11" s="3" t="str">
        <f>IF(Sheet1!E11="All","N/A",
IF(LEFT(Sheet1!E11,4)="upto","N/A",
IF(LEFT(Sheet1!E11,5)="Above",VALUE(MID(Sheet1!E11,7,2))+1,
IF(ISNUMBER(SEARCH("to",Sheet1!E11)),VALUE(LEFT(Sheet1!E11,FIND(" to",Sheet1!E11)-1)),
"N/A"))))</f>
        <v>N/A</v>
      </c>
      <c r="L11" s="3" t="str">
        <f>IF(Sheet1!E11="All","N/A",
IF(LEFT(Sheet1!E11,4)="upto",VALUE(MID(Sheet1!E11,6,2)),
IF(LEFT(Sheet1!E11,5)="Above","N/A",
IF(ISNUMBER(SEARCH("to",Sheet1!E11)),VALUE(MID(Sheet1!E11,FIND("to ",Sheet1!E11)+3,2)),
"N/A"))))</f>
        <v>N/A</v>
      </c>
      <c r="M11" s="1" t="s">
        <v>17</v>
      </c>
      <c r="N11" s="2" t="s">
        <v>150</v>
      </c>
      <c r="O11" s="2" t="s">
        <v>116</v>
      </c>
      <c r="P11" s="2" t="str">
        <f>IF(Sheet1!A11="No","No",
IF(LEFT(Sheet1!A11,5)="Up to",0,
VALUE(LEFT(Sheet1!A11,FIND(" ",Sheet1!A11)-1))))</f>
        <v>No</v>
      </c>
      <c r="Q11" s="2" t="str">
        <f>IF(Sheet1!A11="No","No",
IF(LEFT(Sheet1!A11,5)="Up to",
VALUE(MID(Sheet1!A11,7,FIND("kg",Sheet1!A11)-7)),
VALUE(MID(Sheet1!A11,FIND("to",Sheet1!A11)+3,FIND("kg",Sheet1!A11)-FIND("to",Sheet1!A11)-3))))</f>
        <v>No</v>
      </c>
      <c r="R11" s="3" t="s">
        <v>116</v>
      </c>
      <c r="S11" s="2" t="s">
        <v>116</v>
      </c>
      <c r="T11" s="2" t="s">
        <v>116</v>
      </c>
      <c r="U11" s="2" t="s">
        <v>116</v>
      </c>
      <c r="V11" s="2" t="s">
        <v>116</v>
      </c>
      <c r="W11" s="2" t="s">
        <v>116</v>
      </c>
      <c r="X11" s="2" t="s">
        <v>116</v>
      </c>
      <c r="Y11" s="32">
        <f>Sheet1!C11-Sheet1!D11</f>
        <v>0.10289999999999999</v>
      </c>
    </row>
    <row r="12" spans="1:25" ht="29">
      <c r="A12" s="1" t="s">
        <v>21</v>
      </c>
      <c r="B12" s="2" t="s">
        <v>16</v>
      </c>
      <c r="C12" s="3">
        <v>20</v>
      </c>
      <c r="D12" s="31" t="s">
        <v>22</v>
      </c>
      <c r="E12" s="31" t="s">
        <v>18</v>
      </c>
      <c r="F12" s="31" t="s">
        <v>18</v>
      </c>
      <c r="G12" s="31" t="s">
        <v>18</v>
      </c>
      <c r="H12" s="31" t="s">
        <v>18</v>
      </c>
      <c r="I12" s="31" t="s">
        <v>23</v>
      </c>
      <c r="J12" s="3" t="s">
        <v>32</v>
      </c>
      <c r="K12" s="3" t="str">
        <f>IF(Sheet1!E12="All","N/A",
IF(LEFT(Sheet1!E12,4)="upto","N/A",
IF(LEFT(Sheet1!E12,5)="Above",VALUE(MID(Sheet1!E12,7,2))+1,
IF(ISNUMBER(SEARCH("to",Sheet1!E12)),VALUE(LEFT(Sheet1!E12,FIND(" to",Sheet1!E12)-1)),
"N/A"))))</f>
        <v>N/A</v>
      </c>
      <c r="L12" s="3" t="str">
        <f>IF(Sheet1!E12="All","N/A",
IF(LEFT(Sheet1!E12,4)="upto",VALUE(MID(Sheet1!E12,6,2)),
IF(LEFT(Sheet1!E12,5)="Above","N/A",
IF(ISNUMBER(SEARCH("to",Sheet1!E12)),VALUE(MID(Sheet1!E12,FIND("to ",Sheet1!E12)+3,2)),
"N/A"))))</f>
        <v>N/A</v>
      </c>
      <c r="M12" s="1" t="s">
        <v>17</v>
      </c>
      <c r="N12" s="2" t="s">
        <v>150</v>
      </c>
      <c r="O12" s="2" t="s">
        <v>116</v>
      </c>
      <c r="P12" s="2" t="str">
        <f>IF(Sheet1!A12="No","No",
IF(LEFT(Sheet1!A12,5)="Up to",0,
VALUE(LEFT(Sheet1!A12,FIND(" ",Sheet1!A12)-1))))</f>
        <v>No</v>
      </c>
      <c r="Q12" s="2" t="str">
        <f>IF(Sheet1!A12="No","No",
IF(LEFT(Sheet1!A12,5)="Up to",
VALUE(MID(Sheet1!A12,7,FIND("kg",Sheet1!A12)-7)),
VALUE(MID(Sheet1!A12,FIND("to",Sheet1!A12)+3,FIND("kg",Sheet1!A12)-FIND("to",Sheet1!A12)-3))))</f>
        <v>No</v>
      </c>
      <c r="R12" s="3" t="s">
        <v>116</v>
      </c>
      <c r="S12" s="2" t="s">
        <v>116</v>
      </c>
      <c r="T12" s="2" t="s">
        <v>116</v>
      </c>
      <c r="U12" s="2" t="s">
        <v>116</v>
      </c>
      <c r="V12" s="2" t="s">
        <v>116</v>
      </c>
      <c r="W12" s="2" t="s">
        <v>116</v>
      </c>
      <c r="X12" s="2" t="s">
        <v>116</v>
      </c>
      <c r="Y12" s="32">
        <f>Sheet1!C12-Sheet1!D12</f>
        <v>0.11270000000000001</v>
      </c>
    </row>
    <row r="13" spans="1:25" ht="29">
      <c r="A13" s="1" t="s">
        <v>21</v>
      </c>
      <c r="B13" s="2" t="s">
        <v>16</v>
      </c>
      <c r="C13" s="2">
        <v>19</v>
      </c>
      <c r="D13" s="31" t="s">
        <v>22</v>
      </c>
      <c r="E13" s="31" t="s">
        <v>18</v>
      </c>
      <c r="F13" s="31" t="s">
        <v>18</v>
      </c>
      <c r="G13" s="31" t="s">
        <v>18</v>
      </c>
      <c r="H13" s="31" t="s">
        <v>18</v>
      </c>
      <c r="I13" s="31" t="s">
        <v>23</v>
      </c>
      <c r="J13" s="3" t="s">
        <v>32</v>
      </c>
      <c r="K13" s="3" t="str">
        <f>IF(Sheet1!E13="All","N/A",
IF(LEFT(Sheet1!E13,4)="upto","N/A",
IF(LEFT(Sheet1!E13,5)="Above",VALUE(MID(Sheet1!E13,7,2))+1,
IF(ISNUMBER(SEARCH("to",Sheet1!E13)),VALUE(LEFT(Sheet1!E13,FIND(" to",Sheet1!E13)-1)),
"N/A"))))</f>
        <v>N/A</v>
      </c>
      <c r="L13" s="3" t="str">
        <f>IF(Sheet1!E13="All","N/A",
IF(LEFT(Sheet1!E13,4)="upto",VALUE(MID(Sheet1!E13,6,2)),
IF(LEFT(Sheet1!E13,5)="Above","N/A",
IF(ISNUMBER(SEARCH("to",Sheet1!E13)),VALUE(MID(Sheet1!E13,FIND("to ",Sheet1!E13)+3,2)),
"N/A"))))</f>
        <v>N/A</v>
      </c>
      <c r="M13" s="1" t="s">
        <v>20</v>
      </c>
      <c r="N13" s="2" t="s">
        <v>150</v>
      </c>
      <c r="O13" s="2" t="s">
        <v>116</v>
      </c>
      <c r="P13" s="2" t="str">
        <f>IF(Sheet1!A13="No","No",
IF(LEFT(Sheet1!A13,5)="Up to",0,
VALUE(LEFT(Sheet1!A13,FIND(" ",Sheet1!A13)-1))))</f>
        <v>No</v>
      </c>
      <c r="Q13" s="2" t="str">
        <f>IF(Sheet1!A13="No","No",
IF(LEFT(Sheet1!A13,5)="Up to",
VALUE(MID(Sheet1!A13,7,FIND("kg",Sheet1!A13)-7)),
VALUE(MID(Sheet1!A13,FIND("to",Sheet1!A13)+3,FIND("kg",Sheet1!A13)-FIND("to",Sheet1!A13)-3))))</f>
        <v>No</v>
      </c>
      <c r="R13" s="3" t="s">
        <v>116</v>
      </c>
      <c r="S13" s="2" t="s">
        <v>116</v>
      </c>
      <c r="T13" s="2" t="s">
        <v>116</v>
      </c>
      <c r="U13" s="2" t="s">
        <v>116</v>
      </c>
      <c r="V13" s="2" t="s">
        <v>116</v>
      </c>
      <c r="W13" s="2" t="s">
        <v>116</v>
      </c>
      <c r="X13" s="2" t="s">
        <v>116</v>
      </c>
      <c r="Y13" s="32">
        <f>Sheet1!C13-Sheet1!D13</f>
        <v>4.9000000000000042E-3</v>
      </c>
    </row>
    <row r="14" spans="1:25" ht="43.5">
      <c r="A14" s="1" t="s">
        <v>21</v>
      </c>
      <c r="B14" s="2" t="s">
        <v>16</v>
      </c>
      <c r="C14" s="3" t="s">
        <v>142</v>
      </c>
      <c r="D14" s="31" t="s">
        <v>22</v>
      </c>
      <c r="E14" s="31" t="s">
        <v>18</v>
      </c>
      <c r="F14" s="31" t="s">
        <v>18</v>
      </c>
      <c r="G14" s="31" t="s">
        <v>18</v>
      </c>
      <c r="H14" s="31" t="s">
        <v>18</v>
      </c>
      <c r="I14" s="31" t="s">
        <v>23</v>
      </c>
      <c r="J14" s="3" t="s">
        <v>32</v>
      </c>
      <c r="K14" s="3" t="str">
        <f>IF(Sheet1!E14="All","N/A",
IF(LEFT(Sheet1!E14,4)="upto","N/A",
IF(LEFT(Sheet1!E14,5)="Above",VALUE(MID(Sheet1!E14,7,2))+1,
IF(ISNUMBER(SEARCH("to",Sheet1!E14)),VALUE(LEFT(Sheet1!E14,FIND(" to",Sheet1!E14)-1)),
"N/A"))))</f>
        <v>N/A</v>
      </c>
      <c r="L14" s="3" t="str">
        <f>IF(Sheet1!E14="All","N/A",
IF(LEFT(Sheet1!E14,4)="upto",VALUE(MID(Sheet1!E14,6,2)),
IF(LEFT(Sheet1!E14,5)="Above","N/A",
IF(ISNUMBER(SEARCH("to",Sheet1!E14)),VALUE(MID(Sheet1!E14,FIND("to ",Sheet1!E14)+3,2)),
"N/A"))))</f>
        <v>N/A</v>
      </c>
      <c r="M14" s="1" t="s">
        <v>20</v>
      </c>
      <c r="N14" s="2" t="s">
        <v>150</v>
      </c>
      <c r="O14" s="2" t="s">
        <v>116</v>
      </c>
      <c r="P14" s="2" t="str">
        <f>IF(Sheet1!A14="No","No",
IF(LEFT(Sheet1!A14,5)="Up to",0,
VALUE(LEFT(Sheet1!A14,FIND(" ",Sheet1!A14)-1))))</f>
        <v>No</v>
      </c>
      <c r="Q14" s="2" t="str">
        <f>IF(Sheet1!A14="No","No",
IF(LEFT(Sheet1!A14,5)="Up to",
VALUE(MID(Sheet1!A14,7,FIND("kg",Sheet1!A14)-7)),
VALUE(MID(Sheet1!A14,FIND("to",Sheet1!A14)+3,FIND("kg",Sheet1!A14)-FIND("to",Sheet1!A14)-3))))</f>
        <v>No</v>
      </c>
      <c r="R14" s="3" t="s">
        <v>116</v>
      </c>
      <c r="S14" s="2" t="s">
        <v>116</v>
      </c>
      <c r="T14" s="2" t="s">
        <v>116</v>
      </c>
      <c r="U14" s="2" t="s">
        <v>116</v>
      </c>
      <c r="V14" s="2" t="s">
        <v>116</v>
      </c>
      <c r="W14" s="2" t="s">
        <v>116</v>
      </c>
      <c r="X14" s="2" t="s">
        <v>116</v>
      </c>
      <c r="Y14" s="32">
        <f>Sheet1!C14-Sheet1!D14</f>
        <v>0.25969999999999999</v>
      </c>
    </row>
    <row r="15" spans="1:25" ht="29">
      <c r="A15" s="1" t="s">
        <v>21</v>
      </c>
      <c r="B15" s="2" t="s">
        <v>16</v>
      </c>
      <c r="C15" s="3" t="s">
        <v>136</v>
      </c>
      <c r="D15" s="31" t="s">
        <v>22</v>
      </c>
      <c r="E15" s="31" t="s">
        <v>18</v>
      </c>
      <c r="F15" s="31" t="s">
        <v>18</v>
      </c>
      <c r="G15" s="31" t="s">
        <v>18</v>
      </c>
      <c r="H15" s="31" t="s">
        <v>18</v>
      </c>
      <c r="I15" s="31" t="s">
        <v>23</v>
      </c>
      <c r="J15" s="3" t="s">
        <v>32</v>
      </c>
      <c r="K15" s="3" t="str">
        <f>IF(Sheet1!E15="All","N/A",
IF(LEFT(Sheet1!E15,4)="upto","N/A",
IF(LEFT(Sheet1!E15,5)="Above",VALUE(MID(Sheet1!E15,7,2))+1,
IF(ISNUMBER(SEARCH("to",Sheet1!E15)),VALUE(LEFT(Sheet1!E15,FIND(" to",Sheet1!E15)-1)),
"N/A"))))</f>
        <v>N/A</v>
      </c>
      <c r="L15" s="3" t="str">
        <f>IF(Sheet1!E15="All","N/A",
IF(LEFT(Sheet1!E15,4)="upto",VALUE(MID(Sheet1!E15,6,2)),
IF(LEFT(Sheet1!E15,5)="Above","N/A",
IF(ISNUMBER(SEARCH("to",Sheet1!E15)),VALUE(MID(Sheet1!E15,FIND("to ",Sheet1!E15)+3,2)),
"N/A"))))</f>
        <v>N/A</v>
      </c>
      <c r="M15" s="1" t="s">
        <v>20</v>
      </c>
      <c r="N15" s="2" t="s">
        <v>150</v>
      </c>
      <c r="O15" s="2" t="s">
        <v>116</v>
      </c>
      <c r="P15" s="2" t="str">
        <f>IF(Sheet1!A15="No","No",
IF(LEFT(Sheet1!A15,5)="Up to",0,
VALUE(LEFT(Sheet1!A15,FIND(" ",Sheet1!A15)-1))))</f>
        <v>No</v>
      </c>
      <c r="Q15" s="2" t="str">
        <f>IF(Sheet1!A15="No","No",
IF(LEFT(Sheet1!A15,5)="Up to",
VALUE(MID(Sheet1!A15,7,FIND("kg",Sheet1!A15)-7)),
VALUE(MID(Sheet1!A15,FIND("to",Sheet1!A15)+3,FIND("kg",Sheet1!A15)-FIND("to",Sheet1!A15)-3))))</f>
        <v>No</v>
      </c>
      <c r="R15" s="3" t="s">
        <v>116</v>
      </c>
      <c r="S15" s="2" t="s">
        <v>116</v>
      </c>
      <c r="T15" s="2" t="s">
        <v>116</v>
      </c>
      <c r="U15" s="2" t="s">
        <v>116</v>
      </c>
      <c r="V15" s="2" t="s">
        <v>116</v>
      </c>
      <c r="W15" s="2" t="s">
        <v>116</v>
      </c>
      <c r="X15" s="2" t="s">
        <v>116</v>
      </c>
      <c r="Y15" s="32">
        <f>Sheet1!C15-Sheet1!D15</f>
        <v>0.16169999999999998</v>
      </c>
    </row>
    <row r="16" spans="1:25" ht="29">
      <c r="A16" s="1" t="s">
        <v>21</v>
      </c>
      <c r="B16" s="2" t="s">
        <v>16</v>
      </c>
      <c r="C16" s="3" t="s">
        <v>137</v>
      </c>
      <c r="D16" s="31" t="s">
        <v>22</v>
      </c>
      <c r="E16" s="31" t="s">
        <v>18</v>
      </c>
      <c r="F16" s="31" t="s">
        <v>18</v>
      </c>
      <c r="G16" s="31" t="s">
        <v>18</v>
      </c>
      <c r="H16" s="31" t="s">
        <v>18</v>
      </c>
      <c r="I16" s="31" t="s">
        <v>23</v>
      </c>
      <c r="J16" s="3" t="s">
        <v>32</v>
      </c>
      <c r="K16" s="3" t="str">
        <f>IF(Sheet1!E16="All","N/A",
IF(LEFT(Sheet1!E16,4)="upto","N/A",
IF(LEFT(Sheet1!E16,5)="Above",VALUE(MID(Sheet1!E16,7,2))+1,
IF(ISNUMBER(SEARCH("to",Sheet1!E16)),VALUE(LEFT(Sheet1!E16,FIND(" to",Sheet1!E16)-1)),
"N/A"))))</f>
        <v>N/A</v>
      </c>
      <c r="L16" s="3" t="str">
        <f>IF(Sheet1!E16="All","N/A",
IF(LEFT(Sheet1!E16,4)="upto",VALUE(MID(Sheet1!E16,6,2)),
IF(LEFT(Sheet1!E16,5)="Above","N/A",
IF(ISNUMBER(SEARCH("to",Sheet1!E16)),VALUE(MID(Sheet1!E16,FIND("to ",Sheet1!E16)+3,2)),
"N/A"))))</f>
        <v>N/A</v>
      </c>
      <c r="M16" s="1" t="s">
        <v>20</v>
      </c>
      <c r="N16" s="2" t="s">
        <v>150</v>
      </c>
      <c r="O16" s="2" t="s">
        <v>116</v>
      </c>
      <c r="P16" s="2" t="str">
        <f>IF(Sheet1!A16="No","No",
IF(LEFT(Sheet1!A16,5)="Up to",0,
VALUE(LEFT(Sheet1!A16,FIND(" ",Sheet1!A16)-1))))</f>
        <v>No</v>
      </c>
      <c r="Q16" s="2" t="str">
        <f>IF(Sheet1!A16="No","No",
IF(LEFT(Sheet1!A16,5)="Up to",
VALUE(MID(Sheet1!A16,7,FIND("kg",Sheet1!A16)-7)),
VALUE(MID(Sheet1!A16,FIND("to",Sheet1!A16)+3,FIND("kg",Sheet1!A16)-FIND("to",Sheet1!A16)-3))))</f>
        <v>No</v>
      </c>
      <c r="R16" s="3" t="s">
        <v>116</v>
      </c>
      <c r="S16" s="2" t="s">
        <v>116</v>
      </c>
      <c r="T16" s="2" t="s">
        <v>116</v>
      </c>
      <c r="U16" s="2" t="s">
        <v>116</v>
      </c>
      <c r="V16" s="2" t="s">
        <v>116</v>
      </c>
      <c r="W16" s="2" t="s">
        <v>116</v>
      </c>
      <c r="X16" s="2" t="s">
        <v>116</v>
      </c>
      <c r="Y16" s="32">
        <f>Sheet1!C16-Sheet1!D16</f>
        <v>-1.47E-2</v>
      </c>
    </row>
    <row r="17" spans="1:26" ht="29">
      <c r="A17" s="1" t="s">
        <v>21</v>
      </c>
      <c r="B17" s="2" t="s">
        <v>16</v>
      </c>
      <c r="C17" s="3">
        <v>75</v>
      </c>
      <c r="D17" s="31" t="s">
        <v>22</v>
      </c>
      <c r="E17" s="31" t="s">
        <v>18</v>
      </c>
      <c r="F17" s="31" t="s">
        <v>18</v>
      </c>
      <c r="G17" s="31" t="s">
        <v>18</v>
      </c>
      <c r="H17" s="31" t="s">
        <v>18</v>
      </c>
      <c r="I17" s="31" t="s">
        <v>23</v>
      </c>
      <c r="J17" s="3" t="s">
        <v>32</v>
      </c>
      <c r="K17" s="3" t="str">
        <f>IF(Sheet1!E17="All","N/A",
IF(LEFT(Sheet1!E17,4)="upto","N/A",
IF(LEFT(Sheet1!E17,5)="Above",VALUE(MID(Sheet1!E17,7,2))+1,
IF(ISNUMBER(SEARCH("to",Sheet1!E17)),VALUE(LEFT(Sheet1!E17,FIND(" to",Sheet1!E17)-1)),
"N/A"))))</f>
        <v>N/A</v>
      </c>
      <c r="L17" s="3" t="str">
        <f>IF(Sheet1!E17="All","N/A",
IF(LEFT(Sheet1!E17,4)="upto",VALUE(MID(Sheet1!E17,6,2)),
IF(LEFT(Sheet1!E17,5)="Above","N/A",
IF(ISNUMBER(SEARCH("to",Sheet1!E17)),VALUE(MID(Sheet1!E17,FIND("to ",Sheet1!E17)+3,2)),
"N/A"))))</f>
        <v>N/A</v>
      </c>
      <c r="M17" s="1" t="s">
        <v>20</v>
      </c>
      <c r="N17" s="2" t="s">
        <v>150</v>
      </c>
      <c r="O17" s="2" t="s">
        <v>116</v>
      </c>
      <c r="P17" s="2" t="str">
        <f>IF(Sheet1!A17="No","No",
IF(LEFT(Sheet1!A17,5)="Up to",0,
VALUE(LEFT(Sheet1!A17,FIND(" ",Sheet1!A17)-1))))</f>
        <v>No</v>
      </c>
      <c r="Q17" s="2" t="str">
        <f>IF(Sheet1!A17="No","No",
IF(LEFT(Sheet1!A17,5)="Up to",
VALUE(MID(Sheet1!A17,7,FIND("kg",Sheet1!A17)-7)),
VALUE(MID(Sheet1!A17,FIND("to",Sheet1!A17)+3,FIND("kg",Sheet1!A17)-FIND("to",Sheet1!A17)-3))))</f>
        <v>No</v>
      </c>
      <c r="R17" s="3" t="s">
        <v>116</v>
      </c>
      <c r="S17" s="2" t="s">
        <v>116</v>
      </c>
      <c r="T17" s="2" t="s">
        <v>116</v>
      </c>
      <c r="U17" s="2" t="s">
        <v>116</v>
      </c>
      <c r="V17" s="2" t="s">
        <v>116</v>
      </c>
      <c r="W17" s="2" t="s">
        <v>116</v>
      </c>
      <c r="X17" s="2" t="s">
        <v>116</v>
      </c>
      <c r="Y17" s="32">
        <f>Sheet1!C17-Sheet1!D17</f>
        <v>0.18129999999999999</v>
      </c>
    </row>
    <row r="18" spans="1:26" ht="29">
      <c r="A18" s="1" t="s">
        <v>21</v>
      </c>
      <c r="B18" s="2" t="s">
        <v>16</v>
      </c>
      <c r="C18" s="3" t="s">
        <v>144</v>
      </c>
      <c r="D18" s="31" t="s">
        <v>22</v>
      </c>
      <c r="E18" s="31" t="s">
        <v>18</v>
      </c>
      <c r="F18" s="31" t="s">
        <v>18</v>
      </c>
      <c r="G18" s="31" t="s">
        <v>18</v>
      </c>
      <c r="H18" s="31" t="s">
        <v>18</v>
      </c>
      <c r="I18" s="31" t="s">
        <v>23</v>
      </c>
      <c r="J18" s="3" t="s">
        <v>32</v>
      </c>
      <c r="K18" s="3" t="str">
        <f>IF(Sheet1!E18="All","N/A",
IF(LEFT(Sheet1!E18,4)="upto","N/A",
IF(LEFT(Sheet1!E18,5)="Above",VALUE(MID(Sheet1!E18,7,2))+1,
IF(ISNUMBER(SEARCH("to",Sheet1!E18)),VALUE(LEFT(Sheet1!E18,FIND(" to",Sheet1!E18)-1)),
"N/A"))))</f>
        <v>N/A</v>
      </c>
      <c r="L18" s="3" t="str">
        <f>IF(Sheet1!E18="All","N/A",
IF(LEFT(Sheet1!E18,4)="upto",VALUE(MID(Sheet1!E18,6,2)),
IF(LEFT(Sheet1!E18,5)="Above","N/A",
IF(ISNUMBER(SEARCH("to",Sheet1!E18)),VALUE(MID(Sheet1!E18,FIND("to ",Sheet1!E18)+3,2)),
"N/A"))))</f>
        <v>N/A</v>
      </c>
      <c r="M18" s="1" t="s">
        <v>20</v>
      </c>
      <c r="N18" s="2" t="s">
        <v>150</v>
      </c>
      <c r="O18" s="2" t="s">
        <v>116</v>
      </c>
      <c r="P18" s="2" t="str">
        <f>IF(Sheet1!A18="No","No",
IF(LEFT(Sheet1!A18,5)="Up to",0,
VALUE(LEFT(Sheet1!A18,FIND(" ",Sheet1!A18)-1))))</f>
        <v>No</v>
      </c>
      <c r="Q18" s="2" t="str">
        <f>IF(Sheet1!A18="No","No",
IF(LEFT(Sheet1!A18,5)="Up to",
VALUE(MID(Sheet1!A18,7,FIND("kg",Sheet1!A18)-7)),
VALUE(MID(Sheet1!A18,FIND("to",Sheet1!A18)+3,FIND("kg",Sheet1!A18)-FIND("to",Sheet1!A18)-3))))</f>
        <v>No</v>
      </c>
      <c r="R18" s="3" t="s">
        <v>116</v>
      </c>
      <c r="S18" s="2" t="s">
        <v>116</v>
      </c>
      <c r="T18" s="2" t="s">
        <v>116</v>
      </c>
      <c r="U18" s="2" t="s">
        <v>116</v>
      </c>
      <c r="V18" s="2" t="s">
        <v>116</v>
      </c>
      <c r="W18" s="2" t="s">
        <v>116</v>
      </c>
      <c r="X18" s="2" t="s">
        <v>116</v>
      </c>
      <c r="Y18" s="32">
        <f>Sheet1!C18-Sheet1!D18</f>
        <v>0.23030000000000003</v>
      </c>
    </row>
    <row r="19" spans="1:26" ht="29">
      <c r="A19" s="1" t="s">
        <v>21</v>
      </c>
      <c r="B19" s="2" t="s">
        <v>16</v>
      </c>
      <c r="C19" s="3" t="s">
        <v>140</v>
      </c>
      <c r="D19" s="31" t="s">
        <v>22</v>
      </c>
      <c r="E19" s="31" t="s">
        <v>18</v>
      </c>
      <c r="F19" s="31" t="s">
        <v>18</v>
      </c>
      <c r="G19" s="31" t="s">
        <v>18</v>
      </c>
      <c r="H19" s="31" t="s">
        <v>18</v>
      </c>
      <c r="I19" s="31" t="s">
        <v>23</v>
      </c>
      <c r="J19" s="3" t="s">
        <v>32</v>
      </c>
      <c r="K19" s="3" t="str">
        <f>IF(Sheet1!E19="All","N/A",
IF(LEFT(Sheet1!E19,4)="upto","N/A",
IF(LEFT(Sheet1!E19,5)="Above",VALUE(MID(Sheet1!E19,7,2))+1,
IF(ISNUMBER(SEARCH("to",Sheet1!E19)),VALUE(LEFT(Sheet1!E19,FIND(" to",Sheet1!E19)-1)),
"N/A"))))</f>
        <v>N/A</v>
      </c>
      <c r="L19" s="3" t="str">
        <f>IF(Sheet1!E19="All","N/A",
IF(LEFT(Sheet1!E19,4)="upto",VALUE(MID(Sheet1!E19,6,2)),
IF(LEFT(Sheet1!E19,5)="Above","N/A",
IF(ISNUMBER(SEARCH("to",Sheet1!E19)),VALUE(MID(Sheet1!E19,FIND("to ",Sheet1!E19)+3,2)),
"N/A"))))</f>
        <v>N/A</v>
      </c>
      <c r="M19" s="1" t="s">
        <v>20</v>
      </c>
      <c r="N19" s="2" t="s">
        <v>150</v>
      </c>
      <c r="O19" s="2" t="s">
        <v>116</v>
      </c>
      <c r="P19" s="2" t="str">
        <f>IF(Sheet1!A19="No","No",
IF(LEFT(Sheet1!A19,5)="Up to",0,
VALUE(LEFT(Sheet1!A19,FIND(" ",Sheet1!A19)-1))))</f>
        <v>No</v>
      </c>
      <c r="Q19" s="2" t="str">
        <f>IF(Sheet1!A19="No","No",
IF(LEFT(Sheet1!A19,5)="Up to",
VALUE(MID(Sheet1!A19,7,FIND("kg",Sheet1!A19)-7)),
VALUE(MID(Sheet1!A19,FIND("to",Sheet1!A19)+3,FIND("kg",Sheet1!A19)-FIND("to",Sheet1!A19)-3))))</f>
        <v>No</v>
      </c>
      <c r="R19" s="3" t="s">
        <v>116</v>
      </c>
      <c r="S19" s="2" t="s">
        <v>116</v>
      </c>
      <c r="T19" s="2" t="s">
        <v>116</v>
      </c>
      <c r="U19" s="2" t="s">
        <v>116</v>
      </c>
      <c r="V19" s="2" t="s">
        <v>116</v>
      </c>
      <c r="W19" s="2" t="s">
        <v>116</v>
      </c>
      <c r="X19" s="2" t="s">
        <v>116</v>
      </c>
      <c r="Y19" s="32">
        <f>Sheet1!C19-Sheet1!D19</f>
        <v>0.10289999999999999</v>
      </c>
    </row>
    <row r="20" spans="1:26" ht="43.5">
      <c r="A20" s="1" t="s">
        <v>21</v>
      </c>
      <c r="B20" s="2" t="s">
        <v>16</v>
      </c>
      <c r="C20" s="3" t="s">
        <v>143</v>
      </c>
      <c r="D20" s="31" t="s">
        <v>22</v>
      </c>
      <c r="E20" s="31" t="s">
        <v>18</v>
      </c>
      <c r="F20" s="31" t="s">
        <v>18</v>
      </c>
      <c r="G20" s="31" t="s">
        <v>18</v>
      </c>
      <c r="H20" s="31" t="s">
        <v>18</v>
      </c>
      <c r="I20" s="31" t="s">
        <v>23</v>
      </c>
      <c r="J20" s="3" t="s">
        <v>28</v>
      </c>
      <c r="K20" s="3" t="str">
        <f>IF(Sheet1!E20="All","N/A",
IF(LEFT(Sheet1!E20,4)="upto","N/A",
IF(LEFT(Sheet1!E20,5)="Above",VALUE(MID(Sheet1!E20,7,2))+1,
IF(ISNUMBER(SEARCH("to",Sheet1!E20)),VALUE(LEFT(Sheet1!E20,FIND(" to",Sheet1!E20)-1)),
"N/A"))))</f>
        <v>N/A</v>
      </c>
      <c r="L20" s="3" t="str">
        <f>IF(Sheet1!E20="All","N/A",
IF(LEFT(Sheet1!E20,4)="upto",VALUE(MID(Sheet1!E20,6,2)),
IF(LEFT(Sheet1!E20,5)="Above","N/A",
IF(ISNUMBER(SEARCH("to",Sheet1!E20)),VALUE(MID(Sheet1!E20,FIND("to ",Sheet1!E20)+3,2)),
"N/A"))))</f>
        <v>N/A</v>
      </c>
      <c r="M20" s="1" t="s">
        <v>17</v>
      </c>
      <c r="N20" s="2" t="s">
        <v>150</v>
      </c>
      <c r="O20" s="2" t="s">
        <v>116</v>
      </c>
      <c r="P20" s="2" t="str">
        <f>IF(Sheet1!A20="No","No",
IF(LEFT(Sheet1!A20,5)="Up to",0,
VALUE(LEFT(Sheet1!A20,FIND(" ",Sheet1!A20)-1))))</f>
        <v>No</v>
      </c>
      <c r="Q20" s="2" t="str">
        <f>IF(Sheet1!A20="No","No",
IF(LEFT(Sheet1!A20,5)="Up to",
VALUE(MID(Sheet1!A20,7,FIND("kg",Sheet1!A20)-7)),
VALUE(MID(Sheet1!A20,FIND("to",Sheet1!A20)+3,FIND("kg",Sheet1!A20)-FIND("to",Sheet1!A20)-3))))</f>
        <v>No</v>
      </c>
      <c r="R20" s="3" t="s">
        <v>116</v>
      </c>
      <c r="S20" s="2" t="s">
        <v>116</v>
      </c>
      <c r="T20" s="2" t="s">
        <v>116</v>
      </c>
      <c r="U20" s="2" t="s">
        <v>116</v>
      </c>
      <c r="V20" s="2" t="s">
        <v>116</v>
      </c>
      <c r="W20" s="2" t="s">
        <v>116</v>
      </c>
      <c r="X20" s="2" t="s">
        <v>116</v>
      </c>
      <c r="Y20" s="32">
        <f>Sheet1!C20-Sheet1!D20</f>
        <v>2.4500000000000008E-2</v>
      </c>
    </row>
    <row r="21" spans="1:26" ht="43.5">
      <c r="A21" s="1" t="s">
        <v>21</v>
      </c>
      <c r="B21" s="2" t="s">
        <v>16</v>
      </c>
      <c r="C21" s="3" t="s">
        <v>143</v>
      </c>
      <c r="D21" s="31" t="s">
        <v>22</v>
      </c>
      <c r="E21" s="31" t="s">
        <v>18</v>
      </c>
      <c r="F21" s="31" t="s">
        <v>18</v>
      </c>
      <c r="G21" s="31" t="s">
        <v>18</v>
      </c>
      <c r="H21" s="31" t="s">
        <v>18</v>
      </c>
      <c r="I21" s="31" t="s">
        <v>23</v>
      </c>
      <c r="J21" s="3" t="s">
        <v>28</v>
      </c>
      <c r="K21" s="3" t="str">
        <f>IF(Sheet1!E21="All","N/A",
IF(LEFT(Sheet1!E21,4)="upto","N/A",
IF(LEFT(Sheet1!E21,5)="Above",VALUE(MID(Sheet1!E21,7,2))+1,
IF(ISNUMBER(SEARCH("to",Sheet1!E21)),VALUE(LEFT(Sheet1!E21,FIND(" to",Sheet1!E21)-1)),
"N/A"))))</f>
        <v>N/A</v>
      </c>
      <c r="L21" s="3" t="str">
        <f>IF(Sheet1!E21="All","N/A",
IF(LEFT(Sheet1!E21,4)="upto",VALUE(MID(Sheet1!E21,6,2)),
IF(LEFT(Sheet1!E21,5)="Above","N/A",
IF(ISNUMBER(SEARCH("to",Sheet1!E21)),VALUE(MID(Sheet1!E21,FIND("to ",Sheet1!E21)+3,2)),
"N/A"))))</f>
        <v>N/A</v>
      </c>
      <c r="M21" s="1" t="s">
        <v>20</v>
      </c>
      <c r="N21" s="2" t="s">
        <v>150</v>
      </c>
      <c r="O21" s="2" t="s">
        <v>116</v>
      </c>
      <c r="P21" s="2" t="str">
        <f>IF(Sheet1!A21="No","No",
IF(LEFT(Sheet1!A21,5)="Up to",0,
VALUE(LEFT(Sheet1!A21,FIND(" ",Sheet1!A21)-1))))</f>
        <v>No</v>
      </c>
      <c r="Q21" s="2" t="str">
        <f>IF(Sheet1!A21="No","No",
IF(LEFT(Sheet1!A21,5)="Up to",
VALUE(MID(Sheet1!A21,7,FIND("kg",Sheet1!A21)-7)),
VALUE(MID(Sheet1!A21,FIND("to",Sheet1!A21)+3,FIND("kg",Sheet1!A21)-FIND("to",Sheet1!A21)-3))))</f>
        <v>No</v>
      </c>
      <c r="R21" s="3" t="s">
        <v>116</v>
      </c>
      <c r="S21" s="2" t="s">
        <v>116</v>
      </c>
      <c r="T21" s="2" t="s">
        <v>116</v>
      </c>
      <c r="U21" s="2" t="s">
        <v>116</v>
      </c>
      <c r="V21" s="2" t="s">
        <v>116</v>
      </c>
      <c r="W21" s="2" t="s">
        <v>116</v>
      </c>
      <c r="X21" s="2" t="s">
        <v>116</v>
      </c>
      <c r="Y21" s="32">
        <f>Sheet1!C21-Sheet1!D21</f>
        <v>8.3300000000000013E-2</v>
      </c>
    </row>
    <row r="22" spans="1:26" ht="29">
      <c r="A22" s="11" t="s">
        <v>21</v>
      </c>
      <c r="B22" s="12" t="s">
        <v>16</v>
      </c>
      <c r="C22" s="15" t="s">
        <v>144</v>
      </c>
      <c r="D22" s="30" t="s">
        <v>22</v>
      </c>
      <c r="E22" s="30" t="s">
        <v>18</v>
      </c>
      <c r="F22" s="30" t="s">
        <v>18</v>
      </c>
      <c r="G22" s="30" t="s">
        <v>18</v>
      </c>
      <c r="H22" s="30" t="s">
        <v>18</v>
      </c>
      <c r="I22" s="30" t="s">
        <v>23</v>
      </c>
      <c r="J22" s="3" t="s">
        <v>28</v>
      </c>
      <c r="K22" s="15" t="str">
        <f>IF(Sheet1!E22="All","N/A",
IF(LEFT(Sheet1!E22,4)="upto","N/A",
IF(LEFT(Sheet1!E22,5)="Above",VALUE(MID(Sheet1!E22,7,2))+1,
IF(ISNUMBER(SEARCH("to",Sheet1!E22)),VALUE(LEFT(Sheet1!E22,FIND(" to",Sheet1!E22)-1)),
"N/A"))))</f>
        <v>N/A</v>
      </c>
      <c r="L22" s="15" t="str">
        <f>IF(Sheet1!E22="All","N/A",
IF(LEFT(Sheet1!E22,4)="upto",VALUE(MID(Sheet1!E22,6,2)),
IF(LEFT(Sheet1!E22,5)="Above","N/A",
IF(ISNUMBER(SEARCH("to",Sheet1!E22)),VALUE(MID(Sheet1!E22,FIND("to ",Sheet1!E22)+3,2)),
"N/A"))))</f>
        <v>N/A</v>
      </c>
      <c r="M22" s="11" t="s">
        <v>20</v>
      </c>
      <c r="N22" s="12" t="s">
        <v>150</v>
      </c>
      <c r="O22" s="12" t="s">
        <v>116</v>
      </c>
      <c r="P22" s="12" t="str">
        <f>IF(Sheet1!A22="No","No",
IF(LEFT(Sheet1!A22,5)="Up to",0,
VALUE(LEFT(Sheet1!A22,FIND(" ",Sheet1!A22)-1))))</f>
        <v>No</v>
      </c>
      <c r="Q22" s="12" t="str">
        <f>IF(Sheet1!A22="No","No",
IF(LEFT(Sheet1!A22,5)="Up to",
VALUE(MID(Sheet1!A22,7,FIND("kg",Sheet1!A22)-7)),
VALUE(MID(Sheet1!A22,FIND("to",Sheet1!A22)+3,FIND("kg",Sheet1!A22)-FIND("to",Sheet1!A22)-3))))</f>
        <v>No</v>
      </c>
      <c r="R22" s="15" t="s">
        <v>116</v>
      </c>
      <c r="S22" s="12" t="s">
        <v>116</v>
      </c>
      <c r="T22" s="12" t="s">
        <v>116</v>
      </c>
      <c r="U22" s="12" t="s">
        <v>116</v>
      </c>
      <c r="V22" s="12" t="s">
        <v>116</v>
      </c>
      <c r="W22" s="12" t="s">
        <v>116</v>
      </c>
      <c r="X22" s="12" t="s">
        <v>116</v>
      </c>
      <c r="Y22" s="37">
        <f>Sheet1!C22-Sheet1!D22</f>
        <v>4.41E-2</v>
      </c>
    </row>
    <row r="23" spans="1:26" ht="29">
      <c r="A23" s="11" t="s">
        <v>36</v>
      </c>
      <c r="B23" s="12" t="s">
        <v>16</v>
      </c>
      <c r="C23" s="24" t="s">
        <v>35</v>
      </c>
      <c r="D23" s="30" t="s">
        <v>22</v>
      </c>
      <c r="E23" s="30" t="s">
        <v>18</v>
      </c>
      <c r="F23" s="30" t="s">
        <v>18</v>
      </c>
      <c r="G23" s="30" t="s">
        <v>18</v>
      </c>
      <c r="H23" s="30" t="s">
        <v>18</v>
      </c>
      <c r="I23" s="30" t="s">
        <v>23</v>
      </c>
      <c r="J23" s="24" t="s">
        <v>31</v>
      </c>
      <c r="K23" s="24" t="str">
        <f>IF(Sheet1!E23="All","N/A",
IF(LEFT(Sheet1!E23,4)="upto","N/A",
IF(LEFT(Sheet1!E23,5)="Above",VALUE(MID(Sheet1!E23,7,2))+1,
IF(ISNUMBER(SEARCH("to",Sheet1!E23)),VALUE(LEFT(Sheet1!E23,FIND(" to",Sheet1!E23)-1)),
"N/A"))))</f>
        <v>N/A</v>
      </c>
      <c r="L23" s="24" t="str">
        <f>IF(Sheet1!E23="All","N/A",
IF(LEFT(Sheet1!E23,4)="upto",VALUE(MID(Sheet1!E23,6,2)),
IF(LEFT(Sheet1!E23,5)="Above","N/A",
IF(ISNUMBER(SEARCH("to",Sheet1!E23)),VALUE(MID(Sheet1!E23,FIND("to ",Sheet1!E23)+3,2)),
"N/A"))))</f>
        <v>N/A</v>
      </c>
      <c r="M23" s="1" t="s">
        <v>17</v>
      </c>
      <c r="N23" s="12" t="s">
        <v>150</v>
      </c>
      <c r="O23" s="12" t="s">
        <v>116</v>
      </c>
      <c r="P23" s="12" t="str">
        <f>IF(Sheet1!A23="No","No",
IF(LEFT(Sheet1!A23,5)="Up to",0,
VALUE(LEFT(Sheet1!A23,FIND(" ",Sheet1!A23)-1))))</f>
        <v>No</v>
      </c>
      <c r="Q23" s="12" t="str">
        <f>IF(Sheet1!A23="No","No",
IF(LEFT(Sheet1!A23,5)="Up to",
VALUE(MID(Sheet1!A23,7,FIND("kg",Sheet1!A23)-7)),
VALUE(MID(Sheet1!A23,FIND("to",Sheet1!A23)+3,FIND("kg",Sheet1!A23)-FIND("to",Sheet1!A23)-3))))</f>
        <v>No</v>
      </c>
      <c r="R23" s="15" t="s">
        <v>116</v>
      </c>
      <c r="S23" s="12" t="s">
        <v>116</v>
      </c>
      <c r="T23" s="12" t="s">
        <v>116</v>
      </c>
      <c r="U23" s="12" t="s">
        <v>116</v>
      </c>
      <c r="V23" s="17" t="s">
        <v>37</v>
      </c>
      <c r="W23" s="12" t="s">
        <v>116</v>
      </c>
      <c r="X23" s="12" t="s">
        <v>116</v>
      </c>
      <c r="Y23" s="37">
        <f>Sheet1!C23-Sheet1!D23</f>
        <v>0.22540000000000004</v>
      </c>
    </row>
    <row r="24" spans="1:26">
      <c r="A24" s="38" t="s">
        <v>38</v>
      </c>
      <c r="B24" s="12" t="s">
        <v>16</v>
      </c>
      <c r="C24" s="24" t="s">
        <v>35</v>
      </c>
      <c r="D24" s="30" t="s">
        <v>22</v>
      </c>
      <c r="E24" s="30" t="s">
        <v>18</v>
      </c>
      <c r="F24" s="30" t="s">
        <v>18</v>
      </c>
      <c r="G24" s="30" t="s">
        <v>18</v>
      </c>
      <c r="H24" s="30" t="s">
        <v>18</v>
      </c>
      <c r="I24" s="30" t="s">
        <v>23</v>
      </c>
      <c r="J24" s="3" t="s">
        <v>28</v>
      </c>
      <c r="K24" s="15" t="str">
        <f>IF(Sheet1!E24="All","N/A",
IF(LEFT(Sheet1!E24,4)="upto","N/A",
IF(LEFT(Sheet1!E24,5)="Above",VALUE(MID(Sheet1!E24,7,2))+1,
IF(ISNUMBER(SEARCH("to",Sheet1!E24)),VALUE(LEFT(Sheet1!E24,FIND(" to",Sheet1!E24)-1)),
"N/A"))))</f>
        <v>N/A</v>
      </c>
      <c r="L24" s="15" t="str">
        <f>IF(Sheet1!E24="All","N/A",
IF(LEFT(Sheet1!E24,4)="upto",VALUE(MID(Sheet1!E24,6,2)),
IF(LEFT(Sheet1!E24,5)="Above","N/A",
IF(ISNUMBER(SEARCH("to",Sheet1!E24)),VALUE(MID(Sheet1!E24,FIND("to ",Sheet1!E24)+3,2)),
"N/A"))))</f>
        <v>N/A</v>
      </c>
      <c r="M24" s="1" t="s">
        <v>17</v>
      </c>
      <c r="N24" s="17" t="s">
        <v>39</v>
      </c>
      <c r="O24" s="12" t="s">
        <v>116</v>
      </c>
      <c r="P24" s="12" t="str">
        <f>IF(Sheet1!A24="No","No",
IF(LEFT(Sheet1!A24,5)="Up to",0,
VALUE(LEFT(Sheet1!A24,FIND(" ",Sheet1!A24)-1))))</f>
        <v>No</v>
      </c>
      <c r="Q24" s="12" t="str">
        <f>IF(Sheet1!A24="No","No",
IF(LEFT(Sheet1!A24,5)="Up to",
VALUE(MID(Sheet1!A24,7,FIND("kg",Sheet1!A24)-7)),
VALUE(MID(Sheet1!A24,FIND("to",Sheet1!A24)+3,FIND("kg",Sheet1!A24)-FIND("to",Sheet1!A24)-3))))</f>
        <v>No</v>
      </c>
      <c r="R24" s="15" t="s">
        <v>116</v>
      </c>
      <c r="S24" s="12" t="s">
        <v>116</v>
      </c>
      <c r="T24" s="12" t="s">
        <v>116</v>
      </c>
      <c r="U24" s="12" t="s">
        <v>116</v>
      </c>
      <c r="V24" s="17" t="s">
        <v>116</v>
      </c>
      <c r="W24" s="12" t="s">
        <v>116</v>
      </c>
      <c r="X24" s="12" t="s">
        <v>116</v>
      </c>
      <c r="Y24" s="37">
        <f>Sheet1!C24-Sheet1!D24</f>
        <v>0.49490000000000001</v>
      </c>
    </row>
    <row r="25" spans="1:26" ht="29">
      <c r="A25" s="13" t="s">
        <v>38</v>
      </c>
      <c r="B25" s="2" t="s">
        <v>16</v>
      </c>
      <c r="C25" s="16" t="s">
        <v>135</v>
      </c>
      <c r="D25" s="31" t="s">
        <v>22</v>
      </c>
      <c r="E25" s="31" t="s">
        <v>18</v>
      </c>
      <c r="F25" s="31" t="s">
        <v>18</v>
      </c>
      <c r="G25" s="31" t="s">
        <v>18</v>
      </c>
      <c r="H25" s="31" t="s">
        <v>18</v>
      </c>
      <c r="I25" s="31" t="s">
        <v>23</v>
      </c>
      <c r="J25" s="16" t="s">
        <v>32</v>
      </c>
      <c r="K25" s="16" t="str">
        <f>IF(Sheet1!E25="All","N/A",
IF(LEFT(Sheet1!E25,4)="upto","N/A",
IF(LEFT(Sheet1!E25,5)="Above",VALUE(MID(Sheet1!E25,7,2))+1,
IF(ISNUMBER(SEARCH("to",Sheet1!E25)),VALUE(LEFT(Sheet1!E25,FIND(" to",Sheet1!E25)-1)),
"N/A"))))</f>
        <v>N/A</v>
      </c>
      <c r="L25" s="16" t="str">
        <f>IF(Sheet1!E25="All","N/A",
IF(LEFT(Sheet1!E25,4)="upto",VALUE(MID(Sheet1!E25,6,2)),
IF(LEFT(Sheet1!E25,5)="Above","N/A",
IF(ISNUMBER(SEARCH("to",Sheet1!E25)),VALUE(MID(Sheet1!E25,FIND("to ",Sheet1!E25)+3,2)),
"N/A"))))</f>
        <v>N/A</v>
      </c>
      <c r="M25" s="1" t="s">
        <v>17</v>
      </c>
      <c r="N25" s="21" t="s">
        <v>150</v>
      </c>
      <c r="O25" s="2" t="s">
        <v>116</v>
      </c>
      <c r="P25" s="2" t="str">
        <f>IF(Sheet1!A25="No","No",
IF(LEFT(Sheet1!A25,5)="Up to",0,
VALUE(LEFT(Sheet1!A25,FIND(" ",Sheet1!A25)-1))))</f>
        <v>No</v>
      </c>
      <c r="Q25" s="2" t="str">
        <f>IF(Sheet1!A25="No","No",
IF(LEFT(Sheet1!A25,5)="Up to",
VALUE(MID(Sheet1!A25,7,FIND("kg",Sheet1!A25)-7)),
VALUE(MID(Sheet1!A25,FIND("to",Sheet1!A25)+3,FIND("kg",Sheet1!A25)-FIND("to",Sheet1!A25)-3))))</f>
        <v>No</v>
      </c>
      <c r="R25" s="3" t="s">
        <v>116</v>
      </c>
      <c r="S25" s="2" t="s">
        <v>116</v>
      </c>
      <c r="T25" s="2" t="s">
        <v>116</v>
      </c>
      <c r="U25" s="2" t="s">
        <v>116</v>
      </c>
      <c r="V25" s="17" t="s">
        <v>116</v>
      </c>
      <c r="W25" s="2" t="s">
        <v>116</v>
      </c>
      <c r="X25" s="2" t="s">
        <v>116</v>
      </c>
      <c r="Y25" s="32">
        <f>Sheet1!C25-Sheet1!D25</f>
        <v>5.390000000000001E-2</v>
      </c>
    </row>
    <row r="26" spans="1:26" ht="29">
      <c r="A26" s="13" t="s">
        <v>38</v>
      </c>
      <c r="B26" s="2" t="s">
        <v>16</v>
      </c>
      <c r="C26" s="25" t="s">
        <v>136</v>
      </c>
      <c r="D26" s="31" t="s">
        <v>22</v>
      </c>
      <c r="E26" s="31" t="s">
        <v>18</v>
      </c>
      <c r="F26" s="31" t="s">
        <v>18</v>
      </c>
      <c r="G26" s="31" t="s">
        <v>18</v>
      </c>
      <c r="H26" s="31" t="s">
        <v>18</v>
      </c>
      <c r="I26" s="31" t="s">
        <v>23</v>
      </c>
      <c r="J26" s="16" t="s">
        <v>32</v>
      </c>
      <c r="K26" s="16" t="str">
        <f>IF(Sheet1!E26="All","N/A",
IF(LEFT(Sheet1!E26,4)="upto","N/A",
IF(LEFT(Sheet1!E26,5)="Above",VALUE(MID(Sheet1!E26,7,2))+1,
IF(ISNUMBER(SEARCH("to",Sheet1!E26)),VALUE(LEFT(Sheet1!E26,FIND(" to",Sheet1!E26)-1)),
"N/A"))))</f>
        <v>N/A</v>
      </c>
      <c r="L26" s="16" t="str">
        <f>IF(Sheet1!E26="All","N/A",
IF(LEFT(Sheet1!E26,4)="upto",VALUE(MID(Sheet1!E26,6,2)),
IF(LEFT(Sheet1!E26,5)="Above","N/A",
IF(ISNUMBER(SEARCH("to",Sheet1!E26)),VALUE(MID(Sheet1!E26,FIND("to ",Sheet1!E26)+3,2)),
"N/A"))))</f>
        <v>N/A</v>
      </c>
      <c r="M26" s="1" t="s">
        <v>17</v>
      </c>
      <c r="N26" s="21" t="s">
        <v>150</v>
      </c>
      <c r="O26" s="2" t="s">
        <v>116</v>
      </c>
      <c r="P26" s="2" t="str">
        <f>IF(Sheet1!A26="No","No",
IF(LEFT(Sheet1!A26,5)="Up to",0,
VALUE(LEFT(Sheet1!A26,FIND(" ",Sheet1!A26)-1))))</f>
        <v>No</v>
      </c>
      <c r="Q26" s="2" t="str">
        <f>IF(Sheet1!A26="No","No",
IF(LEFT(Sheet1!A26,5)="Up to",
VALUE(MID(Sheet1!A26,7,FIND("kg",Sheet1!A26)-7)),
VALUE(MID(Sheet1!A26,FIND("to",Sheet1!A26)+3,FIND("kg",Sheet1!A26)-FIND("to",Sheet1!A26)-3))))</f>
        <v>No</v>
      </c>
      <c r="R26" s="3" t="s">
        <v>116</v>
      </c>
      <c r="S26" s="2" t="s">
        <v>116</v>
      </c>
      <c r="T26" s="2" t="s">
        <v>116</v>
      </c>
      <c r="U26" s="2" t="s">
        <v>116</v>
      </c>
      <c r="V26" s="17" t="s">
        <v>116</v>
      </c>
      <c r="W26" s="2" t="s">
        <v>116</v>
      </c>
      <c r="X26" s="2" t="s">
        <v>116</v>
      </c>
      <c r="Y26" s="37">
        <f>Sheet1!C26-Sheet1!D26</f>
        <v>8.3300000000000013E-2</v>
      </c>
    </row>
    <row r="27" spans="1:26" ht="29">
      <c r="A27" s="14" t="s">
        <v>40</v>
      </c>
      <c r="B27" s="2" t="s">
        <v>16</v>
      </c>
      <c r="C27" s="24" t="s">
        <v>35</v>
      </c>
      <c r="D27" s="31" t="s">
        <v>22</v>
      </c>
      <c r="E27" s="31" t="s">
        <v>18</v>
      </c>
      <c r="F27" s="31" t="s">
        <v>18</v>
      </c>
      <c r="G27" s="31" t="s">
        <v>18</v>
      </c>
      <c r="H27" s="31" t="s">
        <v>18</v>
      </c>
      <c r="I27" s="31" t="s">
        <v>23</v>
      </c>
      <c r="J27" s="16" t="s">
        <v>31</v>
      </c>
      <c r="K27" s="16" t="str">
        <f>IF(Sheet1!E27="All","N/A",
IF(LEFT(Sheet1!E27,4)="upto","N/A",
IF(LEFT(Sheet1!E27,5)="Above",VALUE(MID(Sheet1!E27,7,2))+1,
IF(ISNUMBER(SEARCH("to",Sheet1!E27)),VALUE(LEFT(Sheet1!E27,FIND(" to",Sheet1!E27)-1)),
"N/A"))))</f>
        <v>N/A</v>
      </c>
      <c r="L27" s="16" t="str">
        <f>IF(Sheet1!E27="All","N/A",
IF(LEFT(Sheet1!E27,4)="upto",VALUE(MID(Sheet1!E27,6,2)),
IF(LEFT(Sheet1!E27,5)="Above","N/A",
IF(ISNUMBER(SEARCH("to",Sheet1!E27)),VALUE(MID(Sheet1!E27,FIND("to ",Sheet1!E27)+3,2)),
"N/A"))))</f>
        <v>N/A</v>
      </c>
      <c r="M27" s="29" t="s">
        <v>30</v>
      </c>
      <c r="N27" s="21" t="s">
        <v>150</v>
      </c>
      <c r="O27" s="2" t="s">
        <v>116</v>
      </c>
      <c r="P27" s="2" t="str">
        <f>IF(Sheet1!A27="No","No",
IF(LEFT(Sheet1!A27,5)="Up to",0,
VALUE(LEFT(Sheet1!A27,FIND(" ",Sheet1!A27)-1))))</f>
        <v>No</v>
      </c>
      <c r="Q27" s="2" t="str">
        <f>IF(Sheet1!A27="No","No",
IF(LEFT(Sheet1!A27,5)="Up to",
VALUE(MID(Sheet1!A27,7,FIND("kg",Sheet1!A27)-7)),
VALUE(MID(Sheet1!A27,FIND("to",Sheet1!A27)+3,FIND("kg",Sheet1!A27)-FIND("to",Sheet1!A27)-3))))</f>
        <v>No</v>
      </c>
      <c r="R27" s="3" t="s">
        <v>116</v>
      </c>
      <c r="S27" s="2" t="s">
        <v>116</v>
      </c>
      <c r="T27" s="2" t="s">
        <v>116</v>
      </c>
      <c r="U27" s="2" t="s">
        <v>116</v>
      </c>
      <c r="V27" s="17" t="s">
        <v>116</v>
      </c>
      <c r="W27" s="2" t="s">
        <v>116</v>
      </c>
      <c r="X27" s="2" t="s">
        <v>116</v>
      </c>
      <c r="Y27" s="37">
        <f>Sheet1!C27-Sheet1!D27</f>
        <v>0.2989</v>
      </c>
    </row>
    <row r="28" spans="1:26" ht="29">
      <c r="A28" s="13" t="s">
        <v>40</v>
      </c>
      <c r="B28" s="2" t="s">
        <v>16</v>
      </c>
      <c r="C28" s="16" t="s">
        <v>147</v>
      </c>
      <c r="D28" s="31" t="s">
        <v>22</v>
      </c>
      <c r="E28" s="31" t="s">
        <v>18</v>
      </c>
      <c r="F28" s="31" t="s">
        <v>18</v>
      </c>
      <c r="G28" s="31" t="s">
        <v>18</v>
      </c>
      <c r="H28" s="31" t="s">
        <v>18</v>
      </c>
      <c r="I28" s="31" t="s">
        <v>23</v>
      </c>
      <c r="J28" s="16" t="s">
        <v>31</v>
      </c>
      <c r="K28" s="16" t="str">
        <f>IF(Sheet1!E28="All","N/A",
IF(LEFT(Sheet1!E28,4)="upto","N/A",
IF(LEFT(Sheet1!E28,5)="Above",VALUE(MID(Sheet1!E28,7,2))+1,
IF(ISNUMBER(SEARCH("to",Sheet1!E28)),VALUE(LEFT(Sheet1!E28,FIND(" to",Sheet1!E28)-1)),
"N/A"))))</f>
        <v>N/A</v>
      </c>
      <c r="L28" s="16" t="str">
        <f>IF(Sheet1!E28="All","N/A",
IF(LEFT(Sheet1!E28,4)="upto",VALUE(MID(Sheet1!E28,6,2)),
IF(LEFT(Sheet1!E28,5)="Above","N/A",
IF(ISNUMBER(SEARCH("to",Sheet1!E28)),VALUE(MID(Sheet1!E28,FIND("to ",Sheet1!E28)+3,2)),
"N/A"))))</f>
        <v>N/A</v>
      </c>
      <c r="M28" s="29" t="s">
        <v>30</v>
      </c>
      <c r="N28" s="21" t="s">
        <v>150</v>
      </c>
      <c r="O28" s="2" t="s">
        <v>116</v>
      </c>
      <c r="P28" s="2" t="str">
        <f>IF(Sheet1!A28="No","No",
IF(LEFT(Sheet1!A28,5)="Up to",0,
VALUE(LEFT(Sheet1!A28,FIND(" ",Sheet1!A28)-1))))</f>
        <v>No</v>
      </c>
      <c r="Q28" s="2" t="str">
        <f>IF(Sheet1!A28="No","No",
IF(LEFT(Sheet1!A28,5)="Up to",
VALUE(MID(Sheet1!A28,7,FIND("kg",Sheet1!A28)-7)),
VALUE(MID(Sheet1!A28,FIND("to",Sheet1!A28)+3,FIND("kg",Sheet1!A28)-FIND("to",Sheet1!A28)-3))))</f>
        <v>No</v>
      </c>
      <c r="R28" s="3" t="s">
        <v>116</v>
      </c>
      <c r="S28" s="2" t="s">
        <v>116</v>
      </c>
      <c r="T28" s="2" t="s">
        <v>116</v>
      </c>
      <c r="U28" s="2" t="s">
        <v>116</v>
      </c>
      <c r="V28" s="21" t="s">
        <v>116</v>
      </c>
      <c r="W28" s="2" t="s">
        <v>116</v>
      </c>
      <c r="X28" s="2" t="s">
        <v>116</v>
      </c>
      <c r="Y28" s="32">
        <f>Sheet1!C28-Sheet1!D28</f>
        <v>0.28910000000000002</v>
      </c>
    </row>
    <row r="29" spans="1:26" ht="29">
      <c r="A29" s="14" t="s">
        <v>41</v>
      </c>
      <c r="B29" s="17" t="s">
        <v>42</v>
      </c>
      <c r="C29" s="24" t="s">
        <v>135</v>
      </c>
      <c r="D29" s="31" t="s">
        <v>22</v>
      </c>
      <c r="E29" s="31" t="s">
        <v>18</v>
      </c>
      <c r="F29" s="31" t="s">
        <v>18</v>
      </c>
      <c r="G29" s="31" t="s">
        <v>18</v>
      </c>
      <c r="H29" s="31" t="s">
        <v>18</v>
      </c>
      <c r="I29" s="31" t="s">
        <v>23</v>
      </c>
      <c r="J29" s="16" t="s">
        <v>31</v>
      </c>
      <c r="K29" s="16" t="str">
        <f>IF(Sheet1!E29="All","N/A",
IF(LEFT(Sheet1!E29,4)="upto","N/A",
IF(LEFT(Sheet1!E29,5)="Above",VALUE(MID(Sheet1!E29,7,2))+1,
IF(ISNUMBER(SEARCH("to",Sheet1!E29)),VALUE(LEFT(Sheet1!E29,FIND(" to",Sheet1!E29)-1)),
"N/A"))))</f>
        <v>N/A</v>
      </c>
      <c r="L29" s="16" t="str">
        <f>IF(Sheet1!E29="All","N/A",
IF(LEFT(Sheet1!E29,4)="upto",VALUE(MID(Sheet1!E29,6,2)),
IF(LEFT(Sheet1!E29,5)="Above","N/A",
IF(ISNUMBER(SEARCH("to",Sheet1!E29)),VALUE(MID(Sheet1!E29,FIND("to ",Sheet1!E29)+3,2)),
"N/A"))))</f>
        <v>N/A</v>
      </c>
      <c r="M29" s="29" t="s">
        <v>30</v>
      </c>
      <c r="N29" s="21" t="s">
        <v>150</v>
      </c>
      <c r="O29" s="2" t="s">
        <v>116</v>
      </c>
      <c r="P29" s="2" t="str">
        <f>IF(Sheet1!A29="No","No",
IF(LEFT(Sheet1!A29,5)="Up to",0,
VALUE(LEFT(Sheet1!A29,FIND(" ",Sheet1!A29)-1))))</f>
        <v>No</v>
      </c>
      <c r="Q29" s="2" t="str">
        <f>IF(Sheet1!A29="No","No",
IF(LEFT(Sheet1!A29,5)="Up to",
VALUE(MID(Sheet1!A29,7,FIND("kg",Sheet1!A29)-7)),
VALUE(MID(Sheet1!A29,FIND("to",Sheet1!A29)+3,FIND("kg",Sheet1!A29)-FIND("to",Sheet1!A29)-3))))</f>
        <v>No</v>
      </c>
      <c r="R29" s="3" t="s">
        <v>116</v>
      </c>
      <c r="S29" s="2" t="s">
        <v>116</v>
      </c>
      <c r="T29" s="2" t="s">
        <v>116</v>
      </c>
      <c r="U29" s="2" t="s">
        <v>116</v>
      </c>
      <c r="V29" s="21" t="s">
        <v>116</v>
      </c>
      <c r="W29" s="2" t="s">
        <v>116</v>
      </c>
      <c r="X29" s="2" t="s">
        <v>116</v>
      </c>
      <c r="Y29" s="37">
        <f>Sheet1!C29-Sheet1!D29</f>
        <v>0.35770000000000002</v>
      </c>
    </row>
    <row r="30" spans="1:26" ht="29">
      <c r="A30" s="14" t="s">
        <v>41</v>
      </c>
      <c r="B30" s="17" t="s">
        <v>42</v>
      </c>
      <c r="C30" s="25" t="s">
        <v>136</v>
      </c>
      <c r="D30" s="31" t="s">
        <v>22</v>
      </c>
      <c r="E30" s="31" t="s">
        <v>18</v>
      </c>
      <c r="F30" s="31" t="s">
        <v>18</v>
      </c>
      <c r="G30" s="31" t="s">
        <v>18</v>
      </c>
      <c r="H30" s="31" t="s">
        <v>18</v>
      </c>
      <c r="I30" s="31" t="s">
        <v>23</v>
      </c>
      <c r="J30" s="16" t="s">
        <v>31</v>
      </c>
      <c r="K30" s="16" t="str">
        <f>IF(Sheet1!E30="All","N/A",
IF(LEFT(Sheet1!E30,4)="upto","N/A",
IF(LEFT(Sheet1!E30,5)="Above",VALUE(MID(Sheet1!E30,7,2))+1,
IF(ISNUMBER(SEARCH("to",Sheet1!E30)),VALUE(LEFT(Sheet1!E30,FIND(" to",Sheet1!E30)-1)),
"N/A"))))</f>
        <v>N/A</v>
      </c>
      <c r="L30" s="16" t="str">
        <f>IF(Sheet1!E30="All","N/A",
IF(LEFT(Sheet1!E30,4)="upto",VALUE(MID(Sheet1!E30,6,2)),
IF(LEFT(Sheet1!E30,5)="Above","N/A",
IF(ISNUMBER(SEARCH("to",Sheet1!E30)),VALUE(MID(Sheet1!E30,FIND("to ",Sheet1!E30)+3,2)),
"N/A"))))</f>
        <v>N/A</v>
      </c>
      <c r="M30" s="29" t="s">
        <v>30</v>
      </c>
      <c r="N30" s="21" t="s">
        <v>150</v>
      </c>
      <c r="O30" s="2" t="s">
        <v>116</v>
      </c>
      <c r="P30" s="2" t="str">
        <f>IF(Sheet1!A30="No","No",
IF(LEFT(Sheet1!A30,5)="Up to",0,
VALUE(LEFT(Sheet1!A30,FIND(" ",Sheet1!A30)-1))))</f>
        <v>No</v>
      </c>
      <c r="Q30" s="2" t="str">
        <f>IF(Sheet1!A30="No","No",
IF(LEFT(Sheet1!A30,5)="Up to",
VALUE(MID(Sheet1!A30,7,FIND("kg",Sheet1!A30)-7)),
VALUE(MID(Sheet1!A30,FIND("to",Sheet1!A30)+3,FIND("kg",Sheet1!A30)-FIND("to",Sheet1!A30)-3))))</f>
        <v>No</v>
      </c>
      <c r="R30" s="3" t="s">
        <v>116</v>
      </c>
      <c r="S30" s="2" t="s">
        <v>116</v>
      </c>
      <c r="T30" s="2" t="s">
        <v>116</v>
      </c>
      <c r="U30" s="2" t="s">
        <v>116</v>
      </c>
      <c r="V30" s="21" t="s">
        <v>116</v>
      </c>
      <c r="W30" s="2" t="s">
        <v>116</v>
      </c>
      <c r="X30" s="2" t="s">
        <v>116</v>
      </c>
      <c r="Y30" s="37">
        <f>Sheet1!C30-Sheet1!D30</f>
        <v>0.36259999999999998</v>
      </c>
    </row>
    <row r="31" spans="1:26" ht="43.5">
      <c r="A31" s="19" t="s">
        <v>21</v>
      </c>
      <c r="B31" s="17" t="s">
        <v>16</v>
      </c>
      <c r="C31" s="24" t="s">
        <v>44</v>
      </c>
      <c r="D31" s="31" t="s">
        <v>22</v>
      </c>
      <c r="E31" s="31" t="s">
        <v>18</v>
      </c>
      <c r="F31" s="31" t="s">
        <v>18</v>
      </c>
      <c r="G31" s="31" t="s">
        <v>18</v>
      </c>
      <c r="H31" s="31" t="s">
        <v>18</v>
      </c>
      <c r="I31" s="31" t="s">
        <v>50</v>
      </c>
      <c r="J31" s="3" t="s">
        <v>28</v>
      </c>
      <c r="K31" s="3" t="str">
        <f>IF(Sheet1!E31="All","N/A",
IF(LEFT(Sheet1!E31,4)="upto","N/A",
IF(LEFT(Sheet1!E31,5)="Above",VALUE(MID(Sheet1!E31,7,2))+1,
IF(ISNUMBER(SEARCH("to",Sheet1!E31)),VALUE(LEFT(Sheet1!E31,FIND(" to",Sheet1!E31)-1)),
"N/A"))))</f>
        <v>N/A</v>
      </c>
      <c r="L31" s="3" t="str">
        <f>IF(Sheet1!E31="All","N/A",
IF(LEFT(Sheet1!E31,4)="upto",VALUE(MID(Sheet1!E31,6,2)),
IF(LEFT(Sheet1!E31,5)="Above","N/A",
IF(ISNUMBER(SEARCH("to",Sheet1!E31)),VALUE(MID(Sheet1!E31,FIND("to ",Sheet1!E31)+3,2)),
"N/A"))))</f>
        <v>N/A</v>
      </c>
      <c r="M31" s="3" t="s">
        <v>17</v>
      </c>
      <c r="N31" s="21" t="s">
        <v>150</v>
      </c>
      <c r="O31" s="3" t="s">
        <v>116</v>
      </c>
      <c r="P31" s="3">
        <f>IF(Sheet1!A31="No","No",
IF(LEFT(Sheet1!A31,5)="Up to",0,
VALUE(LEFT(Sheet1!A31,FIND(" ",Sheet1!A31)-1))))</f>
        <v>0</v>
      </c>
      <c r="Q31" s="3">
        <f>IF(Sheet1!A31="No","No",
IF(LEFT(Sheet1!A31,5)="Up to",
VALUE(MID(Sheet1!A31,7,FIND("kg",Sheet1!A31)-7)),
VALUE(MID(Sheet1!A31,FIND("to",Sheet1!A31)+3,FIND("kg",Sheet1!A31)-FIND("to",Sheet1!A31)-3))))</f>
        <v>2300</v>
      </c>
      <c r="R31" s="3" t="s">
        <v>116</v>
      </c>
      <c r="S31" s="3" t="s">
        <v>116</v>
      </c>
      <c r="T31" s="3" t="s">
        <v>116</v>
      </c>
      <c r="U31" s="3" t="s">
        <v>116</v>
      </c>
      <c r="V31" s="3" t="s">
        <v>116</v>
      </c>
      <c r="W31" s="3" t="s">
        <v>116</v>
      </c>
      <c r="X31" s="3" t="s">
        <v>116</v>
      </c>
      <c r="Y31" s="41">
        <f>Sheet1!C31-Sheet1!D31</f>
        <v>0.37730000000000002</v>
      </c>
      <c r="Z31" s="20"/>
    </row>
    <row r="32" spans="1:26" ht="29">
      <c r="A32" s="19" t="s">
        <v>21</v>
      </c>
      <c r="B32" s="17" t="s">
        <v>16</v>
      </c>
      <c r="C32" s="24" t="s">
        <v>45</v>
      </c>
      <c r="D32" s="31" t="s">
        <v>22</v>
      </c>
      <c r="E32" s="31" t="s">
        <v>18</v>
      </c>
      <c r="F32" s="31" t="s">
        <v>18</v>
      </c>
      <c r="G32" s="31" t="s">
        <v>18</v>
      </c>
      <c r="H32" s="31" t="s">
        <v>18</v>
      </c>
      <c r="I32" s="31" t="s">
        <v>50</v>
      </c>
      <c r="J32" s="3" t="s">
        <v>28</v>
      </c>
      <c r="K32" s="3" t="str">
        <f>IF(Sheet1!E32="All","N/A",
IF(LEFT(Sheet1!E32,4)="upto","N/A",
IF(LEFT(Sheet1!E32,5)="Above",VALUE(MID(Sheet1!E32,7,2))+1,
IF(ISNUMBER(SEARCH("to",Sheet1!E32)),VALUE(LEFT(Sheet1!E32,FIND(" to",Sheet1!E32)-1)),
"N/A"))))</f>
        <v>N/A</v>
      </c>
      <c r="L32" s="3" t="str">
        <f>IF(Sheet1!E32="All","N/A",
IF(LEFT(Sheet1!E32,4)="upto",VALUE(MID(Sheet1!E32,6,2)),
IF(LEFT(Sheet1!E32,5)="Above","N/A",
IF(ISNUMBER(SEARCH("to",Sheet1!E32)),VALUE(MID(Sheet1!E32,FIND("to ",Sheet1!E32)+3,2)),
"N/A"))))</f>
        <v>N/A</v>
      </c>
      <c r="M32" s="3" t="s">
        <v>17</v>
      </c>
      <c r="N32" s="21" t="s">
        <v>150</v>
      </c>
      <c r="O32" s="3" t="s">
        <v>116</v>
      </c>
      <c r="P32" s="3">
        <f>IF(Sheet1!A32="No","No",
IF(LEFT(Sheet1!A32,5)="Up to",0,
VALUE(LEFT(Sheet1!A32,FIND(" ",Sheet1!A32)-1))))</f>
        <v>0</v>
      </c>
      <c r="Q32" s="3">
        <f>IF(Sheet1!A32="No","No",
IF(LEFT(Sheet1!A32,5)="Up to",
VALUE(MID(Sheet1!A32,7,FIND("kg",Sheet1!A32)-7)),
VALUE(MID(Sheet1!A32,FIND("to",Sheet1!A32)+3,FIND("kg",Sheet1!A32)-FIND("to",Sheet1!A32)-3))))</f>
        <v>2300</v>
      </c>
      <c r="R32" s="3" t="s">
        <v>116</v>
      </c>
      <c r="S32" s="3" t="s">
        <v>116</v>
      </c>
      <c r="T32" s="3" t="s">
        <v>116</v>
      </c>
      <c r="U32" s="3" t="s">
        <v>116</v>
      </c>
      <c r="V32" s="3" t="s">
        <v>116</v>
      </c>
      <c r="W32" s="3" t="s">
        <v>116</v>
      </c>
      <c r="X32" s="3" t="s">
        <v>116</v>
      </c>
      <c r="Y32" s="41">
        <f>Sheet1!C32-Sheet1!D32</f>
        <v>0.35770000000000002</v>
      </c>
      <c r="Z32" s="20"/>
    </row>
    <row r="33" spans="1:25" ht="116">
      <c r="A33" s="19" t="s">
        <v>21</v>
      </c>
      <c r="B33" s="17" t="s">
        <v>16</v>
      </c>
      <c r="C33" s="24" t="s">
        <v>46</v>
      </c>
      <c r="D33" s="31" t="s">
        <v>22</v>
      </c>
      <c r="E33" s="31" t="s">
        <v>18</v>
      </c>
      <c r="F33" s="31" t="s">
        <v>18</v>
      </c>
      <c r="G33" s="31" t="s">
        <v>18</v>
      </c>
      <c r="H33" s="31" t="s">
        <v>18</v>
      </c>
      <c r="I33" s="31" t="s">
        <v>50</v>
      </c>
      <c r="J33" s="3" t="s">
        <v>28</v>
      </c>
      <c r="K33" s="3" t="str">
        <f>IF(Sheet1!E33="All","N/A",
IF(LEFT(Sheet1!E33,4)="upto","N/A",
IF(LEFT(Sheet1!E33,5)="Above",VALUE(MID(Sheet1!E33,7,2))+1,
IF(ISNUMBER(SEARCH("to",Sheet1!E33)),VALUE(LEFT(Sheet1!E33,FIND(" to",Sheet1!E33)-1)),
"N/A"))))</f>
        <v>N/A</v>
      </c>
      <c r="L33" s="3" t="str">
        <f>IF(Sheet1!E33="All","N/A",
IF(LEFT(Sheet1!E33,4)="upto",VALUE(MID(Sheet1!E33,6,2)),
IF(LEFT(Sheet1!E33,5)="Above","N/A",
IF(ISNUMBER(SEARCH("to",Sheet1!E33)),VALUE(MID(Sheet1!E33,FIND("to ",Sheet1!E33)+3,2)),
"N/A"))))</f>
        <v>N/A</v>
      </c>
      <c r="M33" s="3" t="s">
        <v>17</v>
      </c>
      <c r="N33" s="21" t="s">
        <v>150</v>
      </c>
      <c r="O33" s="3" t="s">
        <v>116</v>
      </c>
      <c r="P33" s="3">
        <f>IF(Sheet1!A33="No","No",
IF(LEFT(Sheet1!A33,5)="Up to",0,
VALUE(LEFT(Sheet1!A33,FIND(" ",Sheet1!A33)-1))))</f>
        <v>0</v>
      </c>
      <c r="Q33" s="3">
        <f>IF(Sheet1!A33="No","No",
IF(LEFT(Sheet1!A33,5)="Up to",
VALUE(MID(Sheet1!A33,7,FIND("kg",Sheet1!A33)-7)),
VALUE(MID(Sheet1!A33,FIND("to",Sheet1!A33)+3,FIND("kg",Sheet1!A33)-FIND("to",Sheet1!A33)-3))))</f>
        <v>2300</v>
      </c>
      <c r="R33" s="3" t="s">
        <v>116</v>
      </c>
      <c r="S33" s="3" t="s">
        <v>116</v>
      </c>
      <c r="T33" s="3" t="s">
        <v>116</v>
      </c>
      <c r="U33" s="3" t="s">
        <v>116</v>
      </c>
      <c r="V33" s="3" t="s">
        <v>116</v>
      </c>
      <c r="W33" s="3" t="s">
        <v>116</v>
      </c>
      <c r="X33" s="3" t="s">
        <v>116</v>
      </c>
      <c r="Y33" s="37">
        <f>Sheet1!C33-Sheet1!D33</f>
        <v>0.33810000000000001</v>
      </c>
    </row>
    <row r="34" spans="1:25" ht="29">
      <c r="A34" s="19" t="s">
        <v>21</v>
      </c>
      <c r="B34" s="17" t="s">
        <v>16</v>
      </c>
      <c r="C34" s="15" t="s">
        <v>47</v>
      </c>
      <c r="D34" s="31" t="s">
        <v>22</v>
      </c>
      <c r="E34" s="31" t="s">
        <v>18</v>
      </c>
      <c r="F34" s="31" t="s">
        <v>18</v>
      </c>
      <c r="G34" s="31" t="s">
        <v>18</v>
      </c>
      <c r="H34" s="31" t="s">
        <v>18</v>
      </c>
      <c r="I34" s="31" t="s">
        <v>50</v>
      </c>
      <c r="J34" s="3" t="s">
        <v>28</v>
      </c>
      <c r="K34" s="3" t="str">
        <f>IF(Sheet1!E34="All","N/A",
IF(LEFT(Sheet1!E34,4)="upto","N/A",
IF(LEFT(Sheet1!E34,5)="Above",VALUE(MID(Sheet1!E34,7,2))+1,
IF(ISNUMBER(SEARCH("to",Sheet1!E34)),VALUE(LEFT(Sheet1!E34,FIND(" to",Sheet1!E34)-1)),
"N/A"))))</f>
        <v>N/A</v>
      </c>
      <c r="L34" s="3" t="str">
        <f>IF(Sheet1!E34="All","N/A",
IF(LEFT(Sheet1!E34,4)="upto",VALUE(MID(Sheet1!E34,6,2)),
IF(LEFT(Sheet1!E34,5)="Above","N/A",
IF(ISNUMBER(SEARCH("to",Sheet1!E34)),VALUE(MID(Sheet1!E34,FIND("to ",Sheet1!E34)+3,2)),
"N/A"))))</f>
        <v>N/A</v>
      </c>
      <c r="M34" s="3" t="s">
        <v>17</v>
      </c>
      <c r="N34" s="21" t="s">
        <v>150</v>
      </c>
      <c r="O34" s="3" t="s">
        <v>116</v>
      </c>
      <c r="P34" s="3">
        <f>IF(Sheet1!A34="No","No",
IF(LEFT(Sheet1!A34,5)="Up to",0,
VALUE(LEFT(Sheet1!A34,FIND(" ",Sheet1!A34)-1))))</f>
        <v>0</v>
      </c>
      <c r="Q34" s="3">
        <f>IF(Sheet1!A34="No","No",
IF(LEFT(Sheet1!A34,5)="Up to",
VALUE(MID(Sheet1!A34,7,FIND("kg",Sheet1!A34)-7)),
VALUE(MID(Sheet1!A34,FIND("to",Sheet1!A34)+3,FIND("kg",Sheet1!A34)-FIND("to",Sheet1!A34)-3))))</f>
        <v>2300</v>
      </c>
      <c r="R34" s="3" t="s">
        <v>116</v>
      </c>
      <c r="S34" s="3" t="s">
        <v>116</v>
      </c>
      <c r="T34" s="3" t="s">
        <v>116</v>
      </c>
      <c r="U34" s="3" t="s">
        <v>116</v>
      </c>
      <c r="V34" s="3" t="s">
        <v>116</v>
      </c>
      <c r="W34" s="3" t="s">
        <v>116</v>
      </c>
      <c r="X34" s="3" t="s">
        <v>116</v>
      </c>
      <c r="Y34" s="37">
        <f>Sheet1!C34-Sheet1!D34</f>
        <v>0.3871</v>
      </c>
    </row>
    <row r="35" spans="1:25" ht="29">
      <c r="A35" s="19" t="s">
        <v>21</v>
      </c>
      <c r="B35" s="17" t="s">
        <v>16</v>
      </c>
      <c r="C35" s="15">
        <v>67</v>
      </c>
      <c r="D35" s="31" t="s">
        <v>22</v>
      </c>
      <c r="E35" s="31" t="s">
        <v>18</v>
      </c>
      <c r="F35" s="31" t="s">
        <v>18</v>
      </c>
      <c r="G35" s="31" t="s">
        <v>18</v>
      </c>
      <c r="H35" s="31" t="s">
        <v>18</v>
      </c>
      <c r="I35" s="31" t="s">
        <v>50</v>
      </c>
      <c r="J35" s="3" t="s">
        <v>28</v>
      </c>
      <c r="K35" s="3" t="str">
        <f>IF(Sheet1!E35="All","N/A",
IF(LEFT(Sheet1!E35,4)="upto","N/A",
IF(LEFT(Sheet1!E35,5)="Above",VALUE(MID(Sheet1!E35,7,2))+1,
IF(ISNUMBER(SEARCH("to",Sheet1!E35)),VALUE(LEFT(Sheet1!E35,FIND(" to",Sheet1!E35)-1)),
"N/A"))))</f>
        <v>N/A</v>
      </c>
      <c r="L35" s="3" t="str">
        <f>IF(Sheet1!E35="All","N/A",
IF(LEFT(Sheet1!E35,4)="upto",VALUE(MID(Sheet1!E35,6,2)),
IF(LEFT(Sheet1!E35,5)="Above","N/A",
IF(ISNUMBER(SEARCH("to",Sheet1!E35)),VALUE(MID(Sheet1!E35,FIND("to ",Sheet1!E35)+3,2)),
"N/A"))))</f>
        <v>N/A</v>
      </c>
      <c r="M35" s="3" t="s">
        <v>17</v>
      </c>
      <c r="N35" s="21" t="s">
        <v>150</v>
      </c>
      <c r="O35" s="3" t="s">
        <v>116</v>
      </c>
      <c r="P35" s="3">
        <f>IF(Sheet1!A35="No","No",
IF(LEFT(Sheet1!A35,5)="Up to",0,
VALUE(LEFT(Sheet1!A35,FIND(" ",Sheet1!A35)-1))))</f>
        <v>0</v>
      </c>
      <c r="Q35" s="3">
        <f>IF(Sheet1!A35="No","No",
IF(LEFT(Sheet1!A35,5)="Up to",
VALUE(MID(Sheet1!A35,7,FIND("kg",Sheet1!A35)-7)),
VALUE(MID(Sheet1!A35,FIND("to",Sheet1!A35)+3,FIND("kg",Sheet1!A35)-FIND("to",Sheet1!A35)-3))))</f>
        <v>2300</v>
      </c>
      <c r="R35" s="3" t="s">
        <v>116</v>
      </c>
      <c r="S35" s="3" t="s">
        <v>116</v>
      </c>
      <c r="T35" s="3" t="s">
        <v>116</v>
      </c>
      <c r="U35" s="3" t="s">
        <v>116</v>
      </c>
      <c r="V35" s="3" t="s">
        <v>116</v>
      </c>
      <c r="W35" s="3" t="s">
        <v>116</v>
      </c>
      <c r="X35" s="3" t="s">
        <v>116</v>
      </c>
      <c r="Y35" s="37">
        <f>Sheet1!C35-Sheet1!D35</f>
        <v>0.36749999999999999</v>
      </c>
    </row>
    <row r="36" spans="1:25" ht="101.5">
      <c r="A36" s="19" t="s">
        <v>21</v>
      </c>
      <c r="B36" s="17" t="s">
        <v>16</v>
      </c>
      <c r="C36" s="15" t="s">
        <v>48</v>
      </c>
      <c r="D36" s="31" t="s">
        <v>22</v>
      </c>
      <c r="E36" s="31" t="s">
        <v>18</v>
      </c>
      <c r="F36" s="31" t="s">
        <v>18</v>
      </c>
      <c r="G36" s="31" t="s">
        <v>18</v>
      </c>
      <c r="H36" s="31" t="s">
        <v>18</v>
      </c>
      <c r="I36" s="31" t="s">
        <v>50</v>
      </c>
      <c r="J36" s="3" t="s">
        <v>28</v>
      </c>
      <c r="K36" s="3" t="str">
        <f>IF(Sheet1!E36="All","N/A",
IF(LEFT(Sheet1!E36,4)="upto","N/A",
IF(LEFT(Sheet1!E36,5)="Above",VALUE(MID(Sheet1!E36,7,2))+1,
IF(ISNUMBER(SEARCH("to",Sheet1!E36)),VALUE(LEFT(Sheet1!E36,FIND(" to",Sheet1!E36)-1)),
"N/A"))))</f>
        <v>N/A</v>
      </c>
      <c r="L36" s="3" t="str">
        <f>IF(Sheet1!E36="All","N/A",
IF(LEFT(Sheet1!E36,4)="upto",VALUE(MID(Sheet1!E36,6,2)),
IF(LEFT(Sheet1!E36,5)="Above","N/A",
IF(ISNUMBER(SEARCH("to",Sheet1!E36)),VALUE(MID(Sheet1!E36,FIND("to ",Sheet1!E36)+3,2)),
"N/A"))))</f>
        <v>N/A</v>
      </c>
      <c r="M36" s="3" t="s">
        <v>17</v>
      </c>
      <c r="N36" s="21" t="s">
        <v>150</v>
      </c>
      <c r="O36" s="3" t="s">
        <v>116</v>
      </c>
      <c r="P36" s="3">
        <f>IF(Sheet1!A36="No","No",
IF(LEFT(Sheet1!A36,5)="Up to",0,
VALUE(LEFT(Sheet1!A36,FIND(" ",Sheet1!A36)-1))))</f>
        <v>0</v>
      </c>
      <c r="Q36" s="3">
        <f>IF(Sheet1!A36="No","No",
IF(LEFT(Sheet1!A36,5)="Up to",
VALUE(MID(Sheet1!A36,7,FIND("kg",Sheet1!A36)-7)),
VALUE(MID(Sheet1!A36,FIND("to",Sheet1!A36)+3,FIND("kg",Sheet1!A36)-FIND("to",Sheet1!A36)-3))))</f>
        <v>2300</v>
      </c>
      <c r="R36" s="3" t="s">
        <v>116</v>
      </c>
      <c r="S36" s="3" t="s">
        <v>116</v>
      </c>
      <c r="T36" s="3" t="s">
        <v>116</v>
      </c>
      <c r="U36" s="3" t="s">
        <v>116</v>
      </c>
      <c r="V36" s="3" t="s">
        <v>116</v>
      </c>
      <c r="W36" s="3" t="s">
        <v>116</v>
      </c>
      <c r="X36" s="3" t="s">
        <v>116</v>
      </c>
      <c r="Y36" s="37">
        <f>Sheet1!C36-Sheet1!D36</f>
        <v>0.33810000000000001</v>
      </c>
    </row>
    <row r="37" spans="1:25" ht="29">
      <c r="A37" s="19" t="s">
        <v>21</v>
      </c>
      <c r="B37" s="17" t="s">
        <v>16</v>
      </c>
      <c r="C37" s="15" t="s">
        <v>49</v>
      </c>
      <c r="D37" s="31" t="s">
        <v>22</v>
      </c>
      <c r="E37" s="31" t="s">
        <v>18</v>
      </c>
      <c r="F37" s="31" t="s">
        <v>18</v>
      </c>
      <c r="G37" s="31" t="s">
        <v>18</v>
      </c>
      <c r="H37" s="31" t="s">
        <v>18</v>
      </c>
      <c r="I37" s="31" t="s">
        <v>50</v>
      </c>
      <c r="J37" s="3" t="s">
        <v>28</v>
      </c>
      <c r="K37" s="3" t="str">
        <f>IF(Sheet1!E37="All","N/A",
IF(LEFT(Sheet1!E37,4)="upto","N/A",
IF(LEFT(Sheet1!E37,5)="Above",VALUE(MID(Sheet1!E37,7,2))+1,
IF(ISNUMBER(SEARCH("to",Sheet1!E37)),VALUE(LEFT(Sheet1!E37,FIND(" to",Sheet1!E37)-1)),
"N/A"))))</f>
        <v>N/A</v>
      </c>
      <c r="L37" s="3" t="str">
        <f>IF(Sheet1!E37="All","N/A",
IF(LEFT(Sheet1!E37,4)="upto",VALUE(MID(Sheet1!E37,6,2)),
IF(LEFT(Sheet1!E37,5)="Above","N/A",
IF(ISNUMBER(SEARCH("to",Sheet1!E37)),VALUE(MID(Sheet1!E37,FIND("to ",Sheet1!E37)+3,2)),
"N/A"))))</f>
        <v>N/A</v>
      </c>
      <c r="M37" s="3" t="s">
        <v>17</v>
      </c>
      <c r="N37" s="21" t="s">
        <v>150</v>
      </c>
      <c r="O37" s="3" t="s">
        <v>116</v>
      </c>
      <c r="P37" s="3">
        <f>IF(Sheet1!A37="No","No",
IF(LEFT(Sheet1!A37,5)="Up to",0,
VALUE(LEFT(Sheet1!A37,FIND(" ",Sheet1!A37)-1))))</f>
        <v>0</v>
      </c>
      <c r="Q37" s="3">
        <f>IF(Sheet1!A37="No","No",
IF(LEFT(Sheet1!A37,5)="Up to",
VALUE(MID(Sheet1!A37,7,FIND("kg",Sheet1!A37)-7)),
VALUE(MID(Sheet1!A37,FIND("to",Sheet1!A37)+3,FIND("kg",Sheet1!A37)-FIND("to",Sheet1!A37)-3))))</f>
        <v>2300</v>
      </c>
      <c r="R37" s="3" t="s">
        <v>116</v>
      </c>
      <c r="S37" s="3" t="s">
        <v>116</v>
      </c>
      <c r="T37" s="3" t="s">
        <v>116</v>
      </c>
      <c r="U37" s="3" t="s">
        <v>116</v>
      </c>
      <c r="V37" s="3" t="s">
        <v>116</v>
      </c>
      <c r="W37" s="3" t="s">
        <v>116</v>
      </c>
      <c r="X37" s="3" t="s">
        <v>116</v>
      </c>
      <c r="Y37" s="37">
        <f>Sheet1!C37-Sheet1!D37</f>
        <v>0.32830000000000004</v>
      </c>
    </row>
    <row r="38" spans="1:25" ht="29">
      <c r="A38" s="19" t="s">
        <v>21</v>
      </c>
      <c r="B38" s="17" t="s">
        <v>16</v>
      </c>
      <c r="C38" s="15" t="s">
        <v>146</v>
      </c>
      <c r="D38" s="31" t="s">
        <v>22</v>
      </c>
      <c r="E38" s="31" t="s">
        <v>18</v>
      </c>
      <c r="F38" s="31" t="s">
        <v>18</v>
      </c>
      <c r="G38" s="31" t="s">
        <v>18</v>
      </c>
      <c r="H38" s="31" t="s">
        <v>18</v>
      </c>
      <c r="I38" s="31" t="s">
        <v>50</v>
      </c>
      <c r="J38" s="3" t="s">
        <v>28</v>
      </c>
      <c r="K38" s="3" t="str">
        <f>IF(Sheet1!E38="All","N/A",
IF(LEFT(Sheet1!E38,4)="upto","N/A",
IF(LEFT(Sheet1!E38,5)="Above",VALUE(MID(Sheet1!E38,7,2))+1,
IF(ISNUMBER(SEARCH("to",Sheet1!E38)),VALUE(LEFT(Sheet1!E38,FIND(" to",Sheet1!E38)-1)),
"N/A"))))</f>
        <v>N/A</v>
      </c>
      <c r="L38" s="3" t="str">
        <f>IF(Sheet1!E38="All","N/A",
IF(LEFT(Sheet1!E38,4)="upto",VALUE(MID(Sheet1!E38,6,2)),
IF(LEFT(Sheet1!E38,5)="Above","N/A",
IF(ISNUMBER(SEARCH("to",Sheet1!E38)),VALUE(MID(Sheet1!E38,FIND("to ",Sheet1!E38)+3,2)),
"N/A"))))</f>
        <v>N/A</v>
      </c>
      <c r="M38" s="3" t="s">
        <v>17</v>
      </c>
      <c r="N38" s="21" t="s">
        <v>150</v>
      </c>
      <c r="O38" s="3" t="s">
        <v>116</v>
      </c>
      <c r="P38" s="3">
        <f>IF(Sheet1!A38="No","No",
IF(LEFT(Sheet1!A38,5)="Up to",0,
VALUE(LEFT(Sheet1!A38,FIND(" ",Sheet1!A38)-1))))</f>
        <v>0</v>
      </c>
      <c r="Q38" s="3">
        <f>IF(Sheet1!A38="No","No",
IF(LEFT(Sheet1!A38,5)="Up to",
VALUE(MID(Sheet1!A38,7,FIND("kg",Sheet1!A38)-7)),
VALUE(MID(Sheet1!A38,FIND("to",Sheet1!A38)+3,FIND("kg",Sheet1!A38)-FIND("to",Sheet1!A38)-3))))</f>
        <v>2300</v>
      </c>
      <c r="R38" s="3" t="s">
        <v>116</v>
      </c>
      <c r="S38" s="3" t="s">
        <v>116</v>
      </c>
      <c r="T38" s="3" t="s">
        <v>116</v>
      </c>
      <c r="U38" s="3" t="s">
        <v>116</v>
      </c>
      <c r="V38" s="3" t="s">
        <v>116</v>
      </c>
      <c r="W38" s="3" t="s">
        <v>116</v>
      </c>
      <c r="X38" s="3" t="s">
        <v>116</v>
      </c>
      <c r="Y38" s="37">
        <f>Sheet1!C38-Sheet1!D38</f>
        <v>9.3100000000000016E-2</v>
      </c>
    </row>
    <row r="39" spans="1:25" ht="29">
      <c r="A39" s="18" t="s">
        <v>21</v>
      </c>
      <c r="B39" s="17" t="s">
        <v>16</v>
      </c>
      <c r="C39" s="3">
        <v>19</v>
      </c>
      <c r="D39" s="31" t="s">
        <v>22</v>
      </c>
      <c r="E39" s="31" t="s">
        <v>18</v>
      </c>
      <c r="F39" s="31" t="s">
        <v>18</v>
      </c>
      <c r="G39" s="31" t="s">
        <v>18</v>
      </c>
      <c r="H39" s="31" t="s">
        <v>18</v>
      </c>
      <c r="I39" s="31" t="s">
        <v>50</v>
      </c>
      <c r="J39" s="3" t="s">
        <v>28</v>
      </c>
      <c r="K39" s="3" t="str">
        <f>IF(Sheet1!E39="All","N/A",
IF(LEFT(Sheet1!E39,4)="upto","N/A",
IF(LEFT(Sheet1!E39,5)="Above",VALUE(MID(Sheet1!E39,7,2))+1,
IF(ISNUMBER(SEARCH("to",Sheet1!E39)),VALUE(LEFT(Sheet1!E39,FIND(" to",Sheet1!E39)-1)),
"N/A"))))</f>
        <v>N/A</v>
      </c>
      <c r="L39" s="3" t="str">
        <f>IF(Sheet1!E39="All","N/A",
IF(LEFT(Sheet1!E39,4)="upto",VALUE(MID(Sheet1!E39,6,2)),
IF(LEFT(Sheet1!E39,5)="Above","N/A",
IF(ISNUMBER(SEARCH("to",Sheet1!E39)),VALUE(MID(Sheet1!E39,FIND("to ",Sheet1!E39)+3,2)),
"N/A"))))</f>
        <v>N/A</v>
      </c>
      <c r="M39" s="1" t="s">
        <v>20</v>
      </c>
      <c r="N39" s="21" t="s">
        <v>150</v>
      </c>
      <c r="O39" s="3" t="s">
        <v>116</v>
      </c>
      <c r="P39" s="3">
        <f>IF(Sheet1!A39="No","No",
IF(LEFT(Sheet1!A39,5)="Up to",0,
VALUE(LEFT(Sheet1!A39,FIND(" ",Sheet1!A39)-1))))</f>
        <v>0</v>
      </c>
      <c r="Q39" s="3">
        <f>IF(Sheet1!A39="No","No",
IF(LEFT(Sheet1!A39,5)="Up to",
VALUE(MID(Sheet1!A39,7,FIND("kg",Sheet1!A39)-7)),
VALUE(MID(Sheet1!A39,FIND("to",Sheet1!A39)+3,FIND("kg",Sheet1!A39)-FIND("to",Sheet1!A39)-3))))</f>
        <v>2300</v>
      </c>
      <c r="R39" s="3" t="s">
        <v>116</v>
      </c>
      <c r="S39" s="3" t="s">
        <v>116</v>
      </c>
      <c r="T39" s="3" t="s">
        <v>116</v>
      </c>
      <c r="U39" s="3" t="s">
        <v>116</v>
      </c>
      <c r="V39" s="3" t="s">
        <v>116</v>
      </c>
      <c r="W39" s="3" t="s">
        <v>116</v>
      </c>
      <c r="X39" s="3" t="s">
        <v>116</v>
      </c>
      <c r="Y39" s="32">
        <f>Sheet1!C39-Sheet1!D39</f>
        <v>0.28910000000000002</v>
      </c>
    </row>
    <row r="40" spans="1:25" ht="43.5">
      <c r="A40" s="18" t="s">
        <v>21</v>
      </c>
      <c r="B40" s="21" t="s">
        <v>16</v>
      </c>
      <c r="C40" s="3" t="s">
        <v>145</v>
      </c>
      <c r="D40" s="31" t="s">
        <v>22</v>
      </c>
      <c r="E40" s="31" t="s">
        <v>18</v>
      </c>
      <c r="F40" s="31" t="s">
        <v>18</v>
      </c>
      <c r="G40" s="31" t="s">
        <v>18</v>
      </c>
      <c r="H40" s="31" t="s">
        <v>18</v>
      </c>
      <c r="I40" s="31" t="s">
        <v>50</v>
      </c>
      <c r="J40" s="3" t="s">
        <v>28</v>
      </c>
      <c r="K40" s="3" t="str">
        <f>IF(Sheet1!E40="All","N/A",
IF(LEFT(Sheet1!E40,4)="upto","N/A",
IF(LEFT(Sheet1!E40,5)="Above",VALUE(MID(Sheet1!E40,7,2))+1,
IF(ISNUMBER(SEARCH("to",Sheet1!E40)),VALUE(LEFT(Sheet1!E40,FIND(" to",Sheet1!E40)-1)),
"N/A"))))</f>
        <v>N/A</v>
      </c>
      <c r="L40" s="3" t="str">
        <f>IF(Sheet1!E40="All","N/A",
IF(LEFT(Sheet1!E40,4)="upto",VALUE(MID(Sheet1!E40,6,2)),
IF(LEFT(Sheet1!E40,5)="Above","N/A",
IF(ISNUMBER(SEARCH("to",Sheet1!E40)),VALUE(MID(Sheet1!E40,FIND("to ",Sheet1!E40)+3,2)),
"N/A"))))</f>
        <v>N/A</v>
      </c>
      <c r="M40" s="1" t="s">
        <v>20</v>
      </c>
      <c r="N40" s="21" t="s">
        <v>150</v>
      </c>
      <c r="O40" s="3" t="s">
        <v>116</v>
      </c>
      <c r="P40" s="3">
        <f>IF(Sheet1!A40="No","No",
IF(LEFT(Sheet1!A40,5)="Up to",0,
VALUE(LEFT(Sheet1!A40,FIND(" ",Sheet1!A40)-1))))</f>
        <v>0</v>
      </c>
      <c r="Q40" s="3">
        <f>IF(Sheet1!A40="No","No",
IF(LEFT(Sheet1!A40,5)="Up to",
VALUE(MID(Sheet1!A40,7,FIND("kg",Sheet1!A40)-7)),
VALUE(MID(Sheet1!A40,FIND("to",Sheet1!A40)+3,FIND("kg",Sheet1!A40)-FIND("to",Sheet1!A40)-3))))</f>
        <v>2300</v>
      </c>
      <c r="R40" s="3" t="s">
        <v>116</v>
      </c>
      <c r="S40" s="3" t="s">
        <v>116</v>
      </c>
      <c r="T40" s="3" t="s">
        <v>116</v>
      </c>
      <c r="U40" s="3" t="s">
        <v>116</v>
      </c>
      <c r="V40" s="3" t="s">
        <v>116</v>
      </c>
      <c r="W40" s="3" t="s">
        <v>116</v>
      </c>
      <c r="X40" s="3" t="s">
        <v>116</v>
      </c>
      <c r="Y40" s="32">
        <f>Sheet1!C40-Sheet1!D40</f>
        <v>0.39690000000000003</v>
      </c>
    </row>
    <row r="41" spans="1:25" ht="29">
      <c r="A41" s="18" t="s">
        <v>21</v>
      </c>
      <c r="B41" s="21" t="s">
        <v>16</v>
      </c>
      <c r="C41" s="3" t="s">
        <v>136</v>
      </c>
      <c r="D41" s="31" t="s">
        <v>22</v>
      </c>
      <c r="E41" s="31" t="s">
        <v>18</v>
      </c>
      <c r="F41" s="31" t="s">
        <v>18</v>
      </c>
      <c r="G41" s="31" t="s">
        <v>18</v>
      </c>
      <c r="H41" s="31" t="s">
        <v>18</v>
      </c>
      <c r="I41" s="31" t="s">
        <v>50</v>
      </c>
      <c r="J41" s="3" t="s">
        <v>28</v>
      </c>
      <c r="K41" s="3" t="str">
        <f>IF(Sheet1!E41="All","N/A",
IF(LEFT(Sheet1!E41,4)="upto","N/A",
IF(LEFT(Sheet1!E41,5)="Above",VALUE(MID(Sheet1!E41,7,2))+1,
IF(ISNUMBER(SEARCH("to",Sheet1!E41)),VALUE(LEFT(Sheet1!E41,FIND(" to",Sheet1!E41)-1)),
"N/A"))))</f>
        <v>N/A</v>
      </c>
      <c r="L41" s="3" t="str">
        <f>IF(Sheet1!E41="All","N/A",
IF(LEFT(Sheet1!E41,4)="upto",VALUE(MID(Sheet1!E41,6,2)),
IF(LEFT(Sheet1!E41,5)="Above","N/A",
IF(ISNUMBER(SEARCH("to",Sheet1!E41)),VALUE(MID(Sheet1!E41,FIND("to ",Sheet1!E41)+3,2)),
"N/A"))))</f>
        <v>N/A</v>
      </c>
      <c r="M41" s="1" t="s">
        <v>20</v>
      </c>
      <c r="N41" s="21" t="s">
        <v>150</v>
      </c>
      <c r="O41" s="3" t="s">
        <v>116</v>
      </c>
      <c r="P41" s="3">
        <f>IF(Sheet1!A41="No","No",
IF(LEFT(Sheet1!A41,5)="Up to",0,
VALUE(LEFT(Sheet1!A41,FIND(" ",Sheet1!A41)-1))))</f>
        <v>0</v>
      </c>
      <c r="Q41" s="3">
        <f>IF(Sheet1!A41="No","No",
IF(LEFT(Sheet1!A41,5)="Up to",
VALUE(MID(Sheet1!A41,7,FIND("kg",Sheet1!A41)-7)),
VALUE(MID(Sheet1!A41,FIND("to",Sheet1!A41)+3,FIND("kg",Sheet1!A41)-FIND("to",Sheet1!A41)-3))))</f>
        <v>2300</v>
      </c>
      <c r="R41" s="3" t="s">
        <v>116</v>
      </c>
      <c r="S41" s="3" t="s">
        <v>116</v>
      </c>
      <c r="T41" s="3" t="s">
        <v>116</v>
      </c>
      <c r="U41" s="3" t="s">
        <v>116</v>
      </c>
      <c r="V41" s="3" t="s">
        <v>116</v>
      </c>
      <c r="W41" s="3" t="s">
        <v>116</v>
      </c>
      <c r="X41" s="3" t="s">
        <v>116</v>
      </c>
      <c r="Y41" s="32">
        <f>Sheet1!C41-Sheet1!D41</f>
        <v>0.36749999999999999</v>
      </c>
    </row>
    <row r="42" spans="1:25" ht="29">
      <c r="A42" s="18" t="s">
        <v>21</v>
      </c>
      <c r="B42" s="21" t="s">
        <v>16</v>
      </c>
      <c r="C42" s="3" t="s">
        <v>137</v>
      </c>
      <c r="D42" s="31" t="s">
        <v>22</v>
      </c>
      <c r="E42" s="31" t="s">
        <v>18</v>
      </c>
      <c r="F42" s="31" t="s">
        <v>18</v>
      </c>
      <c r="G42" s="31" t="s">
        <v>18</v>
      </c>
      <c r="H42" s="31" t="s">
        <v>18</v>
      </c>
      <c r="I42" s="31" t="s">
        <v>50</v>
      </c>
      <c r="J42" s="3" t="s">
        <v>28</v>
      </c>
      <c r="K42" s="3" t="str">
        <f>IF(Sheet1!E42="All","N/A",
IF(LEFT(Sheet1!E42,4)="upto","N/A",
IF(LEFT(Sheet1!E42,5)="Above",VALUE(MID(Sheet1!E42,7,2))+1,
IF(ISNUMBER(SEARCH("to",Sheet1!E42)),VALUE(LEFT(Sheet1!E42,FIND(" to",Sheet1!E42)-1)),
"N/A"))))</f>
        <v>N/A</v>
      </c>
      <c r="L42" s="3" t="str">
        <f>IF(Sheet1!E42="All","N/A",
IF(LEFT(Sheet1!E42,4)="upto",VALUE(MID(Sheet1!E42,6,2)),
IF(LEFT(Sheet1!E42,5)="Above","N/A",
IF(ISNUMBER(SEARCH("to",Sheet1!E42)),VALUE(MID(Sheet1!E42,FIND("to ",Sheet1!E42)+3,2)),
"N/A"))))</f>
        <v>N/A</v>
      </c>
      <c r="M42" s="1" t="s">
        <v>20</v>
      </c>
      <c r="N42" s="21" t="s">
        <v>150</v>
      </c>
      <c r="O42" s="3" t="s">
        <v>116</v>
      </c>
      <c r="P42" s="3">
        <f>IF(Sheet1!A42="No","No",
IF(LEFT(Sheet1!A42,5)="Up to",0,
VALUE(LEFT(Sheet1!A42,FIND(" ",Sheet1!A42)-1))))</f>
        <v>0</v>
      </c>
      <c r="Q42" s="3">
        <f>IF(Sheet1!A42="No","No",
IF(LEFT(Sheet1!A42,5)="Up to",
VALUE(MID(Sheet1!A42,7,FIND("kg",Sheet1!A42)-7)),
VALUE(MID(Sheet1!A42,FIND("to",Sheet1!A42)+3,FIND("kg",Sheet1!A42)-FIND("to",Sheet1!A42)-3))))</f>
        <v>2300</v>
      </c>
      <c r="R42" s="3" t="s">
        <v>116</v>
      </c>
      <c r="S42" s="3" t="s">
        <v>116</v>
      </c>
      <c r="T42" s="3" t="s">
        <v>116</v>
      </c>
      <c r="U42" s="3" t="s">
        <v>116</v>
      </c>
      <c r="V42" s="3" t="s">
        <v>116</v>
      </c>
      <c r="W42" s="3" t="s">
        <v>116</v>
      </c>
      <c r="X42" s="3" t="s">
        <v>116</v>
      </c>
      <c r="Y42" s="32">
        <f>Sheet1!C42-Sheet1!D42</f>
        <v>0.26950000000000002</v>
      </c>
    </row>
    <row r="43" spans="1:25" ht="29">
      <c r="A43" s="18" t="s">
        <v>21</v>
      </c>
      <c r="B43" s="21" t="s">
        <v>16</v>
      </c>
      <c r="C43" s="15">
        <v>75</v>
      </c>
      <c r="D43" s="31" t="s">
        <v>22</v>
      </c>
      <c r="E43" s="31" t="s">
        <v>18</v>
      </c>
      <c r="F43" s="31" t="s">
        <v>18</v>
      </c>
      <c r="G43" s="31" t="s">
        <v>18</v>
      </c>
      <c r="H43" s="31" t="s">
        <v>18</v>
      </c>
      <c r="I43" s="31" t="s">
        <v>50</v>
      </c>
      <c r="J43" s="3" t="s">
        <v>28</v>
      </c>
      <c r="K43" s="3" t="str">
        <f>IF(Sheet1!E43="All","N/A",
IF(LEFT(Sheet1!E43,4)="upto","N/A",
IF(LEFT(Sheet1!E43,5)="Above",VALUE(MID(Sheet1!E43,7,2))+1,
IF(ISNUMBER(SEARCH("to",Sheet1!E43)),VALUE(LEFT(Sheet1!E43,FIND(" to",Sheet1!E43)-1)),
"N/A"))))</f>
        <v>N/A</v>
      </c>
      <c r="L43" s="3" t="str">
        <f>IF(Sheet1!E43="All","N/A",
IF(LEFT(Sheet1!E43,4)="upto",VALUE(MID(Sheet1!E43,6,2)),
IF(LEFT(Sheet1!E43,5)="Above","N/A",
IF(ISNUMBER(SEARCH("to",Sheet1!E43)),VALUE(MID(Sheet1!E43,FIND("to ",Sheet1!E43)+3,2)),
"N/A"))))</f>
        <v>N/A</v>
      </c>
      <c r="M43" s="1" t="s">
        <v>20</v>
      </c>
      <c r="N43" s="21" t="s">
        <v>150</v>
      </c>
      <c r="O43" s="3" t="s">
        <v>116</v>
      </c>
      <c r="P43" s="3">
        <f>IF(Sheet1!A43="No","No",
IF(LEFT(Sheet1!A43,5)="Up to",0,
VALUE(LEFT(Sheet1!A43,FIND(" ",Sheet1!A43)-1))))</f>
        <v>0</v>
      </c>
      <c r="Q43" s="3">
        <f>IF(Sheet1!A43="No","No",
IF(LEFT(Sheet1!A43,5)="Up to",
VALUE(MID(Sheet1!A43,7,FIND("kg",Sheet1!A43)-7)),
VALUE(MID(Sheet1!A43,FIND("to",Sheet1!A43)+3,FIND("kg",Sheet1!A43)-FIND("to",Sheet1!A43)-3))))</f>
        <v>2300</v>
      </c>
      <c r="R43" s="3" t="s">
        <v>116</v>
      </c>
      <c r="S43" s="3" t="s">
        <v>116</v>
      </c>
      <c r="T43" s="3" t="s">
        <v>116</v>
      </c>
      <c r="U43" s="3" t="s">
        <v>116</v>
      </c>
      <c r="V43" s="3" t="s">
        <v>116</v>
      </c>
      <c r="W43" s="3" t="s">
        <v>116</v>
      </c>
      <c r="X43" s="3" t="s">
        <v>116</v>
      </c>
      <c r="Y43" s="37">
        <f>Sheet1!C43-Sheet1!D43</f>
        <v>0.35770000000000002</v>
      </c>
    </row>
    <row r="44" spans="1:25" ht="29">
      <c r="A44" s="18" t="s">
        <v>21</v>
      </c>
      <c r="B44" s="21" t="s">
        <v>16</v>
      </c>
      <c r="C44" s="15" t="s">
        <v>159</v>
      </c>
      <c r="D44" s="31" t="s">
        <v>22</v>
      </c>
      <c r="E44" s="31" t="s">
        <v>18</v>
      </c>
      <c r="F44" s="31" t="s">
        <v>18</v>
      </c>
      <c r="G44" s="31" t="s">
        <v>18</v>
      </c>
      <c r="H44" s="31" t="s">
        <v>18</v>
      </c>
      <c r="I44" s="31" t="s">
        <v>50</v>
      </c>
      <c r="J44" s="3" t="s">
        <v>28</v>
      </c>
      <c r="K44" s="3" t="str">
        <f>IF(Sheet1!E44="All","N/A",
IF(LEFT(Sheet1!E44,4)="upto","N/A",
IF(LEFT(Sheet1!E44,5)="Above",VALUE(MID(Sheet1!E44,7,2))+1,
IF(ISNUMBER(SEARCH("to",Sheet1!E44)),VALUE(LEFT(Sheet1!E44,FIND(" to",Sheet1!E44)-1)),
"N/A"))))</f>
        <v>N/A</v>
      </c>
      <c r="L44" s="3" t="str">
        <f>IF(Sheet1!E44="All","N/A",
IF(LEFT(Sheet1!E44,4)="upto",VALUE(MID(Sheet1!E44,6,2)),
IF(LEFT(Sheet1!E44,5)="Above","N/A",
IF(ISNUMBER(SEARCH("to",Sheet1!E44)),VALUE(MID(Sheet1!E44,FIND("to ",Sheet1!E44)+3,2)),
"N/A"))))</f>
        <v>N/A</v>
      </c>
      <c r="M44" s="1" t="s">
        <v>20</v>
      </c>
      <c r="N44" s="21" t="s">
        <v>150</v>
      </c>
      <c r="O44" s="3" t="s">
        <v>116</v>
      </c>
      <c r="P44" s="3">
        <f>IF(Sheet1!A44="No","No",
IF(LEFT(Sheet1!A44,5)="Up to",0,
VALUE(LEFT(Sheet1!A44,FIND(" ",Sheet1!A44)-1))))</f>
        <v>0</v>
      </c>
      <c r="Q44" s="3">
        <f>IF(Sheet1!A44="No","No",
IF(LEFT(Sheet1!A44,5)="Up to",
VALUE(MID(Sheet1!A44,7,FIND("kg",Sheet1!A44)-7)),
VALUE(MID(Sheet1!A44,FIND("to",Sheet1!A44)+3,FIND("kg",Sheet1!A44)-FIND("to",Sheet1!A44)-3))))</f>
        <v>2300</v>
      </c>
      <c r="R44" s="3" t="s">
        <v>116</v>
      </c>
      <c r="S44" s="3" t="s">
        <v>116</v>
      </c>
      <c r="T44" s="3" t="s">
        <v>116</v>
      </c>
      <c r="U44" s="3" t="s">
        <v>116</v>
      </c>
      <c r="V44" s="3" t="s">
        <v>116</v>
      </c>
      <c r="W44" s="3" t="s">
        <v>116</v>
      </c>
      <c r="X44" s="3" t="s">
        <v>116</v>
      </c>
      <c r="Y44" s="37">
        <f>Sheet1!C44-Sheet1!D44</f>
        <v>0.19110000000000002</v>
      </c>
    </row>
    <row r="45" spans="1:25" ht="29">
      <c r="A45" s="18" t="s">
        <v>21</v>
      </c>
      <c r="B45" s="21" t="s">
        <v>16</v>
      </c>
      <c r="C45" s="15" t="s">
        <v>138</v>
      </c>
      <c r="D45" s="31" t="s">
        <v>22</v>
      </c>
      <c r="E45" s="31" t="s">
        <v>18</v>
      </c>
      <c r="F45" s="31" t="s">
        <v>18</v>
      </c>
      <c r="G45" s="31" t="s">
        <v>18</v>
      </c>
      <c r="H45" s="31" t="s">
        <v>18</v>
      </c>
      <c r="I45" s="31" t="s">
        <v>50</v>
      </c>
      <c r="J45" s="3" t="s">
        <v>28</v>
      </c>
      <c r="K45" s="3" t="str">
        <f>IF(Sheet1!E45="All","N/A",
IF(LEFT(Sheet1!E45,4)="upto","N/A",
IF(LEFT(Sheet1!E45,5)="Above",VALUE(MID(Sheet1!E45,7,2))+1,
IF(ISNUMBER(SEARCH("to",Sheet1!E45)),VALUE(LEFT(Sheet1!E45,FIND(" to",Sheet1!E45)-1)),
"N/A"))))</f>
        <v>N/A</v>
      </c>
      <c r="L45" s="3" t="str">
        <f>IF(Sheet1!E45="All","N/A",
IF(LEFT(Sheet1!E45,4)="upto",VALUE(MID(Sheet1!E45,6,2)),
IF(LEFT(Sheet1!E45,5)="Above","N/A",
IF(ISNUMBER(SEARCH("to",Sheet1!E45)),VALUE(MID(Sheet1!E45,FIND("to ",Sheet1!E45)+3,2)),
"N/A"))))</f>
        <v>N/A</v>
      </c>
      <c r="M45" s="1" t="s">
        <v>20</v>
      </c>
      <c r="N45" s="21" t="s">
        <v>150</v>
      </c>
      <c r="O45" s="3" t="s">
        <v>116</v>
      </c>
      <c r="P45" s="3">
        <f>IF(Sheet1!A45="No","No",
IF(LEFT(Sheet1!A45,5)="Up to",0,
VALUE(LEFT(Sheet1!A45,FIND(" ",Sheet1!A45)-1))))</f>
        <v>0</v>
      </c>
      <c r="Q45" s="3">
        <f>IF(Sheet1!A45="No","No",
IF(LEFT(Sheet1!A45,5)="Up to",
VALUE(MID(Sheet1!A45,7,FIND("kg",Sheet1!A45)-7)),
VALUE(MID(Sheet1!A45,FIND("to",Sheet1!A45)+3,FIND("kg",Sheet1!A45)-FIND("to",Sheet1!A45)-3))))</f>
        <v>2300</v>
      </c>
      <c r="R45" s="3" t="s">
        <v>116</v>
      </c>
      <c r="S45" s="3" t="s">
        <v>116</v>
      </c>
      <c r="T45" s="3" t="s">
        <v>116</v>
      </c>
      <c r="U45" s="3" t="s">
        <v>116</v>
      </c>
      <c r="V45" s="3" t="s">
        <v>116</v>
      </c>
      <c r="W45" s="3" t="s">
        <v>116</v>
      </c>
      <c r="X45" s="3" t="s">
        <v>116</v>
      </c>
      <c r="Y45" s="37">
        <f>Sheet1!C45-Sheet1!D45</f>
        <v>0.15190000000000003</v>
      </c>
    </row>
    <row r="46" spans="1:25" ht="29">
      <c r="A46" s="18" t="s">
        <v>21</v>
      </c>
      <c r="B46" s="21" t="s">
        <v>16</v>
      </c>
      <c r="C46" s="15" t="s">
        <v>139</v>
      </c>
      <c r="D46" s="31" t="s">
        <v>22</v>
      </c>
      <c r="E46" s="31" t="s">
        <v>18</v>
      </c>
      <c r="F46" s="31" t="s">
        <v>18</v>
      </c>
      <c r="G46" s="31" t="s">
        <v>18</v>
      </c>
      <c r="H46" s="31" t="s">
        <v>18</v>
      </c>
      <c r="I46" s="31" t="s">
        <v>50</v>
      </c>
      <c r="J46" s="3" t="s">
        <v>28</v>
      </c>
      <c r="K46" s="3" t="str">
        <f>IF(Sheet1!E46="All","N/A",
IF(LEFT(Sheet1!E46,4)="upto","N/A",
IF(LEFT(Sheet1!E46,5)="Above",VALUE(MID(Sheet1!E46,7,2))+1,
IF(ISNUMBER(SEARCH("to",Sheet1!E46)),VALUE(LEFT(Sheet1!E46,FIND(" to",Sheet1!E46)-1)),
"N/A"))))</f>
        <v>N/A</v>
      </c>
      <c r="L46" s="3" t="str">
        <f>IF(Sheet1!E46="All","N/A",
IF(LEFT(Sheet1!E46,4)="upto",VALUE(MID(Sheet1!E46,6,2)),
IF(LEFT(Sheet1!E46,5)="Above","N/A",
IF(ISNUMBER(SEARCH("to",Sheet1!E46)),VALUE(MID(Sheet1!E46,FIND("to ",Sheet1!E46)+3,2)),
"N/A"))))</f>
        <v>N/A</v>
      </c>
      <c r="M46" s="1" t="s">
        <v>20</v>
      </c>
      <c r="N46" s="21" t="s">
        <v>150</v>
      </c>
      <c r="O46" s="3" t="s">
        <v>116</v>
      </c>
      <c r="P46" s="3">
        <f>IF(Sheet1!A46="No","No",
IF(LEFT(Sheet1!A46,5)="Up to",0,
VALUE(LEFT(Sheet1!A46,FIND(" ",Sheet1!A46)-1))))</f>
        <v>0</v>
      </c>
      <c r="Q46" s="3">
        <f>IF(Sheet1!A46="No","No",
IF(LEFT(Sheet1!A46,5)="Up to",
VALUE(MID(Sheet1!A46,7,FIND("kg",Sheet1!A46)-7)),
VALUE(MID(Sheet1!A46,FIND("to",Sheet1!A46)+3,FIND("kg",Sheet1!A46)-FIND("to",Sheet1!A46)-3))))</f>
        <v>2300</v>
      </c>
      <c r="R46" s="3" t="s">
        <v>116</v>
      </c>
      <c r="S46" s="3" t="s">
        <v>116</v>
      </c>
      <c r="T46" s="3" t="s">
        <v>116</v>
      </c>
      <c r="U46" s="3" t="s">
        <v>116</v>
      </c>
      <c r="V46" s="3" t="s">
        <v>116</v>
      </c>
      <c r="W46" s="3" t="s">
        <v>116</v>
      </c>
      <c r="X46" s="3" t="s">
        <v>116</v>
      </c>
      <c r="Y46" s="37">
        <f>Sheet1!C46-Sheet1!D46</f>
        <v>0.32830000000000004</v>
      </c>
    </row>
    <row r="47" spans="1:25" ht="29">
      <c r="A47" s="18" t="s">
        <v>21</v>
      </c>
      <c r="B47" s="21" t="s">
        <v>16</v>
      </c>
      <c r="C47" s="15">
        <v>20</v>
      </c>
      <c r="D47" s="31" t="s">
        <v>22</v>
      </c>
      <c r="E47" s="31" t="s">
        <v>18</v>
      </c>
      <c r="F47" s="31" t="s">
        <v>18</v>
      </c>
      <c r="G47" s="31" t="s">
        <v>18</v>
      </c>
      <c r="H47" s="31" t="s">
        <v>18</v>
      </c>
      <c r="I47" s="31" t="s">
        <v>50</v>
      </c>
      <c r="J47" s="3" t="s">
        <v>28</v>
      </c>
      <c r="K47" s="3" t="str">
        <f>IF(Sheet1!E47="All","N/A",
IF(LEFT(Sheet1!E47,4)="upto","N/A",
IF(LEFT(Sheet1!E47,5)="Above",VALUE(MID(Sheet1!E47,7,2))+1,
IF(ISNUMBER(SEARCH("to",Sheet1!E47)),VALUE(LEFT(Sheet1!E47,FIND(" to",Sheet1!E47)-1)),
"N/A"))))</f>
        <v>N/A</v>
      </c>
      <c r="L47" s="3" t="str">
        <f>IF(Sheet1!E47="All","N/A",
IF(LEFT(Sheet1!E47,4)="upto",VALUE(MID(Sheet1!E47,6,2)),
IF(LEFT(Sheet1!E47,5)="Above","N/A",
IF(ISNUMBER(SEARCH("to",Sheet1!E47)),VALUE(MID(Sheet1!E47,FIND("to ",Sheet1!E47)+3,2)),
"N/A"))))</f>
        <v>N/A</v>
      </c>
      <c r="M47" s="1" t="s">
        <v>20</v>
      </c>
      <c r="N47" s="21" t="s">
        <v>150</v>
      </c>
      <c r="O47" s="3" t="s">
        <v>116</v>
      </c>
      <c r="P47" s="3">
        <f>IF(Sheet1!A47="No","No",
IF(LEFT(Sheet1!A47,5)="Up to",0,
VALUE(LEFT(Sheet1!A47,FIND(" ",Sheet1!A47)-1))))</f>
        <v>0</v>
      </c>
      <c r="Q47" s="3">
        <f>IF(Sheet1!A47="No","No",
IF(LEFT(Sheet1!A47,5)="Up to",
VALUE(MID(Sheet1!A47,7,FIND("kg",Sheet1!A47)-7)),
VALUE(MID(Sheet1!A47,FIND("to",Sheet1!A47)+3,FIND("kg",Sheet1!A47)-FIND("to",Sheet1!A47)-3))))</f>
        <v>2300</v>
      </c>
      <c r="R47" s="3" t="s">
        <v>116</v>
      </c>
      <c r="S47" s="3" t="s">
        <v>116</v>
      </c>
      <c r="T47" s="3" t="s">
        <v>116</v>
      </c>
      <c r="U47" s="3" t="s">
        <v>116</v>
      </c>
      <c r="V47" s="3" t="s">
        <v>116</v>
      </c>
      <c r="W47" s="3" t="s">
        <v>116</v>
      </c>
      <c r="X47" s="3" t="s">
        <v>116</v>
      </c>
      <c r="Y47" s="37">
        <f>Sheet1!C47-Sheet1!D47</f>
        <v>0.33810000000000001</v>
      </c>
    </row>
    <row r="48" spans="1:25" ht="29">
      <c r="A48" s="18" t="s">
        <v>21</v>
      </c>
      <c r="B48" s="21" t="s">
        <v>58</v>
      </c>
      <c r="C48" s="15" t="s">
        <v>146</v>
      </c>
      <c r="D48" s="31" t="s">
        <v>22</v>
      </c>
      <c r="E48" s="31" t="s">
        <v>18</v>
      </c>
      <c r="F48" s="31" t="s">
        <v>18</v>
      </c>
      <c r="G48" s="31" t="s">
        <v>18</v>
      </c>
      <c r="H48" s="31" t="s">
        <v>18</v>
      </c>
      <c r="I48" s="31" t="s">
        <v>50</v>
      </c>
      <c r="J48" s="3" t="s">
        <v>28</v>
      </c>
      <c r="K48" s="3" t="str">
        <f>IF(Sheet1!E48="All","N/A",
IF(LEFT(Sheet1!E48,4)="upto","N/A",
IF(LEFT(Sheet1!E48,5)="Above",VALUE(MID(Sheet1!E48,7,2))+1,
IF(ISNUMBER(SEARCH("to",Sheet1!E48)),VALUE(LEFT(Sheet1!E48,FIND(" to",Sheet1!E48)-1)),
"N/A"))))</f>
        <v>N/A</v>
      </c>
      <c r="L48" s="3" t="str">
        <f>IF(Sheet1!E48="All","N/A",
IF(LEFT(Sheet1!E48,4)="upto",VALUE(MID(Sheet1!E48,6,2)),
IF(LEFT(Sheet1!E48,5)="Above","N/A",
IF(ISNUMBER(SEARCH("to",Sheet1!E48)),VALUE(MID(Sheet1!E48,FIND("to ",Sheet1!E48)+3,2)),
"N/A"))))</f>
        <v>N/A</v>
      </c>
      <c r="M48" s="1" t="s">
        <v>20</v>
      </c>
      <c r="N48" s="21" t="s">
        <v>150</v>
      </c>
      <c r="O48" s="3" t="s">
        <v>116</v>
      </c>
      <c r="P48" s="3">
        <f>IF(Sheet1!A48="No","No",
IF(LEFT(Sheet1!A48,5)="Up to",0,
VALUE(LEFT(Sheet1!A48,FIND(" ",Sheet1!A48)-1))))</f>
        <v>0</v>
      </c>
      <c r="Q48" s="3">
        <f>IF(Sheet1!A48="No","No",
IF(LEFT(Sheet1!A48,5)="Up to",
VALUE(MID(Sheet1!A48,7,FIND("kg",Sheet1!A48)-7)),
VALUE(MID(Sheet1!A48,FIND("to",Sheet1!A48)+3,FIND("kg",Sheet1!A48)-FIND("to",Sheet1!A48)-3))))</f>
        <v>2300</v>
      </c>
      <c r="R48" s="3" t="s">
        <v>116</v>
      </c>
      <c r="S48" s="3" t="s">
        <v>116</v>
      </c>
      <c r="T48" s="3" t="s">
        <v>116</v>
      </c>
      <c r="U48" s="3" t="s">
        <v>116</v>
      </c>
      <c r="V48" s="3" t="s">
        <v>116</v>
      </c>
      <c r="W48" s="3" t="s">
        <v>116</v>
      </c>
      <c r="X48" s="3" t="s">
        <v>116</v>
      </c>
      <c r="Y48" s="37">
        <f>Sheet1!C48-Sheet1!D48</f>
        <v>0.1225</v>
      </c>
    </row>
    <row r="49" spans="1:25" ht="29">
      <c r="A49" s="18" t="s">
        <v>21</v>
      </c>
      <c r="B49" s="21" t="s">
        <v>16</v>
      </c>
      <c r="C49" s="3" t="s">
        <v>35</v>
      </c>
      <c r="D49" s="31" t="s">
        <v>22</v>
      </c>
      <c r="E49" s="31" t="s">
        <v>18</v>
      </c>
      <c r="F49" s="31" t="s">
        <v>18</v>
      </c>
      <c r="G49" s="31" t="s">
        <v>18</v>
      </c>
      <c r="H49" s="31" t="s">
        <v>18</v>
      </c>
      <c r="I49" s="31" t="s">
        <v>50</v>
      </c>
      <c r="J49" s="3" t="s">
        <v>32</v>
      </c>
      <c r="K49" s="3" t="str">
        <f>IF(Sheet1!E49="All","N/A",
IF(LEFT(Sheet1!E49,4)="upto","N/A",
IF(LEFT(Sheet1!E49,5)="Above",VALUE(MID(Sheet1!E49,7,2))+1,
IF(ISNUMBER(SEARCH("to",Sheet1!E49)),VALUE(LEFT(Sheet1!E49,FIND(" to",Sheet1!E49)-1)),
"N/A"))))</f>
        <v>N/A</v>
      </c>
      <c r="L49" s="3" t="str">
        <f>IF(Sheet1!E49="All","N/A",
IF(LEFT(Sheet1!E49,4)="upto",VALUE(MID(Sheet1!E49,6,2)),
IF(LEFT(Sheet1!E49,5)="Above","N/A",
IF(ISNUMBER(SEARCH("to",Sheet1!E49)),VALUE(MID(Sheet1!E49,FIND("to ",Sheet1!E49)+3,2)),
"N/A"))))</f>
        <v>N/A</v>
      </c>
      <c r="M49" s="3" t="s">
        <v>17</v>
      </c>
      <c r="N49" s="21" t="s">
        <v>150</v>
      </c>
      <c r="O49" s="3" t="s">
        <v>116</v>
      </c>
      <c r="P49" s="57">
        <f>IF(Sheet1!A49="No","No",
IF(LEFT(Sheet1!A49,5)="Up to",0,
VALUE(LEFT(Sheet1!A49,FIND(" ",Sheet1!A49)-1))))</f>
        <v>0</v>
      </c>
      <c r="Q49" s="57">
        <f>IF(Sheet1!A49="No","No",
IF(LEFT(Sheet1!A49,5)="Up to",
VALUE(MID(Sheet1!A49,7,FIND("kg",Sheet1!A49)-7)),
VALUE(MID(Sheet1!A49,FIND("to",Sheet1!A49)+3,FIND("kg",Sheet1!A49)-FIND("to",Sheet1!A49)-3))))</f>
        <v>3500</v>
      </c>
      <c r="R49" s="3" t="s">
        <v>116</v>
      </c>
      <c r="S49" s="3" t="s">
        <v>116</v>
      </c>
      <c r="T49" s="3" t="s">
        <v>116</v>
      </c>
      <c r="U49" s="3" t="s">
        <v>116</v>
      </c>
      <c r="V49" s="3" t="s">
        <v>116</v>
      </c>
      <c r="W49" s="3" t="s">
        <v>116</v>
      </c>
      <c r="X49" s="3" t="s">
        <v>116</v>
      </c>
      <c r="Y49" s="32">
        <f>Sheet1!C49-Sheet1!D49</f>
        <v>0.27930000000000005</v>
      </c>
    </row>
    <row r="50" spans="1:25" ht="29">
      <c r="A50" s="18" t="s">
        <v>21</v>
      </c>
      <c r="B50" s="21" t="s">
        <v>58</v>
      </c>
      <c r="C50" s="15" t="s">
        <v>146</v>
      </c>
      <c r="D50" s="31" t="s">
        <v>22</v>
      </c>
      <c r="E50" s="31" t="s">
        <v>18</v>
      </c>
      <c r="F50" s="31" t="s">
        <v>18</v>
      </c>
      <c r="G50" s="31" t="s">
        <v>18</v>
      </c>
      <c r="H50" s="31" t="s">
        <v>18</v>
      </c>
      <c r="I50" s="31" t="s">
        <v>50</v>
      </c>
      <c r="J50" s="3" t="s">
        <v>32</v>
      </c>
      <c r="K50" s="3" t="str">
        <f>IF(Sheet1!E50="All","N/A",
IF(LEFT(Sheet1!E50,4)="upto","N/A",
IF(LEFT(Sheet1!E50,5)="Above",VALUE(MID(Sheet1!E50,7,2))+1,
IF(ISNUMBER(SEARCH("to",Sheet1!E50)),VALUE(LEFT(Sheet1!E50,FIND(" to",Sheet1!E50)-1)),
"N/A"))))</f>
        <v>N/A</v>
      </c>
      <c r="L50" s="3" t="str">
        <f>IF(Sheet1!E50="All","N/A",
IF(LEFT(Sheet1!E50,4)="upto",VALUE(MID(Sheet1!E50,6,2)),
IF(LEFT(Sheet1!E50,5)="Above","N/A",
IF(ISNUMBER(SEARCH("to",Sheet1!E50)),VALUE(MID(Sheet1!E50,FIND("to ",Sheet1!E50)+3,2)),
"N/A"))))</f>
        <v>N/A</v>
      </c>
      <c r="M50" s="3" t="s">
        <v>17</v>
      </c>
      <c r="N50" s="21" t="s">
        <v>150</v>
      </c>
      <c r="O50" s="3" t="s">
        <v>116</v>
      </c>
      <c r="P50" s="57">
        <f>IF(Sheet1!A50="No","No",
IF(LEFT(Sheet1!A50,5)="Up to",0,
VALUE(LEFT(Sheet1!A50,FIND(" ",Sheet1!A50)-1))))</f>
        <v>0</v>
      </c>
      <c r="Q50" s="57">
        <f>IF(Sheet1!A50="No","No",
IF(LEFT(Sheet1!A50,5)="Up to",
VALUE(MID(Sheet1!A50,7,FIND("kg",Sheet1!A50)-7)),
VALUE(MID(Sheet1!A50,FIND("to",Sheet1!A50)+3,FIND("kg",Sheet1!A50)-FIND("to",Sheet1!A50)-3))))</f>
        <v>3500</v>
      </c>
      <c r="R50" s="3" t="s">
        <v>116</v>
      </c>
      <c r="S50" s="3" t="s">
        <v>116</v>
      </c>
      <c r="T50" s="3" t="s">
        <v>116</v>
      </c>
      <c r="U50" s="3" t="s">
        <v>116</v>
      </c>
      <c r="V50" s="3" t="s">
        <v>116</v>
      </c>
      <c r="W50" s="3" t="s">
        <v>116</v>
      </c>
      <c r="X50" s="3" t="s">
        <v>116</v>
      </c>
      <c r="Y50" s="37">
        <f>Sheet1!C50-Sheet1!D50</f>
        <v>0.11270000000000001</v>
      </c>
    </row>
    <row r="51" spans="1:25" ht="29">
      <c r="A51" s="18" t="s">
        <v>21</v>
      </c>
      <c r="B51" s="21" t="s">
        <v>16</v>
      </c>
      <c r="C51" s="3" t="s">
        <v>35</v>
      </c>
      <c r="D51" s="31" t="s">
        <v>22</v>
      </c>
      <c r="E51" s="31" t="s">
        <v>18</v>
      </c>
      <c r="F51" s="31" t="s">
        <v>18</v>
      </c>
      <c r="G51" s="31" t="s">
        <v>18</v>
      </c>
      <c r="H51" s="31" t="s">
        <v>18</v>
      </c>
      <c r="I51" s="31" t="s">
        <v>50</v>
      </c>
      <c r="J51" s="3" t="s">
        <v>32</v>
      </c>
      <c r="K51" s="3" t="str">
        <f>IF(Sheet1!E51="All","N/A",
IF(LEFT(Sheet1!E51,4)="upto","N/A",
IF(LEFT(Sheet1!E51,5)="Above",VALUE(MID(Sheet1!E51,7,2))+1,
IF(ISNUMBER(SEARCH("to",Sheet1!E51)),VALUE(LEFT(Sheet1!E51,FIND(" to",Sheet1!E51)-1)),
"N/A"))))</f>
        <v>N/A</v>
      </c>
      <c r="L51" s="3" t="str">
        <f>IF(Sheet1!E51="All","N/A",
IF(LEFT(Sheet1!E51,4)="upto",VALUE(MID(Sheet1!E51,6,2)),
IF(LEFT(Sheet1!E51,5)="Above","N/A",
IF(ISNUMBER(SEARCH("to",Sheet1!E51)),VALUE(MID(Sheet1!E51,FIND("to ",Sheet1!E51)+3,2)),
"N/A"))))</f>
        <v>N/A</v>
      </c>
      <c r="M51" s="1" t="s">
        <v>17</v>
      </c>
      <c r="N51" s="21" t="s">
        <v>150</v>
      </c>
      <c r="O51" s="2" t="s">
        <v>116</v>
      </c>
      <c r="P51" s="2">
        <f>IF(Sheet1!A51="No","No",
IF(LEFT(Sheet1!A51,5)="Up to",0,
VALUE(LEFT(Sheet1!A51,FIND(" ",Sheet1!A51)-1))))</f>
        <v>0</v>
      </c>
      <c r="Q51" s="2">
        <f>IF(Sheet1!A51="No","No",
IF(LEFT(Sheet1!A51,5)="Up to",
VALUE(MID(Sheet1!A51,7,FIND("kg",Sheet1!A51)-7)),
VALUE(MID(Sheet1!A51,FIND("to",Sheet1!A51)+3,FIND("kg",Sheet1!A51)-FIND("to",Sheet1!A51)-3))))</f>
        <v>3500</v>
      </c>
      <c r="R51" s="3" t="s">
        <v>116</v>
      </c>
      <c r="S51" s="2" t="s">
        <v>116</v>
      </c>
      <c r="T51" s="2" t="s">
        <v>116</v>
      </c>
      <c r="U51" s="2" t="s">
        <v>116</v>
      </c>
      <c r="V51" s="2" t="s">
        <v>116</v>
      </c>
      <c r="W51" s="2" t="s">
        <v>116</v>
      </c>
      <c r="X51" s="2" t="s">
        <v>116</v>
      </c>
      <c r="Y51" s="32">
        <f>Sheet1!C51-Sheet1!D51</f>
        <v>0.39690000000000003</v>
      </c>
    </row>
    <row r="52" spans="1:25" ht="29">
      <c r="A52" s="18" t="s">
        <v>21</v>
      </c>
      <c r="B52" s="21" t="s">
        <v>58</v>
      </c>
      <c r="C52" s="3" t="s">
        <v>146</v>
      </c>
      <c r="D52" s="31" t="s">
        <v>22</v>
      </c>
      <c r="E52" s="31" t="s">
        <v>18</v>
      </c>
      <c r="F52" s="31" t="s">
        <v>18</v>
      </c>
      <c r="G52" s="31" t="s">
        <v>18</v>
      </c>
      <c r="H52" s="31" t="s">
        <v>18</v>
      </c>
      <c r="I52" s="31" t="s">
        <v>50</v>
      </c>
      <c r="J52" s="3" t="s">
        <v>32</v>
      </c>
      <c r="K52" s="3" t="str">
        <f>IF(Sheet1!E52="All","N/A",
IF(LEFT(Sheet1!E52,4)="upto","N/A",
IF(LEFT(Sheet1!E52,5)="Above",VALUE(MID(Sheet1!E52,7,2))+1,
IF(ISNUMBER(SEARCH("to",Sheet1!E52)),VALUE(LEFT(Sheet1!E52,FIND(" to",Sheet1!E52)-1)),
"N/A"))))</f>
        <v>N/A</v>
      </c>
      <c r="L52" s="3" t="str">
        <f>IF(Sheet1!E52="All","N/A",
IF(LEFT(Sheet1!E52,4)="upto",VALUE(MID(Sheet1!E52,6,2)),
IF(LEFT(Sheet1!E52,5)="Above","N/A",
IF(ISNUMBER(SEARCH("to",Sheet1!E52)),VALUE(MID(Sheet1!E52,FIND("to ",Sheet1!E52)+3,2)),
"N/A"))))</f>
        <v>N/A</v>
      </c>
      <c r="M52" s="1" t="s">
        <v>17</v>
      </c>
      <c r="N52" s="21" t="s">
        <v>150</v>
      </c>
      <c r="O52" s="2" t="s">
        <v>116</v>
      </c>
      <c r="P52" s="2">
        <f>IF(Sheet1!A52="No","No",
IF(LEFT(Sheet1!A52,5)="Up to",0,
VALUE(LEFT(Sheet1!A52,FIND(" ",Sheet1!A52)-1))))</f>
        <v>0</v>
      </c>
      <c r="Q52" s="2">
        <f>IF(Sheet1!A52="No","No",
IF(LEFT(Sheet1!A52,5)="Up to",
VALUE(MID(Sheet1!A52,7,FIND("kg",Sheet1!A52)-7)),
VALUE(MID(Sheet1!A52,FIND("to",Sheet1!A52)+3,FIND("kg",Sheet1!A52)-FIND("to",Sheet1!A52)-3))))</f>
        <v>3500</v>
      </c>
      <c r="R52" s="3" t="s">
        <v>116</v>
      </c>
      <c r="S52" s="2" t="s">
        <v>116</v>
      </c>
      <c r="T52" s="2" t="s">
        <v>116</v>
      </c>
      <c r="U52" s="2" t="s">
        <v>116</v>
      </c>
      <c r="V52" s="2" t="s">
        <v>116</v>
      </c>
      <c r="W52" s="2" t="s">
        <v>116</v>
      </c>
      <c r="X52" s="2" t="s">
        <v>116</v>
      </c>
      <c r="Y52" s="32">
        <f>Sheet1!C52-Sheet1!D52</f>
        <v>0.17149999999999999</v>
      </c>
    </row>
    <row r="53" spans="1:25">
      <c r="A53" s="11" t="s">
        <v>52</v>
      </c>
      <c r="B53" s="21" t="s">
        <v>16</v>
      </c>
      <c r="C53" s="15" t="s">
        <v>53</v>
      </c>
      <c r="D53" s="31" t="s">
        <v>22</v>
      </c>
      <c r="E53" s="31" t="s">
        <v>18</v>
      </c>
      <c r="F53" s="42">
        <v>46037</v>
      </c>
      <c r="G53" s="31" t="s">
        <v>18</v>
      </c>
      <c r="H53" s="31" t="s">
        <v>73</v>
      </c>
      <c r="I53" s="31" t="s">
        <v>50</v>
      </c>
      <c r="J53" s="3" t="s">
        <v>28</v>
      </c>
      <c r="K53" s="3" t="str">
        <f>IF(Sheet1!E53="All","N/A",
IF(LEFT(Sheet1!E53,4)="upto","N/A",
IF(LEFT(Sheet1!E53,5)="Above",VALUE(MID(Sheet1!E53,7,2))+1,
IF(ISNUMBER(SEARCH("to",Sheet1!E53)),VALUE(LEFT(Sheet1!E53,FIND(" to",Sheet1!E53)-1)),
"N/A"))))</f>
        <v>N/A</v>
      </c>
      <c r="L53" s="3" t="str">
        <f>IF(Sheet1!E53="All","N/A",
IF(LEFT(Sheet1!E53,4)="upto",VALUE(MID(Sheet1!E53,6,2)),
IF(LEFT(Sheet1!E53,5)="Above","N/A",
IF(ISNUMBER(SEARCH("to",Sheet1!E53)),VALUE(MID(Sheet1!E53,FIND("to ",Sheet1!E53)+3,2)),
"N/A"))))</f>
        <v>N/A</v>
      </c>
      <c r="M53" s="1" t="s">
        <v>17</v>
      </c>
      <c r="N53" s="12" t="s">
        <v>54</v>
      </c>
      <c r="O53" s="2" t="s">
        <v>116</v>
      </c>
      <c r="P53" s="2">
        <f>IF(Sheet1!A53="No","No",
IF(LEFT(Sheet1!A53,5)="Up to",0,
VALUE(LEFT(Sheet1!A53,FIND(" ",Sheet1!A53)-1))))</f>
        <v>0</v>
      </c>
      <c r="Q53" s="2">
        <f>IF(Sheet1!A53="No","No",
IF(LEFT(Sheet1!A53,5)="Up to",
VALUE(MID(Sheet1!A53,7,FIND("kg",Sheet1!A53)-7)),
VALUE(MID(Sheet1!A53,FIND("to",Sheet1!A53)+3,FIND("kg",Sheet1!A53)-FIND("to",Sheet1!A53)-3))))</f>
        <v>2000</v>
      </c>
      <c r="R53" s="3" t="s">
        <v>116</v>
      </c>
      <c r="S53" s="2" t="s">
        <v>116</v>
      </c>
      <c r="T53" s="2" t="s">
        <v>116</v>
      </c>
      <c r="U53" s="2" t="s">
        <v>116</v>
      </c>
      <c r="V53" s="2" t="s">
        <v>116</v>
      </c>
      <c r="W53" s="2" t="s">
        <v>116</v>
      </c>
      <c r="X53" s="2" t="s">
        <v>116</v>
      </c>
      <c r="Y53" s="37">
        <f>Sheet1!C53-Sheet1!D53</f>
        <v>0.47040000000000004</v>
      </c>
    </row>
    <row r="54" spans="1:25" ht="29">
      <c r="A54" s="11" t="s">
        <v>52</v>
      </c>
      <c r="B54" s="21" t="s">
        <v>16</v>
      </c>
      <c r="C54" s="15" t="s">
        <v>56</v>
      </c>
      <c r="D54" s="31" t="s">
        <v>22</v>
      </c>
      <c r="E54" s="31" t="s">
        <v>18</v>
      </c>
      <c r="F54" s="42">
        <v>46037</v>
      </c>
      <c r="G54" s="31" t="s">
        <v>18</v>
      </c>
      <c r="H54" s="31" t="s">
        <v>73</v>
      </c>
      <c r="I54" s="31" t="s">
        <v>50</v>
      </c>
      <c r="J54" s="3" t="s">
        <v>28</v>
      </c>
      <c r="K54" s="3" t="str">
        <f>IF(Sheet1!E54="All","N/A",
IF(LEFT(Sheet1!E54,4)="upto","N/A",
IF(LEFT(Sheet1!E54,5)="Above",VALUE(MID(Sheet1!E54,7,2))+1,
IF(ISNUMBER(SEARCH("to",Sheet1!E54)),VALUE(LEFT(Sheet1!E54,FIND(" to",Sheet1!E54)-1)),
"N/A"))))</f>
        <v>N/A</v>
      </c>
      <c r="L54" s="3" t="str">
        <f>IF(Sheet1!E54="All","N/A",
IF(LEFT(Sheet1!E54,4)="upto",VALUE(MID(Sheet1!E54,6,2)),
IF(LEFT(Sheet1!E54,5)="Above","N/A",
IF(ISNUMBER(SEARCH("to",Sheet1!E54)),VALUE(MID(Sheet1!E54,FIND("to ",Sheet1!E54)+3,2)),
"N/A"))))</f>
        <v>N/A</v>
      </c>
      <c r="M54" s="1" t="s">
        <v>17</v>
      </c>
      <c r="N54" s="12" t="s">
        <v>54</v>
      </c>
      <c r="O54" s="2" t="s">
        <v>116</v>
      </c>
      <c r="P54" s="2">
        <f>IF(Sheet1!A54="No","No",
IF(LEFT(Sheet1!A54,5)="Up to",0,
VALUE(LEFT(Sheet1!A54,FIND(" ",Sheet1!A54)-1))))</f>
        <v>0</v>
      </c>
      <c r="Q54" s="2">
        <f>IF(Sheet1!A54="No","No",
IF(LEFT(Sheet1!A54,5)="Up to",
VALUE(MID(Sheet1!A54,7,FIND("kg",Sheet1!A54)-7)),
VALUE(MID(Sheet1!A54,FIND("to",Sheet1!A54)+3,FIND("kg",Sheet1!A54)-FIND("to",Sheet1!A54)-3))))</f>
        <v>2000</v>
      </c>
      <c r="R54" s="3" t="s">
        <v>116</v>
      </c>
      <c r="S54" s="2" t="s">
        <v>116</v>
      </c>
      <c r="T54" s="2" t="s">
        <v>116</v>
      </c>
      <c r="U54" s="2" t="s">
        <v>116</v>
      </c>
      <c r="V54" s="2" t="s">
        <v>116</v>
      </c>
      <c r="W54" s="2" t="s">
        <v>116</v>
      </c>
      <c r="X54" s="2" t="s">
        <v>116</v>
      </c>
      <c r="Y54" s="37">
        <f>Sheet1!C54-Sheet1!D54</f>
        <v>0.39690000000000003</v>
      </c>
    </row>
    <row r="55" spans="1:25" ht="29">
      <c r="A55" s="11" t="s">
        <v>52</v>
      </c>
      <c r="B55" s="21" t="s">
        <v>16</v>
      </c>
      <c r="C55" s="15" t="s">
        <v>57</v>
      </c>
      <c r="D55" s="31" t="s">
        <v>22</v>
      </c>
      <c r="E55" s="31" t="s">
        <v>18</v>
      </c>
      <c r="F55" s="42">
        <v>46037</v>
      </c>
      <c r="G55" s="31" t="s">
        <v>18</v>
      </c>
      <c r="H55" s="31" t="s">
        <v>73</v>
      </c>
      <c r="I55" s="31" t="s">
        <v>50</v>
      </c>
      <c r="J55" s="3" t="s">
        <v>28</v>
      </c>
      <c r="K55" s="3" t="str">
        <f>IF(Sheet1!E55="All","N/A",
IF(LEFT(Sheet1!E55,4)="upto","N/A",
IF(LEFT(Sheet1!E55,5)="Above",VALUE(MID(Sheet1!E55,7,2))+1,
IF(ISNUMBER(SEARCH("to",Sheet1!E55)),VALUE(LEFT(Sheet1!E55,FIND(" to",Sheet1!E55)-1)),
"N/A"))))</f>
        <v>N/A</v>
      </c>
      <c r="L55" s="3" t="str">
        <f>IF(Sheet1!E55="All","N/A",
IF(LEFT(Sheet1!E55,4)="upto",VALUE(MID(Sheet1!E55,6,2)),
IF(LEFT(Sheet1!E55,5)="Above","N/A",
IF(ISNUMBER(SEARCH("to",Sheet1!E55)),VALUE(MID(Sheet1!E55,FIND("to ",Sheet1!E55)+3,2)),
"N/A"))))</f>
        <v>N/A</v>
      </c>
      <c r="M55" s="1" t="s">
        <v>17</v>
      </c>
      <c r="N55" s="12" t="s">
        <v>54</v>
      </c>
      <c r="O55" s="2" t="s">
        <v>116</v>
      </c>
      <c r="P55" s="2">
        <f>IF(Sheet1!A55="No","No",
IF(LEFT(Sheet1!A55,5)="Up to",0,
VALUE(LEFT(Sheet1!A55,FIND(" ",Sheet1!A55)-1))))</f>
        <v>0</v>
      </c>
      <c r="Q55" s="2">
        <f>IF(Sheet1!A55="No","No",
IF(LEFT(Sheet1!A55,5)="Up to",
VALUE(MID(Sheet1!A55,7,FIND("kg",Sheet1!A55)-7)),
VALUE(MID(Sheet1!A55,FIND("to",Sheet1!A55)+3,FIND("kg",Sheet1!A55)-FIND("to",Sheet1!A55)-3))))</f>
        <v>2000</v>
      </c>
      <c r="R55" s="3" t="s">
        <v>116</v>
      </c>
      <c r="S55" s="2" t="s">
        <v>116</v>
      </c>
      <c r="T55" s="2" t="s">
        <v>116</v>
      </c>
      <c r="U55" s="2" t="s">
        <v>116</v>
      </c>
      <c r="V55" s="2" t="s">
        <v>116</v>
      </c>
      <c r="W55" s="2" t="s">
        <v>116</v>
      </c>
      <c r="X55" s="2" t="s">
        <v>116</v>
      </c>
      <c r="Y55" s="37">
        <f>Sheet1!C55-Sheet1!D55</f>
        <v>0.25969999999999999</v>
      </c>
    </row>
    <row r="56" spans="1:25">
      <c r="A56" s="1" t="s">
        <v>52</v>
      </c>
      <c r="B56" s="2" t="s">
        <v>58</v>
      </c>
      <c r="C56" s="3" t="s">
        <v>59</v>
      </c>
      <c r="D56" s="31" t="s">
        <v>22</v>
      </c>
      <c r="E56" s="31" t="s">
        <v>18</v>
      </c>
      <c r="F56" s="42">
        <v>46037</v>
      </c>
      <c r="G56" s="31" t="s">
        <v>18</v>
      </c>
      <c r="H56" s="31" t="s">
        <v>73</v>
      </c>
      <c r="I56" s="31" t="s">
        <v>50</v>
      </c>
      <c r="J56" s="3" t="s">
        <v>28</v>
      </c>
      <c r="K56" s="3" t="str">
        <f>IF(Sheet1!E56="All","N/A",
IF(LEFT(Sheet1!E56,4)="upto","N/A",
IF(LEFT(Sheet1!E56,5)="Above",VALUE(MID(Sheet1!E56,7,2))+1,
IF(ISNUMBER(SEARCH("to",Sheet1!E56)),VALUE(LEFT(Sheet1!E56,FIND(" to",Sheet1!E56)-1)),
"N/A"))))</f>
        <v>N/A</v>
      </c>
      <c r="L56" s="3" t="str">
        <f>IF(Sheet1!E56="All","N/A",
IF(LEFT(Sheet1!E56,4)="upto",VALUE(MID(Sheet1!E56,6,2)),
IF(LEFT(Sheet1!E56,5)="Above","N/A",
IF(ISNUMBER(SEARCH("to",Sheet1!E56)),VALUE(MID(Sheet1!E56,FIND("to ",Sheet1!E56)+3,2)),
"N/A"))))</f>
        <v>N/A</v>
      </c>
      <c r="M56" s="1" t="s">
        <v>17</v>
      </c>
      <c r="N56" s="12" t="s">
        <v>54</v>
      </c>
      <c r="O56" s="2" t="s">
        <v>116</v>
      </c>
      <c r="P56" s="2">
        <f>IF(Sheet1!A56="No","No",
IF(LEFT(Sheet1!A56,5)="Up to",0,
VALUE(LEFT(Sheet1!A56,FIND(" ",Sheet1!A56)-1))))</f>
        <v>0</v>
      </c>
      <c r="Q56" s="2">
        <f>IF(Sheet1!A56="No","No",
IF(LEFT(Sheet1!A56,5)="Up to",
VALUE(MID(Sheet1!A56,7,FIND("kg",Sheet1!A56)-7)),
VALUE(MID(Sheet1!A56,FIND("to",Sheet1!A56)+3,FIND("kg",Sheet1!A56)-FIND("to",Sheet1!A56)-3))))</f>
        <v>2000</v>
      </c>
      <c r="R56" s="3" t="s">
        <v>116</v>
      </c>
      <c r="S56" s="2" t="s">
        <v>116</v>
      </c>
      <c r="T56" s="2" t="s">
        <v>116</v>
      </c>
      <c r="U56" s="2" t="s">
        <v>116</v>
      </c>
      <c r="V56" s="2" t="s">
        <v>116</v>
      </c>
      <c r="W56" s="2" t="s">
        <v>116</v>
      </c>
      <c r="X56" s="2" t="s">
        <v>116</v>
      </c>
      <c r="Y56" s="32">
        <f>Sheet1!C56-Sheet1!D56</f>
        <v>0.25969999999999999</v>
      </c>
    </row>
    <row r="57" spans="1:25">
      <c r="A57" s="1" t="s">
        <v>52</v>
      </c>
      <c r="B57" s="21" t="s">
        <v>16</v>
      </c>
      <c r="C57" s="3" t="s">
        <v>53</v>
      </c>
      <c r="D57" s="31" t="s">
        <v>22</v>
      </c>
      <c r="E57" s="31" t="s">
        <v>18</v>
      </c>
      <c r="F57" s="42">
        <v>46037</v>
      </c>
      <c r="G57" s="31" t="s">
        <v>18</v>
      </c>
      <c r="H57" s="31" t="s">
        <v>73</v>
      </c>
      <c r="I57" s="31" t="s">
        <v>50</v>
      </c>
      <c r="J57" s="3" t="s">
        <v>28</v>
      </c>
      <c r="K57" s="3" t="str">
        <f>IF(Sheet1!E57="All","N/A",
IF(LEFT(Sheet1!E57,4)="upto","N/A",
IF(LEFT(Sheet1!E57,5)="Above",VALUE(MID(Sheet1!E57,7,2))+1,
IF(ISNUMBER(SEARCH("to",Sheet1!E57)),VALUE(LEFT(Sheet1!E57,FIND(" to",Sheet1!E57)-1)),
"N/A"))))</f>
        <v>N/A</v>
      </c>
      <c r="L57" s="3" t="str">
        <f>IF(Sheet1!E57="All","N/A",
IF(LEFT(Sheet1!E57,4)="upto",VALUE(MID(Sheet1!E57,6,2)),
IF(LEFT(Sheet1!E57,5)="Above","N/A",
IF(ISNUMBER(SEARCH("to",Sheet1!E57)),VALUE(MID(Sheet1!E57,FIND("to ",Sheet1!E57)+3,2)),
"N/A"))))</f>
        <v>N/A</v>
      </c>
      <c r="M57" s="1" t="s">
        <v>17</v>
      </c>
      <c r="N57" s="12" t="s">
        <v>39</v>
      </c>
      <c r="O57" s="2" t="s">
        <v>116</v>
      </c>
      <c r="P57" s="2">
        <f>IF(Sheet1!A57="No","No",
IF(LEFT(Sheet1!A57,5)="Up to",0,
VALUE(LEFT(Sheet1!A57,FIND(" ",Sheet1!A57)-1))))</f>
        <v>0</v>
      </c>
      <c r="Q57" s="2">
        <f>IF(Sheet1!A57="No","No",
IF(LEFT(Sheet1!A57,5)="Up to",
VALUE(MID(Sheet1!A57,7,FIND("kg",Sheet1!A57)-7)),
VALUE(MID(Sheet1!A57,FIND("to",Sheet1!A57)+3,FIND("kg",Sheet1!A57)-FIND("to",Sheet1!A57)-3))))</f>
        <v>2000</v>
      </c>
      <c r="R57" s="3" t="s">
        <v>116</v>
      </c>
      <c r="S57" s="2" t="s">
        <v>116</v>
      </c>
      <c r="T57" s="2" t="s">
        <v>116</v>
      </c>
      <c r="U57" s="2" t="s">
        <v>116</v>
      </c>
      <c r="V57" s="2" t="s">
        <v>116</v>
      </c>
      <c r="W57" s="2" t="s">
        <v>116</v>
      </c>
      <c r="X57" s="2" t="s">
        <v>116</v>
      </c>
      <c r="Y57" s="32">
        <f>Sheet1!C57-Sheet1!D57</f>
        <v>0.51939999999999986</v>
      </c>
    </row>
    <row r="58" spans="1:25" ht="29">
      <c r="A58" s="1" t="s">
        <v>52</v>
      </c>
      <c r="B58" s="21" t="s">
        <v>16</v>
      </c>
      <c r="C58" s="3" t="s">
        <v>56</v>
      </c>
      <c r="D58" s="31" t="s">
        <v>22</v>
      </c>
      <c r="E58" s="31" t="s">
        <v>18</v>
      </c>
      <c r="F58" s="42">
        <v>46037</v>
      </c>
      <c r="G58" s="31" t="s">
        <v>18</v>
      </c>
      <c r="H58" s="31" t="s">
        <v>73</v>
      </c>
      <c r="I58" s="31" t="s">
        <v>50</v>
      </c>
      <c r="J58" s="3" t="s">
        <v>28</v>
      </c>
      <c r="K58" s="3" t="str">
        <f>IF(Sheet1!E58="All","N/A",
IF(LEFT(Sheet1!E58,4)="upto","N/A",
IF(LEFT(Sheet1!E58,5)="Above",VALUE(MID(Sheet1!E58,7,2))+1,
IF(ISNUMBER(SEARCH("to",Sheet1!E58)),VALUE(LEFT(Sheet1!E58,FIND(" to",Sheet1!E58)-1)),
"N/A"))))</f>
        <v>N/A</v>
      </c>
      <c r="L58" s="3" t="str">
        <f>IF(Sheet1!E58="All","N/A",
IF(LEFT(Sheet1!E58,4)="upto",VALUE(MID(Sheet1!E58,6,2)),
IF(LEFT(Sheet1!E58,5)="Above","N/A",
IF(ISNUMBER(SEARCH("to",Sheet1!E58)),VALUE(MID(Sheet1!E58,FIND("to ",Sheet1!E58)+3,2)),
"N/A"))))</f>
        <v>N/A</v>
      </c>
      <c r="M58" s="1" t="s">
        <v>17</v>
      </c>
      <c r="N58" s="12" t="s">
        <v>39</v>
      </c>
      <c r="O58" s="2" t="s">
        <v>116</v>
      </c>
      <c r="P58" s="2">
        <f>IF(Sheet1!A58="No","No",
IF(LEFT(Sheet1!A58,5)="Up to",0,
VALUE(LEFT(Sheet1!A58,FIND(" ",Sheet1!A58)-1))))</f>
        <v>0</v>
      </c>
      <c r="Q58" s="2">
        <f>IF(Sheet1!A58="No","No",
IF(LEFT(Sheet1!A58,5)="Up to",
VALUE(MID(Sheet1!A58,7,FIND("kg",Sheet1!A58)-7)),
VALUE(MID(Sheet1!A58,FIND("to",Sheet1!A58)+3,FIND("kg",Sheet1!A58)-FIND("to",Sheet1!A58)-3))))</f>
        <v>2000</v>
      </c>
      <c r="R58" s="3" t="s">
        <v>116</v>
      </c>
      <c r="S58" s="2" t="s">
        <v>116</v>
      </c>
      <c r="T58" s="2" t="s">
        <v>116</v>
      </c>
      <c r="U58" s="2" t="s">
        <v>116</v>
      </c>
      <c r="V58" s="2" t="s">
        <v>116</v>
      </c>
      <c r="W58" s="2" t="s">
        <v>116</v>
      </c>
      <c r="X58" s="2" t="s">
        <v>116</v>
      </c>
      <c r="Y58" s="34">
        <f>Sheet1!C58-Sheet1!D58</f>
        <v>0.44590000000000002</v>
      </c>
    </row>
    <row r="59" spans="1:25" ht="29">
      <c r="A59" s="1" t="s">
        <v>52</v>
      </c>
      <c r="B59" s="21" t="s">
        <v>16</v>
      </c>
      <c r="C59" s="3" t="s">
        <v>57</v>
      </c>
      <c r="D59" s="31" t="s">
        <v>22</v>
      </c>
      <c r="E59" s="31" t="s">
        <v>18</v>
      </c>
      <c r="F59" s="42">
        <v>46037</v>
      </c>
      <c r="G59" s="31" t="s">
        <v>18</v>
      </c>
      <c r="H59" s="31" t="s">
        <v>73</v>
      </c>
      <c r="I59" s="31" t="s">
        <v>50</v>
      </c>
      <c r="J59" s="3" t="s">
        <v>28</v>
      </c>
      <c r="K59" s="3" t="str">
        <f>IF(Sheet1!E59="All","N/A",
IF(LEFT(Sheet1!E59,4)="upto","N/A",
IF(LEFT(Sheet1!E59,5)="Above",VALUE(MID(Sheet1!E59,7,2))+1,
IF(ISNUMBER(SEARCH("to",Sheet1!E59)),VALUE(LEFT(Sheet1!E59,FIND(" to",Sheet1!E59)-1)),
"N/A"))))</f>
        <v>N/A</v>
      </c>
      <c r="L59" s="3" t="str">
        <f>IF(Sheet1!E59="All","N/A",
IF(LEFT(Sheet1!E59,4)="upto",VALUE(MID(Sheet1!E59,6,2)),
IF(LEFT(Sheet1!E59,5)="Above","N/A",
IF(ISNUMBER(SEARCH("to",Sheet1!E59)),VALUE(MID(Sheet1!E59,FIND("to ",Sheet1!E59)+3,2)),
"N/A"))))</f>
        <v>N/A</v>
      </c>
      <c r="M59" s="1" t="s">
        <v>17</v>
      </c>
      <c r="N59" s="12" t="s">
        <v>39</v>
      </c>
      <c r="O59" s="2" t="s">
        <v>116</v>
      </c>
      <c r="P59" s="2">
        <f>IF(Sheet1!A59="No","No",
IF(LEFT(Sheet1!A59,5)="Up to",0,
VALUE(LEFT(Sheet1!A59,FIND(" ",Sheet1!A59)-1))))</f>
        <v>0</v>
      </c>
      <c r="Q59" s="2">
        <f>IF(Sheet1!A59="No","No",
IF(LEFT(Sheet1!A59,5)="Up to",
VALUE(MID(Sheet1!A59,7,FIND("kg",Sheet1!A59)-7)),
VALUE(MID(Sheet1!A59,FIND("to",Sheet1!A59)+3,FIND("kg",Sheet1!A59)-FIND("to",Sheet1!A59)-3))))</f>
        <v>2000</v>
      </c>
      <c r="R59" s="3" t="s">
        <v>116</v>
      </c>
      <c r="S59" s="2" t="s">
        <v>116</v>
      </c>
      <c r="T59" s="2" t="s">
        <v>116</v>
      </c>
      <c r="U59" s="2" t="s">
        <v>116</v>
      </c>
      <c r="V59" s="2" t="s">
        <v>116</v>
      </c>
      <c r="W59" s="2" t="s">
        <v>116</v>
      </c>
      <c r="X59" s="2" t="s">
        <v>116</v>
      </c>
      <c r="Y59" s="34">
        <f>Sheet1!C59-Sheet1!D59</f>
        <v>0.30869999999999997</v>
      </c>
    </row>
    <row r="60" spans="1:25">
      <c r="A60" s="11" t="s">
        <v>52</v>
      </c>
      <c r="B60" s="12" t="s">
        <v>58</v>
      </c>
      <c r="C60" s="15" t="s">
        <v>59</v>
      </c>
      <c r="D60" s="30" t="s">
        <v>22</v>
      </c>
      <c r="E60" s="30" t="s">
        <v>18</v>
      </c>
      <c r="F60" s="42">
        <v>46037</v>
      </c>
      <c r="G60" s="30" t="s">
        <v>18</v>
      </c>
      <c r="H60" s="31" t="s">
        <v>73</v>
      </c>
      <c r="I60" s="30" t="s">
        <v>50</v>
      </c>
      <c r="J60" s="3" t="s">
        <v>28</v>
      </c>
      <c r="K60" s="15" t="str">
        <f>IF(Sheet1!E60="All","N/A",
IF(LEFT(Sheet1!E60,4)="upto","N/A",
IF(LEFT(Sheet1!E60,5)="Above",VALUE(MID(Sheet1!E60,7,2))+1,
IF(ISNUMBER(SEARCH("to",Sheet1!E60)),VALUE(LEFT(Sheet1!E60,FIND(" to",Sheet1!E60)-1)),
"N/A"))))</f>
        <v>N/A</v>
      </c>
      <c r="L60" s="15" t="str">
        <f>IF(Sheet1!E60="All","N/A",
IF(LEFT(Sheet1!E60,4)="upto",VALUE(MID(Sheet1!E60,6,2)),
IF(LEFT(Sheet1!E60,5)="Above","N/A",
IF(ISNUMBER(SEARCH("to",Sheet1!E60)),VALUE(MID(Sheet1!E60,FIND("to ",Sheet1!E60)+3,2)),
"N/A"))))</f>
        <v>N/A</v>
      </c>
      <c r="M60" s="11" t="s">
        <v>17</v>
      </c>
      <c r="N60" s="12" t="s">
        <v>39</v>
      </c>
      <c r="O60" s="12" t="s">
        <v>116</v>
      </c>
      <c r="P60" s="12">
        <f>IF(Sheet1!A60="No","No",
IF(LEFT(Sheet1!A60,5)="Up to",0,
VALUE(LEFT(Sheet1!A60,FIND(" ",Sheet1!A60)-1))))</f>
        <v>0</v>
      </c>
      <c r="Q60" s="12">
        <f>IF(Sheet1!A60="No","No",
IF(LEFT(Sheet1!A60,5)="Up to",
VALUE(MID(Sheet1!A60,7,FIND("kg",Sheet1!A60)-7)),
VALUE(MID(Sheet1!A60,FIND("to",Sheet1!A60)+3,FIND("kg",Sheet1!A60)-FIND("to",Sheet1!A60)-3))))</f>
        <v>2000</v>
      </c>
      <c r="R60" s="15" t="s">
        <v>116</v>
      </c>
      <c r="S60" s="12" t="s">
        <v>116</v>
      </c>
      <c r="T60" s="12" t="s">
        <v>116</v>
      </c>
      <c r="U60" s="12" t="s">
        <v>116</v>
      </c>
      <c r="V60" s="12" t="s">
        <v>116</v>
      </c>
      <c r="W60" s="12" t="s">
        <v>116</v>
      </c>
      <c r="X60" s="12" t="s">
        <v>116</v>
      </c>
      <c r="Y60" s="35">
        <f>Sheet1!C60-Sheet1!D60</f>
        <v>0.30869999999999997</v>
      </c>
    </row>
    <row r="61" spans="1:25">
      <c r="A61" s="1" t="s">
        <v>52</v>
      </c>
      <c r="B61" s="21" t="s">
        <v>16</v>
      </c>
      <c r="C61" s="3" t="s">
        <v>53</v>
      </c>
      <c r="D61" s="31" t="s">
        <v>22</v>
      </c>
      <c r="E61" s="31" t="s">
        <v>18</v>
      </c>
      <c r="F61" s="42">
        <v>46037</v>
      </c>
      <c r="G61" s="31" t="s">
        <v>18</v>
      </c>
      <c r="H61" s="31" t="s">
        <v>73</v>
      </c>
      <c r="I61" s="31" t="s">
        <v>50</v>
      </c>
      <c r="J61" s="3" t="s">
        <v>28</v>
      </c>
      <c r="K61" s="3" t="str">
        <f>IF(Sheet1!E61="All","N/A",
IF(LEFT(Sheet1!E61,4)="upto","N/A",
IF(LEFT(Sheet1!E61,5)="Above",VALUE(MID(Sheet1!E61,7,2))+1,
IF(ISNUMBER(SEARCH("to",Sheet1!E61)),VALUE(LEFT(Sheet1!E61,FIND(" to",Sheet1!E61)-1)),
"N/A"))))</f>
        <v>N/A</v>
      </c>
      <c r="L61" s="3" t="str">
        <f>IF(Sheet1!E61="All","N/A",
IF(LEFT(Sheet1!E61,4)="upto",VALUE(MID(Sheet1!E61,6,2)),
IF(LEFT(Sheet1!E61,5)="Above","N/A",
IF(ISNUMBER(SEARCH("to",Sheet1!E61)),VALUE(MID(Sheet1!E61,FIND("to ",Sheet1!E61)+3,2)),
"N/A"))))</f>
        <v>N/A</v>
      </c>
      <c r="M61" s="1" t="s">
        <v>20</v>
      </c>
      <c r="N61" s="12" t="s">
        <v>39</v>
      </c>
      <c r="O61" s="2" t="s">
        <v>116</v>
      </c>
      <c r="P61" s="2">
        <f>IF(Sheet1!A61="No","No",
IF(LEFT(Sheet1!A61,5)="Up to",0,
VALUE(LEFT(Sheet1!A61,FIND(" ",Sheet1!A61)-1))))</f>
        <v>0</v>
      </c>
      <c r="Q61" s="2">
        <f>IF(Sheet1!A61="No","No",
IF(LEFT(Sheet1!A61,5)="Up to",
VALUE(MID(Sheet1!A61,7,FIND("kg",Sheet1!A61)-7)),
VALUE(MID(Sheet1!A61,FIND("to",Sheet1!A61)+3,FIND("kg",Sheet1!A61)-FIND("to",Sheet1!A61)-3))))</f>
        <v>2000</v>
      </c>
      <c r="R61" s="3" t="s">
        <v>116</v>
      </c>
      <c r="S61" s="2" t="s">
        <v>116</v>
      </c>
      <c r="T61" s="2" t="s">
        <v>116</v>
      </c>
      <c r="U61" s="2" t="s">
        <v>116</v>
      </c>
      <c r="V61" s="2" t="s">
        <v>116</v>
      </c>
      <c r="W61" s="2" t="s">
        <v>116</v>
      </c>
      <c r="X61" s="2" t="s">
        <v>116</v>
      </c>
      <c r="Y61" s="32">
        <f>Sheet1!C61-Sheet1!D61</f>
        <v>0.52429999999999988</v>
      </c>
    </row>
    <row r="62" spans="1:25" ht="29">
      <c r="A62" s="1" t="s">
        <v>52</v>
      </c>
      <c r="B62" s="21" t="s">
        <v>16</v>
      </c>
      <c r="C62" s="3" t="s">
        <v>56</v>
      </c>
      <c r="D62" s="31" t="s">
        <v>22</v>
      </c>
      <c r="E62" s="31" t="s">
        <v>18</v>
      </c>
      <c r="F62" s="42">
        <v>46037</v>
      </c>
      <c r="G62" s="31" t="s">
        <v>18</v>
      </c>
      <c r="H62" s="31" t="s">
        <v>73</v>
      </c>
      <c r="I62" s="31" t="s">
        <v>50</v>
      </c>
      <c r="J62" s="3" t="s">
        <v>28</v>
      </c>
      <c r="K62" s="3" t="str">
        <f>IF(Sheet1!E62="All","N/A",
IF(LEFT(Sheet1!E62,4)="upto","N/A",
IF(LEFT(Sheet1!E62,5)="Above",VALUE(MID(Sheet1!E62,7,2))+1,
IF(ISNUMBER(SEARCH("to",Sheet1!E62)),VALUE(LEFT(Sheet1!E62,FIND(" to",Sheet1!E62)-1)),
"N/A"))))</f>
        <v>N/A</v>
      </c>
      <c r="L62" s="3" t="str">
        <f>IF(Sheet1!E62="All","N/A",
IF(LEFT(Sheet1!E62,4)="upto",VALUE(MID(Sheet1!E62,6,2)),
IF(LEFT(Sheet1!E62,5)="Above","N/A",
IF(ISNUMBER(SEARCH("to",Sheet1!E62)),VALUE(MID(Sheet1!E62,FIND("to ",Sheet1!E62)+3,2)),
"N/A"))))</f>
        <v>N/A</v>
      </c>
      <c r="M62" s="1" t="s">
        <v>20</v>
      </c>
      <c r="N62" s="12" t="s">
        <v>39</v>
      </c>
      <c r="O62" s="2" t="s">
        <v>116</v>
      </c>
      <c r="P62" s="2">
        <f>IF(Sheet1!A62="No","No",
IF(LEFT(Sheet1!A62,5)="Up to",0,
VALUE(LEFT(Sheet1!A62,FIND(" ",Sheet1!A62)-1))))</f>
        <v>0</v>
      </c>
      <c r="Q62" s="2">
        <f>IF(Sheet1!A62="No","No",
IF(LEFT(Sheet1!A62,5)="Up to",
VALUE(MID(Sheet1!A62,7,FIND("kg",Sheet1!A62)-7)),
VALUE(MID(Sheet1!A62,FIND("to",Sheet1!A62)+3,FIND("kg",Sheet1!A62)-FIND("to",Sheet1!A62)-3))))</f>
        <v>2000</v>
      </c>
      <c r="R62" s="3" t="s">
        <v>116</v>
      </c>
      <c r="S62" s="2" t="s">
        <v>116</v>
      </c>
      <c r="T62" s="2" t="s">
        <v>116</v>
      </c>
      <c r="U62" s="2" t="s">
        <v>116</v>
      </c>
      <c r="V62" s="2" t="s">
        <v>116</v>
      </c>
      <c r="W62" s="2" t="s">
        <v>116</v>
      </c>
      <c r="X62" s="2" t="s">
        <v>116</v>
      </c>
      <c r="Y62" s="34">
        <f>Sheet1!C62-Sheet1!D62</f>
        <v>0.45570000000000005</v>
      </c>
    </row>
    <row r="63" spans="1:25" ht="29">
      <c r="A63" s="1" t="s">
        <v>52</v>
      </c>
      <c r="B63" s="21" t="s">
        <v>16</v>
      </c>
      <c r="C63" s="3" t="s">
        <v>57</v>
      </c>
      <c r="D63" s="31" t="s">
        <v>22</v>
      </c>
      <c r="E63" s="31" t="s">
        <v>18</v>
      </c>
      <c r="F63" s="42">
        <v>46037</v>
      </c>
      <c r="G63" s="31" t="s">
        <v>18</v>
      </c>
      <c r="H63" s="31" t="s">
        <v>73</v>
      </c>
      <c r="I63" s="31" t="s">
        <v>50</v>
      </c>
      <c r="J63" s="3" t="s">
        <v>28</v>
      </c>
      <c r="K63" s="3" t="str">
        <f>IF(Sheet1!E63="All","N/A",
IF(LEFT(Sheet1!E63,4)="upto","N/A",
IF(LEFT(Sheet1!E63,5)="Above",VALUE(MID(Sheet1!E63,7,2))+1,
IF(ISNUMBER(SEARCH("to",Sheet1!E63)),VALUE(LEFT(Sheet1!E63,FIND(" to",Sheet1!E63)-1)),
"N/A"))))</f>
        <v>N/A</v>
      </c>
      <c r="L63" s="3" t="str">
        <f>IF(Sheet1!E63="All","N/A",
IF(LEFT(Sheet1!E63,4)="upto",VALUE(MID(Sheet1!E63,6,2)),
IF(LEFT(Sheet1!E63,5)="Above","N/A",
IF(ISNUMBER(SEARCH("to",Sheet1!E63)),VALUE(MID(Sheet1!E63,FIND("to ",Sheet1!E63)+3,2)),
"N/A"))))</f>
        <v>N/A</v>
      </c>
      <c r="M63" s="1" t="s">
        <v>20</v>
      </c>
      <c r="N63" s="12" t="s">
        <v>39</v>
      </c>
      <c r="O63" s="2" t="s">
        <v>116</v>
      </c>
      <c r="P63" s="2">
        <f>IF(Sheet1!A63="No","No",
IF(LEFT(Sheet1!A63,5)="Up to",0,
VALUE(LEFT(Sheet1!A63,FIND(" ",Sheet1!A63)-1))))</f>
        <v>0</v>
      </c>
      <c r="Q63" s="2">
        <f>IF(Sheet1!A63="No","No",
IF(LEFT(Sheet1!A63,5)="Up to",
VALUE(MID(Sheet1!A63,7,FIND("kg",Sheet1!A63)-7)),
VALUE(MID(Sheet1!A63,FIND("to",Sheet1!A63)+3,FIND("kg",Sheet1!A63)-FIND("to",Sheet1!A63)-3))))</f>
        <v>2000</v>
      </c>
      <c r="R63" s="3" t="s">
        <v>116</v>
      </c>
      <c r="S63" s="2" t="s">
        <v>116</v>
      </c>
      <c r="T63" s="2" t="s">
        <v>116</v>
      </c>
      <c r="U63" s="2" t="s">
        <v>116</v>
      </c>
      <c r="V63" s="2" t="s">
        <v>116</v>
      </c>
      <c r="W63" s="2" t="s">
        <v>116</v>
      </c>
      <c r="X63" s="2" t="s">
        <v>116</v>
      </c>
      <c r="Y63" s="34">
        <f>Sheet1!C63-Sheet1!D63</f>
        <v>0.31850000000000001</v>
      </c>
    </row>
    <row r="64" spans="1:25">
      <c r="A64" s="11" t="s">
        <v>52</v>
      </c>
      <c r="B64" s="12" t="s">
        <v>58</v>
      </c>
      <c r="C64" s="15" t="s">
        <v>59</v>
      </c>
      <c r="D64" s="30" t="s">
        <v>22</v>
      </c>
      <c r="E64" s="30" t="s">
        <v>18</v>
      </c>
      <c r="F64" s="42">
        <v>46037</v>
      </c>
      <c r="G64" s="30" t="s">
        <v>18</v>
      </c>
      <c r="H64" s="31" t="s">
        <v>73</v>
      </c>
      <c r="I64" s="30" t="s">
        <v>50</v>
      </c>
      <c r="J64" s="3" t="s">
        <v>28</v>
      </c>
      <c r="K64" s="15" t="str">
        <f>IF(Sheet1!E64="All","N/A",
IF(LEFT(Sheet1!E64,4)="upto","N/A",
IF(LEFT(Sheet1!E64,5)="Above",VALUE(MID(Sheet1!E64,7,2))+1,
IF(ISNUMBER(SEARCH("to",Sheet1!E64)),VALUE(LEFT(Sheet1!E64,FIND(" to",Sheet1!E64)-1)),
"N/A"))))</f>
        <v>N/A</v>
      </c>
      <c r="L64" s="15" t="str">
        <f>IF(Sheet1!E64="All","N/A",
IF(LEFT(Sheet1!E64,4)="upto",VALUE(MID(Sheet1!E64,6,2)),
IF(LEFT(Sheet1!E64,5)="Above","N/A",
IF(ISNUMBER(SEARCH("to",Sheet1!E64)),VALUE(MID(Sheet1!E64,FIND("to ",Sheet1!E64)+3,2)),
"N/A"))))</f>
        <v>N/A</v>
      </c>
      <c r="M64" s="1" t="s">
        <v>20</v>
      </c>
      <c r="N64" s="12" t="s">
        <v>39</v>
      </c>
      <c r="O64" s="12" t="s">
        <v>116</v>
      </c>
      <c r="P64" s="12">
        <f>IF(Sheet1!A64="No","No",
IF(LEFT(Sheet1!A64,5)="Up to",0,
VALUE(LEFT(Sheet1!A64,FIND(" ",Sheet1!A64)-1))))</f>
        <v>0</v>
      </c>
      <c r="Q64" s="12">
        <f>IF(Sheet1!A64="No","No",
IF(LEFT(Sheet1!A64,5)="Up to",
VALUE(MID(Sheet1!A64,7,FIND("kg",Sheet1!A64)-7)),
VALUE(MID(Sheet1!A64,FIND("to",Sheet1!A64)+3,FIND("kg",Sheet1!A64)-FIND("to",Sheet1!A64)-3))))</f>
        <v>2000</v>
      </c>
      <c r="R64" s="15" t="s">
        <v>116</v>
      </c>
      <c r="S64" s="12" t="s">
        <v>116</v>
      </c>
      <c r="T64" s="12" t="s">
        <v>116</v>
      </c>
      <c r="U64" s="12" t="s">
        <v>116</v>
      </c>
      <c r="V64" s="12" t="s">
        <v>116</v>
      </c>
      <c r="W64" s="12" t="s">
        <v>116</v>
      </c>
      <c r="X64" s="12" t="s">
        <v>116</v>
      </c>
      <c r="Y64" s="35">
        <f>Sheet1!C64-Sheet1!D64</f>
        <v>0.31850000000000001</v>
      </c>
    </row>
    <row r="65" spans="1:25" ht="29">
      <c r="A65" s="14" t="s">
        <v>19</v>
      </c>
      <c r="B65" s="17" t="s">
        <v>16</v>
      </c>
      <c r="C65" s="24" t="s">
        <v>60</v>
      </c>
      <c r="D65" s="30" t="s">
        <v>22</v>
      </c>
      <c r="E65" s="30" t="s">
        <v>18</v>
      </c>
      <c r="F65" s="30" t="s">
        <v>18</v>
      </c>
      <c r="G65" s="44" t="s">
        <v>72</v>
      </c>
      <c r="H65" s="30" t="s">
        <v>18</v>
      </c>
      <c r="I65" s="30" t="s">
        <v>50</v>
      </c>
      <c r="J65" s="24" t="s">
        <v>31</v>
      </c>
      <c r="K65" s="24" t="str">
        <f>IF(Sheet1!E65="All","N/A",
IF(LEFT(Sheet1!E65,4)="upto","N/A",
IF(LEFT(Sheet1!E65,5)="Above",VALUE(MID(Sheet1!E65,7,2))+1,
IF(ISNUMBER(SEARCH("to",Sheet1!E65)),VALUE(LEFT(Sheet1!E65,FIND(" to",Sheet1!E65)-1)),
"N/A"))))</f>
        <v>N/A</v>
      </c>
      <c r="L65" s="24">
        <f>IF(Sheet1!E65="All","N/A",
IF(LEFT(Sheet1!E65,4)="upto",VALUE(MID(Sheet1!E65,6,2)),
IF(LEFT(Sheet1!E65,5)="Above","N/A",
IF(ISNUMBER(SEARCH("to",Sheet1!E65)),VALUE(MID(Sheet1!E65,FIND("to ",Sheet1!E65)+3,2)),
"N/A"))))</f>
        <v>5</v>
      </c>
      <c r="M65" s="28" t="s">
        <v>30</v>
      </c>
      <c r="N65" s="17" t="s">
        <v>150</v>
      </c>
      <c r="O65" s="12" t="s">
        <v>116</v>
      </c>
      <c r="P65" s="12">
        <f>IF(Sheet1!A65="No","No",
IF(LEFT(Sheet1!A65,5)="Up to",0,
VALUE(LEFT(Sheet1!A65,FIND(" ",Sheet1!A65)-1))))</f>
        <v>0</v>
      </c>
      <c r="Q65" s="12">
        <f>IF(Sheet1!A65="No","No",
IF(LEFT(Sheet1!A65,5)="Up to",
VALUE(MID(Sheet1!A65,7,FIND("kg",Sheet1!A65)-7)),
VALUE(MID(Sheet1!A65,FIND("to",Sheet1!A65)+3,FIND("kg",Sheet1!A65)-FIND("to",Sheet1!A65)-3))))</f>
        <v>2800</v>
      </c>
      <c r="R65" s="15" t="s">
        <v>116</v>
      </c>
      <c r="S65" s="12" t="s">
        <v>116</v>
      </c>
      <c r="T65" s="12" t="s">
        <v>116</v>
      </c>
      <c r="U65" s="12" t="s">
        <v>116</v>
      </c>
      <c r="V65" s="12" t="s">
        <v>116</v>
      </c>
      <c r="W65" s="12" t="s">
        <v>116</v>
      </c>
      <c r="X65" s="12" t="s">
        <v>116</v>
      </c>
      <c r="Y65" s="37">
        <f>Sheet1!C65-Sheet1!D65</f>
        <v>0.22540000000000004</v>
      </c>
    </row>
    <row r="66" spans="1:25" ht="58">
      <c r="A66" s="13" t="s">
        <v>19</v>
      </c>
      <c r="B66" s="21" t="s">
        <v>16</v>
      </c>
      <c r="C66" s="3" t="s">
        <v>63</v>
      </c>
      <c r="D66" s="30" t="s">
        <v>22</v>
      </c>
      <c r="E66" s="30" t="s">
        <v>18</v>
      </c>
      <c r="F66" s="30" t="s">
        <v>18</v>
      </c>
      <c r="G66" s="30" t="s">
        <v>18</v>
      </c>
      <c r="H66" s="30" t="s">
        <v>18</v>
      </c>
      <c r="I66" s="30" t="s">
        <v>50</v>
      </c>
      <c r="J66" s="24" t="s">
        <v>31</v>
      </c>
      <c r="K66" s="24">
        <f>IF(Sheet1!E66="All","N/A",
IF(LEFT(Sheet1!E66,4)="upto","N/A",
IF(LEFT(Sheet1!E66,5)="Above",VALUE(MID(Sheet1!E66,7,2))+1,
IF(ISNUMBER(SEARCH("to",Sheet1!E66)),VALUE(LEFT(Sheet1!E66,FIND(" to",Sheet1!E66)-1)),
"N/A"))))</f>
        <v>6</v>
      </c>
      <c r="L66" s="24">
        <f>IF(Sheet1!E66="All","N/A",
IF(LEFT(Sheet1!E66,4)="upto",VALUE(MID(Sheet1!E66,6,2)),
IF(LEFT(Sheet1!E66,5)="Above","N/A",
IF(ISNUMBER(SEARCH("to",Sheet1!E66)),VALUE(MID(Sheet1!E66,FIND("to ",Sheet1!E66)+3,2)),
"N/A"))))</f>
        <v>15</v>
      </c>
      <c r="M66" s="28" t="s">
        <v>17</v>
      </c>
      <c r="N66" s="17" t="s">
        <v>150</v>
      </c>
      <c r="O66" s="12" t="s">
        <v>116</v>
      </c>
      <c r="P66" s="12">
        <f>IF(Sheet1!A66="No","No",
IF(LEFT(Sheet1!A66,5)="Up to",0,
VALUE(LEFT(Sheet1!A66,FIND(" ",Sheet1!A66)-1))))</f>
        <v>0</v>
      </c>
      <c r="Q66" s="12">
        <f>IF(Sheet1!A66="No","No",
IF(LEFT(Sheet1!A66,5)="Up to",
VALUE(MID(Sheet1!A66,7,FIND("kg",Sheet1!A66)-7)),
VALUE(MID(Sheet1!A66,FIND("to",Sheet1!A66)+3,FIND("kg",Sheet1!A66)-FIND("to",Sheet1!A66)-3))))</f>
        <v>2800</v>
      </c>
      <c r="R66" s="15" t="s">
        <v>116</v>
      </c>
      <c r="S66" s="12" t="s">
        <v>116</v>
      </c>
      <c r="T66" s="12" t="s">
        <v>116</v>
      </c>
      <c r="U66" s="12" t="s">
        <v>116</v>
      </c>
      <c r="V66" s="12" t="s">
        <v>116</v>
      </c>
      <c r="W66" s="12" t="s">
        <v>116</v>
      </c>
      <c r="X66" s="12" t="s">
        <v>116</v>
      </c>
      <c r="Y66" s="32">
        <f>Sheet1!C66-Sheet1!D66</f>
        <v>0.44590000000000002</v>
      </c>
    </row>
    <row r="67" spans="1:25" ht="58">
      <c r="A67" s="13" t="s">
        <v>19</v>
      </c>
      <c r="B67" s="21" t="s">
        <v>16</v>
      </c>
      <c r="C67" s="3" t="s">
        <v>63</v>
      </c>
      <c r="D67" s="30" t="s">
        <v>22</v>
      </c>
      <c r="E67" s="30" t="s">
        <v>18</v>
      </c>
      <c r="F67" s="30" t="s">
        <v>18</v>
      </c>
      <c r="G67" s="30" t="s">
        <v>18</v>
      </c>
      <c r="H67" s="30" t="s">
        <v>18</v>
      </c>
      <c r="I67" s="30" t="s">
        <v>50</v>
      </c>
      <c r="J67" s="24" t="s">
        <v>31</v>
      </c>
      <c r="K67" s="24">
        <f>IF(Sheet1!E67="All","N/A",
IF(LEFT(Sheet1!E67,4)="upto","N/A",
IF(LEFT(Sheet1!E67,5)="Above",VALUE(MID(Sheet1!E67,7,2))+1,
IF(ISNUMBER(SEARCH("to",Sheet1!E67)),VALUE(LEFT(Sheet1!E67,FIND(" to",Sheet1!E67)-1)),
"N/A"))))</f>
        <v>6</v>
      </c>
      <c r="L67" s="24">
        <f>IF(Sheet1!E67="All","N/A",
IF(LEFT(Sheet1!E67,4)="upto",VALUE(MID(Sheet1!E67,6,2)),
IF(LEFT(Sheet1!E67,5)="Above","N/A",
IF(ISNUMBER(SEARCH("to",Sheet1!E67)),VALUE(MID(Sheet1!E67,FIND("to ",Sheet1!E67)+3,2)),
"N/A"))))</f>
        <v>25</v>
      </c>
      <c r="M67" s="28" t="s">
        <v>20</v>
      </c>
      <c r="N67" s="17" t="s">
        <v>150</v>
      </c>
      <c r="O67" s="12" t="s">
        <v>116</v>
      </c>
      <c r="P67" s="12">
        <f>IF(Sheet1!A67="No","No",
IF(LEFT(Sheet1!A67,5)="Up to",0,
VALUE(LEFT(Sheet1!A67,FIND(" ",Sheet1!A67)-1))))</f>
        <v>0</v>
      </c>
      <c r="Q67" s="12">
        <f>IF(Sheet1!A67="No","No",
IF(LEFT(Sheet1!A67,5)="Up to",
VALUE(MID(Sheet1!A67,7,FIND("kg",Sheet1!A67)-7)),
VALUE(MID(Sheet1!A67,FIND("to",Sheet1!A67)+3,FIND("kg",Sheet1!A67)-FIND("to",Sheet1!A67)-3))))</f>
        <v>2800</v>
      </c>
      <c r="R67" s="15" t="s">
        <v>116</v>
      </c>
      <c r="S67" s="12" t="s">
        <v>116</v>
      </c>
      <c r="T67" s="12" t="s">
        <v>116</v>
      </c>
      <c r="U67" s="12" t="s">
        <v>116</v>
      </c>
      <c r="V67" s="12" t="s">
        <v>116</v>
      </c>
      <c r="W67" s="12" t="s">
        <v>116</v>
      </c>
      <c r="X67" s="12" t="s">
        <v>116</v>
      </c>
      <c r="Y67" s="32">
        <f>Sheet1!C67-Sheet1!D67</f>
        <v>0.44590000000000002</v>
      </c>
    </row>
    <row r="68" spans="1:25" ht="29">
      <c r="A68" s="13" t="s">
        <v>19</v>
      </c>
      <c r="B68" s="21" t="s">
        <v>16</v>
      </c>
      <c r="C68" s="16" t="s">
        <v>60</v>
      </c>
      <c r="D68" s="30" t="s">
        <v>22</v>
      </c>
      <c r="E68" s="30" t="s">
        <v>18</v>
      </c>
      <c r="F68" s="30" t="s">
        <v>18</v>
      </c>
      <c r="G68" s="30" t="s">
        <v>18</v>
      </c>
      <c r="H68" s="30" t="s">
        <v>18</v>
      </c>
      <c r="I68" s="30" t="s">
        <v>50</v>
      </c>
      <c r="J68" s="24" t="s">
        <v>31</v>
      </c>
      <c r="K68" s="24">
        <f>IF(Sheet1!E68="All","N/A",
IF(LEFT(Sheet1!E68,4)="upto","N/A",
IF(LEFT(Sheet1!E68,5)="Above",VALUE(MID(Sheet1!E68,7,2))+1,
IF(ISNUMBER(SEARCH("to",Sheet1!E68)),VALUE(LEFT(Sheet1!E68,FIND(" to",Sheet1!E68)-1)),
"N/A"))))</f>
        <v>6</v>
      </c>
      <c r="L68" s="24">
        <f>IF(Sheet1!E68="All","N/A",
IF(LEFT(Sheet1!E68,4)="upto",VALUE(MID(Sheet1!E68,6,2)),
IF(LEFT(Sheet1!E68,5)="Above","N/A",
IF(ISNUMBER(SEARCH("to",Sheet1!E68)),VALUE(MID(Sheet1!E68,FIND("to ",Sheet1!E68)+3,2)),
"N/A"))))</f>
        <v>15</v>
      </c>
      <c r="M68" s="28" t="s">
        <v>17</v>
      </c>
      <c r="N68" s="17" t="s">
        <v>150</v>
      </c>
      <c r="O68" s="12" t="s">
        <v>116</v>
      </c>
      <c r="P68" s="12">
        <f>IF(Sheet1!A68="No","No",
IF(LEFT(Sheet1!A68,5)="Up to",0,
VALUE(LEFT(Sheet1!A68,FIND(" ",Sheet1!A68)-1))))</f>
        <v>0</v>
      </c>
      <c r="Q68" s="12">
        <f>IF(Sheet1!A68="No","No",
IF(LEFT(Sheet1!A68,5)="Up to",
VALUE(MID(Sheet1!A68,7,FIND("kg",Sheet1!A68)-7)),
VALUE(MID(Sheet1!A68,FIND("to",Sheet1!A68)+3,FIND("kg",Sheet1!A68)-FIND("to",Sheet1!A68)-3))))</f>
        <v>2800</v>
      </c>
      <c r="R68" s="15" t="s">
        <v>116</v>
      </c>
      <c r="S68" s="12" t="s">
        <v>116</v>
      </c>
      <c r="T68" s="12" t="s">
        <v>116</v>
      </c>
      <c r="U68" s="12" t="s">
        <v>116</v>
      </c>
      <c r="V68" s="12" t="s">
        <v>116</v>
      </c>
      <c r="W68" s="12" t="s">
        <v>116</v>
      </c>
      <c r="X68" s="12" t="s">
        <v>116</v>
      </c>
      <c r="Y68" s="32">
        <f>Sheet1!C68-Sheet1!D68</f>
        <v>0.40670000000000006</v>
      </c>
    </row>
    <row r="69" spans="1:25" ht="29">
      <c r="A69" s="13" t="s">
        <v>19</v>
      </c>
      <c r="B69" s="21" t="s">
        <v>16</v>
      </c>
      <c r="C69" s="16" t="s">
        <v>60</v>
      </c>
      <c r="D69" s="31" t="s">
        <v>22</v>
      </c>
      <c r="E69" s="31" t="s">
        <v>18</v>
      </c>
      <c r="F69" s="31" t="s">
        <v>18</v>
      </c>
      <c r="G69" s="30" t="s">
        <v>18</v>
      </c>
      <c r="H69" s="31" t="s">
        <v>18</v>
      </c>
      <c r="I69" s="31" t="s">
        <v>50</v>
      </c>
      <c r="J69" s="16" t="s">
        <v>31</v>
      </c>
      <c r="K69" s="16">
        <f>IF(Sheet1!E69="All","N/A",
IF(LEFT(Sheet1!E69,4)="upto","N/A",
IF(LEFT(Sheet1!E69,5)="Above",VALUE(MID(Sheet1!E69,7,2))+1,
IF(ISNUMBER(SEARCH("to",Sheet1!E69)),VALUE(LEFT(Sheet1!E69,FIND(" to",Sheet1!E69)-1)),
"N/A"))))</f>
        <v>6</v>
      </c>
      <c r="L69" s="16">
        <f>IF(Sheet1!E69="All","N/A",
IF(LEFT(Sheet1!E69,4)="upto",VALUE(MID(Sheet1!E69,6,2)),
IF(LEFT(Sheet1!E69,5)="Above","N/A",
IF(ISNUMBER(SEARCH("to",Sheet1!E69)),VALUE(MID(Sheet1!E69,FIND("to ",Sheet1!E69)+3,2)),
"N/A"))))</f>
        <v>25</v>
      </c>
      <c r="M69" s="29" t="s">
        <v>20</v>
      </c>
      <c r="N69" s="21" t="s">
        <v>150</v>
      </c>
      <c r="O69" s="2" t="s">
        <v>116</v>
      </c>
      <c r="P69" s="2">
        <f>IF(Sheet1!A69="No","No",
IF(LEFT(Sheet1!A69,5)="Up to",0,
VALUE(LEFT(Sheet1!A69,FIND(" ",Sheet1!A69)-1))))</f>
        <v>0</v>
      </c>
      <c r="Q69" s="2">
        <f>IF(Sheet1!A69="No","No",
IF(LEFT(Sheet1!A69,5)="Up to",
VALUE(MID(Sheet1!A69,7,FIND("kg",Sheet1!A69)-7)),
VALUE(MID(Sheet1!A69,FIND("to",Sheet1!A69)+3,FIND("kg",Sheet1!A69)-FIND("to",Sheet1!A69)-3))))</f>
        <v>2800</v>
      </c>
      <c r="R69" s="3" t="s">
        <v>116</v>
      </c>
      <c r="S69" s="2" t="s">
        <v>116</v>
      </c>
      <c r="T69" s="2" t="s">
        <v>116</v>
      </c>
      <c r="U69" s="2" t="s">
        <v>116</v>
      </c>
      <c r="V69" s="2" t="s">
        <v>116</v>
      </c>
      <c r="W69" s="2" t="s">
        <v>116</v>
      </c>
      <c r="X69" s="2" t="s">
        <v>116</v>
      </c>
      <c r="Y69" s="32">
        <f>Sheet1!C69-Sheet1!D69</f>
        <v>0.40670000000000006</v>
      </c>
    </row>
    <row r="70" spans="1:25" ht="58">
      <c r="A70" s="14" t="s">
        <v>66</v>
      </c>
      <c r="B70" s="21" t="s">
        <v>16</v>
      </c>
      <c r="C70" s="24" t="s">
        <v>154</v>
      </c>
      <c r="D70" s="31" t="s">
        <v>22</v>
      </c>
      <c r="E70" s="31" t="s">
        <v>18</v>
      </c>
      <c r="F70" s="31" t="s">
        <v>18</v>
      </c>
      <c r="G70" s="45" t="s">
        <v>118</v>
      </c>
      <c r="H70" s="31" t="s">
        <v>18</v>
      </c>
      <c r="I70" s="31" t="s">
        <v>50</v>
      </c>
      <c r="J70" s="16" t="s">
        <v>31</v>
      </c>
      <c r="K70" s="24" t="str">
        <f>IF(Sheet1!E70="All","N/A",
IF(LEFT(Sheet1!E70,4)="upto","N/A",
IF(LEFT(Sheet1!E70,5)="Above",VALUE(MID(Sheet1!E70,7,2))+1,
IF(ISNUMBER(SEARCH("to",Sheet1!E70)),VALUE(LEFT(Sheet1!E70,FIND(" to",Sheet1!E70)-1)),
"N/A"))))</f>
        <v>N/A</v>
      </c>
      <c r="L70" s="24" t="str">
        <f>IF(Sheet1!E70="All","N/A",
IF(LEFT(Sheet1!E70,4)="upto",VALUE(MID(Sheet1!E70,6,2)),
IF(LEFT(Sheet1!E70,5)="Above","N/A",
IF(ISNUMBER(SEARCH("to",Sheet1!E70)),VALUE(MID(Sheet1!E70,FIND("to ",Sheet1!E70)+3,2)),
"N/A"))))</f>
        <v>N/A</v>
      </c>
      <c r="M70" s="28" t="s">
        <v>17</v>
      </c>
      <c r="N70" s="21" t="s">
        <v>150</v>
      </c>
      <c r="O70" s="2" t="s">
        <v>116</v>
      </c>
      <c r="P70" s="12">
        <f>IF(Sheet1!A70="No","No",
IF(LEFT(Sheet1!A70,5)="Up to",0,
VALUE(LEFT(Sheet1!A70,FIND(" ",Sheet1!A70)-1))))</f>
        <v>0</v>
      </c>
      <c r="Q70" s="12">
        <f>IF(Sheet1!A70="No","No",
IF(LEFT(Sheet1!A70,5)="Up to",
VALUE(MID(Sheet1!A70,7,FIND("kg",Sheet1!A70)-7)),
VALUE(MID(Sheet1!A70,FIND("to",Sheet1!A70)+3,FIND("kg",Sheet1!A70)-FIND("to",Sheet1!A70)-3))))</f>
        <v>2000</v>
      </c>
      <c r="R70" s="3" t="s">
        <v>116</v>
      </c>
      <c r="S70" s="2" t="s">
        <v>116</v>
      </c>
      <c r="T70" s="2" t="s">
        <v>116</v>
      </c>
      <c r="U70" s="2" t="s">
        <v>116</v>
      </c>
      <c r="V70" s="2" t="s">
        <v>116</v>
      </c>
      <c r="W70" s="2" t="s">
        <v>116</v>
      </c>
      <c r="X70" s="2" t="s">
        <v>116</v>
      </c>
      <c r="Y70" s="37">
        <f>Sheet1!C70-Sheet1!D70</f>
        <v>0.34790000000000004</v>
      </c>
    </row>
    <row r="71" spans="1:25" ht="29">
      <c r="A71" s="14" t="s">
        <v>66</v>
      </c>
      <c r="B71" s="21" t="s">
        <v>16</v>
      </c>
      <c r="C71" s="16" t="s">
        <v>148</v>
      </c>
      <c r="D71" s="31" t="s">
        <v>22</v>
      </c>
      <c r="E71" s="31" t="s">
        <v>18</v>
      </c>
      <c r="F71" s="31" t="s">
        <v>18</v>
      </c>
      <c r="G71" s="45" t="s">
        <v>118</v>
      </c>
      <c r="H71" s="31" t="s">
        <v>18</v>
      </c>
      <c r="I71" s="31" t="s">
        <v>50</v>
      </c>
      <c r="J71" s="16" t="s">
        <v>31</v>
      </c>
      <c r="K71" s="24" t="str">
        <f>IF(Sheet1!E71="All","N/A",
IF(LEFT(Sheet1!E71,4)="upto","N/A",
IF(LEFT(Sheet1!E71,5)="Above",VALUE(MID(Sheet1!E71,7,2))+1,
IF(ISNUMBER(SEARCH("to",Sheet1!E71)),VALUE(LEFT(Sheet1!E71,FIND(" to",Sheet1!E71)-1)),
"N/A"))))</f>
        <v>N/A</v>
      </c>
      <c r="L71" s="24" t="str">
        <f>IF(Sheet1!E71="All","N/A",
IF(LEFT(Sheet1!E71,4)="upto",VALUE(MID(Sheet1!E71,6,2)),
IF(LEFT(Sheet1!E71,5)="Above","N/A",
IF(ISNUMBER(SEARCH("to",Sheet1!E71)),VALUE(MID(Sheet1!E71,FIND("to ",Sheet1!E71)+3,2)),
"N/A"))))</f>
        <v>N/A</v>
      </c>
      <c r="M71" s="28" t="s">
        <v>17</v>
      </c>
      <c r="N71" s="21" t="s">
        <v>150</v>
      </c>
      <c r="O71" s="2" t="s">
        <v>116</v>
      </c>
      <c r="P71" s="12">
        <f>IF(Sheet1!A71="No","No",
IF(LEFT(Sheet1!A71,5)="Up to",0,
VALUE(LEFT(Sheet1!A71,FIND(" ",Sheet1!A71)-1))))</f>
        <v>0</v>
      </c>
      <c r="Q71" s="12">
        <f>IF(Sheet1!A71="No","No",
IF(LEFT(Sheet1!A71,5)="Up to",
VALUE(MID(Sheet1!A71,7,FIND("kg",Sheet1!A71)-7)),
VALUE(MID(Sheet1!A71,FIND("to",Sheet1!A71)+3,FIND("kg",Sheet1!A71)-FIND("to",Sheet1!A71)-3))))</f>
        <v>2000</v>
      </c>
      <c r="R71" s="3" t="s">
        <v>116</v>
      </c>
      <c r="S71" s="2" t="s">
        <v>116</v>
      </c>
      <c r="T71" s="2" t="s">
        <v>116</v>
      </c>
      <c r="U71" s="2" t="s">
        <v>116</v>
      </c>
      <c r="V71" s="2" t="s">
        <v>116</v>
      </c>
      <c r="W71" s="2" t="s">
        <v>116</v>
      </c>
      <c r="X71" s="2" t="s">
        <v>116</v>
      </c>
      <c r="Y71" s="37">
        <f>Sheet1!C71-Sheet1!D71</f>
        <v>0.2989</v>
      </c>
    </row>
    <row r="72" spans="1:25" ht="29">
      <c r="A72" s="14" t="s">
        <v>66</v>
      </c>
      <c r="B72" s="21" t="s">
        <v>16</v>
      </c>
      <c r="C72" s="24" t="s">
        <v>159</v>
      </c>
      <c r="D72" s="31" t="s">
        <v>22</v>
      </c>
      <c r="E72" s="31" t="s">
        <v>18</v>
      </c>
      <c r="F72" s="31" t="s">
        <v>18</v>
      </c>
      <c r="G72" s="45" t="s">
        <v>118</v>
      </c>
      <c r="H72" s="31" t="s">
        <v>18</v>
      </c>
      <c r="I72" s="31" t="s">
        <v>50</v>
      </c>
      <c r="J72" s="16" t="s">
        <v>31</v>
      </c>
      <c r="K72" s="24" t="str">
        <f>IF(Sheet1!E72="All","N/A",
IF(LEFT(Sheet1!E72,4)="upto","N/A",
IF(LEFT(Sheet1!E72,5)="Above",VALUE(MID(Sheet1!E72,7,2))+1,
IF(ISNUMBER(SEARCH("to",Sheet1!E72)),VALUE(LEFT(Sheet1!E72,FIND(" to",Sheet1!E72)-1)),
"N/A"))))</f>
        <v>N/A</v>
      </c>
      <c r="L72" s="24" t="str">
        <f>IF(Sheet1!E72="All","N/A",
IF(LEFT(Sheet1!E72,4)="upto",VALUE(MID(Sheet1!E72,6,2)),
IF(LEFT(Sheet1!E72,5)="Above","N/A",
IF(ISNUMBER(SEARCH("to",Sheet1!E72)),VALUE(MID(Sheet1!E72,FIND("to ",Sheet1!E72)+3,2)),
"N/A"))))</f>
        <v>N/A</v>
      </c>
      <c r="M72" s="28" t="s">
        <v>17</v>
      </c>
      <c r="N72" s="21" t="s">
        <v>150</v>
      </c>
      <c r="O72" s="2" t="s">
        <v>116</v>
      </c>
      <c r="P72" s="12">
        <f>IF(Sheet1!A72="No","No",
IF(LEFT(Sheet1!A72,5)="Up to",0,
VALUE(LEFT(Sheet1!A72,FIND(" ",Sheet1!A72)-1))))</f>
        <v>0</v>
      </c>
      <c r="Q72" s="12">
        <f>IF(Sheet1!A72="No","No",
IF(LEFT(Sheet1!A72,5)="Up to",
VALUE(MID(Sheet1!A72,7,FIND("kg",Sheet1!A72)-7)),
VALUE(MID(Sheet1!A72,FIND("to",Sheet1!A72)+3,FIND("kg",Sheet1!A72)-FIND("to",Sheet1!A72)-3))))</f>
        <v>2000</v>
      </c>
      <c r="R72" s="3" t="s">
        <v>116</v>
      </c>
      <c r="S72" s="2" t="s">
        <v>116</v>
      </c>
      <c r="T72" s="2" t="s">
        <v>116</v>
      </c>
      <c r="U72" s="2" t="s">
        <v>116</v>
      </c>
      <c r="V72" s="2" t="s">
        <v>116</v>
      </c>
      <c r="W72" s="2" t="s">
        <v>116</v>
      </c>
      <c r="X72" s="2" t="s">
        <v>116</v>
      </c>
      <c r="Y72" s="37">
        <f>Sheet1!C72-Sheet1!D72</f>
        <v>0.32340000000000002</v>
      </c>
    </row>
    <row r="73" spans="1:25" ht="58">
      <c r="A73" s="14" t="s">
        <v>66</v>
      </c>
      <c r="B73" s="17" t="s">
        <v>16</v>
      </c>
      <c r="C73" s="24" t="s">
        <v>154</v>
      </c>
      <c r="D73" s="30" t="s">
        <v>22</v>
      </c>
      <c r="E73" s="30" t="s">
        <v>18</v>
      </c>
      <c r="F73" s="30" t="s">
        <v>18</v>
      </c>
      <c r="G73" s="45" t="s">
        <v>118</v>
      </c>
      <c r="H73" s="30" t="s">
        <v>18</v>
      </c>
      <c r="I73" s="30" t="s">
        <v>50</v>
      </c>
      <c r="J73" s="24" t="s">
        <v>31</v>
      </c>
      <c r="K73" s="24" t="str">
        <f>IF(Sheet1!E73="All","N/A",
IF(LEFT(Sheet1!E73,4)="upto","N/A",
IF(LEFT(Sheet1!E73,5)="Above",VALUE(MID(Sheet1!E73,7,2))+1,
IF(ISNUMBER(SEARCH("to",Sheet1!E73)),VALUE(LEFT(Sheet1!E73,FIND(" to",Sheet1!E73)-1)),
"N/A"))))</f>
        <v>N/A</v>
      </c>
      <c r="L73" s="24" t="str">
        <f>IF(Sheet1!E73="All","N/A",
IF(LEFT(Sheet1!E73,4)="upto",VALUE(MID(Sheet1!E73,6,2)),
IF(LEFT(Sheet1!E73,5)="Above","N/A",
IF(ISNUMBER(SEARCH("to",Sheet1!E73)),VALUE(MID(Sheet1!E73,FIND("to ",Sheet1!E73)+3,2)),
"N/A"))))</f>
        <v>N/A</v>
      </c>
      <c r="M73" s="28" t="s">
        <v>20</v>
      </c>
      <c r="N73" s="17" t="s">
        <v>150</v>
      </c>
      <c r="O73" s="12" t="s">
        <v>116</v>
      </c>
      <c r="P73" s="12">
        <f>IF(Sheet1!A73="No","No",
IF(LEFT(Sheet1!A73,5)="Up to",0,
VALUE(LEFT(Sheet1!A73,FIND(" ",Sheet1!A73)-1))))</f>
        <v>0</v>
      </c>
      <c r="Q73" s="12">
        <f>IF(Sheet1!A73="No","No",
IF(LEFT(Sheet1!A73,5)="Up to",
VALUE(MID(Sheet1!A73,7,FIND("kg",Sheet1!A73)-7)),
VALUE(MID(Sheet1!A73,FIND("to",Sheet1!A73)+3,FIND("kg",Sheet1!A73)-FIND("to",Sheet1!A73)-3))))</f>
        <v>2000</v>
      </c>
      <c r="R73" s="15" t="s">
        <v>116</v>
      </c>
      <c r="S73" s="12" t="s">
        <v>116</v>
      </c>
      <c r="T73" s="12" t="s">
        <v>116</v>
      </c>
      <c r="U73" s="12" t="s">
        <v>116</v>
      </c>
      <c r="V73" s="12" t="s">
        <v>116</v>
      </c>
      <c r="W73" s="12" t="s">
        <v>116</v>
      </c>
      <c r="X73" s="12" t="s">
        <v>116</v>
      </c>
      <c r="Y73" s="37">
        <f>Sheet1!C73-Sheet1!D73</f>
        <v>0.32340000000000002</v>
      </c>
    </row>
    <row r="74" spans="1:25" ht="29">
      <c r="A74" s="14" t="s">
        <v>66</v>
      </c>
      <c r="B74" s="21" t="s">
        <v>16</v>
      </c>
      <c r="C74" s="16" t="s">
        <v>148</v>
      </c>
      <c r="D74" s="31" t="s">
        <v>22</v>
      </c>
      <c r="E74" s="31" t="s">
        <v>18</v>
      </c>
      <c r="F74" s="31" t="s">
        <v>18</v>
      </c>
      <c r="G74" s="45" t="s">
        <v>118</v>
      </c>
      <c r="H74" s="31" t="s">
        <v>18</v>
      </c>
      <c r="I74" s="31" t="s">
        <v>50</v>
      </c>
      <c r="J74" s="16" t="s">
        <v>31</v>
      </c>
      <c r="K74" s="24" t="str">
        <f>IF(Sheet1!E74="All","N/A",
IF(LEFT(Sheet1!E74,4)="upto","N/A",
IF(LEFT(Sheet1!E74,5)="Above",VALUE(MID(Sheet1!E74,7,2))+1,
IF(ISNUMBER(SEARCH("to",Sheet1!E74)),VALUE(LEFT(Sheet1!E74,FIND(" to",Sheet1!E74)-1)),
"N/A"))))</f>
        <v>N/A</v>
      </c>
      <c r="L74" s="24" t="str">
        <f>IF(Sheet1!E74="All","N/A",
IF(LEFT(Sheet1!E74,4)="upto",VALUE(MID(Sheet1!E74,6,2)),
IF(LEFT(Sheet1!E74,5)="Above","N/A",
IF(ISNUMBER(SEARCH("to",Sheet1!E74)),VALUE(MID(Sheet1!E74,FIND("to ",Sheet1!E74)+3,2)),
"N/A"))))</f>
        <v>N/A</v>
      </c>
      <c r="M74" s="28" t="s">
        <v>20</v>
      </c>
      <c r="N74" s="21" t="s">
        <v>150</v>
      </c>
      <c r="O74" s="2" t="s">
        <v>116</v>
      </c>
      <c r="P74" s="12">
        <f>IF(Sheet1!A74="No","No",
IF(LEFT(Sheet1!A74,5)="Up to",0,
VALUE(LEFT(Sheet1!A74,FIND(" ",Sheet1!A74)-1))))</f>
        <v>0</v>
      </c>
      <c r="Q74" s="12">
        <f>IF(Sheet1!A74="No","No",
IF(LEFT(Sheet1!A74,5)="Up to",
VALUE(MID(Sheet1!A74,7,FIND("kg",Sheet1!A74)-7)),
VALUE(MID(Sheet1!A74,FIND("to",Sheet1!A74)+3,FIND("kg",Sheet1!A74)-FIND("to",Sheet1!A74)-3))))</f>
        <v>2000</v>
      </c>
      <c r="R74" s="3" t="s">
        <v>116</v>
      </c>
      <c r="S74" s="2" t="s">
        <v>116</v>
      </c>
      <c r="T74" s="2" t="s">
        <v>116</v>
      </c>
      <c r="U74" s="2" t="s">
        <v>116</v>
      </c>
      <c r="V74" s="2" t="s">
        <v>116</v>
      </c>
      <c r="W74" s="2" t="s">
        <v>116</v>
      </c>
      <c r="X74" s="2" t="s">
        <v>116</v>
      </c>
      <c r="Y74" s="32">
        <f>Sheet1!C74-Sheet1!D74</f>
        <v>0.27440000000000003</v>
      </c>
    </row>
    <row r="75" spans="1:25" ht="29">
      <c r="A75" s="14" t="s">
        <v>66</v>
      </c>
      <c r="B75" s="21" t="s">
        <v>16</v>
      </c>
      <c r="C75" s="24" t="s">
        <v>159</v>
      </c>
      <c r="D75" s="31" t="s">
        <v>22</v>
      </c>
      <c r="E75" s="31" t="s">
        <v>18</v>
      </c>
      <c r="F75" s="31" t="s">
        <v>18</v>
      </c>
      <c r="G75" s="45" t="s">
        <v>118</v>
      </c>
      <c r="H75" s="31" t="s">
        <v>18</v>
      </c>
      <c r="I75" s="31" t="s">
        <v>50</v>
      </c>
      <c r="J75" s="16" t="s">
        <v>31</v>
      </c>
      <c r="K75" s="24" t="str">
        <f>IF(Sheet1!E75="All","N/A",
IF(LEFT(Sheet1!E75,4)="upto","N/A",
IF(LEFT(Sheet1!E75,5)="Above",VALUE(MID(Sheet1!E75,7,2))+1,
IF(ISNUMBER(SEARCH("to",Sheet1!E75)),VALUE(LEFT(Sheet1!E75,FIND(" to",Sheet1!E75)-1)),
"N/A"))))</f>
        <v>N/A</v>
      </c>
      <c r="L75" s="24" t="str">
        <f>IF(Sheet1!E75="All","N/A",
IF(LEFT(Sheet1!E75,4)="upto",VALUE(MID(Sheet1!E75,6,2)),
IF(LEFT(Sheet1!E75,5)="Above","N/A",
IF(ISNUMBER(SEARCH("to",Sheet1!E75)),VALUE(MID(Sheet1!E75,FIND("to ",Sheet1!E75)+3,2)),
"N/A"))))</f>
        <v>N/A</v>
      </c>
      <c r="M75" s="28" t="s">
        <v>20</v>
      </c>
      <c r="N75" s="21" t="s">
        <v>150</v>
      </c>
      <c r="O75" s="2" t="s">
        <v>116</v>
      </c>
      <c r="P75" s="12">
        <f>IF(Sheet1!A75="No","No",
IF(LEFT(Sheet1!A75,5)="Up to",0,
VALUE(LEFT(Sheet1!A75,FIND(" ",Sheet1!A75)-1))))</f>
        <v>0</v>
      </c>
      <c r="Q75" s="12">
        <f>IF(Sheet1!A75="No","No",
IF(LEFT(Sheet1!A75,5)="Up to",
VALUE(MID(Sheet1!A75,7,FIND("kg",Sheet1!A75)-7)),
VALUE(MID(Sheet1!A75,FIND("to",Sheet1!A75)+3,FIND("kg",Sheet1!A75)-FIND("to",Sheet1!A75)-3))))</f>
        <v>2000</v>
      </c>
      <c r="R75" s="3" t="s">
        <v>116</v>
      </c>
      <c r="S75" s="2" t="s">
        <v>116</v>
      </c>
      <c r="T75" s="2" t="s">
        <v>116</v>
      </c>
      <c r="U75" s="2" t="s">
        <v>116</v>
      </c>
      <c r="V75" s="2" t="s">
        <v>116</v>
      </c>
      <c r="W75" s="2" t="s">
        <v>116</v>
      </c>
      <c r="X75" s="2" t="s">
        <v>116</v>
      </c>
      <c r="Y75" s="32">
        <f>Sheet1!C75-Sheet1!D75</f>
        <v>0.2989</v>
      </c>
    </row>
    <row r="76" spans="1:25" ht="58">
      <c r="A76" s="13" t="s">
        <v>66</v>
      </c>
      <c r="B76" s="21" t="s">
        <v>16</v>
      </c>
      <c r="C76" s="24" t="s">
        <v>154</v>
      </c>
      <c r="D76" s="31" t="s">
        <v>22</v>
      </c>
      <c r="E76" s="31" t="s">
        <v>18</v>
      </c>
      <c r="F76" s="31" t="s">
        <v>18</v>
      </c>
      <c r="G76" s="45" t="s">
        <v>118</v>
      </c>
      <c r="H76" s="31" t="s">
        <v>18</v>
      </c>
      <c r="I76" s="31" t="s">
        <v>50</v>
      </c>
      <c r="J76" s="16" t="s">
        <v>31</v>
      </c>
      <c r="K76" s="24" t="str">
        <f>IF(Sheet1!E76="All","N/A",
IF(LEFT(Sheet1!E76,4)="upto","N/A",
IF(LEFT(Sheet1!E76,5)="Above",VALUE(MID(Sheet1!E76,7,2))+1,
IF(ISNUMBER(SEARCH("to",Sheet1!E76)),VALUE(LEFT(Sheet1!E76,FIND(" to",Sheet1!E76)-1)),
"N/A"))))</f>
        <v>N/A</v>
      </c>
      <c r="L76" s="24" t="str">
        <f>IF(Sheet1!E76="All","N/A",
IF(LEFT(Sheet1!E76,4)="upto",VALUE(MID(Sheet1!E76,6,2)),
IF(LEFT(Sheet1!E76,5)="Above","N/A",
IF(ISNUMBER(SEARCH("to",Sheet1!E76)),VALUE(MID(Sheet1!E76,FIND("to ",Sheet1!E76)+3,2)),
"N/A"))))</f>
        <v>N/A</v>
      </c>
      <c r="M76" s="28" t="s">
        <v>17</v>
      </c>
      <c r="N76" s="21" t="s">
        <v>150</v>
      </c>
      <c r="O76" s="2" t="s">
        <v>116</v>
      </c>
      <c r="P76" s="2">
        <f>IF(Sheet1!A76="No","No",
IF(LEFT(Sheet1!A76,5)="Up to",0,
VALUE(LEFT(Sheet1!A76,FIND(" ",Sheet1!A76)-1))))</f>
        <v>2001</v>
      </c>
      <c r="Q76" s="2">
        <f>IF(Sheet1!A76="No","No",
IF(LEFT(Sheet1!A76,5)="Up to",
VALUE(MID(Sheet1!A76,7,FIND("kg",Sheet1!A76)-7)),
VALUE(MID(Sheet1!A76,FIND("to",Sheet1!A76)+3,FIND("kg",Sheet1!A76)-FIND("to",Sheet1!A76)-3))))</f>
        <v>2500</v>
      </c>
      <c r="R76" s="3" t="s">
        <v>116</v>
      </c>
      <c r="S76" s="2" t="s">
        <v>116</v>
      </c>
      <c r="T76" s="2" t="s">
        <v>116</v>
      </c>
      <c r="U76" s="2" t="s">
        <v>116</v>
      </c>
      <c r="V76" s="2" t="s">
        <v>116</v>
      </c>
      <c r="W76" s="2" t="s">
        <v>116</v>
      </c>
      <c r="X76" s="2" t="s">
        <v>116</v>
      </c>
      <c r="Y76" s="32">
        <f>Sheet1!C76-Sheet1!D76</f>
        <v>0.24990000000000001</v>
      </c>
    </row>
    <row r="77" spans="1:25" ht="29">
      <c r="A77" s="13" t="s">
        <v>66</v>
      </c>
      <c r="B77" s="21" t="s">
        <v>16</v>
      </c>
      <c r="C77" s="16" t="s">
        <v>148</v>
      </c>
      <c r="D77" s="31" t="s">
        <v>22</v>
      </c>
      <c r="E77" s="31" t="s">
        <v>18</v>
      </c>
      <c r="F77" s="31" t="s">
        <v>18</v>
      </c>
      <c r="G77" s="45" t="s">
        <v>118</v>
      </c>
      <c r="H77" s="31" t="s">
        <v>18</v>
      </c>
      <c r="I77" s="31" t="s">
        <v>50</v>
      </c>
      <c r="J77" s="16" t="s">
        <v>31</v>
      </c>
      <c r="K77" s="24" t="str">
        <f>IF(Sheet1!E77="All","N/A",
IF(LEFT(Sheet1!E77,4)="upto","N/A",
IF(LEFT(Sheet1!E77,5)="Above",VALUE(MID(Sheet1!E77,7,2))+1,
IF(ISNUMBER(SEARCH("to",Sheet1!E77)),VALUE(LEFT(Sheet1!E77,FIND(" to",Sheet1!E77)-1)),
"N/A"))))</f>
        <v>N/A</v>
      </c>
      <c r="L77" s="24" t="str">
        <f>IF(Sheet1!E77="All","N/A",
IF(LEFT(Sheet1!E77,4)="upto",VALUE(MID(Sheet1!E77,6,2)),
IF(LEFT(Sheet1!E77,5)="Above","N/A",
IF(ISNUMBER(SEARCH("to",Sheet1!E77)),VALUE(MID(Sheet1!E77,FIND("to ",Sheet1!E77)+3,2)),
"N/A"))))</f>
        <v>N/A</v>
      </c>
      <c r="M77" s="28" t="s">
        <v>17</v>
      </c>
      <c r="N77" s="21" t="s">
        <v>150</v>
      </c>
      <c r="O77" s="2" t="s">
        <v>116</v>
      </c>
      <c r="P77" s="2">
        <f>IF(Sheet1!A77="No","No",
IF(LEFT(Sheet1!A77,5)="Up to",0,
VALUE(LEFT(Sheet1!A77,FIND(" ",Sheet1!A77)-1))))</f>
        <v>2001</v>
      </c>
      <c r="Q77" s="2">
        <f>IF(Sheet1!A77="No","No",
IF(LEFT(Sheet1!A77,5)="Up to",
VALUE(MID(Sheet1!A77,7,FIND("kg",Sheet1!A77)-7)),
VALUE(MID(Sheet1!A77,FIND("to",Sheet1!A77)+3,FIND("kg",Sheet1!A77)-FIND("to",Sheet1!A77)-3))))</f>
        <v>2500</v>
      </c>
      <c r="R77" s="3" t="s">
        <v>116</v>
      </c>
      <c r="S77" s="2" t="s">
        <v>116</v>
      </c>
      <c r="T77" s="2" t="s">
        <v>116</v>
      </c>
      <c r="U77" s="2" t="s">
        <v>116</v>
      </c>
      <c r="V77" s="2" t="s">
        <v>116</v>
      </c>
      <c r="W77" s="2" t="s">
        <v>116</v>
      </c>
      <c r="X77" s="2" t="s">
        <v>116</v>
      </c>
      <c r="Y77" s="37">
        <f>Sheet1!C77-Sheet1!D77</f>
        <v>0.20090000000000002</v>
      </c>
    </row>
    <row r="78" spans="1:25" ht="29">
      <c r="A78" s="13" t="s">
        <v>66</v>
      </c>
      <c r="B78" s="21" t="s">
        <v>16</v>
      </c>
      <c r="C78" s="24" t="s">
        <v>159</v>
      </c>
      <c r="D78" s="31" t="s">
        <v>22</v>
      </c>
      <c r="E78" s="31" t="s">
        <v>18</v>
      </c>
      <c r="F78" s="31" t="s">
        <v>18</v>
      </c>
      <c r="G78" s="45" t="s">
        <v>118</v>
      </c>
      <c r="H78" s="31" t="s">
        <v>18</v>
      </c>
      <c r="I78" s="31" t="s">
        <v>50</v>
      </c>
      <c r="J78" s="16" t="s">
        <v>31</v>
      </c>
      <c r="K78" s="24" t="str">
        <f>IF(Sheet1!E78="All","N/A",
IF(LEFT(Sheet1!E78,4)="upto","N/A",
IF(LEFT(Sheet1!E78,5)="Above",VALUE(MID(Sheet1!E78,7,2))+1,
IF(ISNUMBER(SEARCH("to",Sheet1!E78)),VALUE(LEFT(Sheet1!E78,FIND(" to",Sheet1!E78)-1)),
"N/A"))))</f>
        <v>N/A</v>
      </c>
      <c r="L78" s="24" t="str">
        <f>IF(Sheet1!E78="All","N/A",
IF(LEFT(Sheet1!E78,4)="upto",VALUE(MID(Sheet1!E78,6,2)),
IF(LEFT(Sheet1!E78,5)="Above","N/A",
IF(ISNUMBER(SEARCH("to",Sheet1!E78)),VALUE(MID(Sheet1!E78,FIND("to ",Sheet1!E78)+3,2)),
"N/A"))))</f>
        <v>N/A</v>
      </c>
      <c r="M78" s="28" t="s">
        <v>17</v>
      </c>
      <c r="N78" s="21" t="s">
        <v>150</v>
      </c>
      <c r="O78" s="2" t="s">
        <v>116</v>
      </c>
      <c r="P78" s="2">
        <f>IF(Sheet1!A78="No","No",
IF(LEFT(Sheet1!A78,5)="Up to",0,
VALUE(LEFT(Sheet1!A78,FIND(" ",Sheet1!A78)-1))))</f>
        <v>2001</v>
      </c>
      <c r="Q78" s="2">
        <f>IF(Sheet1!A78="No","No",
IF(LEFT(Sheet1!A78,5)="Up to",
VALUE(MID(Sheet1!A78,7,FIND("kg",Sheet1!A78)-7)),
VALUE(MID(Sheet1!A78,FIND("to",Sheet1!A78)+3,FIND("kg",Sheet1!A78)-FIND("to",Sheet1!A78)-3))))</f>
        <v>2500</v>
      </c>
      <c r="R78" s="3" t="s">
        <v>116</v>
      </c>
      <c r="S78" s="2" t="s">
        <v>116</v>
      </c>
      <c r="T78" s="2" t="s">
        <v>116</v>
      </c>
      <c r="U78" s="2" t="s">
        <v>116</v>
      </c>
      <c r="V78" s="2" t="s">
        <v>116</v>
      </c>
      <c r="W78" s="2" t="s">
        <v>116</v>
      </c>
      <c r="X78" s="2" t="s">
        <v>116</v>
      </c>
      <c r="Y78" s="37">
        <f>Sheet1!C78-Sheet1!D78</f>
        <v>0.22540000000000004</v>
      </c>
    </row>
    <row r="79" spans="1:25" ht="58">
      <c r="A79" s="13" t="s">
        <v>66</v>
      </c>
      <c r="B79" s="21" t="s">
        <v>16</v>
      </c>
      <c r="C79" s="24" t="s">
        <v>154</v>
      </c>
      <c r="D79" s="31" t="s">
        <v>22</v>
      </c>
      <c r="E79" s="31" t="s">
        <v>18</v>
      </c>
      <c r="F79" s="31" t="s">
        <v>18</v>
      </c>
      <c r="G79" s="45" t="s">
        <v>118</v>
      </c>
      <c r="H79" s="31" t="s">
        <v>18</v>
      </c>
      <c r="I79" s="31" t="s">
        <v>50</v>
      </c>
      <c r="J79" s="16" t="s">
        <v>31</v>
      </c>
      <c r="K79" s="24" t="str">
        <f>IF(Sheet1!E79="All","N/A",
IF(LEFT(Sheet1!E79,4)="upto","N/A",
IF(LEFT(Sheet1!E79,5)="Above",VALUE(MID(Sheet1!E79,7,2))+1,
IF(ISNUMBER(SEARCH("to",Sheet1!E79)),VALUE(LEFT(Sheet1!E79,FIND(" to",Sheet1!E79)-1)),
"N/A"))))</f>
        <v>N/A</v>
      </c>
      <c r="L79" s="24" t="str">
        <f>IF(Sheet1!E79="All","N/A",
IF(LEFT(Sheet1!E79,4)="upto",VALUE(MID(Sheet1!E79,6,2)),
IF(LEFT(Sheet1!E79,5)="Above","N/A",
IF(ISNUMBER(SEARCH("to",Sheet1!E79)),VALUE(MID(Sheet1!E79,FIND("to ",Sheet1!E79)+3,2)),
"N/A"))))</f>
        <v>N/A</v>
      </c>
      <c r="M79" s="28" t="s">
        <v>20</v>
      </c>
      <c r="N79" s="21" t="s">
        <v>150</v>
      </c>
      <c r="O79" s="2" t="s">
        <v>116</v>
      </c>
      <c r="P79" s="2">
        <f>IF(Sheet1!A79="No","No",
IF(LEFT(Sheet1!A79,5)="Up to",0,
VALUE(LEFT(Sheet1!A79,FIND(" ",Sheet1!A79)-1))))</f>
        <v>2001</v>
      </c>
      <c r="Q79" s="2">
        <f>IF(Sheet1!A79="No","No",
IF(LEFT(Sheet1!A79,5)="Up to",
VALUE(MID(Sheet1!A79,7,FIND("kg",Sheet1!A79)-7)),
VALUE(MID(Sheet1!A79,FIND("to",Sheet1!A79)+3,FIND("kg",Sheet1!A79)-FIND("to",Sheet1!A79)-3))))</f>
        <v>2500</v>
      </c>
      <c r="R79" s="3" t="s">
        <v>116</v>
      </c>
      <c r="S79" s="2" t="s">
        <v>116</v>
      </c>
      <c r="T79" s="2" t="s">
        <v>116</v>
      </c>
      <c r="U79" s="2" t="s">
        <v>116</v>
      </c>
      <c r="V79" s="2" t="s">
        <v>116</v>
      </c>
      <c r="W79" s="2" t="s">
        <v>116</v>
      </c>
      <c r="X79" s="2" t="s">
        <v>116</v>
      </c>
      <c r="Y79" s="37">
        <f>Sheet1!C79-Sheet1!D79</f>
        <v>0.20090000000000002</v>
      </c>
    </row>
    <row r="80" spans="1:25" ht="29">
      <c r="A80" s="13" t="s">
        <v>66</v>
      </c>
      <c r="B80" s="21" t="s">
        <v>16</v>
      </c>
      <c r="C80" s="16" t="s">
        <v>148</v>
      </c>
      <c r="D80" s="31" t="s">
        <v>22</v>
      </c>
      <c r="E80" s="31" t="s">
        <v>18</v>
      </c>
      <c r="F80" s="31" t="s">
        <v>18</v>
      </c>
      <c r="G80" s="45" t="s">
        <v>118</v>
      </c>
      <c r="H80" s="31" t="s">
        <v>18</v>
      </c>
      <c r="I80" s="31" t="s">
        <v>50</v>
      </c>
      <c r="J80" s="16" t="s">
        <v>31</v>
      </c>
      <c r="K80" s="24" t="str">
        <f>IF(Sheet1!E80="All","N/A",
IF(LEFT(Sheet1!E80,4)="upto","N/A",
IF(LEFT(Sheet1!E80,5)="Above",VALUE(MID(Sheet1!E80,7,2))+1,
IF(ISNUMBER(SEARCH("to",Sheet1!E80)),VALUE(LEFT(Sheet1!E80,FIND(" to",Sheet1!E80)-1)),
"N/A"))))</f>
        <v>N/A</v>
      </c>
      <c r="L80" s="24" t="str">
        <f>IF(Sheet1!E80="All","N/A",
IF(LEFT(Sheet1!E80,4)="upto",VALUE(MID(Sheet1!E80,6,2)),
IF(LEFT(Sheet1!E80,5)="Above","N/A",
IF(ISNUMBER(SEARCH("to",Sheet1!E80)),VALUE(MID(Sheet1!E80,FIND("to ",Sheet1!E80)+3,2)),
"N/A"))))</f>
        <v>N/A</v>
      </c>
      <c r="M80" s="28" t="s">
        <v>20</v>
      </c>
      <c r="N80" s="21" t="s">
        <v>150</v>
      </c>
      <c r="O80" s="2" t="s">
        <v>116</v>
      </c>
      <c r="P80" s="2">
        <f>IF(Sheet1!A80="No","No",
IF(LEFT(Sheet1!A80,5)="Up to",0,
VALUE(LEFT(Sheet1!A80,FIND(" ",Sheet1!A80)-1))))</f>
        <v>2001</v>
      </c>
      <c r="Q80" s="2">
        <f>IF(Sheet1!A80="No","No",
IF(LEFT(Sheet1!A80,5)="Up to",
VALUE(MID(Sheet1!A80,7,FIND("kg",Sheet1!A80)-7)),
VALUE(MID(Sheet1!A80,FIND("to",Sheet1!A80)+3,FIND("kg",Sheet1!A80)-FIND("to",Sheet1!A80)-3))))</f>
        <v>2500</v>
      </c>
      <c r="R80" s="3" t="s">
        <v>116</v>
      </c>
      <c r="S80" s="2" t="s">
        <v>116</v>
      </c>
      <c r="T80" s="2" t="s">
        <v>116</v>
      </c>
      <c r="U80" s="2" t="s">
        <v>116</v>
      </c>
      <c r="V80" s="2" t="s">
        <v>116</v>
      </c>
      <c r="W80" s="2" t="s">
        <v>116</v>
      </c>
      <c r="X80" s="2" t="s">
        <v>116</v>
      </c>
      <c r="Y80" s="37">
        <f>Sheet1!C80-Sheet1!D80</f>
        <v>0.15190000000000003</v>
      </c>
    </row>
    <row r="81" spans="1:25" ht="29">
      <c r="A81" s="13" t="s">
        <v>66</v>
      </c>
      <c r="B81" s="21" t="s">
        <v>16</v>
      </c>
      <c r="C81" s="24" t="s">
        <v>159</v>
      </c>
      <c r="D81" s="31" t="s">
        <v>22</v>
      </c>
      <c r="E81" s="31" t="s">
        <v>18</v>
      </c>
      <c r="F81" s="31" t="s">
        <v>18</v>
      </c>
      <c r="G81" s="45" t="s">
        <v>118</v>
      </c>
      <c r="H81" s="31" t="s">
        <v>18</v>
      </c>
      <c r="I81" s="31" t="s">
        <v>50</v>
      </c>
      <c r="J81" s="16" t="s">
        <v>31</v>
      </c>
      <c r="K81" s="24" t="str">
        <f>IF(Sheet1!E81="All","N/A",
IF(LEFT(Sheet1!E81,4)="upto","N/A",
IF(LEFT(Sheet1!E81,5)="Above",VALUE(MID(Sheet1!E81,7,2))+1,
IF(ISNUMBER(SEARCH("to",Sheet1!E81)),VALUE(LEFT(Sheet1!E81,FIND(" to",Sheet1!E81)-1)),
"N/A"))))</f>
        <v>N/A</v>
      </c>
      <c r="L81" s="24" t="str">
        <f>IF(Sheet1!E81="All","N/A",
IF(LEFT(Sheet1!E81,4)="upto",VALUE(MID(Sheet1!E81,6,2)),
IF(LEFT(Sheet1!E81,5)="Above","N/A",
IF(ISNUMBER(SEARCH("to",Sheet1!E81)),VALUE(MID(Sheet1!E81,FIND("to ",Sheet1!E81)+3,2)),
"N/A"))))</f>
        <v>N/A</v>
      </c>
      <c r="M81" s="28" t="s">
        <v>20</v>
      </c>
      <c r="N81" s="21" t="s">
        <v>150</v>
      </c>
      <c r="O81" s="2" t="s">
        <v>116</v>
      </c>
      <c r="P81" s="2">
        <f>IF(Sheet1!A81="No","No",
IF(LEFT(Sheet1!A81,5)="Up to",0,
VALUE(LEFT(Sheet1!A81,FIND(" ",Sheet1!A81)-1))))</f>
        <v>2001</v>
      </c>
      <c r="Q81" s="2">
        <f>IF(Sheet1!A81="No","No",
IF(LEFT(Sheet1!A81,5)="Up to",
VALUE(MID(Sheet1!A81,7,FIND("kg",Sheet1!A81)-7)),
VALUE(MID(Sheet1!A81,FIND("to",Sheet1!A81)+3,FIND("kg",Sheet1!A81)-FIND("to",Sheet1!A81)-3))))</f>
        <v>2500</v>
      </c>
      <c r="R81" s="3" t="s">
        <v>116</v>
      </c>
      <c r="S81" s="2" t="s">
        <v>116</v>
      </c>
      <c r="T81" s="2" t="s">
        <v>116</v>
      </c>
      <c r="U81" s="2" t="s">
        <v>116</v>
      </c>
      <c r="V81" s="2" t="s">
        <v>116</v>
      </c>
      <c r="W81" s="2" t="s">
        <v>116</v>
      </c>
      <c r="X81" s="2" t="s">
        <v>116</v>
      </c>
      <c r="Y81" s="37">
        <f>Sheet1!C81-Sheet1!D81</f>
        <v>0.1764</v>
      </c>
    </row>
    <row r="82" spans="1:25">
      <c r="A82" s="1" t="s">
        <v>52</v>
      </c>
      <c r="B82" s="21" t="s">
        <v>16</v>
      </c>
      <c r="C82" s="3" t="s">
        <v>53</v>
      </c>
      <c r="D82" s="31" t="s">
        <v>22</v>
      </c>
      <c r="E82" s="42">
        <v>46038</v>
      </c>
      <c r="F82" s="42" t="s">
        <v>18</v>
      </c>
      <c r="G82" s="31" t="s">
        <v>18</v>
      </c>
      <c r="H82" s="31" t="s">
        <v>18</v>
      </c>
      <c r="I82" s="31" t="s">
        <v>50</v>
      </c>
      <c r="J82" s="3" t="s">
        <v>28</v>
      </c>
      <c r="K82" s="3" t="str">
        <f>IF(Sheet1!E82="All","N/A",
IF(LEFT(Sheet1!E82,4)="upto","N/A",
IF(LEFT(Sheet1!E82,5)="Above",VALUE(MID(Sheet1!E82,7,2))+1,
IF(ISNUMBER(SEARCH("to",Sheet1!E82)),VALUE(LEFT(Sheet1!E82,FIND(" to",Sheet1!E82)-1)),
"N/A"))))</f>
        <v>N/A</v>
      </c>
      <c r="L82" s="3" t="str">
        <f>IF(Sheet1!E82="All","N/A",
IF(LEFT(Sheet1!E82,4)="upto",VALUE(MID(Sheet1!E82,6,2)),
IF(LEFT(Sheet1!E82,5)="Above","N/A",
IF(ISNUMBER(SEARCH("to",Sheet1!E82)),VALUE(MID(Sheet1!E82,FIND("to ",Sheet1!E82)+3,2)),
"N/A"))))</f>
        <v>N/A</v>
      </c>
      <c r="M82" s="1" t="s">
        <v>17</v>
      </c>
      <c r="N82" s="2" t="s">
        <v>54</v>
      </c>
      <c r="O82" s="2" t="s">
        <v>116</v>
      </c>
      <c r="P82" s="2">
        <f>IF(Sheet1!A82="No","No",
IF(LEFT(Sheet1!A82,5)="Up to",0,
VALUE(LEFT(Sheet1!A82,FIND(" ",Sheet1!A82)-1))))</f>
        <v>0</v>
      </c>
      <c r="Q82" s="2">
        <f>IF(Sheet1!A82="No","No",
IF(LEFT(Sheet1!A82,5)="Up to",
VALUE(MID(Sheet1!A82,7,FIND("kg",Sheet1!A82)-7)),
VALUE(MID(Sheet1!A82,FIND("to",Sheet1!A82)+3,FIND("kg",Sheet1!A82)-FIND("to",Sheet1!A82)-3))))</f>
        <v>2000</v>
      </c>
      <c r="R82" s="3" t="s">
        <v>116</v>
      </c>
      <c r="S82" s="2" t="s">
        <v>116</v>
      </c>
      <c r="T82" s="2" t="s">
        <v>116</v>
      </c>
      <c r="U82" s="2" t="s">
        <v>116</v>
      </c>
      <c r="V82" s="2" t="s">
        <v>116</v>
      </c>
      <c r="W82" s="2" t="s">
        <v>116</v>
      </c>
      <c r="X82" s="2" t="s">
        <v>116</v>
      </c>
      <c r="Y82" s="32">
        <f>Sheet1!C82-Sheet1!D82</f>
        <v>0.49980000000000002</v>
      </c>
    </row>
    <row r="83" spans="1:25" ht="29">
      <c r="A83" s="1" t="s">
        <v>52</v>
      </c>
      <c r="B83" s="21" t="s">
        <v>16</v>
      </c>
      <c r="C83" s="3" t="s">
        <v>56</v>
      </c>
      <c r="D83" s="31" t="s">
        <v>22</v>
      </c>
      <c r="E83" s="42">
        <v>46038</v>
      </c>
      <c r="F83" s="42" t="s">
        <v>18</v>
      </c>
      <c r="G83" s="31" t="s">
        <v>18</v>
      </c>
      <c r="H83" s="31" t="s">
        <v>18</v>
      </c>
      <c r="I83" s="31" t="s">
        <v>50</v>
      </c>
      <c r="J83" s="3" t="s">
        <v>28</v>
      </c>
      <c r="K83" s="3" t="str">
        <f>IF(Sheet1!E83="All","N/A",
IF(LEFT(Sheet1!E83,4)="upto","N/A",
IF(LEFT(Sheet1!E83,5)="Above",VALUE(MID(Sheet1!E83,7,2))+1,
IF(ISNUMBER(SEARCH("to",Sheet1!E83)),VALUE(LEFT(Sheet1!E83,FIND(" to",Sheet1!E83)-1)),
"N/A"))))</f>
        <v>N/A</v>
      </c>
      <c r="L83" s="3" t="str">
        <f>IF(Sheet1!E83="All","N/A",
IF(LEFT(Sheet1!E83,4)="upto",VALUE(MID(Sheet1!E83,6,2)),
IF(LEFT(Sheet1!E83,5)="Above","N/A",
IF(ISNUMBER(SEARCH("to",Sheet1!E83)),VALUE(MID(Sheet1!E83,FIND("to ",Sheet1!E83)+3,2)),
"N/A"))))</f>
        <v>N/A</v>
      </c>
      <c r="M83" s="1" t="s">
        <v>17</v>
      </c>
      <c r="N83" s="2" t="s">
        <v>54</v>
      </c>
      <c r="O83" s="2" t="s">
        <v>116</v>
      </c>
      <c r="P83" s="2">
        <f>IF(Sheet1!A83="No","No",
IF(LEFT(Sheet1!A83,5)="Up to",0,
VALUE(LEFT(Sheet1!A83,FIND(" ",Sheet1!A83)-1))))</f>
        <v>0</v>
      </c>
      <c r="Q83" s="2">
        <f>IF(Sheet1!A83="No","No",
IF(LEFT(Sheet1!A83,5)="Up to",
VALUE(MID(Sheet1!A83,7,FIND("kg",Sheet1!A83)-7)),
VALUE(MID(Sheet1!A83,FIND("to",Sheet1!A83)+3,FIND("kg",Sheet1!A83)-FIND("to",Sheet1!A83)-3))))</f>
        <v>2000</v>
      </c>
      <c r="R83" s="3" t="s">
        <v>116</v>
      </c>
      <c r="S83" s="2" t="s">
        <v>116</v>
      </c>
      <c r="T83" s="2" t="s">
        <v>116</v>
      </c>
      <c r="U83" s="2" t="s">
        <v>116</v>
      </c>
      <c r="V83" s="2" t="s">
        <v>116</v>
      </c>
      <c r="W83" s="2" t="s">
        <v>116</v>
      </c>
      <c r="X83" s="2" t="s">
        <v>116</v>
      </c>
      <c r="Y83" s="32">
        <f>Sheet1!C83-Sheet1!D83</f>
        <v>0.42630000000000001</v>
      </c>
    </row>
    <row r="84" spans="1:25" ht="29">
      <c r="A84" s="1" t="s">
        <v>52</v>
      </c>
      <c r="B84" s="21" t="s">
        <v>16</v>
      </c>
      <c r="C84" s="3" t="s">
        <v>57</v>
      </c>
      <c r="D84" s="31" t="s">
        <v>22</v>
      </c>
      <c r="E84" s="42">
        <v>46038</v>
      </c>
      <c r="F84" s="42" t="s">
        <v>18</v>
      </c>
      <c r="G84" s="31" t="s">
        <v>18</v>
      </c>
      <c r="H84" s="31" t="s">
        <v>18</v>
      </c>
      <c r="I84" s="31" t="s">
        <v>50</v>
      </c>
      <c r="J84" s="3" t="s">
        <v>28</v>
      </c>
      <c r="K84" s="3" t="str">
        <f>IF(Sheet1!E84="All","N/A",
IF(LEFT(Sheet1!E84,4)="upto","N/A",
IF(LEFT(Sheet1!E84,5)="Above",VALUE(MID(Sheet1!E84,7,2))+1,
IF(ISNUMBER(SEARCH("to",Sheet1!E84)),VALUE(LEFT(Sheet1!E84,FIND(" to",Sheet1!E84)-1)),
"N/A"))))</f>
        <v>N/A</v>
      </c>
      <c r="L84" s="3" t="str">
        <f>IF(Sheet1!E84="All","N/A",
IF(LEFT(Sheet1!E84,4)="upto",VALUE(MID(Sheet1!E84,6,2)),
IF(LEFT(Sheet1!E84,5)="Above","N/A",
IF(ISNUMBER(SEARCH("to",Sheet1!E84)),VALUE(MID(Sheet1!E84,FIND("to ",Sheet1!E84)+3,2)),
"N/A"))))</f>
        <v>N/A</v>
      </c>
      <c r="M84" s="1" t="s">
        <v>17</v>
      </c>
      <c r="N84" s="2" t="s">
        <v>54</v>
      </c>
      <c r="O84" s="2" t="s">
        <v>116</v>
      </c>
      <c r="P84" s="2">
        <f>IF(Sheet1!A84="No","No",
IF(LEFT(Sheet1!A84,5)="Up to",0,
VALUE(LEFT(Sheet1!A84,FIND(" ",Sheet1!A84)-1))))</f>
        <v>0</v>
      </c>
      <c r="Q84" s="2">
        <f>IF(Sheet1!A84="No","No",
IF(LEFT(Sheet1!A84,5)="Up to",
VALUE(MID(Sheet1!A84,7,FIND("kg",Sheet1!A84)-7)),
VALUE(MID(Sheet1!A84,FIND("to",Sheet1!A84)+3,FIND("kg",Sheet1!A84)-FIND("to",Sheet1!A84)-3))))</f>
        <v>2000</v>
      </c>
      <c r="R84" s="3" t="s">
        <v>116</v>
      </c>
      <c r="S84" s="2" t="s">
        <v>116</v>
      </c>
      <c r="T84" s="2" t="s">
        <v>116</v>
      </c>
      <c r="U84" s="2" t="s">
        <v>116</v>
      </c>
      <c r="V84" s="2" t="s">
        <v>116</v>
      </c>
      <c r="W84" s="2" t="s">
        <v>116</v>
      </c>
      <c r="X84" s="2" t="s">
        <v>116</v>
      </c>
      <c r="Y84" s="32">
        <f>Sheet1!C84-Sheet1!D84</f>
        <v>0.28910000000000002</v>
      </c>
    </row>
    <row r="85" spans="1:25">
      <c r="A85" s="11" t="s">
        <v>52</v>
      </c>
      <c r="B85" s="12" t="s">
        <v>58</v>
      </c>
      <c r="C85" s="15" t="s">
        <v>59</v>
      </c>
      <c r="D85" s="30" t="s">
        <v>22</v>
      </c>
      <c r="E85" s="42">
        <v>46038</v>
      </c>
      <c r="F85" s="42" t="s">
        <v>18</v>
      </c>
      <c r="G85" s="30" t="s">
        <v>18</v>
      </c>
      <c r="H85" s="31" t="s">
        <v>18</v>
      </c>
      <c r="I85" s="30" t="s">
        <v>50</v>
      </c>
      <c r="J85" s="3" t="s">
        <v>28</v>
      </c>
      <c r="K85" s="15" t="str">
        <f>IF(Sheet1!E85="All","N/A",
IF(LEFT(Sheet1!E85,4)="upto","N/A",
IF(LEFT(Sheet1!E85,5)="Above",VALUE(MID(Sheet1!E85,7,2))+1,
IF(ISNUMBER(SEARCH("to",Sheet1!E85)),VALUE(LEFT(Sheet1!E85,FIND(" to",Sheet1!E85)-1)),
"N/A"))))</f>
        <v>N/A</v>
      </c>
      <c r="L85" s="15" t="str">
        <f>IF(Sheet1!E85="All","N/A",
IF(LEFT(Sheet1!E85,4)="upto",VALUE(MID(Sheet1!E85,6,2)),
IF(LEFT(Sheet1!E85,5)="Above","N/A",
IF(ISNUMBER(SEARCH("to",Sheet1!E85)),VALUE(MID(Sheet1!E85,FIND("to ",Sheet1!E85)+3,2)),
"N/A"))))</f>
        <v>N/A</v>
      </c>
      <c r="M85" s="11" t="s">
        <v>17</v>
      </c>
      <c r="N85" s="12" t="s">
        <v>54</v>
      </c>
      <c r="O85" s="12" t="s">
        <v>116</v>
      </c>
      <c r="P85" s="12">
        <f>IF(Sheet1!A85="No","No",
IF(LEFT(Sheet1!A85,5)="Up to",0,
VALUE(LEFT(Sheet1!A85,FIND(" ",Sheet1!A85)-1))))</f>
        <v>0</v>
      </c>
      <c r="Q85" s="12">
        <f>IF(Sheet1!A85="No","No",
IF(LEFT(Sheet1!A85,5)="Up to",
VALUE(MID(Sheet1!A85,7,FIND("kg",Sheet1!A85)-7)),
VALUE(MID(Sheet1!A85,FIND("to",Sheet1!A85)+3,FIND("kg",Sheet1!A85)-FIND("to",Sheet1!A85)-3))))</f>
        <v>2000</v>
      </c>
      <c r="R85" s="15" t="s">
        <v>116</v>
      </c>
      <c r="S85" s="12" t="s">
        <v>116</v>
      </c>
      <c r="T85" s="12" t="s">
        <v>116</v>
      </c>
      <c r="U85" s="12" t="s">
        <v>116</v>
      </c>
      <c r="V85" s="12" t="s">
        <v>116</v>
      </c>
      <c r="W85" s="12" t="s">
        <v>116</v>
      </c>
      <c r="X85" s="12" t="s">
        <v>116</v>
      </c>
      <c r="Y85" s="37">
        <f>Sheet1!C85-Sheet1!D85</f>
        <v>0.28910000000000002</v>
      </c>
    </row>
    <row r="86" spans="1:25">
      <c r="A86" s="1" t="s">
        <v>52</v>
      </c>
      <c r="B86" s="21" t="s">
        <v>16</v>
      </c>
      <c r="C86" s="3" t="s">
        <v>53</v>
      </c>
      <c r="D86" s="31" t="s">
        <v>22</v>
      </c>
      <c r="E86" s="42">
        <v>46038</v>
      </c>
      <c r="F86" s="42" t="s">
        <v>18</v>
      </c>
      <c r="G86" s="31" t="s">
        <v>18</v>
      </c>
      <c r="H86" s="31" t="s">
        <v>18</v>
      </c>
      <c r="I86" s="31" t="s">
        <v>50</v>
      </c>
      <c r="J86" s="3" t="s">
        <v>28</v>
      </c>
      <c r="K86" s="3" t="str">
        <f>IF(Sheet1!E86="All","N/A",
IF(LEFT(Sheet1!E86,4)="upto","N/A",
IF(LEFT(Sheet1!E86,5)="Above",VALUE(MID(Sheet1!E86,7,2))+1,
IF(ISNUMBER(SEARCH("to",Sheet1!E86)),VALUE(LEFT(Sheet1!E86,FIND(" to",Sheet1!E86)-1)),
"N/A"))))</f>
        <v>N/A</v>
      </c>
      <c r="L86" s="3" t="str">
        <f>IF(Sheet1!E86="All","N/A",
IF(LEFT(Sheet1!E86,4)="upto",VALUE(MID(Sheet1!E86,6,2)),
IF(LEFT(Sheet1!E86,5)="Above","N/A",
IF(ISNUMBER(SEARCH("to",Sheet1!E86)),VALUE(MID(Sheet1!E86,FIND("to ",Sheet1!E86)+3,2)),
"N/A"))))</f>
        <v>N/A</v>
      </c>
      <c r="M86" s="1" t="s">
        <v>17</v>
      </c>
      <c r="N86" s="12" t="s">
        <v>39</v>
      </c>
      <c r="O86" s="2" t="s">
        <v>116</v>
      </c>
      <c r="P86" s="2">
        <f>IF(Sheet1!A86="No","No",
IF(LEFT(Sheet1!A86,5)="Up to",0,
VALUE(LEFT(Sheet1!A86,FIND(" ",Sheet1!A86)-1))))</f>
        <v>0</v>
      </c>
      <c r="Q86" s="2">
        <f>IF(Sheet1!A86="No","No",
IF(LEFT(Sheet1!A86,5)="Up to",
VALUE(MID(Sheet1!A86,7,FIND("kg",Sheet1!A86)-7)),
VALUE(MID(Sheet1!A86,FIND("to",Sheet1!A86)+3,FIND("kg",Sheet1!A86)-FIND("to",Sheet1!A86)-3))))</f>
        <v>2000</v>
      </c>
      <c r="R86" s="3" t="s">
        <v>116</v>
      </c>
      <c r="S86" s="2" t="s">
        <v>116</v>
      </c>
      <c r="T86" s="2" t="s">
        <v>116</v>
      </c>
      <c r="U86" s="2" t="s">
        <v>116</v>
      </c>
      <c r="V86" s="2" t="s">
        <v>116</v>
      </c>
      <c r="W86" s="2" t="s">
        <v>116</v>
      </c>
      <c r="X86" s="2" t="s">
        <v>116</v>
      </c>
      <c r="Y86" s="37">
        <f>Sheet1!C86-Sheet1!D86</f>
        <v>0.51939999999999986</v>
      </c>
    </row>
    <row r="87" spans="1:25" ht="29">
      <c r="A87" s="1" t="s">
        <v>52</v>
      </c>
      <c r="B87" s="21" t="s">
        <v>16</v>
      </c>
      <c r="C87" s="3" t="s">
        <v>56</v>
      </c>
      <c r="D87" s="31" t="s">
        <v>22</v>
      </c>
      <c r="E87" s="42">
        <v>46038</v>
      </c>
      <c r="F87" s="42" t="s">
        <v>18</v>
      </c>
      <c r="G87" s="31" t="s">
        <v>18</v>
      </c>
      <c r="H87" s="31" t="s">
        <v>18</v>
      </c>
      <c r="I87" s="31" t="s">
        <v>50</v>
      </c>
      <c r="J87" s="3" t="s">
        <v>28</v>
      </c>
      <c r="K87" s="3" t="str">
        <f>IF(Sheet1!E87="All","N/A",
IF(LEFT(Sheet1!E87,4)="upto","N/A",
IF(LEFT(Sheet1!E87,5)="Above",VALUE(MID(Sheet1!E87,7,2))+1,
IF(ISNUMBER(SEARCH("to",Sheet1!E87)),VALUE(LEFT(Sheet1!E87,FIND(" to",Sheet1!E87)-1)),
"N/A"))))</f>
        <v>N/A</v>
      </c>
      <c r="L87" s="3" t="str">
        <f>IF(Sheet1!E87="All","N/A",
IF(LEFT(Sheet1!E87,4)="upto",VALUE(MID(Sheet1!E87,6,2)),
IF(LEFT(Sheet1!E87,5)="Above","N/A",
IF(ISNUMBER(SEARCH("to",Sheet1!E87)),VALUE(MID(Sheet1!E87,FIND("to ",Sheet1!E87)+3,2)),
"N/A"))))</f>
        <v>N/A</v>
      </c>
      <c r="M87" s="1" t="s">
        <v>17</v>
      </c>
      <c r="N87" s="12" t="s">
        <v>39</v>
      </c>
      <c r="O87" s="2" t="s">
        <v>116</v>
      </c>
      <c r="P87" s="2">
        <f>IF(Sheet1!A87="No","No",
IF(LEFT(Sheet1!A87,5)="Up to",0,
VALUE(LEFT(Sheet1!A87,FIND(" ",Sheet1!A87)-1))))</f>
        <v>0</v>
      </c>
      <c r="Q87" s="2">
        <f>IF(Sheet1!A87="No","No",
IF(LEFT(Sheet1!A87,5)="Up to",
VALUE(MID(Sheet1!A87,7,FIND("kg",Sheet1!A87)-7)),
VALUE(MID(Sheet1!A87,FIND("to",Sheet1!A87)+3,FIND("kg",Sheet1!A87)-FIND("to",Sheet1!A87)-3))))</f>
        <v>2000</v>
      </c>
      <c r="R87" s="3" t="s">
        <v>116</v>
      </c>
      <c r="S87" s="2" t="s">
        <v>116</v>
      </c>
      <c r="T87" s="2" t="s">
        <v>116</v>
      </c>
      <c r="U87" s="2" t="s">
        <v>116</v>
      </c>
      <c r="V87" s="2" t="s">
        <v>116</v>
      </c>
      <c r="W87" s="2" t="s">
        <v>116</v>
      </c>
      <c r="X87" s="2" t="s">
        <v>116</v>
      </c>
      <c r="Y87" s="37">
        <f>Sheet1!C87-Sheet1!D87</f>
        <v>0.44590000000000002</v>
      </c>
    </row>
    <row r="88" spans="1:25" ht="29">
      <c r="A88" s="1" t="s">
        <v>52</v>
      </c>
      <c r="B88" s="21" t="s">
        <v>16</v>
      </c>
      <c r="C88" s="3" t="s">
        <v>57</v>
      </c>
      <c r="D88" s="31" t="s">
        <v>22</v>
      </c>
      <c r="E88" s="42">
        <v>46038</v>
      </c>
      <c r="F88" s="42" t="s">
        <v>18</v>
      </c>
      <c r="G88" s="31" t="s">
        <v>18</v>
      </c>
      <c r="H88" s="31" t="s">
        <v>18</v>
      </c>
      <c r="I88" s="31" t="s">
        <v>50</v>
      </c>
      <c r="J88" s="3" t="s">
        <v>28</v>
      </c>
      <c r="K88" s="3" t="str">
        <f>IF(Sheet1!E88="All","N/A",
IF(LEFT(Sheet1!E88,4)="upto","N/A",
IF(LEFT(Sheet1!E88,5)="Above",VALUE(MID(Sheet1!E88,7,2))+1,
IF(ISNUMBER(SEARCH("to",Sheet1!E88)),VALUE(LEFT(Sheet1!E88,FIND(" to",Sheet1!E88)-1)),
"N/A"))))</f>
        <v>N/A</v>
      </c>
      <c r="L88" s="3" t="str">
        <f>IF(Sheet1!E88="All","N/A",
IF(LEFT(Sheet1!E88,4)="upto",VALUE(MID(Sheet1!E88,6,2)),
IF(LEFT(Sheet1!E88,5)="Above","N/A",
IF(ISNUMBER(SEARCH("to",Sheet1!E88)),VALUE(MID(Sheet1!E88,FIND("to ",Sheet1!E88)+3,2)),
"N/A"))))</f>
        <v>N/A</v>
      </c>
      <c r="M88" s="1" t="s">
        <v>17</v>
      </c>
      <c r="N88" s="12" t="s">
        <v>39</v>
      </c>
      <c r="O88" s="2" t="s">
        <v>116</v>
      </c>
      <c r="P88" s="2">
        <f>IF(Sheet1!A88="No","No",
IF(LEFT(Sheet1!A88,5)="Up to",0,
VALUE(LEFT(Sheet1!A88,FIND(" ",Sheet1!A88)-1))))</f>
        <v>0</v>
      </c>
      <c r="Q88" s="2">
        <f>IF(Sheet1!A88="No","No",
IF(LEFT(Sheet1!A88,5)="Up to",
VALUE(MID(Sheet1!A88,7,FIND("kg",Sheet1!A88)-7)),
VALUE(MID(Sheet1!A88,FIND("to",Sheet1!A88)+3,FIND("kg",Sheet1!A88)-FIND("to",Sheet1!A88)-3))))</f>
        <v>2000</v>
      </c>
      <c r="R88" s="3" t="s">
        <v>116</v>
      </c>
      <c r="S88" s="2" t="s">
        <v>116</v>
      </c>
      <c r="T88" s="2" t="s">
        <v>116</v>
      </c>
      <c r="U88" s="2" t="s">
        <v>116</v>
      </c>
      <c r="V88" s="2" t="s">
        <v>116</v>
      </c>
      <c r="W88" s="2" t="s">
        <v>116</v>
      </c>
      <c r="X88" s="2" t="s">
        <v>116</v>
      </c>
      <c r="Y88" s="37">
        <f>Sheet1!C88-Sheet1!D88</f>
        <v>0.30869999999999997</v>
      </c>
    </row>
    <row r="89" spans="1:25">
      <c r="A89" s="11" t="s">
        <v>52</v>
      </c>
      <c r="B89" s="12" t="s">
        <v>58</v>
      </c>
      <c r="C89" s="15" t="s">
        <v>59</v>
      </c>
      <c r="D89" s="30" t="s">
        <v>22</v>
      </c>
      <c r="E89" s="42">
        <v>46038</v>
      </c>
      <c r="F89" s="42" t="s">
        <v>18</v>
      </c>
      <c r="G89" s="30" t="s">
        <v>18</v>
      </c>
      <c r="H89" s="31" t="s">
        <v>18</v>
      </c>
      <c r="I89" s="30" t="s">
        <v>50</v>
      </c>
      <c r="J89" s="3" t="s">
        <v>28</v>
      </c>
      <c r="K89" s="15" t="str">
        <f>IF(Sheet1!E89="All","N/A",
IF(LEFT(Sheet1!E89,4)="upto","N/A",
IF(LEFT(Sheet1!E89,5)="Above",VALUE(MID(Sheet1!E89,7,2))+1,
IF(ISNUMBER(SEARCH("to",Sheet1!E89)),VALUE(LEFT(Sheet1!E89,FIND(" to",Sheet1!E89)-1)),
"N/A"))))</f>
        <v>N/A</v>
      </c>
      <c r="L89" s="15" t="str">
        <f>IF(Sheet1!E89="All","N/A",
IF(LEFT(Sheet1!E89,4)="upto",VALUE(MID(Sheet1!E89,6,2)),
IF(LEFT(Sheet1!E89,5)="Above","N/A",
IF(ISNUMBER(SEARCH("to",Sheet1!E89)),VALUE(MID(Sheet1!E89,FIND("to ",Sheet1!E89)+3,2)),
"N/A"))))</f>
        <v>N/A</v>
      </c>
      <c r="M89" s="11" t="s">
        <v>17</v>
      </c>
      <c r="N89" s="12" t="s">
        <v>39</v>
      </c>
      <c r="O89" s="12" t="s">
        <v>116</v>
      </c>
      <c r="P89" s="12">
        <f>IF(Sheet1!A89="No","No",
IF(LEFT(Sheet1!A89,5)="Up to",0,
VALUE(LEFT(Sheet1!A89,FIND(" ",Sheet1!A89)-1))))</f>
        <v>0</v>
      </c>
      <c r="Q89" s="12">
        <f>IF(Sheet1!A89="No","No",
IF(LEFT(Sheet1!A89,5)="Up to",
VALUE(MID(Sheet1!A89,7,FIND("kg",Sheet1!A89)-7)),
VALUE(MID(Sheet1!A89,FIND("to",Sheet1!A89)+3,FIND("kg",Sheet1!A89)-FIND("to",Sheet1!A89)-3))))</f>
        <v>2000</v>
      </c>
      <c r="R89" s="15" t="s">
        <v>116</v>
      </c>
      <c r="S89" s="12" t="s">
        <v>116</v>
      </c>
      <c r="T89" s="12" t="s">
        <v>116</v>
      </c>
      <c r="U89" s="12" t="s">
        <v>116</v>
      </c>
      <c r="V89" s="12" t="s">
        <v>116</v>
      </c>
      <c r="W89" s="12" t="s">
        <v>116</v>
      </c>
      <c r="X89" s="12" t="s">
        <v>116</v>
      </c>
      <c r="Y89" s="37">
        <f>Sheet1!C89-Sheet1!D89</f>
        <v>0.30869999999999997</v>
      </c>
    </row>
    <row r="90" spans="1:25" ht="29">
      <c r="A90" s="1" t="s">
        <v>52</v>
      </c>
      <c r="B90" s="21" t="s">
        <v>16</v>
      </c>
      <c r="C90" s="3" t="s">
        <v>53</v>
      </c>
      <c r="D90" s="31" t="s">
        <v>22</v>
      </c>
      <c r="E90" s="42">
        <v>46038</v>
      </c>
      <c r="F90" s="42" t="s">
        <v>18</v>
      </c>
      <c r="G90" s="31" t="s">
        <v>18</v>
      </c>
      <c r="H90" s="31" t="s">
        <v>18</v>
      </c>
      <c r="I90" s="31" t="s">
        <v>50</v>
      </c>
      <c r="J90" s="3" t="s">
        <v>28</v>
      </c>
      <c r="K90" s="3" t="str">
        <f>IF(Sheet1!E90="All","N/A",
IF(LEFT(Sheet1!E90,4)="upto","N/A",
IF(LEFT(Sheet1!E90,5)="Above",VALUE(MID(Sheet1!E90,7,2))+1,
IF(ISNUMBER(SEARCH("to",Sheet1!E90)),VALUE(LEFT(Sheet1!E90,FIND(" to",Sheet1!E90)-1)),
"N/A"))))</f>
        <v>N/A</v>
      </c>
      <c r="L90" s="3" t="str">
        <f>IF(Sheet1!E90="All","N/A",
IF(LEFT(Sheet1!E90,4)="upto",VALUE(MID(Sheet1!E90,6,2)),
IF(LEFT(Sheet1!E90,5)="Above","N/A",
IF(ISNUMBER(SEARCH("to",Sheet1!E90)),VALUE(MID(Sheet1!E90,FIND("to ",Sheet1!E90)+3,2)),
"N/A"))))</f>
        <v>N/A</v>
      </c>
      <c r="M90" s="1" t="s">
        <v>20</v>
      </c>
      <c r="N90" s="12" t="s">
        <v>150</v>
      </c>
      <c r="O90" s="2" t="s">
        <v>116</v>
      </c>
      <c r="P90" s="2">
        <f>IF(Sheet1!A90="No","No",
IF(LEFT(Sheet1!A90,5)="Up to",0,
VALUE(LEFT(Sheet1!A90,FIND(" ",Sheet1!A90)-1))))</f>
        <v>0</v>
      </c>
      <c r="Q90" s="2">
        <f>IF(Sheet1!A90="No","No",
IF(LEFT(Sheet1!A90,5)="Up to",
VALUE(MID(Sheet1!A90,7,FIND("kg",Sheet1!A90)-7)),
VALUE(MID(Sheet1!A90,FIND("to",Sheet1!A90)+3,FIND("kg",Sheet1!A90)-FIND("to",Sheet1!A90)-3))))</f>
        <v>2000</v>
      </c>
      <c r="R90" s="3" t="s">
        <v>116</v>
      </c>
      <c r="S90" s="2" t="s">
        <v>116</v>
      </c>
      <c r="T90" s="2" t="s">
        <v>116</v>
      </c>
      <c r="U90" s="2" t="s">
        <v>116</v>
      </c>
      <c r="V90" s="2" t="s">
        <v>116</v>
      </c>
      <c r="W90" s="2" t="s">
        <v>116</v>
      </c>
      <c r="X90" s="2" t="s">
        <v>116</v>
      </c>
      <c r="Y90" s="37">
        <f>Sheet1!C90-Sheet1!D90</f>
        <v>0.52429999999999988</v>
      </c>
    </row>
    <row r="91" spans="1:25" ht="29">
      <c r="A91" s="1" t="s">
        <v>52</v>
      </c>
      <c r="B91" s="21" t="s">
        <v>16</v>
      </c>
      <c r="C91" s="3" t="s">
        <v>56</v>
      </c>
      <c r="D91" s="31" t="s">
        <v>22</v>
      </c>
      <c r="E91" s="42">
        <v>46038</v>
      </c>
      <c r="F91" s="42" t="s">
        <v>18</v>
      </c>
      <c r="G91" s="31" t="s">
        <v>18</v>
      </c>
      <c r="H91" s="31" t="s">
        <v>18</v>
      </c>
      <c r="I91" s="31" t="s">
        <v>50</v>
      </c>
      <c r="J91" s="3" t="s">
        <v>28</v>
      </c>
      <c r="K91" s="3" t="str">
        <f>IF(Sheet1!E91="All","N/A",
IF(LEFT(Sheet1!E91,4)="upto","N/A",
IF(LEFT(Sheet1!E91,5)="Above",VALUE(MID(Sheet1!E91,7,2))+1,
IF(ISNUMBER(SEARCH("to",Sheet1!E91)),VALUE(LEFT(Sheet1!E91,FIND(" to",Sheet1!E91)-1)),
"N/A"))))</f>
        <v>N/A</v>
      </c>
      <c r="L91" s="3" t="str">
        <f>IF(Sheet1!E91="All","N/A",
IF(LEFT(Sheet1!E91,4)="upto",VALUE(MID(Sheet1!E91,6,2)),
IF(LEFT(Sheet1!E91,5)="Above","N/A",
IF(ISNUMBER(SEARCH("to",Sheet1!E91)),VALUE(MID(Sheet1!E91,FIND("to ",Sheet1!E91)+3,2)),
"N/A"))))</f>
        <v>N/A</v>
      </c>
      <c r="M91" s="1" t="s">
        <v>20</v>
      </c>
      <c r="N91" s="12" t="s">
        <v>150</v>
      </c>
      <c r="O91" s="2" t="s">
        <v>116</v>
      </c>
      <c r="P91" s="2">
        <f>IF(Sheet1!A91="No","No",
IF(LEFT(Sheet1!A91,5)="Up to",0,
VALUE(LEFT(Sheet1!A91,FIND(" ",Sheet1!A91)-1))))</f>
        <v>0</v>
      </c>
      <c r="Q91" s="2">
        <f>IF(Sheet1!A91="No","No",
IF(LEFT(Sheet1!A91,5)="Up to",
VALUE(MID(Sheet1!A91,7,FIND("kg",Sheet1!A91)-7)),
VALUE(MID(Sheet1!A91,FIND("to",Sheet1!A91)+3,FIND("kg",Sheet1!A91)-FIND("to",Sheet1!A91)-3))))</f>
        <v>2000</v>
      </c>
      <c r="R91" s="3" t="s">
        <v>116</v>
      </c>
      <c r="S91" s="2" t="s">
        <v>116</v>
      </c>
      <c r="T91" s="2" t="s">
        <v>116</v>
      </c>
      <c r="U91" s="2" t="s">
        <v>116</v>
      </c>
      <c r="V91" s="2" t="s">
        <v>116</v>
      </c>
      <c r="W91" s="2" t="s">
        <v>116</v>
      </c>
      <c r="X91" s="2" t="s">
        <v>116</v>
      </c>
      <c r="Y91" s="37">
        <f>Sheet1!C91-Sheet1!D91</f>
        <v>0.45570000000000005</v>
      </c>
    </row>
    <row r="92" spans="1:25" ht="29">
      <c r="A92" s="1" t="s">
        <v>52</v>
      </c>
      <c r="B92" s="21" t="s">
        <v>16</v>
      </c>
      <c r="C92" s="3" t="s">
        <v>57</v>
      </c>
      <c r="D92" s="31" t="s">
        <v>22</v>
      </c>
      <c r="E92" s="42">
        <v>46038</v>
      </c>
      <c r="F92" s="42" t="s">
        <v>18</v>
      </c>
      <c r="G92" s="31" t="s">
        <v>18</v>
      </c>
      <c r="H92" s="31" t="s">
        <v>18</v>
      </c>
      <c r="I92" s="31" t="s">
        <v>50</v>
      </c>
      <c r="J92" s="3" t="s">
        <v>28</v>
      </c>
      <c r="K92" s="3" t="str">
        <f>IF(Sheet1!E92="All","N/A",
IF(LEFT(Sheet1!E92,4)="upto","N/A",
IF(LEFT(Sheet1!E92,5)="Above",VALUE(MID(Sheet1!E92,7,2))+1,
IF(ISNUMBER(SEARCH("to",Sheet1!E92)),VALUE(LEFT(Sheet1!E92,FIND(" to",Sheet1!E92)-1)),
"N/A"))))</f>
        <v>N/A</v>
      </c>
      <c r="L92" s="3" t="str">
        <f>IF(Sheet1!E92="All","N/A",
IF(LEFT(Sheet1!E92,4)="upto",VALUE(MID(Sheet1!E92,6,2)),
IF(LEFT(Sheet1!E92,5)="Above","N/A",
IF(ISNUMBER(SEARCH("to",Sheet1!E92)),VALUE(MID(Sheet1!E92,FIND("to ",Sheet1!E92)+3,2)),
"N/A"))))</f>
        <v>N/A</v>
      </c>
      <c r="M92" s="1" t="s">
        <v>20</v>
      </c>
      <c r="N92" s="12" t="s">
        <v>150</v>
      </c>
      <c r="O92" s="2" t="s">
        <v>116</v>
      </c>
      <c r="P92" s="2">
        <f>IF(Sheet1!A92="No","No",
IF(LEFT(Sheet1!A92,5)="Up to",0,
VALUE(LEFT(Sheet1!A92,FIND(" ",Sheet1!A92)-1))))</f>
        <v>0</v>
      </c>
      <c r="Q92" s="2">
        <f>IF(Sheet1!A92="No","No",
IF(LEFT(Sheet1!A92,5)="Up to",
VALUE(MID(Sheet1!A92,7,FIND("kg",Sheet1!A92)-7)),
VALUE(MID(Sheet1!A92,FIND("to",Sheet1!A92)+3,FIND("kg",Sheet1!A92)-FIND("to",Sheet1!A92)-3))))</f>
        <v>2000</v>
      </c>
      <c r="R92" s="3" t="s">
        <v>116</v>
      </c>
      <c r="S92" s="2" t="s">
        <v>116</v>
      </c>
      <c r="T92" s="2" t="s">
        <v>116</v>
      </c>
      <c r="U92" s="2" t="s">
        <v>116</v>
      </c>
      <c r="V92" s="2" t="s">
        <v>116</v>
      </c>
      <c r="W92" s="2" t="s">
        <v>116</v>
      </c>
      <c r="X92" s="2" t="s">
        <v>116</v>
      </c>
      <c r="Y92" s="37">
        <f>Sheet1!C92-Sheet1!D92</f>
        <v>0.31850000000000001</v>
      </c>
    </row>
    <row r="93" spans="1:25" ht="29">
      <c r="A93" s="11" t="s">
        <v>52</v>
      </c>
      <c r="B93" s="12" t="s">
        <v>58</v>
      </c>
      <c r="C93" s="15" t="s">
        <v>59</v>
      </c>
      <c r="D93" s="30" t="s">
        <v>22</v>
      </c>
      <c r="E93" s="42">
        <v>46038</v>
      </c>
      <c r="F93" s="42" t="s">
        <v>18</v>
      </c>
      <c r="G93" s="30" t="s">
        <v>18</v>
      </c>
      <c r="H93" s="31" t="s">
        <v>18</v>
      </c>
      <c r="I93" s="30" t="s">
        <v>50</v>
      </c>
      <c r="J93" s="3" t="s">
        <v>28</v>
      </c>
      <c r="K93" s="15" t="str">
        <f>IF(Sheet1!E93="All","N/A",
IF(LEFT(Sheet1!E93,4)="upto","N/A",
IF(LEFT(Sheet1!E93,5)="Above",VALUE(MID(Sheet1!E93,7,2))+1,
IF(ISNUMBER(SEARCH("to",Sheet1!E93)),VALUE(LEFT(Sheet1!E93,FIND(" to",Sheet1!E93)-1)),
"N/A"))))</f>
        <v>N/A</v>
      </c>
      <c r="L93" s="15" t="str">
        <f>IF(Sheet1!E93="All","N/A",
IF(LEFT(Sheet1!E93,4)="upto",VALUE(MID(Sheet1!E93,6,2)),
IF(LEFT(Sheet1!E93,5)="Above","N/A",
IF(ISNUMBER(SEARCH("to",Sheet1!E93)),VALUE(MID(Sheet1!E93,FIND("to ",Sheet1!E93)+3,2)),
"N/A"))))</f>
        <v>N/A</v>
      </c>
      <c r="M93" s="1" t="s">
        <v>20</v>
      </c>
      <c r="N93" s="12" t="s">
        <v>150</v>
      </c>
      <c r="O93" s="12" t="s">
        <v>116</v>
      </c>
      <c r="P93" s="12">
        <f>IF(Sheet1!A93="No","No",
IF(LEFT(Sheet1!A93,5)="Up to",0,
VALUE(LEFT(Sheet1!A93,FIND(" ",Sheet1!A93)-1))))</f>
        <v>0</v>
      </c>
      <c r="Q93" s="12">
        <f>IF(Sheet1!A93="No","No",
IF(LEFT(Sheet1!A93,5)="Up to",
VALUE(MID(Sheet1!A93,7,FIND("kg",Sheet1!A93)-7)),
VALUE(MID(Sheet1!A93,FIND("to",Sheet1!A93)+3,FIND("kg",Sheet1!A93)-FIND("to",Sheet1!A93)-3))))</f>
        <v>2000</v>
      </c>
      <c r="R93" s="15" t="s">
        <v>116</v>
      </c>
      <c r="S93" s="12" t="s">
        <v>116</v>
      </c>
      <c r="T93" s="12" t="s">
        <v>116</v>
      </c>
      <c r="U93" s="12" t="s">
        <v>116</v>
      </c>
      <c r="V93" s="12" t="s">
        <v>116</v>
      </c>
      <c r="W93" s="12" t="s">
        <v>116</v>
      </c>
      <c r="X93" s="12" t="s">
        <v>116</v>
      </c>
      <c r="Y93" s="37">
        <f>Sheet1!C93-Sheet1!D93</f>
        <v>0.31850000000000001</v>
      </c>
    </row>
    <row r="94" spans="1:25">
      <c r="A94" s="1" t="s">
        <v>52</v>
      </c>
      <c r="B94" s="21" t="s">
        <v>16</v>
      </c>
      <c r="C94" s="3" t="s">
        <v>53</v>
      </c>
      <c r="D94" s="31" t="s">
        <v>22</v>
      </c>
      <c r="E94" s="42" t="s">
        <v>18</v>
      </c>
      <c r="F94" s="42">
        <v>46037</v>
      </c>
      <c r="G94" s="31" t="s">
        <v>72</v>
      </c>
      <c r="H94" s="31" t="s">
        <v>18</v>
      </c>
      <c r="I94" s="31" t="s">
        <v>50</v>
      </c>
      <c r="J94" s="3" t="s">
        <v>31</v>
      </c>
      <c r="K94" s="3" t="str">
        <f>IF(Sheet1!E94="All","N/A",
IF(LEFT(Sheet1!E94,4)="upto","N/A",
IF(LEFT(Sheet1!E94,5)="Above",VALUE(MID(Sheet1!E94,7,2))+1,
IF(ISNUMBER(SEARCH("to",Sheet1!E94)),VALUE(LEFT(Sheet1!E94,FIND(" to",Sheet1!E94)-1)),
"N/A"))))</f>
        <v>N/A</v>
      </c>
      <c r="L94" s="3" t="str">
        <f>IF(Sheet1!E94="All","N/A",
IF(LEFT(Sheet1!E94,4)="upto",VALUE(MID(Sheet1!E94,6,2)),
IF(LEFT(Sheet1!E94,5)="Above","N/A",
IF(ISNUMBER(SEARCH("to",Sheet1!E94)),VALUE(MID(Sheet1!E94,FIND("to ",Sheet1!E94)+3,2)),
"N/A"))))</f>
        <v>N/A</v>
      </c>
      <c r="M94" s="11" t="s">
        <v>17</v>
      </c>
      <c r="N94" s="2" t="s">
        <v>54</v>
      </c>
      <c r="O94" s="2" t="s">
        <v>116</v>
      </c>
      <c r="P94" s="2">
        <f>IF(Sheet1!A94="No","No",
IF(LEFT(Sheet1!A94,5)="Up to",0,
VALUE(LEFT(Sheet1!A94,FIND(" ",Sheet1!A94)-1))))</f>
        <v>2001</v>
      </c>
      <c r="Q94" s="2">
        <f>IF(Sheet1!A94="No","No",
IF(LEFT(Sheet1!A94,5)="Up to",
VALUE(MID(Sheet1!A94,7,FIND("kg",Sheet1!A94)-7)),
VALUE(MID(Sheet1!A94,FIND("to",Sheet1!A94)+3,FIND("kg",Sheet1!A94)-FIND("to",Sheet1!A94)-3))))</f>
        <v>2500</v>
      </c>
      <c r="R94" s="3" t="s">
        <v>116</v>
      </c>
      <c r="S94" s="2" t="s">
        <v>116</v>
      </c>
      <c r="T94" s="2" t="s">
        <v>116</v>
      </c>
      <c r="U94" s="2" t="s">
        <v>116</v>
      </c>
      <c r="V94" s="2" t="s">
        <v>116</v>
      </c>
      <c r="W94" s="2" t="s">
        <v>116</v>
      </c>
      <c r="X94" s="2" t="s">
        <v>116</v>
      </c>
      <c r="Y94" s="32">
        <f>Sheet1!C94-Sheet1!D94</f>
        <v>0.47040000000000004</v>
      </c>
    </row>
    <row r="95" spans="1:25" ht="29">
      <c r="A95" s="1" t="s">
        <v>52</v>
      </c>
      <c r="B95" s="21" t="s">
        <v>16</v>
      </c>
      <c r="C95" s="3" t="s">
        <v>56</v>
      </c>
      <c r="D95" s="31" t="s">
        <v>22</v>
      </c>
      <c r="E95" s="42" t="s">
        <v>18</v>
      </c>
      <c r="F95" s="42">
        <v>46037</v>
      </c>
      <c r="G95" s="31" t="s">
        <v>72</v>
      </c>
      <c r="H95" s="31" t="s">
        <v>18</v>
      </c>
      <c r="I95" s="31" t="s">
        <v>50</v>
      </c>
      <c r="J95" s="3" t="s">
        <v>31</v>
      </c>
      <c r="K95" s="3" t="str">
        <f>IF(Sheet1!E95="All","N/A",
IF(LEFT(Sheet1!E95,4)="upto","N/A",
IF(LEFT(Sheet1!E95,5)="Above",VALUE(MID(Sheet1!E95,7,2))+1,
IF(ISNUMBER(SEARCH("to",Sheet1!E95)),VALUE(LEFT(Sheet1!E95,FIND(" to",Sheet1!E95)-1)),
"N/A"))))</f>
        <v>N/A</v>
      </c>
      <c r="L95" s="3" t="str">
        <f>IF(Sheet1!E95="All","N/A",
IF(LEFT(Sheet1!E95,4)="upto",VALUE(MID(Sheet1!E95,6,2)),
IF(LEFT(Sheet1!E95,5)="Above","N/A",
IF(ISNUMBER(SEARCH("to",Sheet1!E95)),VALUE(MID(Sheet1!E95,FIND("to ",Sheet1!E95)+3,2)),
"N/A"))))</f>
        <v>N/A</v>
      </c>
      <c r="M95" s="11" t="s">
        <v>17</v>
      </c>
      <c r="N95" s="2" t="s">
        <v>54</v>
      </c>
      <c r="O95" s="2" t="s">
        <v>116</v>
      </c>
      <c r="P95" s="2">
        <f>IF(Sheet1!A95="No","No",
IF(LEFT(Sheet1!A95,5)="Up to",0,
VALUE(LEFT(Sheet1!A95,FIND(" ",Sheet1!A95)-1))))</f>
        <v>2001</v>
      </c>
      <c r="Q95" s="2">
        <f>IF(Sheet1!A95="No","No",
IF(LEFT(Sheet1!A95,5)="Up to",
VALUE(MID(Sheet1!A95,7,FIND("kg",Sheet1!A95)-7)),
VALUE(MID(Sheet1!A95,FIND("to",Sheet1!A95)+3,FIND("kg",Sheet1!A95)-FIND("to",Sheet1!A95)-3))))</f>
        <v>2500</v>
      </c>
      <c r="R95" s="3" t="s">
        <v>116</v>
      </c>
      <c r="S95" s="2" t="s">
        <v>116</v>
      </c>
      <c r="T95" s="2" t="s">
        <v>116</v>
      </c>
      <c r="U95" s="2" t="s">
        <v>116</v>
      </c>
      <c r="V95" s="2" t="s">
        <v>116</v>
      </c>
      <c r="W95" s="2" t="s">
        <v>116</v>
      </c>
      <c r="X95" s="2" t="s">
        <v>116</v>
      </c>
      <c r="Y95" s="32">
        <f>Sheet1!C95-Sheet1!D95</f>
        <v>0.39690000000000003</v>
      </c>
    </row>
    <row r="96" spans="1:25" ht="29">
      <c r="A96" s="1" t="s">
        <v>52</v>
      </c>
      <c r="B96" s="21" t="s">
        <v>16</v>
      </c>
      <c r="C96" s="3" t="s">
        <v>57</v>
      </c>
      <c r="D96" s="31" t="s">
        <v>22</v>
      </c>
      <c r="E96" s="42" t="s">
        <v>18</v>
      </c>
      <c r="F96" s="42">
        <v>46037</v>
      </c>
      <c r="G96" s="31" t="s">
        <v>72</v>
      </c>
      <c r="H96" s="31" t="s">
        <v>18</v>
      </c>
      <c r="I96" s="31" t="s">
        <v>50</v>
      </c>
      <c r="J96" s="3" t="s">
        <v>31</v>
      </c>
      <c r="K96" s="3" t="str">
        <f>IF(Sheet1!E96="All","N/A",
IF(LEFT(Sheet1!E96,4)="upto","N/A",
IF(LEFT(Sheet1!E96,5)="Above",VALUE(MID(Sheet1!E96,7,2))+1,
IF(ISNUMBER(SEARCH("to",Sheet1!E96)),VALUE(LEFT(Sheet1!E96,FIND(" to",Sheet1!E96)-1)),
"N/A"))))</f>
        <v>N/A</v>
      </c>
      <c r="L96" s="3" t="str">
        <f>IF(Sheet1!E96="All","N/A",
IF(LEFT(Sheet1!E96,4)="upto",VALUE(MID(Sheet1!E96,6,2)),
IF(LEFT(Sheet1!E96,5)="Above","N/A",
IF(ISNUMBER(SEARCH("to",Sheet1!E96)),VALUE(MID(Sheet1!E96,FIND("to ",Sheet1!E96)+3,2)),
"N/A"))))</f>
        <v>N/A</v>
      </c>
      <c r="M96" s="11" t="s">
        <v>17</v>
      </c>
      <c r="N96" s="2" t="s">
        <v>54</v>
      </c>
      <c r="O96" s="2" t="s">
        <v>116</v>
      </c>
      <c r="P96" s="2">
        <f>IF(Sheet1!A96="No","No",
IF(LEFT(Sheet1!A96,5)="Up to",0,
VALUE(LEFT(Sheet1!A96,FIND(" ",Sheet1!A96)-1))))</f>
        <v>2001</v>
      </c>
      <c r="Q96" s="2">
        <f>IF(Sheet1!A96="No","No",
IF(LEFT(Sheet1!A96,5)="Up to",
VALUE(MID(Sheet1!A96,7,FIND("kg",Sheet1!A96)-7)),
VALUE(MID(Sheet1!A96,FIND("to",Sheet1!A96)+3,FIND("kg",Sheet1!A96)-FIND("to",Sheet1!A96)-3))))</f>
        <v>2500</v>
      </c>
      <c r="R96" s="3" t="s">
        <v>116</v>
      </c>
      <c r="S96" s="2" t="s">
        <v>116</v>
      </c>
      <c r="T96" s="2" t="s">
        <v>116</v>
      </c>
      <c r="U96" s="2" t="s">
        <v>116</v>
      </c>
      <c r="V96" s="2" t="s">
        <v>116</v>
      </c>
      <c r="W96" s="2" t="s">
        <v>116</v>
      </c>
      <c r="X96" s="2" t="s">
        <v>116</v>
      </c>
      <c r="Y96" s="32">
        <f>Sheet1!C96-Sheet1!D96</f>
        <v>0.25969999999999999</v>
      </c>
    </row>
    <row r="97" spans="1:25">
      <c r="A97" s="11" t="s">
        <v>52</v>
      </c>
      <c r="B97" s="12" t="s">
        <v>58</v>
      </c>
      <c r="C97" s="15" t="s">
        <v>59</v>
      </c>
      <c r="D97" s="30" t="s">
        <v>22</v>
      </c>
      <c r="E97" s="42" t="s">
        <v>18</v>
      </c>
      <c r="F97" s="42">
        <v>46037</v>
      </c>
      <c r="G97" s="31" t="s">
        <v>72</v>
      </c>
      <c r="H97" s="31" t="s">
        <v>18</v>
      </c>
      <c r="I97" s="30" t="s">
        <v>50</v>
      </c>
      <c r="J97" s="15" t="s">
        <v>31</v>
      </c>
      <c r="K97" s="15" t="str">
        <f>IF(Sheet1!E97="All","N/A",
IF(LEFT(Sheet1!E97,4)="upto","N/A",
IF(LEFT(Sheet1!E97,5)="Above",VALUE(MID(Sheet1!E97,7,2))+1,
IF(ISNUMBER(SEARCH("to",Sheet1!E97)),VALUE(LEFT(Sheet1!E97,FIND(" to",Sheet1!E97)-1)),
"N/A"))))</f>
        <v>N/A</v>
      </c>
      <c r="L97" s="15" t="str">
        <f>IF(Sheet1!E97="All","N/A",
IF(LEFT(Sheet1!E97,4)="upto",VALUE(MID(Sheet1!E97,6,2)),
IF(LEFT(Sheet1!E97,5)="Above","N/A",
IF(ISNUMBER(SEARCH("to",Sheet1!E97)),VALUE(MID(Sheet1!E97,FIND("to ",Sheet1!E97)+3,2)),
"N/A"))))</f>
        <v>N/A</v>
      </c>
      <c r="M97" s="11" t="s">
        <v>17</v>
      </c>
      <c r="N97" s="2" t="s">
        <v>54</v>
      </c>
      <c r="O97" s="12" t="s">
        <v>116</v>
      </c>
      <c r="P97" s="12">
        <f>IF(Sheet1!A97="No","No",
IF(LEFT(Sheet1!A97,5)="Up to",0,
VALUE(LEFT(Sheet1!A97,FIND(" ",Sheet1!A97)-1))))</f>
        <v>2001</v>
      </c>
      <c r="Q97" s="12">
        <f>IF(Sheet1!A97="No","No",
IF(LEFT(Sheet1!A97,5)="Up to",
VALUE(MID(Sheet1!A97,7,FIND("kg",Sheet1!A97)-7)),
VALUE(MID(Sheet1!A97,FIND("to",Sheet1!A97)+3,FIND("kg",Sheet1!A97)-FIND("to",Sheet1!A97)-3))))</f>
        <v>2500</v>
      </c>
      <c r="R97" s="15" t="s">
        <v>116</v>
      </c>
      <c r="S97" s="12" t="s">
        <v>116</v>
      </c>
      <c r="T97" s="12" t="s">
        <v>116</v>
      </c>
      <c r="U97" s="12" t="s">
        <v>116</v>
      </c>
      <c r="V97" s="12" t="s">
        <v>116</v>
      </c>
      <c r="W97" s="12" t="s">
        <v>116</v>
      </c>
      <c r="X97" s="12" t="s">
        <v>116</v>
      </c>
      <c r="Y97" s="37">
        <f>Sheet1!C97-Sheet1!D97</f>
        <v>0.25969999999999999</v>
      </c>
    </row>
    <row r="98" spans="1:25">
      <c r="A98" s="1" t="s">
        <v>52</v>
      </c>
      <c r="B98" s="21" t="s">
        <v>16</v>
      </c>
      <c r="C98" s="3" t="s">
        <v>53</v>
      </c>
      <c r="D98" s="31" t="s">
        <v>22</v>
      </c>
      <c r="E98" s="42" t="s">
        <v>18</v>
      </c>
      <c r="F98" s="42">
        <v>46037</v>
      </c>
      <c r="G98" s="31" t="s">
        <v>72</v>
      </c>
      <c r="H98" s="31" t="s">
        <v>18</v>
      </c>
      <c r="I98" s="31" t="s">
        <v>50</v>
      </c>
      <c r="J98" s="3" t="s">
        <v>31</v>
      </c>
      <c r="K98" s="3" t="str">
        <f>IF(Sheet1!E98="All","N/A",
IF(LEFT(Sheet1!E98,4)="upto","N/A",
IF(LEFT(Sheet1!E98,5)="Above",VALUE(MID(Sheet1!E98,7,2))+1,
IF(ISNUMBER(SEARCH("to",Sheet1!E98)),VALUE(LEFT(Sheet1!E98,FIND(" to",Sheet1!E98)-1)),
"N/A"))))</f>
        <v>N/A</v>
      </c>
      <c r="L98" s="3" t="str">
        <f>IF(Sheet1!E98="All","N/A",
IF(LEFT(Sheet1!E98,4)="upto",VALUE(MID(Sheet1!E98,6,2)),
IF(LEFT(Sheet1!E98,5)="Above","N/A",
IF(ISNUMBER(SEARCH("to",Sheet1!E98)),VALUE(MID(Sheet1!E98,FIND("to ",Sheet1!E98)+3,2)),
"N/A"))))</f>
        <v>N/A</v>
      </c>
      <c r="M98" s="1" t="s">
        <v>17</v>
      </c>
      <c r="N98" s="2" t="s">
        <v>39</v>
      </c>
      <c r="O98" s="2" t="s">
        <v>116</v>
      </c>
      <c r="P98" s="2">
        <f>IF(Sheet1!A98="No","No",
IF(LEFT(Sheet1!A98,5)="Up to",0,
VALUE(LEFT(Sheet1!A98,FIND(" ",Sheet1!A98)-1))))</f>
        <v>2001</v>
      </c>
      <c r="Q98" s="2">
        <f>IF(Sheet1!A98="No","No",
IF(LEFT(Sheet1!A98,5)="Up to",
VALUE(MID(Sheet1!A98,7,FIND("kg",Sheet1!A98)-7)),
VALUE(MID(Sheet1!A98,FIND("to",Sheet1!A98)+3,FIND("kg",Sheet1!A98)-FIND("to",Sheet1!A98)-3))))</f>
        <v>2500</v>
      </c>
      <c r="R98" s="3" t="s">
        <v>116</v>
      </c>
      <c r="S98" s="2" t="s">
        <v>116</v>
      </c>
      <c r="T98" s="2" t="s">
        <v>116</v>
      </c>
      <c r="U98" s="2" t="s">
        <v>116</v>
      </c>
      <c r="V98" s="2" t="s">
        <v>116</v>
      </c>
      <c r="W98" s="2" t="s">
        <v>116</v>
      </c>
      <c r="X98" s="2" t="s">
        <v>116</v>
      </c>
      <c r="Y98" s="32">
        <f>Sheet1!C98-Sheet1!D98</f>
        <v>0.51939999999999986</v>
      </c>
    </row>
    <row r="99" spans="1:25" ht="29">
      <c r="A99" s="1" t="s">
        <v>52</v>
      </c>
      <c r="B99" s="21" t="s">
        <v>16</v>
      </c>
      <c r="C99" s="3" t="s">
        <v>56</v>
      </c>
      <c r="D99" s="31" t="s">
        <v>22</v>
      </c>
      <c r="E99" s="42" t="s">
        <v>18</v>
      </c>
      <c r="F99" s="42">
        <v>46037</v>
      </c>
      <c r="G99" s="31" t="s">
        <v>72</v>
      </c>
      <c r="H99" s="31" t="s">
        <v>18</v>
      </c>
      <c r="I99" s="31" t="s">
        <v>50</v>
      </c>
      <c r="J99" s="3" t="s">
        <v>31</v>
      </c>
      <c r="K99" s="3" t="str">
        <f>IF(Sheet1!E99="All","N/A",
IF(LEFT(Sheet1!E99,4)="upto","N/A",
IF(LEFT(Sheet1!E99,5)="Above",VALUE(MID(Sheet1!E99,7,2))+1,
IF(ISNUMBER(SEARCH("to",Sheet1!E99)),VALUE(LEFT(Sheet1!E99,FIND(" to",Sheet1!E99)-1)),
"N/A"))))</f>
        <v>N/A</v>
      </c>
      <c r="L99" s="3" t="str">
        <f>IF(Sheet1!E99="All","N/A",
IF(LEFT(Sheet1!E99,4)="upto",VALUE(MID(Sheet1!E99,6,2)),
IF(LEFT(Sheet1!E99,5)="Above","N/A",
IF(ISNUMBER(SEARCH("to",Sheet1!E99)),VALUE(MID(Sheet1!E99,FIND("to ",Sheet1!E99)+3,2)),
"N/A"))))</f>
        <v>N/A</v>
      </c>
      <c r="M99" s="1" t="s">
        <v>17</v>
      </c>
      <c r="N99" s="2" t="s">
        <v>39</v>
      </c>
      <c r="O99" s="2" t="s">
        <v>116</v>
      </c>
      <c r="P99" s="2">
        <f>IF(Sheet1!A99="No","No",
IF(LEFT(Sheet1!A99,5)="Up to",0,
VALUE(LEFT(Sheet1!A99,FIND(" ",Sheet1!A99)-1))))</f>
        <v>2001</v>
      </c>
      <c r="Q99" s="2">
        <f>IF(Sheet1!A99="No","No",
IF(LEFT(Sheet1!A99,5)="Up to",
VALUE(MID(Sheet1!A99,7,FIND("kg",Sheet1!A99)-7)),
VALUE(MID(Sheet1!A99,FIND("to",Sheet1!A99)+3,FIND("kg",Sheet1!A99)-FIND("to",Sheet1!A99)-3))))</f>
        <v>2500</v>
      </c>
      <c r="R99" s="3" t="s">
        <v>116</v>
      </c>
      <c r="S99" s="2" t="s">
        <v>116</v>
      </c>
      <c r="T99" s="2" t="s">
        <v>116</v>
      </c>
      <c r="U99" s="2" t="s">
        <v>116</v>
      </c>
      <c r="V99" s="2" t="s">
        <v>116</v>
      </c>
      <c r="W99" s="2" t="s">
        <v>116</v>
      </c>
      <c r="X99" s="2" t="s">
        <v>116</v>
      </c>
      <c r="Y99" s="32">
        <f>Sheet1!C99-Sheet1!D99</f>
        <v>0.44590000000000002</v>
      </c>
    </row>
    <row r="100" spans="1:25" ht="29">
      <c r="A100" s="1" t="s">
        <v>52</v>
      </c>
      <c r="B100" s="21" t="s">
        <v>16</v>
      </c>
      <c r="C100" s="3" t="s">
        <v>57</v>
      </c>
      <c r="D100" s="31" t="s">
        <v>22</v>
      </c>
      <c r="E100" s="42" t="s">
        <v>18</v>
      </c>
      <c r="F100" s="42">
        <v>46037</v>
      </c>
      <c r="G100" s="31" t="s">
        <v>72</v>
      </c>
      <c r="H100" s="31" t="s">
        <v>18</v>
      </c>
      <c r="I100" s="31" t="s">
        <v>50</v>
      </c>
      <c r="J100" s="3" t="s">
        <v>31</v>
      </c>
      <c r="K100" s="3" t="str">
        <f>IF(Sheet1!E100="All","N/A",
IF(LEFT(Sheet1!E100,4)="upto","N/A",
IF(LEFT(Sheet1!E100,5)="Above",VALUE(MID(Sheet1!E100,7,2))+1,
IF(ISNUMBER(SEARCH("to",Sheet1!E100)),VALUE(LEFT(Sheet1!E100,FIND(" to",Sheet1!E100)-1)),
"N/A"))))</f>
        <v>N/A</v>
      </c>
      <c r="L100" s="3" t="str">
        <f>IF(Sheet1!E100="All","N/A",
IF(LEFT(Sheet1!E100,4)="upto",VALUE(MID(Sheet1!E100,6,2)),
IF(LEFT(Sheet1!E100,5)="Above","N/A",
IF(ISNUMBER(SEARCH("to",Sheet1!E100)),VALUE(MID(Sheet1!E100,FIND("to ",Sheet1!E100)+3,2)),
"N/A"))))</f>
        <v>N/A</v>
      </c>
      <c r="M100" s="1" t="s">
        <v>17</v>
      </c>
      <c r="N100" s="2" t="s">
        <v>39</v>
      </c>
      <c r="O100" s="2" t="s">
        <v>116</v>
      </c>
      <c r="P100" s="2">
        <f>IF(Sheet1!A100="No","No",
IF(LEFT(Sheet1!A100,5)="Up to",0,
VALUE(LEFT(Sheet1!A100,FIND(" ",Sheet1!A100)-1))))</f>
        <v>2001</v>
      </c>
      <c r="Q100" s="2">
        <f>IF(Sheet1!A100="No","No",
IF(LEFT(Sheet1!A100,5)="Up to",
VALUE(MID(Sheet1!A100,7,FIND("kg",Sheet1!A100)-7)),
VALUE(MID(Sheet1!A100,FIND("to",Sheet1!A100)+3,FIND("kg",Sheet1!A100)-FIND("to",Sheet1!A100)-3))))</f>
        <v>2500</v>
      </c>
      <c r="R100" s="3" t="s">
        <v>116</v>
      </c>
      <c r="S100" s="2" t="s">
        <v>116</v>
      </c>
      <c r="T100" s="2" t="s">
        <v>116</v>
      </c>
      <c r="U100" s="2" t="s">
        <v>116</v>
      </c>
      <c r="V100" s="2" t="s">
        <v>116</v>
      </c>
      <c r="W100" s="2" t="s">
        <v>116</v>
      </c>
      <c r="X100" s="2" t="s">
        <v>116</v>
      </c>
      <c r="Y100" s="32">
        <f>Sheet1!C100-Sheet1!D100</f>
        <v>0.30869999999999997</v>
      </c>
    </row>
    <row r="101" spans="1:25">
      <c r="A101" s="11" t="s">
        <v>52</v>
      </c>
      <c r="B101" s="12" t="s">
        <v>58</v>
      </c>
      <c r="C101" s="15" t="s">
        <v>59</v>
      </c>
      <c r="D101" s="30" t="s">
        <v>22</v>
      </c>
      <c r="E101" s="46" t="s">
        <v>18</v>
      </c>
      <c r="F101" s="42">
        <v>46037</v>
      </c>
      <c r="G101" s="30" t="s">
        <v>72</v>
      </c>
      <c r="H101" s="30" t="s">
        <v>18</v>
      </c>
      <c r="I101" s="30" t="s">
        <v>50</v>
      </c>
      <c r="J101" s="15" t="s">
        <v>31</v>
      </c>
      <c r="K101" s="15" t="str">
        <f>IF(Sheet1!E101="All","N/A",
IF(LEFT(Sheet1!E101,4)="upto","N/A",
IF(LEFT(Sheet1!E101,5)="Above",VALUE(MID(Sheet1!E101,7,2))+1,
IF(ISNUMBER(SEARCH("to",Sheet1!E101)),VALUE(LEFT(Sheet1!E101,FIND(" to",Sheet1!E101)-1)),
"N/A"))))</f>
        <v>N/A</v>
      </c>
      <c r="L101" s="15" t="str">
        <f>IF(Sheet1!E101="All","N/A",
IF(LEFT(Sheet1!E101,4)="upto",VALUE(MID(Sheet1!E101,6,2)),
IF(LEFT(Sheet1!E101,5)="Above","N/A",
IF(ISNUMBER(SEARCH("to",Sheet1!E101)),VALUE(MID(Sheet1!E101,FIND("to ",Sheet1!E101)+3,2)),
"N/A"))))</f>
        <v>N/A</v>
      </c>
      <c r="M101" s="11" t="s">
        <v>17</v>
      </c>
      <c r="N101" s="2" t="s">
        <v>39</v>
      </c>
      <c r="O101" s="12" t="s">
        <v>116</v>
      </c>
      <c r="P101" s="12">
        <f>IF(Sheet1!A101="No","No",
IF(LEFT(Sheet1!A101,5)="Up to",0,
VALUE(LEFT(Sheet1!A101,FIND(" ",Sheet1!A101)-1))))</f>
        <v>2001</v>
      </c>
      <c r="Q101" s="12">
        <f>IF(Sheet1!A101="No","No",
IF(LEFT(Sheet1!A101,5)="Up to",
VALUE(MID(Sheet1!A101,7,FIND("kg",Sheet1!A101)-7)),
VALUE(MID(Sheet1!A101,FIND("to",Sheet1!A101)+3,FIND("kg",Sheet1!A101)-FIND("to",Sheet1!A101)-3))))</f>
        <v>2500</v>
      </c>
      <c r="R101" s="15" t="s">
        <v>116</v>
      </c>
      <c r="S101" s="12" t="s">
        <v>116</v>
      </c>
      <c r="T101" s="12" t="s">
        <v>116</v>
      </c>
      <c r="U101" s="12" t="s">
        <v>116</v>
      </c>
      <c r="V101" s="12" t="s">
        <v>116</v>
      </c>
      <c r="W101" s="12" t="s">
        <v>116</v>
      </c>
      <c r="X101" s="12" t="s">
        <v>116</v>
      </c>
      <c r="Y101" s="37">
        <f>Sheet1!C101-Sheet1!D101</f>
        <v>0.30869999999999997</v>
      </c>
    </row>
    <row r="102" spans="1:25">
      <c r="A102" s="1" t="s">
        <v>52</v>
      </c>
      <c r="B102" s="21" t="s">
        <v>16</v>
      </c>
      <c r="C102" s="3" t="s">
        <v>53</v>
      </c>
      <c r="D102" s="31" t="s">
        <v>22</v>
      </c>
      <c r="E102" s="42" t="s">
        <v>18</v>
      </c>
      <c r="F102" s="42">
        <v>46037</v>
      </c>
      <c r="G102" s="31" t="s">
        <v>72</v>
      </c>
      <c r="H102" s="31" t="s">
        <v>18</v>
      </c>
      <c r="I102" s="31" t="s">
        <v>50</v>
      </c>
      <c r="J102" s="3" t="s">
        <v>31</v>
      </c>
      <c r="K102" s="3" t="str">
        <f>IF(Sheet1!E102="All","N/A",
IF(LEFT(Sheet1!E102,4)="upto","N/A",
IF(LEFT(Sheet1!E102,5)="Above",VALUE(MID(Sheet1!E102,7,2))+1,
IF(ISNUMBER(SEARCH("to",Sheet1!E102)),VALUE(LEFT(Sheet1!E102,FIND(" to",Sheet1!E102)-1)),
"N/A"))))</f>
        <v>N/A</v>
      </c>
      <c r="L102" s="3" t="str">
        <f>IF(Sheet1!E102="All","N/A",
IF(LEFT(Sheet1!E102,4)="upto",VALUE(MID(Sheet1!E102,6,2)),
IF(LEFT(Sheet1!E102,5)="Above","N/A",
IF(ISNUMBER(SEARCH("to",Sheet1!E102)),VALUE(MID(Sheet1!E102,FIND("to ",Sheet1!E102)+3,2)),
"N/A"))))</f>
        <v>N/A</v>
      </c>
      <c r="M102" s="1" t="s">
        <v>20</v>
      </c>
      <c r="N102" s="2" t="s">
        <v>39</v>
      </c>
      <c r="O102" s="2" t="s">
        <v>116</v>
      </c>
      <c r="P102" s="2">
        <f>IF(Sheet1!A102="No","No",
IF(LEFT(Sheet1!A102,5)="Up to",0,
VALUE(LEFT(Sheet1!A102,FIND(" ",Sheet1!A102)-1))))</f>
        <v>2001</v>
      </c>
      <c r="Q102" s="2">
        <f>IF(Sheet1!A102="No","No",
IF(LEFT(Sheet1!A102,5)="Up to",
VALUE(MID(Sheet1!A102,7,FIND("kg",Sheet1!A102)-7)),
VALUE(MID(Sheet1!A102,FIND("to",Sheet1!A102)+3,FIND("kg",Sheet1!A102)-FIND("to",Sheet1!A102)-3))))</f>
        <v>2500</v>
      </c>
      <c r="R102" s="3" t="s">
        <v>116</v>
      </c>
      <c r="S102" s="2" t="s">
        <v>116</v>
      </c>
      <c r="T102" s="2" t="s">
        <v>116</v>
      </c>
      <c r="U102" s="2" t="s">
        <v>116</v>
      </c>
      <c r="V102" s="2" t="s">
        <v>116</v>
      </c>
      <c r="W102" s="2" t="s">
        <v>116</v>
      </c>
      <c r="X102" s="2" t="s">
        <v>116</v>
      </c>
      <c r="Y102" s="32">
        <f>Sheet1!C102-Sheet1!D102</f>
        <v>0.52429999999999988</v>
      </c>
    </row>
    <row r="103" spans="1:25" ht="29">
      <c r="A103" s="1" t="s">
        <v>52</v>
      </c>
      <c r="B103" s="21" t="s">
        <v>16</v>
      </c>
      <c r="C103" s="3" t="s">
        <v>56</v>
      </c>
      <c r="D103" s="31" t="s">
        <v>22</v>
      </c>
      <c r="E103" s="42" t="s">
        <v>18</v>
      </c>
      <c r="F103" s="42">
        <v>46037</v>
      </c>
      <c r="G103" s="31" t="s">
        <v>72</v>
      </c>
      <c r="H103" s="31" t="s">
        <v>18</v>
      </c>
      <c r="I103" s="31" t="s">
        <v>50</v>
      </c>
      <c r="J103" s="3" t="s">
        <v>31</v>
      </c>
      <c r="K103" s="3" t="str">
        <f>IF(Sheet1!E103="All","N/A",
IF(LEFT(Sheet1!E103,4)="upto","N/A",
IF(LEFT(Sheet1!E103,5)="Above",VALUE(MID(Sheet1!E103,7,2))+1,
IF(ISNUMBER(SEARCH("to",Sheet1!E103)),VALUE(LEFT(Sheet1!E103,FIND(" to",Sheet1!E103)-1)),
"N/A"))))</f>
        <v>N/A</v>
      </c>
      <c r="L103" s="3" t="str">
        <f>IF(Sheet1!E103="All","N/A",
IF(LEFT(Sheet1!E103,4)="upto",VALUE(MID(Sheet1!E103,6,2)),
IF(LEFT(Sheet1!E103,5)="Above","N/A",
IF(ISNUMBER(SEARCH("to",Sheet1!E103)),VALUE(MID(Sheet1!E103,FIND("to ",Sheet1!E103)+3,2)),
"N/A"))))</f>
        <v>N/A</v>
      </c>
      <c r="M103" s="1" t="s">
        <v>20</v>
      </c>
      <c r="N103" s="2" t="s">
        <v>39</v>
      </c>
      <c r="O103" s="2" t="s">
        <v>116</v>
      </c>
      <c r="P103" s="2">
        <f>IF(Sheet1!A103="No","No",
IF(LEFT(Sheet1!A103,5)="Up to",0,
VALUE(LEFT(Sheet1!A103,FIND(" ",Sheet1!A103)-1))))</f>
        <v>2001</v>
      </c>
      <c r="Q103" s="2">
        <f>IF(Sheet1!A103="No","No",
IF(LEFT(Sheet1!A103,5)="Up to",
VALUE(MID(Sheet1!A103,7,FIND("kg",Sheet1!A103)-7)),
VALUE(MID(Sheet1!A103,FIND("to",Sheet1!A103)+3,FIND("kg",Sheet1!A103)-FIND("to",Sheet1!A103)-3))))</f>
        <v>2500</v>
      </c>
      <c r="R103" s="3" t="s">
        <v>116</v>
      </c>
      <c r="S103" s="2" t="s">
        <v>116</v>
      </c>
      <c r="T103" s="2" t="s">
        <v>116</v>
      </c>
      <c r="U103" s="2" t="s">
        <v>116</v>
      </c>
      <c r="V103" s="2" t="s">
        <v>116</v>
      </c>
      <c r="W103" s="2" t="s">
        <v>116</v>
      </c>
      <c r="X103" s="2" t="s">
        <v>116</v>
      </c>
      <c r="Y103" s="32">
        <f>Sheet1!C103-Sheet1!D103</f>
        <v>0.45570000000000005</v>
      </c>
    </row>
    <row r="104" spans="1:25" ht="29">
      <c r="A104" s="1" t="s">
        <v>52</v>
      </c>
      <c r="B104" s="21" t="s">
        <v>16</v>
      </c>
      <c r="C104" s="3" t="s">
        <v>57</v>
      </c>
      <c r="D104" s="31" t="s">
        <v>22</v>
      </c>
      <c r="E104" s="42" t="s">
        <v>18</v>
      </c>
      <c r="F104" s="42">
        <v>46037</v>
      </c>
      <c r="G104" s="31" t="s">
        <v>72</v>
      </c>
      <c r="H104" s="31" t="s">
        <v>18</v>
      </c>
      <c r="I104" s="31" t="s">
        <v>50</v>
      </c>
      <c r="J104" s="3" t="s">
        <v>31</v>
      </c>
      <c r="K104" s="3" t="str">
        <f>IF(Sheet1!E104="All","N/A",
IF(LEFT(Sheet1!E104,4)="upto","N/A",
IF(LEFT(Sheet1!E104,5)="Above",VALUE(MID(Sheet1!E104,7,2))+1,
IF(ISNUMBER(SEARCH("to",Sheet1!E104)),VALUE(LEFT(Sheet1!E104,FIND(" to",Sheet1!E104)-1)),
"N/A"))))</f>
        <v>N/A</v>
      </c>
      <c r="L104" s="3" t="str">
        <f>IF(Sheet1!E104="All","N/A",
IF(LEFT(Sheet1!E104,4)="upto",VALUE(MID(Sheet1!E104,6,2)),
IF(LEFT(Sheet1!E104,5)="Above","N/A",
IF(ISNUMBER(SEARCH("to",Sheet1!E104)),VALUE(MID(Sheet1!E104,FIND("to ",Sheet1!E104)+3,2)),
"N/A"))))</f>
        <v>N/A</v>
      </c>
      <c r="M104" s="1" t="s">
        <v>20</v>
      </c>
      <c r="N104" s="2" t="s">
        <v>39</v>
      </c>
      <c r="O104" s="2" t="s">
        <v>116</v>
      </c>
      <c r="P104" s="2">
        <f>IF(Sheet1!A104="No","No",
IF(LEFT(Sheet1!A104,5)="Up to",0,
VALUE(LEFT(Sheet1!A104,FIND(" ",Sheet1!A104)-1))))</f>
        <v>2001</v>
      </c>
      <c r="Q104" s="2">
        <f>IF(Sheet1!A104="No","No",
IF(LEFT(Sheet1!A104,5)="Up to",
VALUE(MID(Sheet1!A104,7,FIND("kg",Sheet1!A104)-7)),
VALUE(MID(Sheet1!A104,FIND("to",Sheet1!A104)+3,FIND("kg",Sheet1!A104)-FIND("to",Sheet1!A104)-3))))</f>
        <v>2500</v>
      </c>
      <c r="R104" s="3" t="s">
        <v>116</v>
      </c>
      <c r="S104" s="2" t="s">
        <v>116</v>
      </c>
      <c r="T104" s="2" t="s">
        <v>116</v>
      </c>
      <c r="U104" s="2" t="s">
        <v>116</v>
      </c>
      <c r="V104" s="2" t="s">
        <v>116</v>
      </c>
      <c r="W104" s="2" t="s">
        <v>116</v>
      </c>
      <c r="X104" s="2" t="s">
        <v>116</v>
      </c>
      <c r="Y104" s="32">
        <f>Sheet1!C104-Sheet1!D104</f>
        <v>0.31850000000000001</v>
      </c>
    </row>
    <row r="105" spans="1:25">
      <c r="A105" s="11" t="s">
        <v>52</v>
      </c>
      <c r="B105" s="12" t="s">
        <v>58</v>
      </c>
      <c r="C105" s="15" t="s">
        <v>59</v>
      </c>
      <c r="D105" s="30" t="s">
        <v>22</v>
      </c>
      <c r="E105" s="46" t="s">
        <v>18</v>
      </c>
      <c r="F105" s="46">
        <v>46037</v>
      </c>
      <c r="G105" s="30" t="s">
        <v>72</v>
      </c>
      <c r="H105" s="30" t="s">
        <v>18</v>
      </c>
      <c r="I105" s="30" t="s">
        <v>50</v>
      </c>
      <c r="J105" s="15" t="s">
        <v>31</v>
      </c>
      <c r="K105" s="15" t="str">
        <f>IF(Sheet1!E105="All","N/A",
IF(LEFT(Sheet1!E105,4)="upto","N/A",
IF(LEFT(Sheet1!E105,5)="Above",VALUE(MID(Sheet1!E105,7,2))+1,
IF(ISNUMBER(SEARCH("to",Sheet1!E105)),VALUE(LEFT(Sheet1!E105,FIND(" to",Sheet1!E105)-1)),
"N/A"))))</f>
        <v>N/A</v>
      </c>
      <c r="L105" s="15" t="str">
        <f>IF(Sheet1!E105="All","N/A",
IF(LEFT(Sheet1!E105,4)="upto",VALUE(MID(Sheet1!E105,6,2)),
IF(LEFT(Sheet1!E105,5)="Above","N/A",
IF(ISNUMBER(SEARCH("to",Sheet1!E105)),VALUE(MID(Sheet1!E105,FIND("to ",Sheet1!E105)+3,2)),
"N/A"))))</f>
        <v>N/A</v>
      </c>
      <c r="M105" s="1" t="s">
        <v>20</v>
      </c>
      <c r="N105" s="12" t="s">
        <v>39</v>
      </c>
      <c r="O105" s="12" t="s">
        <v>116</v>
      </c>
      <c r="P105" s="12">
        <f>IF(Sheet1!A105="No","No",
IF(LEFT(Sheet1!A105,5)="Up to",0,
VALUE(LEFT(Sheet1!A105,FIND(" ",Sheet1!A105)-1))))</f>
        <v>2001</v>
      </c>
      <c r="Q105" s="12">
        <f>IF(Sheet1!A105="No","No",
IF(LEFT(Sheet1!A105,5)="Up to",
VALUE(MID(Sheet1!A105,7,FIND("kg",Sheet1!A105)-7)),
VALUE(MID(Sheet1!A105,FIND("to",Sheet1!A105)+3,FIND("kg",Sheet1!A105)-FIND("to",Sheet1!A105)-3))))</f>
        <v>2500</v>
      </c>
      <c r="R105" s="15" t="s">
        <v>116</v>
      </c>
      <c r="S105" s="12" t="s">
        <v>116</v>
      </c>
      <c r="T105" s="12" t="s">
        <v>116</v>
      </c>
      <c r="U105" s="12" t="s">
        <v>116</v>
      </c>
      <c r="V105" s="12" t="s">
        <v>116</v>
      </c>
      <c r="W105" s="12" t="s">
        <v>116</v>
      </c>
      <c r="X105" s="12" t="s">
        <v>116</v>
      </c>
      <c r="Y105" s="37">
        <f>Sheet1!C105-Sheet1!D105</f>
        <v>0.31850000000000001</v>
      </c>
    </row>
    <row r="106" spans="1:25">
      <c r="A106" s="1" t="s">
        <v>52</v>
      </c>
      <c r="B106" s="21" t="s">
        <v>16</v>
      </c>
      <c r="C106" s="3" t="s">
        <v>53</v>
      </c>
      <c r="D106" s="31" t="s">
        <v>22</v>
      </c>
      <c r="E106" s="42">
        <v>46038</v>
      </c>
      <c r="F106" s="42" t="s">
        <v>18</v>
      </c>
      <c r="G106" s="31" t="s">
        <v>72</v>
      </c>
      <c r="H106" s="31" t="s">
        <v>18</v>
      </c>
      <c r="I106" s="31" t="s">
        <v>50</v>
      </c>
      <c r="J106" s="3" t="s">
        <v>31</v>
      </c>
      <c r="K106" s="3" t="str">
        <f>IF(Sheet1!E106="All","N/A",
IF(LEFT(Sheet1!E106,4)="upto","N/A",
IF(LEFT(Sheet1!E106,5)="Above",VALUE(MID(Sheet1!E106,7,2))+1,
IF(ISNUMBER(SEARCH("to",Sheet1!E106)),VALUE(LEFT(Sheet1!E106,FIND(" to",Sheet1!E106)-1)),
"N/A"))))</f>
        <v>N/A</v>
      </c>
      <c r="L106" s="3" t="str">
        <f>IF(Sheet1!E106="All","N/A",
IF(LEFT(Sheet1!E106,4)="upto",VALUE(MID(Sheet1!E106,6,2)),
IF(LEFT(Sheet1!E106,5)="Above","N/A",
IF(ISNUMBER(SEARCH("to",Sheet1!E106)),VALUE(MID(Sheet1!E106,FIND("to ",Sheet1!E106)+3,2)),
"N/A"))))</f>
        <v>N/A</v>
      </c>
      <c r="M106" s="1" t="s">
        <v>17</v>
      </c>
      <c r="N106" s="2" t="s">
        <v>54</v>
      </c>
      <c r="O106" s="2" t="s">
        <v>116</v>
      </c>
      <c r="P106" s="2">
        <f>IF(Sheet1!A106="No","No",
IF(LEFT(Sheet1!A106,5)="Up to",0,
VALUE(LEFT(Sheet1!A106,FIND(" ",Sheet1!A106)-1))))</f>
        <v>2001</v>
      </c>
      <c r="Q106" s="2">
        <f>IF(Sheet1!A106="No","No",
IF(LEFT(Sheet1!A106,5)="Up to",
VALUE(MID(Sheet1!A106,7,FIND("kg",Sheet1!A106)-7)),
VALUE(MID(Sheet1!A106,FIND("to",Sheet1!A106)+3,FIND("kg",Sheet1!A106)-FIND("to",Sheet1!A106)-3))))</f>
        <v>2500</v>
      </c>
      <c r="R106" s="3" t="s">
        <v>116</v>
      </c>
      <c r="S106" s="2" t="s">
        <v>116</v>
      </c>
      <c r="T106" s="2" t="s">
        <v>116</v>
      </c>
      <c r="U106" s="2" t="s">
        <v>116</v>
      </c>
      <c r="V106" s="2" t="s">
        <v>116</v>
      </c>
      <c r="W106" s="2" t="s">
        <v>116</v>
      </c>
      <c r="X106" s="2" t="s">
        <v>116</v>
      </c>
      <c r="Y106" s="32">
        <f>Sheet1!C106-Sheet1!D106</f>
        <v>0.49980000000000002</v>
      </c>
    </row>
    <row r="107" spans="1:25" ht="29">
      <c r="A107" s="1" t="s">
        <v>52</v>
      </c>
      <c r="B107" s="21" t="s">
        <v>16</v>
      </c>
      <c r="C107" s="3" t="s">
        <v>56</v>
      </c>
      <c r="D107" s="31" t="s">
        <v>22</v>
      </c>
      <c r="E107" s="42">
        <v>46038</v>
      </c>
      <c r="F107" s="42" t="s">
        <v>18</v>
      </c>
      <c r="G107" s="31" t="s">
        <v>72</v>
      </c>
      <c r="H107" s="31" t="s">
        <v>18</v>
      </c>
      <c r="I107" s="31" t="s">
        <v>50</v>
      </c>
      <c r="J107" s="3" t="s">
        <v>31</v>
      </c>
      <c r="K107" s="3" t="str">
        <f>IF(Sheet1!E107="All","N/A",
IF(LEFT(Sheet1!E107,4)="upto","N/A",
IF(LEFT(Sheet1!E107,5)="Above",VALUE(MID(Sheet1!E107,7,2))+1,
IF(ISNUMBER(SEARCH("to",Sheet1!E107)),VALUE(LEFT(Sheet1!E107,FIND(" to",Sheet1!E107)-1)),
"N/A"))))</f>
        <v>N/A</v>
      </c>
      <c r="L107" s="3" t="str">
        <f>IF(Sheet1!E107="All","N/A",
IF(LEFT(Sheet1!E107,4)="upto",VALUE(MID(Sheet1!E107,6,2)),
IF(LEFT(Sheet1!E107,5)="Above","N/A",
IF(ISNUMBER(SEARCH("to",Sheet1!E107)),VALUE(MID(Sheet1!E107,FIND("to ",Sheet1!E107)+3,2)),
"N/A"))))</f>
        <v>N/A</v>
      </c>
      <c r="M107" s="1" t="s">
        <v>17</v>
      </c>
      <c r="N107" s="2" t="s">
        <v>54</v>
      </c>
      <c r="O107" s="2" t="s">
        <v>116</v>
      </c>
      <c r="P107" s="2">
        <f>IF(Sheet1!A107="No","No",
IF(LEFT(Sheet1!A107,5)="Up to",0,
VALUE(LEFT(Sheet1!A107,FIND(" ",Sheet1!A107)-1))))</f>
        <v>2001</v>
      </c>
      <c r="Q107" s="2">
        <f>IF(Sheet1!A107="No","No",
IF(LEFT(Sheet1!A107,5)="Up to",
VALUE(MID(Sheet1!A107,7,FIND("kg",Sheet1!A107)-7)),
VALUE(MID(Sheet1!A107,FIND("to",Sheet1!A107)+3,FIND("kg",Sheet1!A107)-FIND("to",Sheet1!A107)-3))))</f>
        <v>2500</v>
      </c>
      <c r="R107" s="3" t="s">
        <v>116</v>
      </c>
      <c r="S107" s="2" t="s">
        <v>116</v>
      </c>
      <c r="T107" s="2" t="s">
        <v>116</v>
      </c>
      <c r="U107" s="2" t="s">
        <v>116</v>
      </c>
      <c r="V107" s="2" t="s">
        <v>116</v>
      </c>
      <c r="W107" s="2" t="s">
        <v>116</v>
      </c>
      <c r="X107" s="2" t="s">
        <v>116</v>
      </c>
      <c r="Y107" s="32">
        <f>Sheet1!C107-Sheet1!D107</f>
        <v>0.42630000000000001</v>
      </c>
    </row>
    <row r="108" spans="1:25" ht="29">
      <c r="A108" s="1" t="s">
        <v>52</v>
      </c>
      <c r="B108" s="21" t="s">
        <v>16</v>
      </c>
      <c r="C108" s="3" t="s">
        <v>57</v>
      </c>
      <c r="D108" s="31" t="s">
        <v>22</v>
      </c>
      <c r="E108" s="42">
        <v>46038</v>
      </c>
      <c r="F108" s="42" t="s">
        <v>18</v>
      </c>
      <c r="G108" s="31" t="s">
        <v>72</v>
      </c>
      <c r="H108" s="31" t="s">
        <v>18</v>
      </c>
      <c r="I108" s="31" t="s">
        <v>50</v>
      </c>
      <c r="J108" s="3" t="s">
        <v>31</v>
      </c>
      <c r="K108" s="3" t="str">
        <f>IF(Sheet1!E108="All","N/A",
IF(LEFT(Sheet1!E108,4)="upto","N/A",
IF(LEFT(Sheet1!E108,5)="Above",VALUE(MID(Sheet1!E108,7,2))+1,
IF(ISNUMBER(SEARCH("to",Sheet1!E108)),VALUE(LEFT(Sheet1!E108,FIND(" to",Sheet1!E108)-1)),
"N/A"))))</f>
        <v>N/A</v>
      </c>
      <c r="L108" s="3" t="str">
        <f>IF(Sheet1!E108="All","N/A",
IF(LEFT(Sheet1!E108,4)="upto",VALUE(MID(Sheet1!E108,6,2)),
IF(LEFT(Sheet1!E108,5)="Above","N/A",
IF(ISNUMBER(SEARCH("to",Sheet1!E108)),VALUE(MID(Sheet1!E108,FIND("to ",Sheet1!E108)+3,2)),
"N/A"))))</f>
        <v>N/A</v>
      </c>
      <c r="M108" s="1" t="s">
        <v>17</v>
      </c>
      <c r="N108" s="2" t="s">
        <v>54</v>
      </c>
      <c r="O108" s="2" t="s">
        <v>116</v>
      </c>
      <c r="P108" s="2">
        <f>IF(Sheet1!A108="No","No",
IF(LEFT(Sheet1!A108,5)="Up to",0,
VALUE(LEFT(Sheet1!A108,FIND(" ",Sheet1!A108)-1))))</f>
        <v>2001</v>
      </c>
      <c r="Q108" s="2">
        <f>IF(Sheet1!A108="No","No",
IF(LEFT(Sheet1!A108,5)="Up to",
VALUE(MID(Sheet1!A108,7,FIND("kg",Sheet1!A108)-7)),
VALUE(MID(Sheet1!A108,FIND("to",Sheet1!A108)+3,FIND("kg",Sheet1!A108)-FIND("to",Sheet1!A108)-3))))</f>
        <v>2500</v>
      </c>
      <c r="R108" s="3" t="s">
        <v>116</v>
      </c>
      <c r="S108" s="2" t="s">
        <v>116</v>
      </c>
      <c r="T108" s="2" t="s">
        <v>116</v>
      </c>
      <c r="U108" s="2" t="s">
        <v>116</v>
      </c>
      <c r="V108" s="2" t="s">
        <v>116</v>
      </c>
      <c r="W108" s="2" t="s">
        <v>116</v>
      </c>
      <c r="X108" s="2" t="s">
        <v>116</v>
      </c>
      <c r="Y108" s="32">
        <f>Sheet1!C108-Sheet1!D108</f>
        <v>0.28910000000000002</v>
      </c>
    </row>
    <row r="109" spans="1:25">
      <c r="A109" s="1" t="s">
        <v>52</v>
      </c>
      <c r="B109" s="2" t="s">
        <v>58</v>
      </c>
      <c r="C109" s="3" t="s">
        <v>59</v>
      </c>
      <c r="D109" s="31" t="s">
        <v>22</v>
      </c>
      <c r="E109" s="42">
        <v>46038</v>
      </c>
      <c r="F109" s="42" t="s">
        <v>18</v>
      </c>
      <c r="G109" s="31" t="s">
        <v>72</v>
      </c>
      <c r="H109" s="31" t="s">
        <v>18</v>
      </c>
      <c r="I109" s="31" t="s">
        <v>50</v>
      </c>
      <c r="J109" s="3" t="s">
        <v>31</v>
      </c>
      <c r="K109" s="3" t="str">
        <f>IF(Sheet1!E109="All","N/A",
IF(LEFT(Sheet1!E109,4)="upto","N/A",
IF(LEFT(Sheet1!E109,5)="Above",VALUE(MID(Sheet1!E109,7,2))+1,
IF(ISNUMBER(SEARCH("to",Sheet1!E109)),VALUE(LEFT(Sheet1!E109,FIND(" to",Sheet1!E109)-1)),
"N/A"))))</f>
        <v>N/A</v>
      </c>
      <c r="L109" s="3" t="str">
        <f>IF(Sheet1!E109="All","N/A",
IF(LEFT(Sheet1!E109,4)="upto",VALUE(MID(Sheet1!E109,6,2)),
IF(LEFT(Sheet1!E109,5)="Above","N/A",
IF(ISNUMBER(SEARCH("to",Sheet1!E109)),VALUE(MID(Sheet1!E109,FIND("to ",Sheet1!E109)+3,2)),
"N/A"))))</f>
        <v>N/A</v>
      </c>
      <c r="M109" s="1" t="s">
        <v>17</v>
      </c>
      <c r="N109" s="2" t="s">
        <v>54</v>
      </c>
      <c r="O109" s="2" t="s">
        <v>116</v>
      </c>
      <c r="P109" s="2">
        <f>IF(Sheet1!A109="No","No",
IF(LEFT(Sheet1!A109,5)="Up to",0,
VALUE(LEFT(Sheet1!A109,FIND(" ",Sheet1!A109)-1))))</f>
        <v>2001</v>
      </c>
      <c r="Q109" s="2">
        <f>IF(Sheet1!A109="No","No",
IF(LEFT(Sheet1!A109,5)="Up to",
VALUE(MID(Sheet1!A109,7,FIND("kg",Sheet1!A109)-7)),
VALUE(MID(Sheet1!A109,FIND("to",Sheet1!A109)+3,FIND("kg",Sheet1!A109)-FIND("to",Sheet1!A109)-3))))</f>
        <v>2500</v>
      </c>
      <c r="R109" s="3" t="s">
        <v>116</v>
      </c>
      <c r="S109" s="2" t="s">
        <v>116</v>
      </c>
      <c r="T109" s="2" t="s">
        <v>116</v>
      </c>
      <c r="U109" s="2" t="s">
        <v>116</v>
      </c>
      <c r="V109" s="2" t="s">
        <v>116</v>
      </c>
      <c r="W109" s="2" t="s">
        <v>116</v>
      </c>
      <c r="X109" s="2" t="s">
        <v>116</v>
      </c>
      <c r="Y109" s="32">
        <f>Sheet1!C109-Sheet1!D109</f>
        <v>0.28910000000000002</v>
      </c>
    </row>
    <row r="110" spans="1:25">
      <c r="A110" s="1" t="s">
        <v>52</v>
      </c>
      <c r="B110" s="21" t="s">
        <v>16</v>
      </c>
      <c r="C110" s="3" t="s">
        <v>53</v>
      </c>
      <c r="D110" s="31" t="s">
        <v>22</v>
      </c>
      <c r="E110" s="42">
        <v>46038</v>
      </c>
      <c r="F110" s="42" t="s">
        <v>18</v>
      </c>
      <c r="G110" s="31" t="s">
        <v>72</v>
      </c>
      <c r="H110" s="31" t="s">
        <v>18</v>
      </c>
      <c r="I110" s="31" t="s">
        <v>50</v>
      </c>
      <c r="J110" s="3" t="s">
        <v>31</v>
      </c>
      <c r="K110" s="3" t="str">
        <f>IF(Sheet1!E110="All","N/A",
IF(LEFT(Sheet1!E110,4)="upto","N/A",
IF(LEFT(Sheet1!E110,5)="Above",VALUE(MID(Sheet1!E110,7,2))+1,
IF(ISNUMBER(SEARCH("to",Sheet1!E110)),VALUE(LEFT(Sheet1!E110,FIND(" to",Sheet1!E110)-1)),
"N/A"))))</f>
        <v>N/A</v>
      </c>
      <c r="L110" s="3" t="str">
        <f>IF(Sheet1!E110="All","N/A",
IF(LEFT(Sheet1!E110,4)="upto",VALUE(MID(Sheet1!E110,6,2)),
IF(LEFT(Sheet1!E110,5)="Above","N/A",
IF(ISNUMBER(SEARCH("to",Sheet1!E110)),VALUE(MID(Sheet1!E110,FIND("to ",Sheet1!E110)+3,2)),
"N/A"))))</f>
        <v>N/A</v>
      </c>
      <c r="M110" s="1" t="s">
        <v>17</v>
      </c>
      <c r="N110" s="2" t="s">
        <v>39</v>
      </c>
      <c r="O110" s="2" t="s">
        <v>116</v>
      </c>
      <c r="P110" s="2">
        <f>IF(Sheet1!A110="No","No",
IF(LEFT(Sheet1!A110,5)="Up to",0,
VALUE(LEFT(Sheet1!A110,FIND(" ",Sheet1!A110)-1))))</f>
        <v>2001</v>
      </c>
      <c r="Q110" s="2">
        <f>IF(Sheet1!A110="No","No",
IF(LEFT(Sheet1!A110,5)="Up to",
VALUE(MID(Sheet1!A110,7,FIND("kg",Sheet1!A110)-7)),
VALUE(MID(Sheet1!A110,FIND("to",Sheet1!A110)+3,FIND("kg",Sheet1!A110)-FIND("to",Sheet1!A110)-3))))</f>
        <v>2500</v>
      </c>
      <c r="R110" s="3" t="s">
        <v>116</v>
      </c>
      <c r="S110" s="2" t="s">
        <v>116</v>
      </c>
      <c r="T110" s="2" t="s">
        <v>116</v>
      </c>
      <c r="U110" s="2" t="s">
        <v>116</v>
      </c>
      <c r="V110" s="2" t="s">
        <v>116</v>
      </c>
      <c r="W110" s="2" t="s">
        <v>116</v>
      </c>
      <c r="X110" s="2" t="s">
        <v>116</v>
      </c>
      <c r="Y110" s="32">
        <f>Sheet1!C110-Sheet1!D110</f>
        <v>0.51939999999999986</v>
      </c>
    </row>
    <row r="111" spans="1:25" ht="29">
      <c r="A111" s="1" t="s">
        <v>52</v>
      </c>
      <c r="B111" s="21" t="s">
        <v>16</v>
      </c>
      <c r="C111" s="3" t="s">
        <v>56</v>
      </c>
      <c r="D111" s="31" t="s">
        <v>22</v>
      </c>
      <c r="E111" s="42">
        <v>46038</v>
      </c>
      <c r="F111" s="42" t="s">
        <v>18</v>
      </c>
      <c r="G111" s="31" t="s">
        <v>72</v>
      </c>
      <c r="H111" s="31" t="s">
        <v>18</v>
      </c>
      <c r="I111" s="31" t="s">
        <v>50</v>
      </c>
      <c r="J111" s="3" t="s">
        <v>31</v>
      </c>
      <c r="K111" s="3" t="str">
        <f>IF(Sheet1!E111="All","N/A",
IF(LEFT(Sheet1!E111,4)="upto","N/A",
IF(LEFT(Sheet1!E111,5)="Above",VALUE(MID(Sheet1!E111,7,2))+1,
IF(ISNUMBER(SEARCH("to",Sheet1!E111)),VALUE(LEFT(Sheet1!E111,FIND(" to",Sheet1!E111)-1)),
"N/A"))))</f>
        <v>N/A</v>
      </c>
      <c r="L111" s="3" t="str">
        <f>IF(Sheet1!E111="All","N/A",
IF(LEFT(Sheet1!E111,4)="upto",VALUE(MID(Sheet1!E111,6,2)),
IF(LEFT(Sheet1!E111,5)="Above","N/A",
IF(ISNUMBER(SEARCH("to",Sheet1!E111)),VALUE(MID(Sheet1!E111,FIND("to ",Sheet1!E111)+3,2)),
"N/A"))))</f>
        <v>N/A</v>
      </c>
      <c r="M111" s="1" t="s">
        <v>17</v>
      </c>
      <c r="N111" s="2" t="s">
        <v>39</v>
      </c>
      <c r="O111" s="2" t="s">
        <v>116</v>
      </c>
      <c r="P111" s="2">
        <f>IF(Sheet1!A111="No","No",
IF(LEFT(Sheet1!A111,5)="Up to",0,
VALUE(LEFT(Sheet1!A111,FIND(" ",Sheet1!A111)-1))))</f>
        <v>2001</v>
      </c>
      <c r="Q111" s="2">
        <f>IF(Sheet1!A111="No","No",
IF(LEFT(Sheet1!A111,5)="Up to",
VALUE(MID(Sheet1!A111,7,FIND("kg",Sheet1!A111)-7)),
VALUE(MID(Sheet1!A111,FIND("to",Sheet1!A111)+3,FIND("kg",Sheet1!A111)-FIND("to",Sheet1!A111)-3))))</f>
        <v>2500</v>
      </c>
      <c r="R111" s="3" t="s">
        <v>116</v>
      </c>
      <c r="S111" s="2" t="s">
        <v>116</v>
      </c>
      <c r="T111" s="2" t="s">
        <v>116</v>
      </c>
      <c r="U111" s="2" t="s">
        <v>116</v>
      </c>
      <c r="V111" s="2" t="s">
        <v>116</v>
      </c>
      <c r="W111" s="2" t="s">
        <v>116</v>
      </c>
      <c r="X111" s="2" t="s">
        <v>116</v>
      </c>
      <c r="Y111" s="32">
        <f>Sheet1!C111-Sheet1!D111</f>
        <v>0.44590000000000002</v>
      </c>
    </row>
    <row r="112" spans="1:25" ht="29">
      <c r="A112" s="1" t="s">
        <v>52</v>
      </c>
      <c r="B112" s="21" t="s">
        <v>16</v>
      </c>
      <c r="C112" s="3" t="s">
        <v>57</v>
      </c>
      <c r="D112" s="31" t="s">
        <v>22</v>
      </c>
      <c r="E112" s="42">
        <v>46038</v>
      </c>
      <c r="F112" s="42" t="s">
        <v>18</v>
      </c>
      <c r="G112" s="31" t="s">
        <v>72</v>
      </c>
      <c r="H112" s="31" t="s">
        <v>18</v>
      </c>
      <c r="I112" s="31" t="s">
        <v>50</v>
      </c>
      <c r="J112" s="3" t="s">
        <v>31</v>
      </c>
      <c r="K112" s="3" t="str">
        <f>IF(Sheet1!E112="All","N/A",
IF(LEFT(Sheet1!E112,4)="upto","N/A",
IF(LEFT(Sheet1!E112,5)="Above",VALUE(MID(Sheet1!E112,7,2))+1,
IF(ISNUMBER(SEARCH("to",Sheet1!E112)),VALUE(LEFT(Sheet1!E112,FIND(" to",Sheet1!E112)-1)),
"N/A"))))</f>
        <v>N/A</v>
      </c>
      <c r="L112" s="3" t="str">
        <f>IF(Sheet1!E112="All","N/A",
IF(LEFT(Sheet1!E112,4)="upto",VALUE(MID(Sheet1!E112,6,2)),
IF(LEFT(Sheet1!E112,5)="Above","N/A",
IF(ISNUMBER(SEARCH("to",Sheet1!E112)),VALUE(MID(Sheet1!E112,FIND("to ",Sheet1!E112)+3,2)),
"N/A"))))</f>
        <v>N/A</v>
      </c>
      <c r="M112" s="1" t="s">
        <v>17</v>
      </c>
      <c r="N112" s="2" t="s">
        <v>39</v>
      </c>
      <c r="O112" s="2" t="s">
        <v>116</v>
      </c>
      <c r="P112" s="2">
        <f>IF(Sheet1!A112="No","No",
IF(LEFT(Sheet1!A112,5)="Up to",0,
VALUE(LEFT(Sheet1!A112,FIND(" ",Sheet1!A112)-1))))</f>
        <v>2001</v>
      </c>
      <c r="Q112" s="2">
        <f>IF(Sheet1!A112="No","No",
IF(LEFT(Sheet1!A112,5)="Up to",
VALUE(MID(Sheet1!A112,7,FIND("kg",Sheet1!A112)-7)),
VALUE(MID(Sheet1!A112,FIND("to",Sheet1!A112)+3,FIND("kg",Sheet1!A112)-FIND("to",Sheet1!A112)-3))))</f>
        <v>2500</v>
      </c>
      <c r="R112" s="3" t="s">
        <v>116</v>
      </c>
      <c r="S112" s="2" t="s">
        <v>116</v>
      </c>
      <c r="T112" s="2" t="s">
        <v>116</v>
      </c>
      <c r="U112" s="2" t="s">
        <v>116</v>
      </c>
      <c r="V112" s="2" t="s">
        <v>116</v>
      </c>
      <c r="W112" s="2" t="s">
        <v>116</v>
      </c>
      <c r="X112" s="2" t="s">
        <v>116</v>
      </c>
      <c r="Y112" s="32">
        <f>Sheet1!C112-Sheet1!D112</f>
        <v>0.30869999999999997</v>
      </c>
    </row>
    <row r="113" spans="1:25">
      <c r="A113" s="1" t="s">
        <v>52</v>
      </c>
      <c r="B113" s="2" t="s">
        <v>58</v>
      </c>
      <c r="C113" s="3" t="s">
        <v>59</v>
      </c>
      <c r="D113" s="31" t="s">
        <v>22</v>
      </c>
      <c r="E113" s="42">
        <v>46038</v>
      </c>
      <c r="F113" s="42" t="s">
        <v>18</v>
      </c>
      <c r="G113" s="31" t="s">
        <v>72</v>
      </c>
      <c r="H113" s="31" t="s">
        <v>18</v>
      </c>
      <c r="I113" s="31" t="s">
        <v>50</v>
      </c>
      <c r="J113" s="3" t="s">
        <v>31</v>
      </c>
      <c r="K113" s="3" t="str">
        <f>IF(Sheet1!E113="All","N/A",
IF(LEFT(Sheet1!E113,4)="upto","N/A",
IF(LEFT(Sheet1!E113,5)="Above",VALUE(MID(Sheet1!E113,7,2))+1,
IF(ISNUMBER(SEARCH("to",Sheet1!E113)),VALUE(LEFT(Sheet1!E113,FIND(" to",Sheet1!E113)-1)),
"N/A"))))</f>
        <v>N/A</v>
      </c>
      <c r="L113" s="3" t="str">
        <f>IF(Sheet1!E113="All","N/A",
IF(LEFT(Sheet1!E113,4)="upto",VALUE(MID(Sheet1!E113,6,2)),
IF(LEFT(Sheet1!E113,5)="Above","N/A",
IF(ISNUMBER(SEARCH("to",Sheet1!E113)),VALUE(MID(Sheet1!E113,FIND("to ",Sheet1!E113)+3,2)),
"N/A"))))</f>
        <v>N/A</v>
      </c>
      <c r="M113" s="1" t="s">
        <v>17</v>
      </c>
      <c r="N113" s="2" t="s">
        <v>39</v>
      </c>
      <c r="O113" s="2" t="s">
        <v>116</v>
      </c>
      <c r="P113" s="2">
        <f>IF(Sheet1!A113="No","No",
IF(LEFT(Sheet1!A113,5)="Up to",0,
VALUE(LEFT(Sheet1!A113,FIND(" ",Sheet1!A113)-1))))</f>
        <v>2001</v>
      </c>
      <c r="Q113" s="2">
        <f>IF(Sheet1!A113="No","No",
IF(LEFT(Sheet1!A113,5)="Up to",
VALUE(MID(Sheet1!A113,7,FIND("kg",Sheet1!A113)-7)),
VALUE(MID(Sheet1!A113,FIND("to",Sheet1!A113)+3,FIND("kg",Sheet1!A113)-FIND("to",Sheet1!A113)-3))))</f>
        <v>2500</v>
      </c>
      <c r="R113" s="3" t="s">
        <v>116</v>
      </c>
      <c r="S113" s="2" t="s">
        <v>116</v>
      </c>
      <c r="T113" s="2" t="s">
        <v>116</v>
      </c>
      <c r="U113" s="2" t="s">
        <v>116</v>
      </c>
      <c r="V113" s="2" t="s">
        <v>116</v>
      </c>
      <c r="W113" s="2" t="s">
        <v>116</v>
      </c>
      <c r="X113" s="2" t="s">
        <v>116</v>
      </c>
      <c r="Y113" s="32">
        <f>Sheet1!C113-Sheet1!D113</f>
        <v>0.30869999999999997</v>
      </c>
    </row>
    <row r="114" spans="1:25">
      <c r="A114" s="1" t="s">
        <v>52</v>
      </c>
      <c r="B114" s="21" t="s">
        <v>16</v>
      </c>
      <c r="C114" s="3" t="s">
        <v>53</v>
      </c>
      <c r="D114" s="31" t="s">
        <v>22</v>
      </c>
      <c r="E114" s="42">
        <v>46038</v>
      </c>
      <c r="F114" s="42" t="s">
        <v>18</v>
      </c>
      <c r="G114" s="31" t="s">
        <v>72</v>
      </c>
      <c r="H114" s="31" t="s">
        <v>18</v>
      </c>
      <c r="I114" s="31" t="s">
        <v>50</v>
      </c>
      <c r="J114" s="3" t="s">
        <v>31</v>
      </c>
      <c r="K114" s="3" t="str">
        <f>IF(Sheet1!E114="All","N/A",
IF(LEFT(Sheet1!E114,4)="upto","N/A",
IF(LEFT(Sheet1!E114,5)="Above",VALUE(MID(Sheet1!E114,7,2))+1,
IF(ISNUMBER(SEARCH("to",Sheet1!E114)),VALUE(LEFT(Sheet1!E114,FIND(" to",Sheet1!E114)-1)),
"N/A"))))</f>
        <v>N/A</v>
      </c>
      <c r="L114" s="3" t="str">
        <f>IF(Sheet1!E114="All","N/A",
IF(LEFT(Sheet1!E114,4)="upto",VALUE(MID(Sheet1!E114,6,2)),
IF(LEFT(Sheet1!E114,5)="Above","N/A",
IF(ISNUMBER(SEARCH("to",Sheet1!E114)),VALUE(MID(Sheet1!E114,FIND("to ",Sheet1!E114)+3,2)),
"N/A"))))</f>
        <v>N/A</v>
      </c>
      <c r="M114" s="1" t="s">
        <v>20</v>
      </c>
      <c r="N114" s="2" t="s">
        <v>39</v>
      </c>
      <c r="O114" s="2" t="s">
        <v>116</v>
      </c>
      <c r="P114" s="2">
        <f>IF(Sheet1!A114="No","No",
IF(LEFT(Sheet1!A114,5)="Up to",0,
VALUE(LEFT(Sheet1!A114,FIND(" ",Sheet1!A114)-1))))</f>
        <v>2001</v>
      </c>
      <c r="Q114" s="2">
        <f>IF(Sheet1!A114="No","No",
IF(LEFT(Sheet1!A114,5)="Up to",
VALUE(MID(Sheet1!A114,7,FIND("kg",Sheet1!A114)-7)),
VALUE(MID(Sheet1!A114,FIND("to",Sheet1!A114)+3,FIND("kg",Sheet1!A114)-FIND("to",Sheet1!A114)-3))))</f>
        <v>2500</v>
      </c>
      <c r="R114" s="3" t="s">
        <v>116</v>
      </c>
      <c r="S114" s="2" t="s">
        <v>116</v>
      </c>
      <c r="T114" s="2" t="s">
        <v>116</v>
      </c>
      <c r="U114" s="2" t="s">
        <v>116</v>
      </c>
      <c r="V114" s="2" t="s">
        <v>116</v>
      </c>
      <c r="W114" s="2" t="s">
        <v>116</v>
      </c>
      <c r="X114" s="2" t="s">
        <v>116</v>
      </c>
      <c r="Y114" s="32">
        <f>Sheet1!C114-Sheet1!D114</f>
        <v>0.52429999999999988</v>
      </c>
    </row>
    <row r="115" spans="1:25" ht="29">
      <c r="A115" s="1" t="s">
        <v>52</v>
      </c>
      <c r="B115" s="21" t="s">
        <v>16</v>
      </c>
      <c r="C115" s="3" t="s">
        <v>56</v>
      </c>
      <c r="D115" s="31" t="s">
        <v>22</v>
      </c>
      <c r="E115" s="42">
        <v>46038</v>
      </c>
      <c r="F115" s="42" t="s">
        <v>18</v>
      </c>
      <c r="G115" s="31" t="s">
        <v>72</v>
      </c>
      <c r="H115" s="31" t="s">
        <v>18</v>
      </c>
      <c r="I115" s="31" t="s">
        <v>50</v>
      </c>
      <c r="J115" s="3" t="s">
        <v>31</v>
      </c>
      <c r="K115" s="3" t="str">
        <f>IF(Sheet1!E115="All","N/A",
IF(LEFT(Sheet1!E115,4)="upto","N/A",
IF(LEFT(Sheet1!E115,5)="Above",VALUE(MID(Sheet1!E115,7,2))+1,
IF(ISNUMBER(SEARCH("to",Sheet1!E115)),VALUE(LEFT(Sheet1!E115,FIND(" to",Sheet1!E115)-1)),
"N/A"))))</f>
        <v>N/A</v>
      </c>
      <c r="L115" s="3" t="str">
        <f>IF(Sheet1!E115="All","N/A",
IF(LEFT(Sheet1!E115,4)="upto",VALUE(MID(Sheet1!E115,6,2)),
IF(LEFT(Sheet1!E115,5)="Above","N/A",
IF(ISNUMBER(SEARCH("to",Sheet1!E115)),VALUE(MID(Sheet1!E115,FIND("to ",Sheet1!E115)+3,2)),
"N/A"))))</f>
        <v>N/A</v>
      </c>
      <c r="M115" s="1" t="s">
        <v>20</v>
      </c>
      <c r="N115" s="2" t="s">
        <v>39</v>
      </c>
      <c r="O115" s="2" t="s">
        <v>116</v>
      </c>
      <c r="P115" s="2">
        <f>IF(Sheet1!A115="No","No",
IF(LEFT(Sheet1!A115,5)="Up to",0,
VALUE(LEFT(Sheet1!A115,FIND(" ",Sheet1!A115)-1))))</f>
        <v>2001</v>
      </c>
      <c r="Q115" s="2">
        <f>IF(Sheet1!A115="No","No",
IF(LEFT(Sheet1!A115,5)="Up to",
VALUE(MID(Sheet1!A115,7,FIND("kg",Sheet1!A115)-7)),
VALUE(MID(Sheet1!A115,FIND("to",Sheet1!A115)+3,FIND("kg",Sheet1!A115)-FIND("to",Sheet1!A115)-3))))</f>
        <v>2500</v>
      </c>
      <c r="R115" s="3" t="s">
        <v>116</v>
      </c>
      <c r="S115" s="2" t="s">
        <v>116</v>
      </c>
      <c r="T115" s="2" t="s">
        <v>116</v>
      </c>
      <c r="U115" s="2" t="s">
        <v>116</v>
      </c>
      <c r="V115" s="2" t="s">
        <v>116</v>
      </c>
      <c r="W115" s="2" t="s">
        <v>116</v>
      </c>
      <c r="X115" s="2" t="s">
        <v>116</v>
      </c>
      <c r="Y115" s="32">
        <f>Sheet1!C115-Sheet1!D115</f>
        <v>0.45570000000000005</v>
      </c>
    </row>
    <row r="116" spans="1:25" ht="29">
      <c r="A116" s="1" t="s">
        <v>52</v>
      </c>
      <c r="B116" s="21" t="s">
        <v>16</v>
      </c>
      <c r="C116" s="3" t="s">
        <v>57</v>
      </c>
      <c r="D116" s="31" t="s">
        <v>22</v>
      </c>
      <c r="E116" s="42">
        <v>46038</v>
      </c>
      <c r="F116" s="42" t="s">
        <v>18</v>
      </c>
      <c r="G116" s="31" t="s">
        <v>72</v>
      </c>
      <c r="H116" s="31" t="s">
        <v>18</v>
      </c>
      <c r="I116" s="31" t="s">
        <v>50</v>
      </c>
      <c r="J116" s="3" t="s">
        <v>31</v>
      </c>
      <c r="K116" s="3" t="str">
        <f>IF(Sheet1!E116="All","N/A",
IF(LEFT(Sheet1!E116,4)="upto","N/A",
IF(LEFT(Sheet1!E116,5)="Above",VALUE(MID(Sheet1!E116,7,2))+1,
IF(ISNUMBER(SEARCH("to",Sheet1!E116)),VALUE(LEFT(Sheet1!E116,FIND(" to",Sheet1!E116)-1)),
"N/A"))))</f>
        <v>N/A</v>
      </c>
      <c r="L116" s="3" t="str">
        <f>IF(Sheet1!E116="All","N/A",
IF(LEFT(Sheet1!E116,4)="upto",VALUE(MID(Sheet1!E116,6,2)),
IF(LEFT(Sheet1!E116,5)="Above","N/A",
IF(ISNUMBER(SEARCH("to",Sheet1!E116)),VALUE(MID(Sheet1!E116,FIND("to ",Sheet1!E116)+3,2)),
"N/A"))))</f>
        <v>N/A</v>
      </c>
      <c r="M116" s="1" t="s">
        <v>20</v>
      </c>
      <c r="N116" s="2" t="s">
        <v>39</v>
      </c>
      <c r="O116" s="2" t="s">
        <v>116</v>
      </c>
      <c r="P116" s="2">
        <f>IF(Sheet1!A116="No","No",
IF(LEFT(Sheet1!A116,5)="Up to",0,
VALUE(LEFT(Sheet1!A116,FIND(" ",Sheet1!A116)-1))))</f>
        <v>2001</v>
      </c>
      <c r="Q116" s="2">
        <f>IF(Sheet1!A116="No","No",
IF(LEFT(Sheet1!A116,5)="Up to",
VALUE(MID(Sheet1!A116,7,FIND("kg",Sheet1!A116)-7)),
VALUE(MID(Sheet1!A116,FIND("to",Sheet1!A116)+3,FIND("kg",Sheet1!A116)-FIND("to",Sheet1!A116)-3))))</f>
        <v>2500</v>
      </c>
      <c r="R116" s="3" t="s">
        <v>116</v>
      </c>
      <c r="S116" s="2" t="s">
        <v>116</v>
      </c>
      <c r="T116" s="2" t="s">
        <v>116</v>
      </c>
      <c r="U116" s="2" t="s">
        <v>116</v>
      </c>
      <c r="V116" s="2" t="s">
        <v>116</v>
      </c>
      <c r="W116" s="2" t="s">
        <v>116</v>
      </c>
      <c r="X116" s="2" t="s">
        <v>116</v>
      </c>
      <c r="Y116" s="32">
        <f>Sheet1!C116-Sheet1!D116</f>
        <v>0.31850000000000001</v>
      </c>
    </row>
    <row r="117" spans="1:25">
      <c r="A117" s="11" t="s">
        <v>52</v>
      </c>
      <c r="B117" s="12" t="s">
        <v>58</v>
      </c>
      <c r="C117" s="15" t="s">
        <v>59</v>
      </c>
      <c r="D117" s="30" t="s">
        <v>22</v>
      </c>
      <c r="E117" s="42">
        <v>46038</v>
      </c>
      <c r="F117" s="42" t="s">
        <v>18</v>
      </c>
      <c r="G117" s="30" t="s">
        <v>72</v>
      </c>
      <c r="H117" s="30" t="s">
        <v>18</v>
      </c>
      <c r="I117" s="30" t="s">
        <v>50</v>
      </c>
      <c r="J117" s="15" t="s">
        <v>31</v>
      </c>
      <c r="K117" s="15" t="str">
        <f>IF(Sheet1!E117="All","N/A",
IF(LEFT(Sheet1!E117,4)="upto","N/A",
IF(LEFT(Sheet1!E117,5)="Above",VALUE(MID(Sheet1!E117,7,2))+1,
IF(ISNUMBER(SEARCH("to",Sheet1!E117)),VALUE(LEFT(Sheet1!E117,FIND(" to",Sheet1!E117)-1)),
"N/A"))))</f>
        <v>N/A</v>
      </c>
      <c r="L117" s="15" t="str">
        <f>IF(Sheet1!E117="All","N/A",
IF(LEFT(Sheet1!E117,4)="upto",VALUE(MID(Sheet1!E117,6,2)),
IF(LEFT(Sheet1!E117,5)="Above","N/A",
IF(ISNUMBER(SEARCH("to",Sheet1!E117)),VALUE(MID(Sheet1!E117,FIND("to ",Sheet1!E117)+3,2)),
"N/A"))))</f>
        <v>N/A</v>
      </c>
      <c r="M117" s="11" t="s">
        <v>20</v>
      </c>
      <c r="N117" s="12" t="s">
        <v>39</v>
      </c>
      <c r="O117" s="12" t="s">
        <v>116</v>
      </c>
      <c r="P117" s="12">
        <f>IF(Sheet1!A117="No","No",
IF(LEFT(Sheet1!A117,5)="Up to",0,
VALUE(LEFT(Sheet1!A117,FIND(" ",Sheet1!A117)-1))))</f>
        <v>2001</v>
      </c>
      <c r="Q117" s="12">
        <f>IF(Sheet1!A117="No","No",
IF(LEFT(Sheet1!A117,5)="Up to",
VALUE(MID(Sheet1!A117,7,FIND("kg",Sheet1!A117)-7)),
VALUE(MID(Sheet1!A117,FIND("to",Sheet1!A117)+3,FIND("kg",Sheet1!A117)-FIND("to",Sheet1!A117)-3))))</f>
        <v>2500</v>
      </c>
      <c r="R117" s="15" t="s">
        <v>116</v>
      </c>
      <c r="S117" s="12" t="s">
        <v>116</v>
      </c>
      <c r="T117" s="12" t="s">
        <v>116</v>
      </c>
      <c r="U117" s="12" t="s">
        <v>116</v>
      </c>
      <c r="V117" s="12" t="s">
        <v>116</v>
      </c>
      <c r="W117" s="12" t="s">
        <v>116</v>
      </c>
      <c r="X117" s="12" t="s">
        <v>116</v>
      </c>
      <c r="Y117" s="37">
        <f>Sheet1!C117-Sheet1!D117</f>
        <v>0.31850000000000001</v>
      </c>
    </row>
    <row r="118" spans="1:25" ht="58">
      <c r="A118" s="13" t="s">
        <v>66</v>
      </c>
      <c r="B118" s="21" t="s">
        <v>16</v>
      </c>
      <c r="C118" s="16" t="s">
        <v>154</v>
      </c>
      <c r="D118" s="31" t="s">
        <v>22</v>
      </c>
      <c r="E118" s="31" t="s">
        <v>18</v>
      </c>
      <c r="F118" s="31" t="s">
        <v>18</v>
      </c>
      <c r="G118" s="45" t="s">
        <v>117</v>
      </c>
      <c r="H118" s="31" t="s">
        <v>18</v>
      </c>
      <c r="I118" s="31" t="s">
        <v>50</v>
      </c>
      <c r="J118" s="16" t="s">
        <v>31</v>
      </c>
      <c r="K118" s="16" t="str">
        <f>IF(Sheet1!E118="All","N/A",
IF(LEFT(Sheet1!E118,4)="upto","N/A",
IF(LEFT(Sheet1!E118,5)="Above",VALUE(MID(Sheet1!E118,7,2))+1,
IF(ISNUMBER(SEARCH("to",Sheet1!E118)),VALUE(LEFT(Sheet1!E118,FIND(" to",Sheet1!E118)-1)),
"N/A"))))</f>
        <v>N/A</v>
      </c>
      <c r="L118" s="16" t="str">
        <f>IF(Sheet1!E118="All","N/A",
IF(LEFT(Sheet1!E118,4)="upto",VALUE(MID(Sheet1!E118,6,2)),
IF(LEFT(Sheet1!E118,5)="Above","N/A",
IF(ISNUMBER(SEARCH("to",Sheet1!E118)),VALUE(MID(Sheet1!E118,FIND("to ",Sheet1!E118)+3,2)),
"N/A"))))</f>
        <v>N/A</v>
      </c>
      <c r="M118" s="29" t="s">
        <v>17</v>
      </c>
      <c r="N118" s="21" t="s">
        <v>150</v>
      </c>
      <c r="O118" s="2" t="s">
        <v>116</v>
      </c>
      <c r="P118" s="2">
        <f>IF(Sheet1!A118="No","No",
IF(LEFT(Sheet1!A118,5)="Up to",0,
VALUE(LEFT(Sheet1!A118,FIND(" ",Sheet1!A118)-1))))</f>
        <v>0</v>
      </c>
      <c r="Q118" s="2">
        <f>IF(Sheet1!A118="No","No",
IF(LEFT(Sheet1!A118,5)="Up to",
VALUE(MID(Sheet1!A118,7,FIND("kg",Sheet1!A118)-7)),
VALUE(MID(Sheet1!A118,FIND("to",Sheet1!A118)+3,FIND("kg",Sheet1!A118)-FIND("to",Sheet1!A118)-3))))</f>
        <v>2500</v>
      </c>
      <c r="R118" s="3" t="s">
        <v>116</v>
      </c>
      <c r="S118" s="2" t="s">
        <v>116</v>
      </c>
      <c r="T118" s="2" t="s">
        <v>116</v>
      </c>
      <c r="U118" s="2" t="s">
        <v>116</v>
      </c>
      <c r="V118" s="2" t="s">
        <v>116</v>
      </c>
      <c r="W118" s="2" t="s">
        <v>116</v>
      </c>
      <c r="X118" s="2" t="s">
        <v>116</v>
      </c>
      <c r="Y118" s="32">
        <f>Sheet1!C118-Sheet1!D118</f>
        <v>0.24990000000000001</v>
      </c>
    </row>
    <row r="119" spans="1:25" ht="29">
      <c r="A119" s="13" t="s">
        <v>66</v>
      </c>
      <c r="B119" s="21" t="s">
        <v>16</v>
      </c>
      <c r="C119" s="16" t="s">
        <v>148</v>
      </c>
      <c r="D119" s="31" t="s">
        <v>22</v>
      </c>
      <c r="E119" s="31" t="s">
        <v>18</v>
      </c>
      <c r="F119" s="31" t="s">
        <v>18</v>
      </c>
      <c r="G119" s="45" t="s">
        <v>117</v>
      </c>
      <c r="H119" s="31" t="s">
        <v>18</v>
      </c>
      <c r="I119" s="31" t="s">
        <v>50</v>
      </c>
      <c r="J119" s="16" t="s">
        <v>31</v>
      </c>
      <c r="K119" s="16" t="str">
        <f>IF(Sheet1!E119="All","N/A",
IF(LEFT(Sheet1!E119,4)="upto","N/A",
IF(LEFT(Sheet1!E119,5)="Above",VALUE(MID(Sheet1!E119,7,2))+1,
IF(ISNUMBER(SEARCH("to",Sheet1!E119)),VALUE(LEFT(Sheet1!E119,FIND(" to",Sheet1!E119)-1)),
"N/A"))))</f>
        <v>N/A</v>
      </c>
      <c r="L119" s="16" t="str">
        <f>IF(Sheet1!E119="All","N/A",
IF(LEFT(Sheet1!E119,4)="upto",VALUE(MID(Sheet1!E119,6,2)),
IF(LEFT(Sheet1!E119,5)="Above","N/A",
IF(ISNUMBER(SEARCH("to",Sheet1!E119)),VALUE(MID(Sheet1!E119,FIND("to ",Sheet1!E119)+3,2)),
"N/A"))))</f>
        <v>N/A</v>
      </c>
      <c r="M119" s="29" t="s">
        <v>17</v>
      </c>
      <c r="N119" s="21" t="s">
        <v>150</v>
      </c>
      <c r="O119" s="2" t="s">
        <v>116</v>
      </c>
      <c r="P119" s="2">
        <f>IF(Sheet1!A119="No","No",
IF(LEFT(Sheet1!A119,5)="Up to",0,
VALUE(LEFT(Sheet1!A119,FIND(" ",Sheet1!A119)-1))))</f>
        <v>0</v>
      </c>
      <c r="Q119" s="2">
        <f>IF(Sheet1!A119="No","No",
IF(LEFT(Sheet1!A119,5)="Up to",
VALUE(MID(Sheet1!A119,7,FIND("kg",Sheet1!A119)-7)),
VALUE(MID(Sheet1!A119,FIND("to",Sheet1!A119)+3,FIND("kg",Sheet1!A119)-FIND("to",Sheet1!A119)-3))))</f>
        <v>2500</v>
      </c>
      <c r="R119" s="3" t="s">
        <v>116</v>
      </c>
      <c r="S119" s="2" t="s">
        <v>116</v>
      </c>
      <c r="T119" s="2" t="s">
        <v>116</v>
      </c>
      <c r="U119" s="2" t="s">
        <v>116</v>
      </c>
      <c r="V119" s="2" t="s">
        <v>116</v>
      </c>
      <c r="W119" s="2" t="s">
        <v>116</v>
      </c>
      <c r="X119" s="2" t="s">
        <v>116</v>
      </c>
      <c r="Y119" s="32">
        <f>Sheet1!C119-Sheet1!D119</f>
        <v>0.20090000000000002</v>
      </c>
    </row>
    <row r="120" spans="1:25" ht="29">
      <c r="A120" s="14" t="s">
        <v>66</v>
      </c>
      <c r="B120" s="17" t="s">
        <v>16</v>
      </c>
      <c r="C120" s="24" t="s">
        <v>159</v>
      </c>
      <c r="D120" s="30" t="s">
        <v>22</v>
      </c>
      <c r="E120" s="30" t="s">
        <v>18</v>
      </c>
      <c r="F120" s="30" t="s">
        <v>18</v>
      </c>
      <c r="G120" s="45" t="s">
        <v>117</v>
      </c>
      <c r="H120" s="30" t="s">
        <v>18</v>
      </c>
      <c r="I120" s="30" t="s">
        <v>50</v>
      </c>
      <c r="J120" s="24" t="s">
        <v>31</v>
      </c>
      <c r="K120" s="24" t="str">
        <f>IF(Sheet1!E120="All","N/A",
IF(LEFT(Sheet1!E120,4)="upto","N/A",
IF(LEFT(Sheet1!E120,5)="Above",VALUE(MID(Sheet1!E120,7,2))+1,
IF(ISNUMBER(SEARCH("to",Sheet1!E120)),VALUE(LEFT(Sheet1!E120,FIND(" to",Sheet1!E120)-1)),
"N/A"))))</f>
        <v>N/A</v>
      </c>
      <c r="L120" s="24" t="str">
        <f>IF(Sheet1!E120="All","N/A",
IF(LEFT(Sheet1!E120,4)="upto",VALUE(MID(Sheet1!E120,6,2)),
IF(LEFT(Sheet1!E120,5)="Above","N/A",
IF(ISNUMBER(SEARCH("to",Sheet1!E120)),VALUE(MID(Sheet1!E120,FIND("to ",Sheet1!E120)+3,2)),
"N/A"))))</f>
        <v>N/A</v>
      </c>
      <c r="M120" s="28" t="s">
        <v>17</v>
      </c>
      <c r="N120" s="17" t="s">
        <v>150</v>
      </c>
      <c r="O120" s="12" t="s">
        <v>116</v>
      </c>
      <c r="P120" s="12">
        <f>IF(Sheet1!A120="No","No",
IF(LEFT(Sheet1!A120,5)="Up to",0,
VALUE(LEFT(Sheet1!A120,FIND(" ",Sheet1!A120)-1))))</f>
        <v>0</v>
      </c>
      <c r="Q120" s="12">
        <f>IF(Sheet1!A120="No","No",
IF(LEFT(Sheet1!A120,5)="Up to",
VALUE(MID(Sheet1!A120,7,FIND("kg",Sheet1!A120)-7)),
VALUE(MID(Sheet1!A120,FIND("to",Sheet1!A120)+3,FIND("kg",Sheet1!A120)-FIND("to",Sheet1!A120)-3))))</f>
        <v>2500</v>
      </c>
      <c r="R120" s="15" t="s">
        <v>116</v>
      </c>
      <c r="S120" s="12" t="s">
        <v>116</v>
      </c>
      <c r="T120" s="12" t="s">
        <v>116</v>
      </c>
      <c r="U120" s="12" t="s">
        <v>116</v>
      </c>
      <c r="V120" s="12" t="s">
        <v>116</v>
      </c>
      <c r="W120" s="12" t="s">
        <v>116</v>
      </c>
      <c r="X120" s="12" t="s">
        <v>116</v>
      </c>
      <c r="Y120" s="37">
        <f>Sheet1!C120-Sheet1!D120</f>
        <v>0.22540000000000004</v>
      </c>
    </row>
    <row r="121" spans="1:25" ht="58">
      <c r="A121" s="13" t="s">
        <v>66</v>
      </c>
      <c r="B121" s="21" t="s">
        <v>16</v>
      </c>
      <c r="C121" s="16" t="s">
        <v>154</v>
      </c>
      <c r="D121" s="31" t="s">
        <v>22</v>
      </c>
      <c r="E121" s="31" t="s">
        <v>18</v>
      </c>
      <c r="F121" s="31" t="s">
        <v>18</v>
      </c>
      <c r="G121" s="45" t="s">
        <v>117</v>
      </c>
      <c r="H121" s="31" t="s">
        <v>18</v>
      </c>
      <c r="I121" s="31" t="s">
        <v>50</v>
      </c>
      <c r="J121" s="16" t="s">
        <v>31</v>
      </c>
      <c r="K121" s="16" t="str">
        <f>IF(Sheet1!E121="All","N/A",
IF(LEFT(Sheet1!E121,4)="upto","N/A",
IF(LEFT(Sheet1!E121,5)="Above",VALUE(MID(Sheet1!E121,7,2))+1,
IF(ISNUMBER(SEARCH("to",Sheet1!E121)),VALUE(LEFT(Sheet1!E121,FIND(" to",Sheet1!E121)-1)),
"N/A"))))</f>
        <v>N/A</v>
      </c>
      <c r="L121" s="16" t="str">
        <f>IF(Sheet1!E121="All","N/A",
IF(LEFT(Sheet1!E121,4)="upto",VALUE(MID(Sheet1!E121,6,2)),
IF(LEFT(Sheet1!E121,5)="Above","N/A",
IF(ISNUMBER(SEARCH("to",Sheet1!E121)),VALUE(MID(Sheet1!E121,FIND("to ",Sheet1!E121)+3,2)),
"N/A"))))</f>
        <v>N/A</v>
      </c>
      <c r="M121" s="29" t="s">
        <v>20</v>
      </c>
      <c r="N121" s="21" t="s">
        <v>150</v>
      </c>
      <c r="O121" s="2" t="s">
        <v>116</v>
      </c>
      <c r="P121" s="2">
        <f>IF(Sheet1!A121="No","No",
IF(LEFT(Sheet1!A121,5)="Up to",0,
VALUE(LEFT(Sheet1!A121,FIND(" ",Sheet1!A121)-1))))</f>
        <v>0</v>
      </c>
      <c r="Q121" s="2">
        <f>IF(Sheet1!A121="No","No",
IF(LEFT(Sheet1!A121,5)="Up to",
VALUE(MID(Sheet1!A121,7,FIND("kg",Sheet1!A121)-7)),
VALUE(MID(Sheet1!A121,FIND("to",Sheet1!A121)+3,FIND("kg",Sheet1!A121)-FIND("to",Sheet1!A121)-3))))</f>
        <v>2500</v>
      </c>
      <c r="R121" s="3" t="s">
        <v>116</v>
      </c>
      <c r="S121" s="2" t="s">
        <v>116</v>
      </c>
      <c r="T121" s="2" t="s">
        <v>116</v>
      </c>
      <c r="U121" s="2" t="s">
        <v>116</v>
      </c>
      <c r="V121" s="2" t="s">
        <v>116</v>
      </c>
      <c r="W121" s="2" t="s">
        <v>116</v>
      </c>
      <c r="X121" s="2" t="s">
        <v>116</v>
      </c>
      <c r="Y121" s="32">
        <f>Sheet1!C121-Sheet1!D121</f>
        <v>0.20090000000000002</v>
      </c>
    </row>
    <row r="122" spans="1:25" ht="29">
      <c r="A122" s="13" t="s">
        <v>66</v>
      </c>
      <c r="B122" s="21" t="s">
        <v>16</v>
      </c>
      <c r="C122" s="16" t="s">
        <v>148</v>
      </c>
      <c r="D122" s="31" t="s">
        <v>22</v>
      </c>
      <c r="E122" s="31" t="s">
        <v>18</v>
      </c>
      <c r="F122" s="31" t="s">
        <v>18</v>
      </c>
      <c r="G122" s="45" t="s">
        <v>117</v>
      </c>
      <c r="H122" s="31" t="s">
        <v>18</v>
      </c>
      <c r="I122" s="31" t="s">
        <v>50</v>
      </c>
      <c r="J122" s="16" t="s">
        <v>31</v>
      </c>
      <c r="K122" s="16" t="str">
        <f>IF(Sheet1!E122="All","N/A",
IF(LEFT(Sheet1!E122,4)="upto","N/A",
IF(LEFT(Sheet1!E122,5)="Above",VALUE(MID(Sheet1!E122,7,2))+1,
IF(ISNUMBER(SEARCH("to",Sheet1!E122)),VALUE(LEFT(Sheet1!E122,FIND(" to",Sheet1!E122)-1)),
"N/A"))))</f>
        <v>N/A</v>
      </c>
      <c r="L122" s="16" t="str">
        <f>IF(Sheet1!E122="All","N/A",
IF(LEFT(Sheet1!E122,4)="upto",VALUE(MID(Sheet1!E122,6,2)),
IF(LEFT(Sheet1!E122,5)="Above","N/A",
IF(ISNUMBER(SEARCH("to",Sheet1!E122)),VALUE(MID(Sheet1!E122,FIND("to ",Sheet1!E122)+3,2)),
"N/A"))))</f>
        <v>N/A</v>
      </c>
      <c r="M122" s="29" t="s">
        <v>20</v>
      </c>
      <c r="N122" s="21" t="s">
        <v>150</v>
      </c>
      <c r="O122" s="2" t="s">
        <v>116</v>
      </c>
      <c r="P122" s="2">
        <f>IF(Sheet1!A122="No","No",
IF(LEFT(Sheet1!A122,5)="Up to",0,
VALUE(LEFT(Sheet1!A122,FIND(" ",Sheet1!A122)-1))))</f>
        <v>0</v>
      </c>
      <c r="Q122" s="2">
        <f>IF(Sheet1!A122="No","No",
IF(LEFT(Sheet1!A122,5)="Up to",
VALUE(MID(Sheet1!A122,7,FIND("kg",Sheet1!A122)-7)),
VALUE(MID(Sheet1!A122,FIND("to",Sheet1!A122)+3,FIND("kg",Sheet1!A122)-FIND("to",Sheet1!A122)-3))))</f>
        <v>2500</v>
      </c>
      <c r="R122" s="3" t="s">
        <v>116</v>
      </c>
      <c r="S122" s="2" t="s">
        <v>116</v>
      </c>
      <c r="T122" s="2" t="s">
        <v>116</v>
      </c>
      <c r="U122" s="2" t="s">
        <v>116</v>
      </c>
      <c r="V122" s="2" t="s">
        <v>116</v>
      </c>
      <c r="W122" s="2" t="s">
        <v>116</v>
      </c>
      <c r="X122" s="2" t="s">
        <v>116</v>
      </c>
      <c r="Y122" s="32">
        <f>Sheet1!C122-Sheet1!D122</f>
        <v>0.15190000000000003</v>
      </c>
    </row>
    <row r="123" spans="1:25" ht="29">
      <c r="A123" s="14" t="s">
        <v>66</v>
      </c>
      <c r="B123" s="17" t="s">
        <v>16</v>
      </c>
      <c r="C123" s="24" t="s">
        <v>159</v>
      </c>
      <c r="D123" s="30" t="s">
        <v>22</v>
      </c>
      <c r="E123" s="30" t="s">
        <v>18</v>
      </c>
      <c r="F123" s="30" t="s">
        <v>18</v>
      </c>
      <c r="G123" s="45" t="s">
        <v>117</v>
      </c>
      <c r="H123" s="30" t="s">
        <v>18</v>
      </c>
      <c r="I123" s="30" t="s">
        <v>50</v>
      </c>
      <c r="J123" s="24" t="s">
        <v>31</v>
      </c>
      <c r="K123" s="24" t="str">
        <f>IF(Sheet1!E123="All","N/A",
IF(LEFT(Sheet1!E123,4)="upto","N/A",
IF(LEFT(Sheet1!E123,5)="Above",VALUE(MID(Sheet1!E123,7,2))+1,
IF(ISNUMBER(SEARCH("to",Sheet1!E123)),VALUE(LEFT(Sheet1!E123,FIND(" to",Sheet1!E123)-1)),
"N/A"))))</f>
        <v>N/A</v>
      </c>
      <c r="L123" s="24" t="str">
        <f>IF(Sheet1!E123="All","N/A",
IF(LEFT(Sheet1!E123,4)="upto",VALUE(MID(Sheet1!E123,6,2)),
IF(LEFT(Sheet1!E123,5)="Above","N/A",
IF(ISNUMBER(SEARCH("to",Sheet1!E123)),VALUE(MID(Sheet1!E123,FIND("to ",Sheet1!E123)+3,2)),
"N/A"))))</f>
        <v>N/A</v>
      </c>
      <c r="M123" s="29" t="s">
        <v>20</v>
      </c>
      <c r="N123" s="17" t="s">
        <v>150</v>
      </c>
      <c r="O123" s="12" t="s">
        <v>116</v>
      </c>
      <c r="P123" s="12">
        <f>IF(Sheet1!A123="No","No",
IF(LEFT(Sheet1!A123,5)="Up to",0,
VALUE(LEFT(Sheet1!A123,FIND(" ",Sheet1!A123)-1))))</f>
        <v>0</v>
      </c>
      <c r="Q123" s="12">
        <f>IF(Sheet1!A123="No","No",
IF(LEFT(Sheet1!A123,5)="Up to",
VALUE(MID(Sheet1!A123,7,FIND("kg",Sheet1!A123)-7)),
VALUE(MID(Sheet1!A123,FIND("to",Sheet1!A123)+3,FIND("kg",Sheet1!A123)-FIND("to",Sheet1!A123)-3))))</f>
        <v>2500</v>
      </c>
      <c r="R123" s="15" t="s">
        <v>116</v>
      </c>
      <c r="S123" s="12" t="s">
        <v>116</v>
      </c>
      <c r="T123" s="12" t="s">
        <v>116</v>
      </c>
      <c r="U123" s="12" t="s">
        <v>116</v>
      </c>
      <c r="V123" s="12" t="s">
        <v>116</v>
      </c>
      <c r="W123" s="12" t="s">
        <v>116</v>
      </c>
      <c r="X123" s="12" t="s">
        <v>116</v>
      </c>
      <c r="Y123" s="37">
        <f>Sheet1!C123-Sheet1!D123</f>
        <v>0.1764</v>
      </c>
    </row>
    <row r="124" spans="1:25" ht="29">
      <c r="A124" s="11" t="s">
        <v>75</v>
      </c>
      <c r="B124" s="17" t="s">
        <v>16</v>
      </c>
      <c r="C124" s="15" t="s">
        <v>35</v>
      </c>
      <c r="D124" s="30" t="s">
        <v>22</v>
      </c>
      <c r="E124" s="30" t="s">
        <v>18</v>
      </c>
      <c r="F124" s="30" t="s">
        <v>18</v>
      </c>
      <c r="G124" s="30" t="s">
        <v>18</v>
      </c>
      <c r="H124" s="30" t="s">
        <v>18</v>
      </c>
      <c r="I124" s="30" t="s">
        <v>50</v>
      </c>
      <c r="J124" s="24" t="s">
        <v>31</v>
      </c>
      <c r="K124" s="24" t="str">
        <f>IF(Sheet1!E124="All","N/A",
IF(LEFT(Sheet1!E124,4)="upto","N/A",
IF(LEFT(Sheet1!E124,5)="Above",VALUE(MID(Sheet1!E124,7,2))+1,
IF(ISNUMBER(SEARCH("to",Sheet1!E124)),VALUE(LEFT(Sheet1!E124,FIND(" to",Sheet1!E124)-1)),
"N/A"))))</f>
        <v>N/A</v>
      </c>
      <c r="L124" s="24" t="str">
        <f>IF(Sheet1!E124="All","N/A",
IF(LEFT(Sheet1!E124,4)="upto",VALUE(MID(Sheet1!E124,6,2)),
IF(LEFT(Sheet1!E124,5)="Above","N/A",
IF(ISNUMBER(SEARCH("to",Sheet1!E124)),VALUE(MID(Sheet1!E124,FIND("to ",Sheet1!E124)+3,2)),
"N/A"))))</f>
        <v>N/A</v>
      </c>
      <c r="M124" s="28" t="s">
        <v>30</v>
      </c>
      <c r="N124" s="17" t="s">
        <v>150</v>
      </c>
      <c r="O124" s="12" t="s">
        <v>116</v>
      </c>
      <c r="P124" s="12">
        <f>IF(Sheet1!A124="No","No",
IF(LEFT(Sheet1!A124,5)="Up to",0,
VALUE(LEFT(Sheet1!A124,FIND(" ",Sheet1!A124)-1))))</f>
        <v>0</v>
      </c>
      <c r="Q124" s="12">
        <f>IF(Sheet1!A124="No","No",
IF(LEFT(Sheet1!A124,5)="Up to",
VALUE(MID(Sheet1!A124,7,FIND("kg",Sheet1!A124)-7)),
VALUE(MID(Sheet1!A124,FIND("to",Sheet1!A124)+3,FIND("kg",Sheet1!A124)-FIND("to",Sheet1!A124)-3))))</f>
        <v>2500</v>
      </c>
      <c r="R124" s="15" t="s">
        <v>116</v>
      </c>
      <c r="S124" s="12" t="s">
        <v>116</v>
      </c>
      <c r="T124" s="12" t="s">
        <v>116</v>
      </c>
      <c r="U124" s="12" t="s">
        <v>116</v>
      </c>
      <c r="V124" s="12" t="s">
        <v>116</v>
      </c>
      <c r="W124" s="12" t="s">
        <v>116</v>
      </c>
      <c r="X124" s="12" t="s">
        <v>116</v>
      </c>
      <c r="Y124" s="37">
        <f>Sheet1!C124-Sheet1!D124</f>
        <v>0.24010000000000001</v>
      </c>
    </row>
    <row r="125" spans="1:25" ht="29">
      <c r="A125" s="11" t="s">
        <v>76</v>
      </c>
      <c r="B125" s="17" t="s">
        <v>16</v>
      </c>
      <c r="C125" s="15" t="s">
        <v>35</v>
      </c>
      <c r="D125" s="30" t="s">
        <v>22</v>
      </c>
      <c r="E125" s="30" t="s">
        <v>18</v>
      </c>
      <c r="F125" s="30" t="s">
        <v>18</v>
      </c>
      <c r="G125" s="30" t="s">
        <v>18</v>
      </c>
      <c r="H125" s="30" t="s">
        <v>18</v>
      </c>
      <c r="I125" s="30" t="s">
        <v>50</v>
      </c>
      <c r="J125" s="24" t="s">
        <v>31</v>
      </c>
      <c r="K125" s="24" t="str">
        <f>IF(Sheet1!E125="All","N/A",
IF(LEFT(Sheet1!E125,4)="upto","N/A",
IF(LEFT(Sheet1!E125,5)="Above",VALUE(MID(Sheet1!E125,7,2))+1,
IF(ISNUMBER(SEARCH("to",Sheet1!E125)),VALUE(LEFT(Sheet1!E125,FIND(" to",Sheet1!E125)-1)),
"N/A"))))</f>
        <v>N/A</v>
      </c>
      <c r="L125" s="24" t="str">
        <f>IF(Sheet1!E125="All","N/A",
IF(LEFT(Sheet1!E125,4)="upto",VALUE(MID(Sheet1!E125,6,2)),
IF(LEFT(Sheet1!E125,5)="Above","N/A",
IF(ISNUMBER(SEARCH("to",Sheet1!E125)),VALUE(MID(Sheet1!E125,FIND("to ",Sheet1!E125)+3,2)),
"N/A"))))</f>
        <v>N/A</v>
      </c>
      <c r="M125" s="28" t="s">
        <v>30</v>
      </c>
      <c r="N125" s="17" t="s">
        <v>150</v>
      </c>
      <c r="O125" s="12" t="s">
        <v>116</v>
      </c>
      <c r="P125" s="12">
        <f>IF(Sheet1!A125="No","No",
IF(LEFT(Sheet1!A125,5)="Up to",0,
VALUE(LEFT(Sheet1!A125,FIND(" ",Sheet1!A125)-1))))</f>
        <v>0</v>
      </c>
      <c r="Q125" s="12">
        <f>IF(Sheet1!A125="No","No",
IF(LEFT(Sheet1!A125,5)="Up to",
VALUE(MID(Sheet1!A125,7,FIND("kg",Sheet1!A125)-7)),
VALUE(MID(Sheet1!A125,FIND("to",Sheet1!A125)+3,FIND("kg",Sheet1!A125)-FIND("to",Sheet1!A125)-3))))</f>
        <v>2500</v>
      </c>
      <c r="R125" s="15" t="s">
        <v>116</v>
      </c>
      <c r="S125" s="12" t="s">
        <v>116</v>
      </c>
      <c r="T125" s="12" t="s">
        <v>116</v>
      </c>
      <c r="U125" s="12" t="s">
        <v>116</v>
      </c>
      <c r="V125" s="12" t="s">
        <v>116</v>
      </c>
      <c r="W125" s="12" t="s">
        <v>116</v>
      </c>
      <c r="X125" s="12" t="s">
        <v>116</v>
      </c>
      <c r="Y125" s="37">
        <f>Sheet1!C125-Sheet1!D125</f>
        <v>0.44590000000000002</v>
      </c>
    </row>
    <row r="126" spans="1:25">
      <c r="A126" s="11" t="s">
        <v>38</v>
      </c>
      <c r="B126" s="17" t="s">
        <v>16</v>
      </c>
      <c r="C126" s="15" t="s">
        <v>35</v>
      </c>
      <c r="D126" s="30" t="s">
        <v>22</v>
      </c>
      <c r="E126" s="30" t="s">
        <v>18</v>
      </c>
      <c r="F126" s="30" t="s">
        <v>18</v>
      </c>
      <c r="G126" s="30" t="s">
        <v>18</v>
      </c>
      <c r="H126" s="30" t="s">
        <v>18</v>
      </c>
      <c r="I126" s="30" t="s">
        <v>50</v>
      </c>
      <c r="J126" s="24" t="s">
        <v>31</v>
      </c>
      <c r="K126" s="24" t="str">
        <f>IF(Sheet1!E126="All","N/A",
IF(LEFT(Sheet1!E126,4)="upto","N/A",
IF(LEFT(Sheet1!E126,5)="Above",VALUE(MID(Sheet1!E126,7,2))+1,
IF(ISNUMBER(SEARCH("to",Sheet1!E126)),VALUE(LEFT(Sheet1!E126,FIND(" to",Sheet1!E126)-1)),
"N/A"))))</f>
        <v>N/A</v>
      </c>
      <c r="L126" s="24" t="str">
        <f>IF(Sheet1!E126="All","N/A",
IF(LEFT(Sheet1!E126,4)="upto",VALUE(MID(Sheet1!E126,6,2)),
IF(LEFT(Sheet1!E126,5)="Above","N/A",
IF(ISNUMBER(SEARCH("to",Sheet1!E126)),VALUE(MID(Sheet1!E126,FIND("to ",Sheet1!E126)+3,2)),
"N/A"))))</f>
        <v>N/A</v>
      </c>
      <c r="M126" s="28" t="s">
        <v>17</v>
      </c>
      <c r="N126" s="17" t="s">
        <v>54</v>
      </c>
      <c r="O126" s="12" t="s">
        <v>116</v>
      </c>
      <c r="P126" s="12">
        <f>IF(Sheet1!A126="No","No",
IF(LEFT(Sheet1!A126,5)="Up to",0,
VALUE(LEFT(Sheet1!A126,FIND(" ",Sheet1!A126)-1))))</f>
        <v>0</v>
      </c>
      <c r="Q126" s="12">
        <f>IF(Sheet1!A126="No","No",
IF(LEFT(Sheet1!A126,5)="Up to",
VALUE(MID(Sheet1!A126,7,FIND("kg",Sheet1!A126)-7)),
VALUE(MID(Sheet1!A126,FIND("to",Sheet1!A126)+3,FIND("kg",Sheet1!A126)-FIND("to",Sheet1!A126)-3))))</f>
        <v>2450</v>
      </c>
      <c r="R126" s="15" t="s">
        <v>116</v>
      </c>
      <c r="S126" s="12" t="s">
        <v>116</v>
      </c>
      <c r="T126" s="12" t="s">
        <v>116</v>
      </c>
      <c r="U126" s="12" t="s">
        <v>116</v>
      </c>
      <c r="V126" s="12" t="s">
        <v>116</v>
      </c>
      <c r="W126" s="12" t="s">
        <v>116</v>
      </c>
      <c r="X126" s="12" t="s">
        <v>116</v>
      </c>
      <c r="Y126" s="37">
        <f>Sheet1!C126-Sheet1!D126</f>
        <v>0.24990000000000001</v>
      </c>
    </row>
    <row r="127" spans="1:25" ht="29">
      <c r="A127" s="11" t="s">
        <v>38</v>
      </c>
      <c r="B127" s="17" t="s">
        <v>16</v>
      </c>
      <c r="C127" s="15" t="s">
        <v>135</v>
      </c>
      <c r="D127" s="30" t="s">
        <v>22</v>
      </c>
      <c r="E127" s="30" t="s">
        <v>18</v>
      </c>
      <c r="F127" s="30" t="s">
        <v>18</v>
      </c>
      <c r="G127" s="30" t="s">
        <v>18</v>
      </c>
      <c r="H127" s="30" t="s">
        <v>18</v>
      </c>
      <c r="I127" s="30" t="s">
        <v>50</v>
      </c>
      <c r="J127" s="24" t="s">
        <v>31</v>
      </c>
      <c r="K127" s="24" t="str">
        <f>IF(Sheet1!E127="All","N/A",
IF(LEFT(Sheet1!E127,4)="upto","N/A",
IF(LEFT(Sheet1!E127,5)="Above",VALUE(MID(Sheet1!E127,7,2))+1,
IF(ISNUMBER(SEARCH("to",Sheet1!E127)),VALUE(LEFT(Sheet1!E127,FIND(" to",Sheet1!E127)-1)),
"N/A"))))</f>
        <v>N/A</v>
      </c>
      <c r="L127" s="24" t="str">
        <f>IF(Sheet1!E127="All","N/A",
IF(LEFT(Sheet1!E127,4)="upto",VALUE(MID(Sheet1!E127,6,2)),
IF(LEFT(Sheet1!E127,5)="Above","N/A",
IF(ISNUMBER(SEARCH("to",Sheet1!E127)),VALUE(MID(Sheet1!E127,FIND("to ",Sheet1!E127)+3,2)),
"N/A"))))</f>
        <v>N/A</v>
      </c>
      <c r="M127" s="28" t="s">
        <v>20</v>
      </c>
      <c r="N127" s="17" t="s">
        <v>39</v>
      </c>
      <c r="O127" s="12" t="s">
        <v>116</v>
      </c>
      <c r="P127" s="12">
        <f>IF(Sheet1!A127="No","No",
IF(LEFT(Sheet1!A127,5)="Up to",0,
VALUE(LEFT(Sheet1!A127,FIND(" ",Sheet1!A127)-1))))</f>
        <v>0</v>
      </c>
      <c r="Q127" s="12">
        <f>IF(Sheet1!A127="No","No",
IF(LEFT(Sheet1!A127,5)="Up to",
VALUE(MID(Sheet1!A127,7,FIND("kg",Sheet1!A127)-7)),
VALUE(MID(Sheet1!A127,FIND("to",Sheet1!A127)+3,FIND("kg",Sheet1!A127)-FIND("to",Sheet1!A127)-3))))</f>
        <v>2450</v>
      </c>
      <c r="R127" s="15" t="s">
        <v>116</v>
      </c>
      <c r="S127" s="12" t="s">
        <v>116</v>
      </c>
      <c r="T127" s="12" t="s">
        <v>116</v>
      </c>
      <c r="U127" s="12" t="s">
        <v>116</v>
      </c>
      <c r="V127" s="12" t="s">
        <v>116</v>
      </c>
      <c r="W127" s="12" t="s">
        <v>116</v>
      </c>
      <c r="X127" s="12" t="s">
        <v>116</v>
      </c>
      <c r="Y127" s="37">
        <f>Sheet1!C127-Sheet1!D127</f>
        <v>0.39690000000000003</v>
      </c>
    </row>
    <row r="128" spans="1:25">
      <c r="A128" s="11" t="s">
        <v>38</v>
      </c>
      <c r="B128" s="17" t="s">
        <v>16</v>
      </c>
      <c r="C128" s="15" t="s">
        <v>159</v>
      </c>
      <c r="D128" s="30" t="s">
        <v>22</v>
      </c>
      <c r="E128" s="30" t="s">
        <v>18</v>
      </c>
      <c r="F128" s="30" t="s">
        <v>18</v>
      </c>
      <c r="G128" s="30" t="s">
        <v>18</v>
      </c>
      <c r="H128" s="30" t="s">
        <v>18</v>
      </c>
      <c r="I128" s="30" t="s">
        <v>50</v>
      </c>
      <c r="J128" s="24" t="s">
        <v>31</v>
      </c>
      <c r="K128" s="24" t="str">
        <f>IF(Sheet1!E128="All","N/A",
IF(LEFT(Sheet1!E128,4)="upto","N/A",
IF(LEFT(Sheet1!E128,5)="Above",VALUE(MID(Sheet1!E128,7,2))+1,
IF(ISNUMBER(SEARCH("to",Sheet1!E128)),VALUE(LEFT(Sheet1!E128,FIND(" to",Sheet1!E128)-1)),
"N/A"))))</f>
        <v>N/A</v>
      </c>
      <c r="L128" s="24" t="str">
        <f>IF(Sheet1!E128="All","N/A",
IF(LEFT(Sheet1!E128,4)="upto",VALUE(MID(Sheet1!E128,6,2)),
IF(LEFT(Sheet1!E128,5)="Above","N/A",
IF(ISNUMBER(SEARCH("to",Sheet1!E128)),VALUE(MID(Sheet1!E128,FIND("to ",Sheet1!E128)+3,2)),
"N/A"))))</f>
        <v>N/A</v>
      </c>
      <c r="M128" s="28" t="s">
        <v>20</v>
      </c>
      <c r="N128" s="17" t="s">
        <v>39</v>
      </c>
      <c r="O128" s="12" t="s">
        <v>116</v>
      </c>
      <c r="P128" s="12">
        <f>IF(Sheet1!A128="No","No",
IF(LEFT(Sheet1!A128,5)="Up to",0,
VALUE(LEFT(Sheet1!A128,FIND(" ",Sheet1!A128)-1))))</f>
        <v>0</v>
      </c>
      <c r="Q128" s="12">
        <f>IF(Sheet1!A128="No","No",
IF(LEFT(Sheet1!A128,5)="Up to",
VALUE(MID(Sheet1!A128,7,FIND("kg",Sheet1!A128)-7)),
VALUE(MID(Sheet1!A128,FIND("to",Sheet1!A128)+3,FIND("kg",Sheet1!A128)-FIND("to",Sheet1!A128)-3))))</f>
        <v>2450</v>
      </c>
      <c r="R128" s="15" t="s">
        <v>116</v>
      </c>
      <c r="S128" s="12" t="s">
        <v>116</v>
      </c>
      <c r="T128" s="12" t="s">
        <v>116</v>
      </c>
      <c r="U128" s="12" t="s">
        <v>116</v>
      </c>
      <c r="V128" s="12" t="s">
        <v>116</v>
      </c>
      <c r="W128" s="12" t="s">
        <v>116</v>
      </c>
      <c r="X128" s="12" t="s">
        <v>116</v>
      </c>
      <c r="Y128" s="37">
        <f>Sheet1!C128-Sheet1!D128</f>
        <v>0.44590000000000002</v>
      </c>
    </row>
    <row r="129" spans="1:25" ht="29">
      <c r="A129" s="11" t="s">
        <v>41</v>
      </c>
      <c r="B129" s="12" t="s">
        <v>42</v>
      </c>
      <c r="C129" s="15" t="s">
        <v>135</v>
      </c>
      <c r="D129" s="30" t="s">
        <v>22</v>
      </c>
      <c r="E129" s="30" t="s">
        <v>18</v>
      </c>
      <c r="F129" s="30" t="s">
        <v>18</v>
      </c>
      <c r="G129" s="30" t="s">
        <v>18</v>
      </c>
      <c r="H129" s="30" t="s">
        <v>18</v>
      </c>
      <c r="I129" s="30" t="s">
        <v>50</v>
      </c>
      <c r="J129" s="24" t="s">
        <v>31</v>
      </c>
      <c r="K129" s="24" t="str">
        <f>IF(Sheet1!E129="All","N/A",
IF(LEFT(Sheet1!E129,4)="upto","N/A",
IF(LEFT(Sheet1!E129,5)="Above",VALUE(MID(Sheet1!E129,7,2))+1,
IF(ISNUMBER(SEARCH("to",Sheet1!E129)),VALUE(LEFT(Sheet1!E129,FIND(" to",Sheet1!E129)-1)),
"N/A"))))</f>
        <v>N/A</v>
      </c>
      <c r="L129" s="24" t="str">
        <f>IF(Sheet1!E129="All","N/A",
IF(LEFT(Sheet1!E129,4)="upto",VALUE(MID(Sheet1!E129,6,2)),
IF(LEFT(Sheet1!E129,5)="Above","N/A",
IF(ISNUMBER(SEARCH("to",Sheet1!E129)),VALUE(MID(Sheet1!E129,FIND("to ",Sheet1!E129)+3,2)),
"N/A"))))</f>
        <v>N/A</v>
      </c>
      <c r="M129" s="28" t="s">
        <v>17</v>
      </c>
      <c r="N129" s="12" t="s">
        <v>54</v>
      </c>
      <c r="O129" s="12" t="s">
        <v>116</v>
      </c>
      <c r="P129" s="12">
        <f>IF(Sheet1!A129="No","No",
IF(LEFT(Sheet1!A129,5)="Up to",0,
VALUE(LEFT(Sheet1!A129,FIND(" ",Sheet1!A129)-1))))</f>
        <v>0</v>
      </c>
      <c r="Q129" s="12">
        <f>IF(Sheet1!A129="No","No",
IF(LEFT(Sheet1!A129,5)="Up to",
VALUE(MID(Sheet1!A129,7,FIND("kg",Sheet1!A129)-7)),
VALUE(MID(Sheet1!A129,FIND("to",Sheet1!A129)+3,FIND("kg",Sheet1!A129)-FIND("to",Sheet1!A129)-3))))</f>
        <v>2500</v>
      </c>
      <c r="R129" s="15" t="s">
        <v>116</v>
      </c>
      <c r="S129" s="12" t="s">
        <v>116</v>
      </c>
      <c r="T129" s="12" t="s">
        <v>116</v>
      </c>
      <c r="U129" s="12" t="s">
        <v>116</v>
      </c>
      <c r="V129" s="12" t="s">
        <v>116</v>
      </c>
      <c r="W129" s="12" t="s">
        <v>116</v>
      </c>
      <c r="X129" s="12" t="s">
        <v>116</v>
      </c>
      <c r="Y129" s="37">
        <f>Sheet1!C129-Sheet1!D129</f>
        <v>0.42630000000000001</v>
      </c>
    </row>
    <row r="130" spans="1:25">
      <c r="A130" s="11" t="s">
        <v>41</v>
      </c>
      <c r="B130" s="12" t="s">
        <v>42</v>
      </c>
      <c r="C130" s="15" t="s">
        <v>136</v>
      </c>
      <c r="D130" s="30" t="s">
        <v>22</v>
      </c>
      <c r="E130" s="30" t="s">
        <v>18</v>
      </c>
      <c r="F130" s="30" t="s">
        <v>18</v>
      </c>
      <c r="G130" s="30" t="s">
        <v>18</v>
      </c>
      <c r="H130" s="30" t="s">
        <v>18</v>
      </c>
      <c r="I130" s="30" t="s">
        <v>50</v>
      </c>
      <c r="J130" s="24" t="s">
        <v>31</v>
      </c>
      <c r="K130" s="24" t="str">
        <f>IF(Sheet1!E130="All","N/A",
IF(LEFT(Sheet1!E130,4)="upto","N/A",
IF(LEFT(Sheet1!E130,5)="Above",VALUE(MID(Sheet1!E130,7,2))+1,
IF(ISNUMBER(SEARCH("to",Sheet1!E130)),VALUE(LEFT(Sheet1!E130,FIND(" to",Sheet1!E130)-1)),
"N/A"))))</f>
        <v>N/A</v>
      </c>
      <c r="L130" s="24" t="str">
        <f>IF(Sheet1!E130="All","N/A",
IF(LEFT(Sheet1!E130,4)="upto",VALUE(MID(Sheet1!E130,6,2)),
IF(LEFT(Sheet1!E130,5)="Above","N/A",
IF(ISNUMBER(SEARCH("to",Sheet1!E130)),VALUE(MID(Sheet1!E130,FIND("to ",Sheet1!E130)+3,2)),
"N/A"))))</f>
        <v>N/A</v>
      </c>
      <c r="M130" s="28" t="s">
        <v>17</v>
      </c>
      <c r="N130" s="12" t="s">
        <v>54</v>
      </c>
      <c r="O130" s="12" t="s">
        <v>116</v>
      </c>
      <c r="P130" s="12">
        <f>IF(Sheet1!A130="No","No",
IF(LEFT(Sheet1!A130,5)="Up to",0,
VALUE(LEFT(Sheet1!A130,FIND(" ",Sheet1!A130)-1))))</f>
        <v>0</v>
      </c>
      <c r="Q130" s="12">
        <f>IF(Sheet1!A130="No","No",
IF(LEFT(Sheet1!A130,5)="Up to",
VALUE(MID(Sheet1!A130,7,FIND("kg",Sheet1!A130)-7)),
VALUE(MID(Sheet1!A130,FIND("to",Sheet1!A130)+3,FIND("kg",Sheet1!A130)-FIND("to",Sheet1!A130)-3))))</f>
        <v>2500</v>
      </c>
      <c r="R130" s="15" t="s">
        <v>116</v>
      </c>
      <c r="S130" s="12" t="s">
        <v>116</v>
      </c>
      <c r="T130" s="12" t="s">
        <v>116</v>
      </c>
      <c r="U130" s="12" t="s">
        <v>116</v>
      </c>
      <c r="V130" s="12" t="s">
        <v>116</v>
      </c>
      <c r="W130" s="12" t="s">
        <v>116</v>
      </c>
      <c r="X130" s="12" t="s">
        <v>116</v>
      </c>
      <c r="Y130" s="37">
        <f>Sheet1!C130-Sheet1!D130</f>
        <v>0.45570000000000005</v>
      </c>
    </row>
    <row r="131" spans="1:25">
      <c r="A131" s="11" t="s">
        <v>41</v>
      </c>
      <c r="B131" s="12" t="s">
        <v>42</v>
      </c>
      <c r="C131" s="15" t="s">
        <v>159</v>
      </c>
      <c r="D131" s="30" t="s">
        <v>22</v>
      </c>
      <c r="E131" s="30" t="s">
        <v>18</v>
      </c>
      <c r="F131" s="30" t="s">
        <v>18</v>
      </c>
      <c r="G131" s="30" t="s">
        <v>18</v>
      </c>
      <c r="H131" s="30" t="s">
        <v>18</v>
      </c>
      <c r="I131" s="30" t="s">
        <v>50</v>
      </c>
      <c r="J131" s="24" t="s">
        <v>31</v>
      </c>
      <c r="K131" s="24" t="str">
        <f>IF(Sheet1!E131="All","N/A",
IF(LEFT(Sheet1!E131,4)="upto","N/A",
IF(LEFT(Sheet1!E131,5)="Above",VALUE(MID(Sheet1!E131,7,2))+1,
IF(ISNUMBER(SEARCH("to",Sheet1!E131)),VALUE(LEFT(Sheet1!E131,FIND(" to",Sheet1!E131)-1)),
"N/A"))))</f>
        <v>N/A</v>
      </c>
      <c r="L131" s="24" t="str">
        <f>IF(Sheet1!E131="All","N/A",
IF(LEFT(Sheet1!E131,4)="upto",VALUE(MID(Sheet1!E131,6,2)),
IF(LEFT(Sheet1!E131,5)="Above","N/A",
IF(ISNUMBER(SEARCH("to",Sheet1!E131)),VALUE(MID(Sheet1!E131,FIND("to ",Sheet1!E131)+3,2)),
"N/A"))))</f>
        <v>N/A</v>
      </c>
      <c r="M131" s="28" t="s">
        <v>17</v>
      </c>
      <c r="N131" s="12" t="s">
        <v>54</v>
      </c>
      <c r="O131" s="12" t="s">
        <v>116</v>
      </c>
      <c r="P131" s="12">
        <f>IF(Sheet1!A131="No","No",
IF(LEFT(Sheet1!A131,5)="Up to",0,
VALUE(LEFT(Sheet1!A131,FIND(" ",Sheet1!A131)-1))))</f>
        <v>0</v>
      </c>
      <c r="Q131" s="12">
        <f>IF(Sheet1!A131="No","No",
IF(LEFT(Sheet1!A131,5)="Up to",
VALUE(MID(Sheet1!A131,7,FIND("kg",Sheet1!A131)-7)),
VALUE(MID(Sheet1!A131,FIND("to",Sheet1!A131)+3,FIND("kg",Sheet1!A131)-FIND("to",Sheet1!A131)-3))))</f>
        <v>2500</v>
      </c>
      <c r="R131" s="15" t="s">
        <v>116</v>
      </c>
      <c r="S131" s="12" t="s">
        <v>116</v>
      </c>
      <c r="T131" s="12" t="s">
        <v>116</v>
      </c>
      <c r="U131" s="12" t="s">
        <v>116</v>
      </c>
      <c r="V131" s="12" t="s">
        <v>116</v>
      </c>
      <c r="W131" s="12" t="s">
        <v>116</v>
      </c>
      <c r="X131" s="12" t="s">
        <v>116</v>
      </c>
      <c r="Y131" s="37">
        <f>Sheet1!C131-Sheet1!D131</f>
        <v>0.30380000000000001</v>
      </c>
    </row>
    <row r="132" spans="1:25" ht="29">
      <c r="A132" s="1" t="s">
        <v>41</v>
      </c>
      <c r="B132" s="2" t="s">
        <v>42</v>
      </c>
      <c r="C132" s="3" t="s">
        <v>135</v>
      </c>
      <c r="D132" s="31" t="s">
        <v>22</v>
      </c>
      <c r="E132" s="30" t="s">
        <v>18</v>
      </c>
      <c r="F132" s="31" t="s">
        <v>18</v>
      </c>
      <c r="G132" s="31" t="s">
        <v>18</v>
      </c>
      <c r="H132" s="31" t="s">
        <v>18</v>
      </c>
      <c r="I132" s="30" t="s">
        <v>50</v>
      </c>
      <c r="J132" s="16" t="s">
        <v>31</v>
      </c>
      <c r="K132" s="16">
        <f>IF(Sheet1!E132="All","N/A",
IF(LEFT(Sheet1!E132,4)="upto","N/A",
IF(LEFT(Sheet1!E132,5)="Above",VALUE(MID(Sheet1!E132,7,2))+1,
IF(ISNUMBER(SEARCH("to",Sheet1!E132)),VALUE(LEFT(Sheet1!E132,FIND(" to",Sheet1!E132)-1)),
"N/A"))))</f>
        <v>1</v>
      </c>
      <c r="L132" s="16">
        <f>IF(Sheet1!E132="All","N/A",
IF(LEFT(Sheet1!E132,4)="upto",VALUE(MID(Sheet1!E132,6,2)),
IF(LEFT(Sheet1!E132,5)="Above","N/A",
IF(ISNUMBER(SEARCH("to",Sheet1!E132)),VALUE(MID(Sheet1!E132,FIND("to ",Sheet1!E132)+3,2)),
"N/A"))))</f>
        <v>6</v>
      </c>
      <c r="M132" s="29" t="s">
        <v>17</v>
      </c>
      <c r="N132" s="2" t="s">
        <v>39</v>
      </c>
      <c r="O132" s="2" t="s">
        <v>116</v>
      </c>
      <c r="P132" s="2">
        <f>IF(Sheet1!A132="No","No",
IF(LEFT(Sheet1!A132,5)="Up to",0,
VALUE(LEFT(Sheet1!A132,FIND(" ",Sheet1!A132)-1))))</f>
        <v>0</v>
      </c>
      <c r="Q132" s="2">
        <f>IF(Sheet1!A132="No","No",
IF(LEFT(Sheet1!A132,5)="Up to",
VALUE(MID(Sheet1!A132,7,FIND("kg",Sheet1!A132)-7)),
VALUE(MID(Sheet1!A132,FIND("to",Sheet1!A132)+3,FIND("kg",Sheet1!A132)-FIND("to",Sheet1!A132)-3))))</f>
        <v>2500</v>
      </c>
      <c r="R132" s="3" t="s">
        <v>116</v>
      </c>
      <c r="S132" s="2" t="s">
        <v>116</v>
      </c>
      <c r="T132" s="2" t="s">
        <v>116</v>
      </c>
      <c r="U132" s="2" t="s">
        <v>116</v>
      </c>
      <c r="V132" s="2" t="s">
        <v>116</v>
      </c>
      <c r="W132" s="2" t="s">
        <v>116</v>
      </c>
      <c r="X132" s="2" t="s">
        <v>116</v>
      </c>
      <c r="Y132" s="32">
        <f>Sheet1!C132-Sheet1!D132</f>
        <v>0.47530000000000006</v>
      </c>
    </row>
    <row r="133" spans="1:25">
      <c r="A133" s="1" t="s">
        <v>41</v>
      </c>
      <c r="B133" s="2" t="s">
        <v>42</v>
      </c>
      <c r="C133" s="3" t="s">
        <v>136</v>
      </c>
      <c r="D133" s="31" t="s">
        <v>22</v>
      </c>
      <c r="E133" s="30" t="s">
        <v>18</v>
      </c>
      <c r="F133" s="31" t="s">
        <v>18</v>
      </c>
      <c r="G133" s="31" t="s">
        <v>18</v>
      </c>
      <c r="H133" s="31" t="s">
        <v>18</v>
      </c>
      <c r="I133" s="30" t="s">
        <v>50</v>
      </c>
      <c r="J133" s="16" t="s">
        <v>31</v>
      </c>
      <c r="K133" s="16">
        <f>IF(Sheet1!E133="All","N/A",
IF(LEFT(Sheet1!E133,4)="upto","N/A",
IF(LEFT(Sheet1!E133,5)="Above",VALUE(MID(Sheet1!E133,7,2))+1,
IF(ISNUMBER(SEARCH("to",Sheet1!E133)),VALUE(LEFT(Sheet1!E133,FIND(" to",Sheet1!E133)-1)),
"N/A"))))</f>
        <v>1</v>
      </c>
      <c r="L133" s="16">
        <f>IF(Sheet1!E133="All","N/A",
IF(LEFT(Sheet1!E133,4)="upto",VALUE(MID(Sheet1!E133,6,2)),
IF(LEFT(Sheet1!E133,5)="Above","N/A",
IF(ISNUMBER(SEARCH("to",Sheet1!E133)),VALUE(MID(Sheet1!E133,FIND("to ",Sheet1!E133)+3,2)),
"N/A"))))</f>
        <v>6</v>
      </c>
      <c r="M133" s="29" t="s">
        <v>17</v>
      </c>
      <c r="N133" s="2" t="s">
        <v>39</v>
      </c>
      <c r="O133" s="2" t="s">
        <v>116</v>
      </c>
      <c r="P133" s="2">
        <f>IF(Sheet1!A133="No","No",
IF(LEFT(Sheet1!A133,5)="Up to",0,
VALUE(LEFT(Sheet1!A133,FIND(" ",Sheet1!A133)-1))))</f>
        <v>0</v>
      </c>
      <c r="Q133" s="2">
        <f>IF(Sheet1!A133="No","No",
IF(LEFT(Sheet1!A133,5)="Up to",
VALUE(MID(Sheet1!A133,7,FIND("kg",Sheet1!A133)-7)),
VALUE(MID(Sheet1!A133,FIND("to",Sheet1!A133)+3,FIND("kg",Sheet1!A133)-FIND("to",Sheet1!A133)-3))))</f>
        <v>2500</v>
      </c>
      <c r="R133" s="3" t="s">
        <v>116</v>
      </c>
      <c r="S133" s="2" t="s">
        <v>116</v>
      </c>
      <c r="T133" s="2" t="s">
        <v>116</v>
      </c>
      <c r="U133" s="2" t="s">
        <v>116</v>
      </c>
      <c r="V133" s="2" t="s">
        <v>116</v>
      </c>
      <c r="W133" s="2" t="s">
        <v>116</v>
      </c>
      <c r="X133" s="2" t="s">
        <v>116</v>
      </c>
      <c r="Y133" s="32">
        <f>Sheet1!C133-Sheet1!D133</f>
        <v>0.46060000000000001</v>
      </c>
    </row>
    <row r="134" spans="1:25">
      <c r="A134" s="11" t="s">
        <v>41</v>
      </c>
      <c r="B134" s="12" t="s">
        <v>42</v>
      </c>
      <c r="C134" s="15" t="s">
        <v>159</v>
      </c>
      <c r="D134" s="30" t="s">
        <v>22</v>
      </c>
      <c r="E134" s="30" t="s">
        <v>18</v>
      </c>
      <c r="F134" s="30" t="s">
        <v>18</v>
      </c>
      <c r="G134" s="30" t="s">
        <v>18</v>
      </c>
      <c r="H134" s="30" t="s">
        <v>18</v>
      </c>
      <c r="I134" s="30" t="s">
        <v>50</v>
      </c>
      <c r="J134" s="24" t="s">
        <v>31</v>
      </c>
      <c r="K134" s="24">
        <f>IF(Sheet1!E134="All","N/A",
IF(LEFT(Sheet1!E134,4)="upto","N/A",
IF(LEFT(Sheet1!E134,5)="Above",VALUE(MID(Sheet1!E134,7,2))+1,
IF(ISNUMBER(SEARCH("to",Sheet1!E134)),VALUE(LEFT(Sheet1!E134,FIND(" to",Sheet1!E134)-1)),
"N/A"))))</f>
        <v>1</v>
      </c>
      <c r="L134" s="24">
        <f>IF(Sheet1!E134="All","N/A",
IF(LEFT(Sheet1!E134,4)="upto",VALUE(MID(Sheet1!E134,6,2)),
IF(LEFT(Sheet1!E134,5)="Above","N/A",
IF(ISNUMBER(SEARCH("to",Sheet1!E134)),VALUE(MID(Sheet1!E134,FIND("to ",Sheet1!E134)+3,2)),
"N/A"))))</f>
        <v>6</v>
      </c>
      <c r="M134" s="28" t="s">
        <v>17</v>
      </c>
      <c r="N134" s="2" t="s">
        <v>39</v>
      </c>
      <c r="O134" s="12" t="s">
        <v>116</v>
      </c>
      <c r="P134" s="12">
        <f>IF(Sheet1!A134="No","No",
IF(LEFT(Sheet1!A134,5)="Up to",0,
VALUE(LEFT(Sheet1!A134,FIND(" ",Sheet1!A134)-1))))</f>
        <v>0</v>
      </c>
      <c r="Q134" s="12">
        <f>IF(Sheet1!A134="No","No",
IF(LEFT(Sheet1!A134,5)="Up to",
VALUE(MID(Sheet1!A134,7,FIND("kg",Sheet1!A134)-7)),
VALUE(MID(Sheet1!A134,FIND("to",Sheet1!A134)+3,FIND("kg",Sheet1!A134)-FIND("to",Sheet1!A134)-3))))</f>
        <v>2500</v>
      </c>
      <c r="R134" s="15" t="s">
        <v>116</v>
      </c>
      <c r="S134" s="12" t="s">
        <v>116</v>
      </c>
      <c r="T134" s="12" t="s">
        <v>116</v>
      </c>
      <c r="U134" s="12" t="s">
        <v>116</v>
      </c>
      <c r="V134" s="12" t="s">
        <v>116</v>
      </c>
      <c r="W134" s="12" t="s">
        <v>116</v>
      </c>
      <c r="X134" s="12" t="s">
        <v>116</v>
      </c>
      <c r="Y134" s="37">
        <f>Sheet1!C134-Sheet1!D134</f>
        <v>0.37730000000000002</v>
      </c>
    </row>
    <row r="135" spans="1:25" ht="58" hidden="1">
      <c r="A135" s="11" t="s">
        <v>19</v>
      </c>
      <c r="B135" s="12" t="s">
        <v>16</v>
      </c>
      <c r="C135" s="15" t="s">
        <v>63</v>
      </c>
      <c r="D135" s="38" t="s">
        <v>80</v>
      </c>
      <c r="E135" s="30" t="s">
        <v>18</v>
      </c>
      <c r="F135" s="30" t="s">
        <v>18</v>
      </c>
      <c r="G135" s="30" t="s">
        <v>18</v>
      </c>
      <c r="H135" s="30" t="s">
        <v>18</v>
      </c>
      <c r="I135" s="38" t="s">
        <v>79</v>
      </c>
      <c r="J135" s="24" t="s">
        <v>31</v>
      </c>
      <c r="K135" s="24" t="str">
        <f>IF(Sheet1!E135="All","N/A",
IF(LEFT(Sheet1!E135,4)="upto","N/A",
IF(LEFT(Sheet1!E135,5)="Above",VALUE(MID(Sheet1!E135,7,2))+1,
IF(ISNUMBER(SEARCH("to",Sheet1!E135)),VALUE(LEFT(Sheet1!E135,FIND(" to",Sheet1!E135)-1)),
"N/A"))))</f>
        <v>N/A</v>
      </c>
      <c r="L135" s="24">
        <f>IF(Sheet1!E135="All","N/A",
IF(LEFT(Sheet1!E135,4)="upto",VALUE(MID(Sheet1!E135,6,2)),
IF(LEFT(Sheet1!E135,5)="Above","N/A",
IF(ISNUMBER(SEARCH("to",Sheet1!E135)),VALUE(MID(Sheet1!E135,FIND("to ",Sheet1!E135)+3,2)),
"N/A"))))</f>
        <v>15</v>
      </c>
      <c r="M135" s="28" t="s">
        <v>17</v>
      </c>
      <c r="N135" s="48" t="s">
        <v>150</v>
      </c>
      <c r="O135" s="12" t="s">
        <v>116</v>
      </c>
      <c r="P135" s="12" t="str">
        <f>IF(Sheet1!A135="No","No",
IF(LEFT(Sheet1!A135,5)="Up to",0,
VALUE(LEFT(Sheet1!A135,FIND(" ",Sheet1!A135)-1))))</f>
        <v>No</v>
      </c>
      <c r="Q135" s="12" t="str">
        <f>IF(Sheet1!A135="No","No",
IF(LEFT(Sheet1!A135,5)="Up to",
VALUE(MID(Sheet1!A135,7,FIND("kg",Sheet1!A135)-7)),
VALUE(MID(Sheet1!A135,FIND("to",Sheet1!A135)+3,FIND("kg",Sheet1!A135)-FIND("to",Sheet1!A135)-3))))</f>
        <v>No</v>
      </c>
      <c r="R135" s="15" t="s">
        <v>116</v>
      </c>
      <c r="S135" s="17" t="s">
        <v>81</v>
      </c>
      <c r="T135" s="12" t="s">
        <v>116</v>
      </c>
      <c r="U135" s="12" t="s">
        <v>116</v>
      </c>
      <c r="V135" s="12" t="s">
        <v>116</v>
      </c>
      <c r="W135" s="12" t="s">
        <v>116</v>
      </c>
      <c r="X135" s="12" t="s">
        <v>116</v>
      </c>
      <c r="Y135" s="37">
        <f>Sheet1!C135-Sheet1!D135</f>
        <v>0.1323</v>
      </c>
    </row>
    <row r="136" spans="1:25" ht="43.5" hidden="1">
      <c r="A136" s="1" t="s">
        <v>19</v>
      </c>
      <c r="B136" s="12" t="s">
        <v>16</v>
      </c>
      <c r="C136" s="16" t="s">
        <v>83</v>
      </c>
      <c r="D136" s="38" t="s">
        <v>80</v>
      </c>
      <c r="E136" s="31" t="s">
        <v>18</v>
      </c>
      <c r="F136" s="31" t="s">
        <v>18</v>
      </c>
      <c r="G136" s="31" t="s">
        <v>18</v>
      </c>
      <c r="H136" s="31" t="s">
        <v>18</v>
      </c>
      <c r="I136" s="38" t="s">
        <v>79</v>
      </c>
      <c r="J136" s="24" t="s">
        <v>31</v>
      </c>
      <c r="K136" s="24" t="str">
        <f>IF(Sheet1!E136="All","N/A",
IF(LEFT(Sheet1!E136,4)="upto","N/A",
IF(LEFT(Sheet1!E136,5)="Above",VALUE(MID(Sheet1!E136,7,2))+1,
IF(ISNUMBER(SEARCH("to",Sheet1!E136)),VALUE(LEFT(Sheet1!E136,FIND(" to",Sheet1!E136)-1)),
"N/A"))))</f>
        <v>N/A</v>
      </c>
      <c r="L136" s="24">
        <f>IF(Sheet1!E136="All","N/A",
IF(LEFT(Sheet1!E136,4)="upto",VALUE(MID(Sheet1!E136,6,2)),
IF(LEFT(Sheet1!E136,5)="Above","N/A",
IF(ISNUMBER(SEARCH("to",Sheet1!E136)),VALUE(MID(Sheet1!E136,FIND("to ",Sheet1!E136)+3,2)),
"N/A"))))</f>
        <v>15</v>
      </c>
      <c r="M136" s="28" t="s">
        <v>30</v>
      </c>
      <c r="N136" s="48" t="s">
        <v>150</v>
      </c>
      <c r="O136" s="12" t="s">
        <v>116</v>
      </c>
      <c r="P136" s="12" t="str">
        <f>IF(Sheet1!A136="No","No",
IF(LEFT(Sheet1!A136,5)="Up to",0,
VALUE(LEFT(Sheet1!A136,FIND(" ",Sheet1!A136)-1))))</f>
        <v>No</v>
      </c>
      <c r="Q136" s="12" t="str">
        <f>IF(Sheet1!A136="No","No",
IF(LEFT(Sheet1!A136,5)="Up to",
VALUE(MID(Sheet1!A136,7,FIND("kg",Sheet1!A136)-7)),
VALUE(MID(Sheet1!A136,FIND("to",Sheet1!A136)+3,FIND("kg",Sheet1!A136)-FIND("to",Sheet1!A136)-3))))</f>
        <v>No</v>
      </c>
      <c r="R136" s="15" t="s">
        <v>116</v>
      </c>
      <c r="S136" s="17" t="s">
        <v>84</v>
      </c>
      <c r="T136" s="12" t="s">
        <v>116</v>
      </c>
      <c r="U136" s="12" t="s">
        <v>116</v>
      </c>
      <c r="V136" s="12" t="s">
        <v>116</v>
      </c>
      <c r="W136" s="12" t="s">
        <v>116</v>
      </c>
      <c r="X136" s="12" t="s">
        <v>116</v>
      </c>
      <c r="Y136" s="32">
        <f>Sheet1!C136-Sheet1!D136</f>
        <v>0.10289999999999999</v>
      </c>
    </row>
    <row r="137" spans="1:25" ht="29" hidden="1">
      <c r="A137" s="1" t="s">
        <v>19</v>
      </c>
      <c r="B137" s="21" t="s">
        <v>58</v>
      </c>
      <c r="C137" s="16" t="s">
        <v>149</v>
      </c>
      <c r="D137" s="50" t="s">
        <v>80</v>
      </c>
      <c r="E137" s="31" t="s">
        <v>18</v>
      </c>
      <c r="F137" s="31" t="s">
        <v>18</v>
      </c>
      <c r="G137" s="31" t="s">
        <v>18</v>
      </c>
      <c r="H137" s="31" t="s">
        <v>18</v>
      </c>
      <c r="I137" s="50" t="s">
        <v>79</v>
      </c>
      <c r="J137" s="16" t="s">
        <v>31</v>
      </c>
      <c r="K137" s="16" t="str">
        <f>IF(Sheet1!E137="All","N/A",
IF(LEFT(Sheet1!E137,4)="upto","N/A",
IF(LEFT(Sheet1!E137,5)="Above",VALUE(MID(Sheet1!E137,7,2))+1,
IF(ISNUMBER(SEARCH("to",Sheet1!E137)),VALUE(LEFT(Sheet1!E137,FIND(" to",Sheet1!E137)-1)),
"N/A"))))</f>
        <v>N/A</v>
      </c>
      <c r="L137" s="16">
        <f>IF(Sheet1!E137="All","N/A",
IF(LEFT(Sheet1!E137,4)="upto",VALUE(MID(Sheet1!E137,6,2)),
IF(LEFT(Sheet1!E137,5)="Above","N/A",
IF(ISNUMBER(SEARCH("to",Sheet1!E137)),VALUE(MID(Sheet1!E137,FIND("to ",Sheet1!E137)+3,2)),
"N/A"))))</f>
        <v>15</v>
      </c>
      <c r="M137" s="29" t="s">
        <v>30</v>
      </c>
      <c r="N137" s="52" t="s">
        <v>150</v>
      </c>
      <c r="O137" s="2" t="s">
        <v>116</v>
      </c>
      <c r="P137" s="2" t="str">
        <f>IF(Sheet1!A137="No","No",
IF(LEFT(Sheet1!A137,5)="Up to",0,
VALUE(LEFT(Sheet1!A137,FIND(" ",Sheet1!A137)-1))))</f>
        <v>No</v>
      </c>
      <c r="Q137" s="2" t="str">
        <f>IF(Sheet1!A137="No","No",
IF(LEFT(Sheet1!A137,5)="Up to",
VALUE(MID(Sheet1!A137,7,FIND("kg",Sheet1!A137)-7)),
VALUE(MID(Sheet1!A137,FIND("to",Sheet1!A137)+3,FIND("kg",Sheet1!A137)-FIND("to",Sheet1!A137)-3))))</f>
        <v>No</v>
      </c>
      <c r="R137" s="3" t="s">
        <v>116</v>
      </c>
      <c r="S137" s="21" t="s">
        <v>84</v>
      </c>
      <c r="T137" s="2" t="s">
        <v>116</v>
      </c>
      <c r="U137" s="2" t="s">
        <v>116</v>
      </c>
      <c r="V137" s="2" t="s">
        <v>116</v>
      </c>
      <c r="W137" s="2" t="s">
        <v>116</v>
      </c>
      <c r="X137" s="2" t="s">
        <v>116</v>
      </c>
      <c r="Y137" s="32">
        <f>Sheet1!C137-Sheet1!D137</f>
        <v>0.10289999999999999</v>
      </c>
    </row>
    <row r="138" spans="1:25" ht="29" hidden="1">
      <c r="A138" s="1" t="s">
        <v>38</v>
      </c>
      <c r="B138" s="17" t="s">
        <v>16</v>
      </c>
      <c r="C138" s="24" t="s">
        <v>159</v>
      </c>
      <c r="D138" s="50" t="s">
        <v>80</v>
      </c>
      <c r="E138" s="30" t="s">
        <v>18</v>
      </c>
      <c r="F138" s="30" t="s">
        <v>18</v>
      </c>
      <c r="G138" s="30" t="s">
        <v>18</v>
      </c>
      <c r="H138" s="30" t="s">
        <v>18</v>
      </c>
      <c r="I138" s="50" t="s">
        <v>79</v>
      </c>
      <c r="J138" s="16" t="s">
        <v>31</v>
      </c>
      <c r="K138" s="24" t="str">
        <f>IF(Sheet1!E138="All","N/A",
IF(LEFT(Sheet1!E138,4)="upto","N/A",
IF(LEFT(Sheet1!E138,5)="Above",VALUE(MID(Sheet1!E138,7,2))+1,
IF(ISNUMBER(SEARCH("to",Sheet1!E138)),VALUE(LEFT(Sheet1!E138,FIND(" to",Sheet1!E138)-1)),
"N/A"))))</f>
        <v>N/A</v>
      </c>
      <c r="L138" s="24" t="str">
        <f>IF(Sheet1!E138="All","N/A",
IF(LEFT(Sheet1!E138,4)="upto",VALUE(MID(Sheet1!E138,6,2)),
IF(LEFT(Sheet1!E138,5)="Above","N/A",
IF(ISNUMBER(SEARCH("to",Sheet1!E138)),VALUE(MID(Sheet1!E138,FIND("to ",Sheet1!E138)+3,2)),
"N/A"))))</f>
        <v>N/A</v>
      </c>
      <c r="M138" s="29" t="s">
        <v>30</v>
      </c>
      <c r="N138" s="52" t="s">
        <v>150</v>
      </c>
      <c r="O138" s="17" t="s">
        <v>85</v>
      </c>
      <c r="P138" s="17" t="str">
        <f>IF(Sheet1!A138="No","No",
IF(LEFT(Sheet1!A138,5)="Up to",0,
VALUE(LEFT(Sheet1!A138,FIND(" ",Sheet1!A138)-1))))</f>
        <v>No</v>
      </c>
      <c r="Q138" s="17" t="str">
        <f>IF(Sheet1!A138="No","No",
IF(LEFT(Sheet1!A138,5)="Up to",
VALUE(MID(Sheet1!A138,7,FIND("kg",Sheet1!A138)-7)),
VALUE(MID(Sheet1!A138,FIND("to",Sheet1!A138)+3,FIND("kg",Sheet1!A138)-FIND("to",Sheet1!A138)-3))))</f>
        <v>No</v>
      </c>
      <c r="R138" s="3" t="s">
        <v>116</v>
      </c>
      <c r="S138" s="21" t="s">
        <v>84</v>
      </c>
      <c r="T138" s="2" t="s">
        <v>116</v>
      </c>
      <c r="U138" s="2" t="s">
        <v>116</v>
      </c>
      <c r="V138" s="2" t="s">
        <v>116</v>
      </c>
      <c r="W138" s="2" t="s">
        <v>116</v>
      </c>
      <c r="X138" s="2" t="s">
        <v>116</v>
      </c>
      <c r="Y138" s="37">
        <f>Sheet1!C138-Sheet1!D138</f>
        <v>5.390000000000001E-2</v>
      </c>
    </row>
    <row r="139" spans="1:25" ht="29" hidden="1">
      <c r="A139" s="27" t="s">
        <v>19</v>
      </c>
      <c r="B139" s="17" t="s">
        <v>16</v>
      </c>
      <c r="C139" s="24" t="s">
        <v>35</v>
      </c>
      <c r="D139" s="38" t="s">
        <v>86</v>
      </c>
      <c r="E139" s="30" t="s">
        <v>18</v>
      </c>
      <c r="F139" s="30" t="s">
        <v>18</v>
      </c>
      <c r="G139" s="30" t="s">
        <v>18</v>
      </c>
      <c r="H139" s="30" t="s">
        <v>18</v>
      </c>
      <c r="I139" s="38" t="s">
        <v>87</v>
      </c>
      <c r="J139" s="24" t="s">
        <v>151</v>
      </c>
      <c r="K139" s="24" t="str">
        <f>IF(Sheet1!E139="All","N/A",
IF(LEFT(Sheet1!E139,4)="upto","N/A",
IF(LEFT(Sheet1!E139,5)="Above",VALUE(MID(Sheet1!E139,7,2))+1,
IF(ISNUMBER(SEARCH("to",Sheet1!E139)),VALUE(LEFT(Sheet1!E139,FIND(" to",Sheet1!E139)-1)),
"N/A"))))</f>
        <v>N/A</v>
      </c>
      <c r="L139" s="24">
        <f>IF(Sheet1!E139="All","N/A",
IF(LEFT(Sheet1!E139,4)="upto",VALUE(MID(Sheet1!E139,6,2)),
IF(LEFT(Sheet1!E139,5)="Above","N/A",
IF(ISNUMBER(SEARCH("to",Sheet1!E139)),VALUE(MID(Sheet1!E139,FIND("to ",Sheet1!E139)+3,2)),
"N/A"))))</f>
        <v>15</v>
      </c>
      <c r="M139" s="29" t="s">
        <v>30</v>
      </c>
      <c r="N139" s="17" t="s">
        <v>150</v>
      </c>
      <c r="O139" s="17" t="s">
        <v>116</v>
      </c>
      <c r="P139" s="17" t="str">
        <f>IF(Sheet1!A139="No","No",
IF(LEFT(Sheet1!A139,5)="Up to",0,
VALUE(LEFT(Sheet1!A139,FIND(" ",Sheet1!A139)-1))))</f>
        <v>No</v>
      </c>
      <c r="Q139" s="17" t="str">
        <f>IF(Sheet1!A139="No","No",
IF(LEFT(Sheet1!A139,5)="Up to",
VALUE(MID(Sheet1!A139,7,FIND("kg",Sheet1!A139)-7)),
VALUE(MID(Sheet1!A139,FIND("to",Sheet1!A139)+3,FIND("kg",Sheet1!A139)-FIND("to",Sheet1!A139)-3))))</f>
        <v>No</v>
      </c>
      <c r="R139" s="3" t="s">
        <v>116</v>
      </c>
      <c r="S139" s="17" t="s">
        <v>116</v>
      </c>
      <c r="T139" s="17" t="s">
        <v>82</v>
      </c>
      <c r="U139" s="17" t="s">
        <v>37</v>
      </c>
      <c r="V139" s="17" t="s">
        <v>116</v>
      </c>
      <c r="W139" s="2" t="s">
        <v>116</v>
      </c>
      <c r="X139" s="2" t="s">
        <v>116</v>
      </c>
      <c r="Y139" s="37">
        <f>Sheet1!C139-Sheet1!D139</f>
        <v>0.20090000000000002</v>
      </c>
    </row>
    <row r="140" spans="1:25" ht="29" hidden="1">
      <c r="A140" s="26" t="s">
        <v>19</v>
      </c>
      <c r="B140" s="21" t="s">
        <v>16</v>
      </c>
      <c r="C140" s="16" t="s">
        <v>35</v>
      </c>
      <c r="D140" s="50" t="s">
        <v>86</v>
      </c>
      <c r="E140" s="31" t="s">
        <v>18</v>
      </c>
      <c r="F140" s="31" t="s">
        <v>18</v>
      </c>
      <c r="G140" s="31" t="s">
        <v>18</v>
      </c>
      <c r="H140" s="31" t="s">
        <v>18</v>
      </c>
      <c r="I140" s="50" t="s">
        <v>87</v>
      </c>
      <c r="J140" s="24" t="s">
        <v>151</v>
      </c>
      <c r="K140" s="24" t="str">
        <f>IF(Sheet1!E140="All","N/A",
IF(LEFT(Sheet1!E140,4)="upto","N/A",
IF(LEFT(Sheet1!E140,5)="Above",VALUE(MID(Sheet1!E140,7,2))+1,
IF(ISNUMBER(SEARCH("to",Sheet1!E140)),VALUE(LEFT(Sheet1!E140,FIND(" to",Sheet1!E140)-1)),
"N/A"))))</f>
        <v>N/A</v>
      </c>
      <c r="L140" s="24">
        <f>IF(Sheet1!E140="All","N/A",
IF(LEFT(Sheet1!E140,4)="upto",VALUE(MID(Sheet1!E140,6,2)),
IF(LEFT(Sheet1!E140,5)="Above","N/A",
IF(ISNUMBER(SEARCH("to",Sheet1!E140)),VALUE(MID(Sheet1!E140,FIND("to ",Sheet1!E140)+3,2)),
"N/A"))))</f>
        <v>15</v>
      </c>
      <c r="M140" s="29" t="s">
        <v>30</v>
      </c>
      <c r="N140" s="21" t="s">
        <v>150</v>
      </c>
      <c r="O140" s="21" t="s">
        <v>116</v>
      </c>
      <c r="P140" s="21" t="str">
        <f>IF(Sheet1!A140="No","No",
IF(LEFT(Sheet1!A140,5)="Up to",0,
VALUE(LEFT(Sheet1!A140,FIND(" ",Sheet1!A140)-1))))</f>
        <v>No</v>
      </c>
      <c r="Q140" s="21" t="str">
        <f>IF(Sheet1!A140="No","No",
IF(LEFT(Sheet1!A140,5)="Up to",
VALUE(MID(Sheet1!A140,7,FIND("kg",Sheet1!A140)-7)),
VALUE(MID(Sheet1!A140,FIND("to",Sheet1!A140)+3,FIND("kg",Sheet1!A140)-FIND("to",Sheet1!A140)-3))))</f>
        <v>No</v>
      </c>
      <c r="R140" s="3" t="s">
        <v>116</v>
      </c>
      <c r="S140" s="21" t="s">
        <v>116</v>
      </c>
      <c r="T140" s="17" t="s">
        <v>82</v>
      </c>
      <c r="U140" s="21" t="s">
        <v>116</v>
      </c>
      <c r="V140" s="21" t="s">
        <v>116</v>
      </c>
      <c r="W140" s="2" t="s">
        <v>116</v>
      </c>
      <c r="X140" s="2" t="s">
        <v>116</v>
      </c>
      <c r="Y140" s="32">
        <f>Sheet1!C140-Sheet1!D140</f>
        <v>0.20090000000000002</v>
      </c>
    </row>
    <row r="141" spans="1:25" ht="43.5" hidden="1">
      <c r="A141" s="27" t="s">
        <v>21</v>
      </c>
      <c r="B141" s="21" t="s">
        <v>16</v>
      </c>
      <c r="C141" s="24" t="s">
        <v>155</v>
      </c>
      <c r="D141" s="50" t="s">
        <v>86</v>
      </c>
      <c r="E141" s="30" t="s">
        <v>18</v>
      </c>
      <c r="F141" s="30" t="s">
        <v>18</v>
      </c>
      <c r="G141" s="30" t="s">
        <v>18</v>
      </c>
      <c r="H141" s="30" t="s">
        <v>18</v>
      </c>
      <c r="I141" s="50" t="s">
        <v>87</v>
      </c>
      <c r="J141" s="24" t="s">
        <v>31</v>
      </c>
      <c r="K141" s="24" t="str">
        <f>IF(Sheet1!E141="All","N/A",
IF(LEFT(Sheet1!E141,4)="upto","N/A",
IF(LEFT(Sheet1!E141,5)="Above",VALUE(MID(Sheet1!E141,7,2))+1,
IF(ISNUMBER(SEARCH("to",Sheet1!E141)),VALUE(LEFT(Sheet1!E141,FIND(" to",Sheet1!E141)-1)),
"N/A"))))</f>
        <v>N/A</v>
      </c>
      <c r="L141" s="24" t="str">
        <f>IF(Sheet1!E141="All","N/A",
IF(LEFT(Sheet1!E141,4)="upto",VALUE(MID(Sheet1!E141,6,2)),
IF(LEFT(Sheet1!E141,5)="Above","N/A",
IF(ISNUMBER(SEARCH("to",Sheet1!E141)),VALUE(MID(Sheet1!E141,FIND("to ",Sheet1!E141)+3,2)),
"N/A"))))</f>
        <v>N/A</v>
      </c>
      <c r="M141" s="29" t="s">
        <v>17</v>
      </c>
      <c r="N141" s="17" t="s">
        <v>88</v>
      </c>
      <c r="O141" s="21" t="s">
        <v>116</v>
      </c>
      <c r="P141" s="21" t="str">
        <f>IF(Sheet1!A141="No","No",
IF(LEFT(Sheet1!A141,5)="Up to",0,
VALUE(LEFT(Sheet1!A141,FIND(" ",Sheet1!A141)-1))))</f>
        <v>No</v>
      </c>
      <c r="Q141" s="21" t="str">
        <f>IF(Sheet1!A141="No","No",
IF(LEFT(Sheet1!A141,5)="Up to",
VALUE(MID(Sheet1!A141,7,FIND("kg",Sheet1!A141)-7)),
VALUE(MID(Sheet1!A141,FIND("to",Sheet1!A141)+3,FIND("kg",Sheet1!A141)-FIND("to",Sheet1!A141)-3))))</f>
        <v>No</v>
      </c>
      <c r="R141" s="3" t="s">
        <v>116</v>
      </c>
      <c r="S141" s="21" t="s">
        <v>116</v>
      </c>
      <c r="T141" s="17" t="s">
        <v>116</v>
      </c>
      <c r="U141" s="21" t="s">
        <v>116</v>
      </c>
      <c r="V141" s="21" t="s">
        <v>116</v>
      </c>
      <c r="W141" s="2" t="s">
        <v>116</v>
      </c>
      <c r="X141" s="2" t="s">
        <v>116</v>
      </c>
      <c r="Y141" s="37">
        <f>Sheet1!C141-Sheet1!D141</f>
        <v>0.14700000000000002</v>
      </c>
    </row>
    <row r="142" spans="1:25" ht="29" hidden="1">
      <c r="A142" s="26" t="s">
        <v>21</v>
      </c>
      <c r="B142" s="21" t="s">
        <v>16</v>
      </c>
      <c r="C142" s="16" t="s">
        <v>159</v>
      </c>
      <c r="D142" s="50" t="s">
        <v>86</v>
      </c>
      <c r="E142" s="31" t="s">
        <v>18</v>
      </c>
      <c r="F142" s="31" t="s">
        <v>18</v>
      </c>
      <c r="G142" s="31" t="s">
        <v>18</v>
      </c>
      <c r="H142" s="31" t="s">
        <v>18</v>
      </c>
      <c r="I142" s="50" t="s">
        <v>87</v>
      </c>
      <c r="J142" s="16" t="s">
        <v>31</v>
      </c>
      <c r="K142" s="16" t="str">
        <f>IF(Sheet1!E142="All","N/A",
IF(LEFT(Sheet1!E142,4)="upto","N/A",
IF(LEFT(Sheet1!E142,5)="Above",VALUE(MID(Sheet1!E142,7,2))+1,
IF(ISNUMBER(SEARCH("to",Sheet1!E142)),VALUE(LEFT(Sheet1!E142,FIND(" to",Sheet1!E142)-1)),
"N/A"))))</f>
        <v>N/A</v>
      </c>
      <c r="L142" s="16" t="str">
        <f>IF(Sheet1!E142="All","N/A",
IF(LEFT(Sheet1!E142,4)="upto",VALUE(MID(Sheet1!E142,6,2)),
IF(LEFT(Sheet1!E142,5)="Above","N/A",
IF(ISNUMBER(SEARCH("to",Sheet1!E142)),VALUE(MID(Sheet1!E142,FIND("to ",Sheet1!E142)+3,2)),
"N/A"))))</f>
        <v>N/A</v>
      </c>
      <c r="M142" s="29" t="s">
        <v>17</v>
      </c>
      <c r="N142" s="21" t="s">
        <v>88</v>
      </c>
      <c r="O142" s="21" t="s">
        <v>116</v>
      </c>
      <c r="P142" s="21" t="str">
        <f>IF(Sheet1!A142="No","No",
IF(LEFT(Sheet1!A142,5)="Up to",0,
VALUE(LEFT(Sheet1!A142,FIND(" ",Sheet1!A142)-1))))</f>
        <v>No</v>
      </c>
      <c r="Q142" s="21" t="str">
        <f>IF(Sheet1!A142="No","No",
IF(LEFT(Sheet1!A142,5)="Up to",
VALUE(MID(Sheet1!A142,7,FIND("kg",Sheet1!A142)-7)),
VALUE(MID(Sheet1!A142,FIND("to",Sheet1!A142)+3,FIND("kg",Sheet1!A142)-FIND("to",Sheet1!A142)-3))))</f>
        <v>No</v>
      </c>
      <c r="R142" s="3" t="s">
        <v>116</v>
      </c>
      <c r="S142" s="21" t="s">
        <v>116</v>
      </c>
      <c r="T142" s="21" t="s">
        <v>116</v>
      </c>
      <c r="U142" s="21" t="s">
        <v>116</v>
      </c>
      <c r="V142" s="21" t="s">
        <v>116</v>
      </c>
      <c r="W142" s="2" t="s">
        <v>116</v>
      </c>
      <c r="X142" s="2" t="s">
        <v>116</v>
      </c>
      <c r="Y142" s="32">
        <f>Sheet1!C142-Sheet1!D142</f>
        <v>0.14700000000000002</v>
      </c>
    </row>
    <row r="143" spans="1:25" ht="29">
      <c r="A143" s="27" t="s">
        <v>66</v>
      </c>
      <c r="B143" s="21" t="s">
        <v>16</v>
      </c>
      <c r="C143" s="24" t="s">
        <v>35</v>
      </c>
      <c r="D143" s="44" t="s">
        <v>22</v>
      </c>
      <c r="E143" s="30" t="s">
        <v>18</v>
      </c>
      <c r="F143" s="30" t="s">
        <v>18</v>
      </c>
      <c r="G143" s="30" t="s">
        <v>18</v>
      </c>
      <c r="H143" s="30" t="s">
        <v>18</v>
      </c>
      <c r="I143" s="38" t="s">
        <v>89</v>
      </c>
      <c r="J143" s="24" t="s">
        <v>31</v>
      </c>
      <c r="K143" s="24" t="str">
        <f>IF(Sheet1!E143="All","N/A",
IF(LEFT(Sheet1!E143,4)="upto","N/A",
IF(LEFT(Sheet1!E143,5)="Above",VALUE(MID(Sheet1!E143,7,2))+1,
IF(ISNUMBER(SEARCH("to",Sheet1!E143)),VALUE(LEFT(Sheet1!E143,FIND(" to",Sheet1!E143)-1)),
"N/A"))))</f>
        <v>N/A</v>
      </c>
      <c r="L143" s="24" t="str">
        <f>IF(Sheet1!E143="All","N/A",
IF(LEFT(Sheet1!E143,4)="upto",VALUE(MID(Sheet1!E143,6,2)),
IF(LEFT(Sheet1!E143,5)="Above","N/A",
IF(ISNUMBER(SEARCH("to",Sheet1!E143)),VALUE(MID(Sheet1!E143,FIND("to ",Sheet1!E143)+3,2)),
"N/A"))))</f>
        <v>N/A</v>
      </c>
      <c r="M143" s="29" t="s">
        <v>17</v>
      </c>
      <c r="N143" s="17" t="s">
        <v>150</v>
      </c>
      <c r="O143" s="21" t="s">
        <v>116</v>
      </c>
      <c r="P143" s="21" t="str">
        <f>IF(Sheet1!A143="No","No",
IF(LEFT(Sheet1!A143,5)="Up to",0,
VALUE(LEFT(Sheet1!A143,FIND(" ",Sheet1!A143)-1))))</f>
        <v>No</v>
      </c>
      <c r="Q143" s="21" t="str">
        <f>IF(Sheet1!A143="No","No",
IF(LEFT(Sheet1!A143,5)="Up to",
VALUE(MID(Sheet1!A143,7,FIND("kg",Sheet1!A143)-7)),
VALUE(MID(Sheet1!A143,FIND("to",Sheet1!A143)+3,FIND("kg",Sheet1!A143)-FIND("to",Sheet1!A143)-3))))</f>
        <v>No</v>
      </c>
      <c r="R143" s="21" t="s">
        <v>116</v>
      </c>
      <c r="S143" s="21" t="s">
        <v>116</v>
      </c>
      <c r="T143" s="21" t="s">
        <v>116</v>
      </c>
      <c r="U143" s="21" t="s">
        <v>116</v>
      </c>
      <c r="V143" s="21" t="s">
        <v>116</v>
      </c>
      <c r="W143" s="21" t="s">
        <v>116</v>
      </c>
      <c r="X143" s="21" t="s">
        <v>116</v>
      </c>
      <c r="Y143" s="37">
        <f>Sheet1!C143-Sheet1!D143</f>
        <v>0.10289999999999999</v>
      </c>
    </row>
    <row r="144" spans="1:25" ht="29">
      <c r="A144" s="26" t="s">
        <v>66</v>
      </c>
      <c r="B144" s="21" t="s">
        <v>16</v>
      </c>
      <c r="C144" s="16" t="s">
        <v>35</v>
      </c>
      <c r="D144" s="45" t="s">
        <v>22</v>
      </c>
      <c r="E144" s="31" t="s">
        <v>18</v>
      </c>
      <c r="F144" s="31" t="s">
        <v>18</v>
      </c>
      <c r="G144" s="31" t="s">
        <v>18</v>
      </c>
      <c r="H144" s="31" t="s">
        <v>18</v>
      </c>
      <c r="I144" s="50" t="s">
        <v>89</v>
      </c>
      <c r="J144" s="16" t="s">
        <v>31</v>
      </c>
      <c r="K144" s="16" t="str">
        <f>IF(Sheet1!E144="All","N/A",
IF(LEFT(Sheet1!E144,4)="upto","N/A",
IF(LEFT(Sheet1!E144,5)="Above",VALUE(MID(Sheet1!E144,7,2))+1,
IF(ISNUMBER(SEARCH("to",Sheet1!E144)),VALUE(LEFT(Sheet1!E144,FIND(" to",Sheet1!E144)-1)),
"N/A"))))</f>
        <v>N/A</v>
      </c>
      <c r="L144" s="16" t="str">
        <f>IF(Sheet1!E144="All","N/A",
IF(LEFT(Sheet1!E144,4)="upto",VALUE(MID(Sheet1!E144,6,2)),
IF(LEFT(Sheet1!E144,5)="Above","N/A",
IF(ISNUMBER(SEARCH("to",Sheet1!E144)),VALUE(MID(Sheet1!E144,FIND("to ",Sheet1!E144)+3,2)),
"N/A"))))</f>
        <v>N/A</v>
      </c>
      <c r="M144" s="29" t="s">
        <v>20</v>
      </c>
      <c r="N144" s="21" t="s">
        <v>150</v>
      </c>
      <c r="O144" s="21" t="s">
        <v>116</v>
      </c>
      <c r="P144" s="21" t="str">
        <f>IF(Sheet1!A144="No","No",
IF(LEFT(Sheet1!A144,5)="Up to",0,
VALUE(LEFT(Sheet1!A144,FIND(" ",Sheet1!A144)-1))))</f>
        <v>No</v>
      </c>
      <c r="Q144" s="21" t="str">
        <f>IF(Sheet1!A144="No","No",
IF(LEFT(Sheet1!A144,5)="Up to",
VALUE(MID(Sheet1!A144,7,FIND("kg",Sheet1!A144)-7)),
VALUE(MID(Sheet1!A144,FIND("to",Sheet1!A144)+3,FIND("kg",Sheet1!A144)-FIND("to",Sheet1!A144)-3))))</f>
        <v>No</v>
      </c>
      <c r="R144" s="16" t="s">
        <v>116</v>
      </c>
      <c r="S144" s="21" t="s">
        <v>116</v>
      </c>
      <c r="T144" s="21" t="s">
        <v>116</v>
      </c>
      <c r="U144" s="21" t="s">
        <v>116</v>
      </c>
      <c r="V144" s="21" t="s">
        <v>116</v>
      </c>
      <c r="W144" s="21" t="s">
        <v>116</v>
      </c>
      <c r="X144" s="21" t="s">
        <v>116</v>
      </c>
      <c r="Y144" s="32">
        <f>Sheet1!C144-Sheet1!D144</f>
        <v>5.390000000000001E-2</v>
      </c>
    </row>
    <row r="145" spans="1:25" ht="29">
      <c r="A145" s="11" t="s">
        <v>76</v>
      </c>
      <c r="B145" s="21" t="s">
        <v>16</v>
      </c>
      <c r="C145" s="16" t="s">
        <v>35</v>
      </c>
      <c r="D145" s="45" t="s">
        <v>22</v>
      </c>
      <c r="E145" s="31" t="s">
        <v>18</v>
      </c>
      <c r="F145" s="31" t="s">
        <v>18</v>
      </c>
      <c r="G145" s="31" t="s">
        <v>18</v>
      </c>
      <c r="H145" s="31" t="s">
        <v>18</v>
      </c>
      <c r="I145" s="50" t="s">
        <v>89</v>
      </c>
      <c r="J145" s="16" t="s">
        <v>31</v>
      </c>
      <c r="K145" s="16" t="str">
        <f>IF(Sheet1!E145="All","N/A",
IF(LEFT(Sheet1!E145,4)="upto","N/A",
IF(LEFT(Sheet1!E145,5)="Above",VALUE(MID(Sheet1!E145,7,2))+1,
IF(ISNUMBER(SEARCH("to",Sheet1!E145)),VALUE(LEFT(Sheet1!E145,FIND(" to",Sheet1!E145)-1)),
"N/A"))))</f>
        <v>N/A</v>
      </c>
      <c r="L145" s="16" t="str">
        <f>IF(Sheet1!E145="All","N/A",
IF(LEFT(Sheet1!E145,4)="upto",VALUE(MID(Sheet1!E145,6,2)),
IF(LEFT(Sheet1!E145,5)="Above","N/A",
IF(ISNUMBER(SEARCH("to",Sheet1!E145)),VALUE(MID(Sheet1!E145,FIND("to ",Sheet1!E145)+3,2)),
"N/A"))))</f>
        <v>N/A</v>
      </c>
      <c r="M145" s="29" t="s">
        <v>30</v>
      </c>
      <c r="N145" s="21" t="s">
        <v>150</v>
      </c>
      <c r="O145" s="21" t="s">
        <v>116</v>
      </c>
      <c r="P145" s="21" t="str">
        <f>IF(Sheet1!A145="No","No",
IF(LEFT(Sheet1!A145,5)="Up to",0,
VALUE(LEFT(Sheet1!A145,FIND(" ",Sheet1!A145)-1))))</f>
        <v>No</v>
      </c>
      <c r="Q145" s="21" t="str">
        <f>IF(Sheet1!A145="No","No",
IF(LEFT(Sheet1!A145,5)="Up to",
VALUE(MID(Sheet1!A145,7,FIND("kg",Sheet1!A145)-7)),
VALUE(MID(Sheet1!A145,FIND("to",Sheet1!A145)+3,FIND("kg",Sheet1!A145)-FIND("to",Sheet1!A145)-3))))</f>
        <v>No</v>
      </c>
      <c r="R145" s="16" t="s">
        <v>116</v>
      </c>
      <c r="S145" s="21" t="s">
        <v>116</v>
      </c>
      <c r="T145" s="21" t="s">
        <v>116</v>
      </c>
      <c r="U145" s="21" t="s">
        <v>116</v>
      </c>
      <c r="V145" s="21" t="s">
        <v>116</v>
      </c>
      <c r="W145" s="21" t="s">
        <v>116</v>
      </c>
      <c r="X145" s="21" t="s">
        <v>116</v>
      </c>
      <c r="Y145" s="37">
        <f>Sheet1!C145-Sheet1!D145</f>
        <v>0.22050000000000003</v>
      </c>
    </row>
    <row r="146" spans="1:25" hidden="1">
      <c r="A146" s="28" t="s">
        <v>19</v>
      </c>
      <c r="B146" s="21" t="s">
        <v>16</v>
      </c>
      <c r="C146" s="16" t="s">
        <v>35</v>
      </c>
      <c r="D146" s="54" t="s">
        <v>90</v>
      </c>
      <c r="E146" s="30" t="s">
        <v>18</v>
      </c>
      <c r="F146" s="30" t="s">
        <v>18</v>
      </c>
      <c r="G146" s="30" t="s">
        <v>18</v>
      </c>
      <c r="H146" s="30" t="s">
        <v>18</v>
      </c>
      <c r="I146" s="38" t="s">
        <v>91</v>
      </c>
      <c r="J146" s="16" t="s">
        <v>31</v>
      </c>
      <c r="K146" s="16" t="str">
        <f>IF(Sheet1!E146="All","N/A",
IF(LEFT(Sheet1!E146,4)="upto","N/A",
IF(LEFT(Sheet1!E146,5)="Above",VALUE(MID(Sheet1!E146,7,2))+1,
IF(ISNUMBER(SEARCH("to",Sheet1!E146)),VALUE(LEFT(Sheet1!E146,FIND(" to",Sheet1!E146)-1)),
"N/A"))))</f>
        <v>N/A</v>
      </c>
      <c r="L146" s="16" t="str">
        <f>IF(Sheet1!E146="All","N/A",
IF(LEFT(Sheet1!E146,4)="upto",VALUE(MID(Sheet1!E146,6,2)),
IF(LEFT(Sheet1!E146,5)="Above","N/A",
IF(ISNUMBER(SEARCH("to",Sheet1!E146)),VALUE(MID(Sheet1!E146,FIND("to ",Sheet1!E146)+3,2)),
"N/A"))))</f>
        <v>N/A</v>
      </c>
      <c r="M146" s="29" t="s">
        <v>17</v>
      </c>
      <c r="N146" s="17" t="s">
        <v>54</v>
      </c>
      <c r="O146" s="21" t="s">
        <v>116</v>
      </c>
      <c r="P146" s="21" t="str">
        <f>IF(Sheet1!A146="No","No",
IF(LEFT(Sheet1!A146,5)="Up to",0,
VALUE(LEFT(Sheet1!A146,FIND(" ",Sheet1!A146)-1))))</f>
        <v>No</v>
      </c>
      <c r="Q146" s="21" t="str">
        <f>IF(Sheet1!A146="No","No",
IF(LEFT(Sheet1!A146,5)="Up to",
VALUE(MID(Sheet1!A146,7,FIND("kg",Sheet1!A146)-7)),
VALUE(MID(Sheet1!A146,FIND("to",Sheet1!A146)+3,FIND("kg",Sheet1!A146)-FIND("to",Sheet1!A146)-3))))</f>
        <v>No</v>
      </c>
      <c r="R146" s="16" t="s">
        <v>116</v>
      </c>
      <c r="S146" s="21" t="s">
        <v>116</v>
      </c>
      <c r="T146" s="21" t="s">
        <v>116</v>
      </c>
      <c r="U146" s="21" t="s">
        <v>116</v>
      </c>
      <c r="V146" s="21" t="s">
        <v>116</v>
      </c>
      <c r="W146" s="21" t="s">
        <v>116</v>
      </c>
      <c r="X146" s="21" t="s">
        <v>116</v>
      </c>
      <c r="Y146" s="37">
        <f>Sheet1!C146-Sheet1!D146</f>
        <v>0.2989</v>
      </c>
    </row>
    <row r="147" spans="1:25" hidden="1">
      <c r="A147" s="27" t="s">
        <v>36</v>
      </c>
      <c r="B147" s="21" t="s">
        <v>16</v>
      </c>
      <c r="C147" s="16" t="s">
        <v>35</v>
      </c>
      <c r="D147" s="54" t="s">
        <v>90</v>
      </c>
      <c r="E147" s="30" t="s">
        <v>18</v>
      </c>
      <c r="F147" s="30" t="s">
        <v>18</v>
      </c>
      <c r="G147" s="30" t="s">
        <v>18</v>
      </c>
      <c r="H147" s="30" t="s">
        <v>18</v>
      </c>
      <c r="I147" s="38" t="s">
        <v>91</v>
      </c>
      <c r="J147" s="16" t="s">
        <v>31</v>
      </c>
      <c r="K147" s="16" t="str">
        <f>IF(Sheet1!E147="All","N/A",
IF(LEFT(Sheet1!E147,4)="upto","N/A",
IF(LEFT(Sheet1!E147,5)="Above",VALUE(MID(Sheet1!E147,7,2))+1,
IF(ISNUMBER(SEARCH("to",Sheet1!E147)),VALUE(LEFT(Sheet1!E147,FIND(" to",Sheet1!E147)-1)),
"N/A"))))</f>
        <v>N/A</v>
      </c>
      <c r="L147" s="16" t="str">
        <f>IF(Sheet1!E147="All","N/A",
IF(LEFT(Sheet1!E147,4)="upto",VALUE(MID(Sheet1!E147,6,2)),
IF(LEFT(Sheet1!E147,5)="Above","N/A",
IF(ISNUMBER(SEARCH("to",Sheet1!E147)),VALUE(MID(Sheet1!E147,FIND("to ",Sheet1!E147)+3,2)),
"N/A"))))</f>
        <v>N/A</v>
      </c>
      <c r="M147" s="29" t="s">
        <v>17</v>
      </c>
      <c r="N147" s="17" t="s">
        <v>54</v>
      </c>
      <c r="O147" s="21" t="s">
        <v>116</v>
      </c>
      <c r="P147" s="21" t="str">
        <f>IF(Sheet1!A147="No","No",
IF(LEFT(Sheet1!A147,5)="Up to",0,
VALUE(LEFT(Sheet1!A147,FIND(" ",Sheet1!A147)-1))))</f>
        <v>No</v>
      </c>
      <c r="Q147" s="21" t="str">
        <f>IF(Sheet1!A147="No","No",
IF(LEFT(Sheet1!A147,5)="Up to",
VALUE(MID(Sheet1!A147,7,FIND("kg",Sheet1!A147)-7)),
VALUE(MID(Sheet1!A147,FIND("to",Sheet1!A147)+3,FIND("kg",Sheet1!A147)-FIND("to",Sheet1!A147)-3))))</f>
        <v>No</v>
      </c>
      <c r="R147" s="16" t="s">
        <v>116</v>
      </c>
      <c r="S147" s="21" t="s">
        <v>116</v>
      </c>
      <c r="T147" s="21" t="s">
        <v>116</v>
      </c>
      <c r="U147" s="21" t="s">
        <v>116</v>
      </c>
      <c r="V147" s="17" t="s">
        <v>37</v>
      </c>
      <c r="W147" s="21" t="s">
        <v>116</v>
      </c>
      <c r="X147" s="21" t="s">
        <v>116</v>
      </c>
      <c r="Y147" s="37">
        <f>Sheet1!C147-Sheet1!D147</f>
        <v>0.26950000000000002</v>
      </c>
    </row>
    <row r="148" spans="1:25" ht="58" hidden="1">
      <c r="A148" s="27" t="s">
        <v>36</v>
      </c>
      <c r="B148" s="21" t="s">
        <v>16</v>
      </c>
      <c r="C148" s="16" t="s">
        <v>35</v>
      </c>
      <c r="D148" s="54" t="s">
        <v>90</v>
      </c>
      <c r="E148" s="30" t="s">
        <v>18</v>
      </c>
      <c r="F148" s="30" t="s">
        <v>18</v>
      </c>
      <c r="G148" s="30" t="s">
        <v>18</v>
      </c>
      <c r="H148" s="30" t="s">
        <v>18</v>
      </c>
      <c r="I148" s="38" t="s">
        <v>92</v>
      </c>
      <c r="J148" s="16" t="s">
        <v>31</v>
      </c>
      <c r="K148" s="16" t="str">
        <f>IF(Sheet1!E148="All","N/A",
IF(LEFT(Sheet1!E148,4)="upto","N/A",
IF(LEFT(Sheet1!E148,5)="Above",VALUE(MID(Sheet1!E148,7,2))+1,
IF(ISNUMBER(SEARCH("to",Sheet1!E148)),VALUE(LEFT(Sheet1!E148,FIND(" to",Sheet1!E148)-1)),
"N/A"))))</f>
        <v>N/A</v>
      </c>
      <c r="L148" s="16" t="str">
        <f>IF(Sheet1!E148="All","N/A",
IF(LEFT(Sheet1!E148,4)="upto",VALUE(MID(Sheet1!E148,6,2)),
IF(LEFT(Sheet1!E148,5)="Above","N/A",
IF(ISNUMBER(SEARCH("to",Sheet1!E148)),VALUE(MID(Sheet1!E148,FIND("to ",Sheet1!E148)+3,2)),
"N/A"))))</f>
        <v>N/A</v>
      </c>
      <c r="M148" s="29" t="s">
        <v>30</v>
      </c>
      <c r="N148" s="17" t="s">
        <v>150</v>
      </c>
      <c r="O148" s="21" t="s">
        <v>116</v>
      </c>
      <c r="P148" s="21" t="str">
        <f>IF(Sheet1!A148="No","No",
IF(LEFT(Sheet1!A148,5)="Up to",0,
VALUE(LEFT(Sheet1!A148,FIND(" ",Sheet1!A148)-1))))</f>
        <v>No</v>
      </c>
      <c r="Q148" s="21" t="str">
        <f>IF(Sheet1!A148="No","No",
IF(LEFT(Sheet1!A148,5)="Up to",
VALUE(MID(Sheet1!A148,7,FIND("kg",Sheet1!A148)-7)),
VALUE(MID(Sheet1!A148,FIND("to",Sheet1!A148)+3,FIND("kg",Sheet1!A148)-FIND("to",Sheet1!A148)-3))))</f>
        <v>No</v>
      </c>
      <c r="R148" s="16" t="s">
        <v>116</v>
      </c>
      <c r="S148" s="21" t="s">
        <v>116</v>
      </c>
      <c r="T148" s="21" t="s">
        <v>116</v>
      </c>
      <c r="U148" s="21" t="s">
        <v>116</v>
      </c>
      <c r="V148" s="17" t="s">
        <v>37</v>
      </c>
      <c r="W148" s="21" t="s">
        <v>116</v>
      </c>
      <c r="X148" s="21" t="s">
        <v>116</v>
      </c>
      <c r="Y148" s="37">
        <f>Sheet1!C148-Sheet1!D148</f>
        <v>0.12740000000000001</v>
      </c>
    </row>
    <row r="149" spans="1:25" ht="29" hidden="1">
      <c r="A149" s="27" t="s">
        <v>52</v>
      </c>
      <c r="B149" s="21" t="s">
        <v>16</v>
      </c>
      <c r="C149" s="16" t="s">
        <v>35</v>
      </c>
      <c r="D149" s="54" t="s">
        <v>90</v>
      </c>
      <c r="E149" s="30" t="s">
        <v>18</v>
      </c>
      <c r="F149" s="46">
        <v>46037</v>
      </c>
      <c r="G149" s="30" t="s">
        <v>18</v>
      </c>
      <c r="H149" s="30" t="s">
        <v>18</v>
      </c>
      <c r="I149" s="44" t="s">
        <v>93</v>
      </c>
      <c r="J149" s="16" t="s">
        <v>31</v>
      </c>
      <c r="K149" s="16" t="str">
        <f>IF(Sheet1!E149="All","N/A",
IF(LEFT(Sheet1!E149,4)="upto","N/A",
IF(LEFT(Sheet1!E149,5)="Above",VALUE(MID(Sheet1!E149,7,2))+1,
IF(ISNUMBER(SEARCH("to",Sheet1!E149)),VALUE(LEFT(Sheet1!E149,FIND(" to",Sheet1!E149)-1)),
"N/A"))))</f>
        <v>N/A</v>
      </c>
      <c r="L149" s="16" t="str">
        <f>IF(Sheet1!E149="All","N/A",
IF(LEFT(Sheet1!E149,4)="upto",VALUE(MID(Sheet1!E149,6,2)),
IF(LEFT(Sheet1!E149,5)="Above","N/A",
IF(ISNUMBER(SEARCH("to",Sheet1!E149)),VALUE(MID(Sheet1!E149,FIND("to ",Sheet1!E149)+3,2)),
"N/A"))))</f>
        <v>N/A</v>
      </c>
      <c r="M149" s="29" t="s">
        <v>30</v>
      </c>
      <c r="N149" s="17" t="s">
        <v>150</v>
      </c>
      <c r="O149" s="21" t="s">
        <v>116</v>
      </c>
      <c r="P149" s="21" t="str">
        <f>IF(Sheet1!A149="No","No",
IF(LEFT(Sheet1!A149,5)="Up to",0,
VALUE(LEFT(Sheet1!A149,FIND(" ",Sheet1!A149)-1))))</f>
        <v>No</v>
      </c>
      <c r="Q149" s="21" t="str">
        <f>IF(Sheet1!A149="No","No",
IF(LEFT(Sheet1!A149,5)="Up to",
VALUE(MID(Sheet1!A149,7,FIND("kg",Sheet1!A149)-7)),
VALUE(MID(Sheet1!A149,FIND("to",Sheet1!A149)+3,FIND("kg",Sheet1!A149)-FIND("to",Sheet1!A149)-3))))</f>
        <v>No</v>
      </c>
      <c r="R149" s="16" t="s">
        <v>116</v>
      </c>
      <c r="S149" s="21" t="s">
        <v>116</v>
      </c>
      <c r="T149" s="21" t="s">
        <v>116</v>
      </c>
      <c r="U149" s="21" t="s">
        <v>116</v>
      </c>
      <c r="V149" s="17" t="s">
        <v>116</v>
      </c>
      <c r="W149" s="17" t="s">
        <v>116</v>
      </c>
      <c r="X149" s="17" t="s">
        <v>116</v>
      </c>
      <c r="Y149" s="37">
        <f>Sheet1!C149-Sheet1!D149</f>
        <v>0.34790000000000004</v>
      </c>
    </row>
    <row r="150" spans="1:25" ht="29" hidden="1">
      <c r="A150" s="26" t="s">
        <v>52</v>
      </c>
      <c r="B150" s="21" t="s">
        <v>58</v>
      </c>
      <c r="C150" s="16" t="s">
        <v>146</v>
      </c>
      <c r="D150" s="55" t="s">
        <v>90</v>
      </c>
      <c r="E150" s="31" t="s">
        <v>18</v>
      </c>
      <c r="F150" s="42">
        <v>46037</v>
      </c>
      <c r="G150" s="31" t="s">
        <v>18</v>
      </c>
      <c r="H150" s="31" t="s">
        <v>18</v>
      </c>
      <c r="I150" s="45" t="s">
        <v>93</v>
      </c>
      <c r="J150" s="16" t="s">
        <v>31</v>
      </c>
      <c r="K150" s="16" t="str">
        <f>IF(Sheet1!E150="All","N/A",
IF(LEFT(Sheet1!E150,4)="upto","N/A",
IF(LEFT(Sheet1!E150,5)="Above",VALUE(MID(Sheet1!E150,7,2))+1,
IF(ISNUMBER(SEARCH("to",Sheet1!E150)),VALUE(LEFT(Sheet1!E150,FIND(" to",Sheet1!E150)-1)),
"N/A"))))</f>
        <v>N/A</v>
      </c>
      <c r="L150" s="16" t="str">
        <f>IF(Sheet1!E150="All","N/A",
IF(LEFT(Sheet1!E150,4)="upto",VALUE(MID(Sheet1!E150,6,2)),
IF(LEFT(Sheet1!E150,5)="Above","N/A",
IF(ISNUMBER(SEARCH("to",Sheet1!E150)),VALUE(MID(Sheet1!E150,FIND("to ",Sheet1!E150)+3,2)),
"N/A"))))</f>
        <v>N/A</v>
      </c>
      <c r="M150" s="29" t="s">
        <v>30</v>
      </c>
      <c r="N150" s="21" t="s">
        <v>150</v>
      </c>
      <c r="O150" s="21" t="s">
        <v>116</v>
      </c>
      <c r="P150" s="21" t="str">
        <f>IF(Sheet1!A150="No","No",
IF(LEFT(Sheet1!A150,5)="Up to",0,
VALUE(LEFT(Sheet1!A150,FIND(" ",Sheet1!A150)-1))))</f>
        <v>No</v>
      </c>
      <c r="Q150" s="21" t="str">
        <f>IF(Sheet1!A150="No","No",
IF(LEFT(Sheet1!A150,5)="Up to",
VALUE(MID(Sheet1!A150,7,FIND("kg",Sheet1!A150)-7)),
VALUE(MID(Sheet1!A150,FIND("to",Sheet1!A150)+3,FIND("kg",Sheet1!A150)-FIND("to",Sheet1!A150)-3))))</f>
        <v>No</v>
      </c>
      <c r="R150" s="16" t="s">
        <v>116</v>
      </c>
      <c r="S150" s="21" t="s">
        <v>116</v>
      </c>
      <c r="T150" s="21" t="s">
        <v>116</v>
      </c>
      <c r="U150" s="21" t="s">
        <v>116</v>
      </c>
      <c r="V150" s="21" t="s">
        <v>116</v>
      </c>
      <c r="W150" s="21" t="s">
        <v>116</v>
      </c>
      <c r="X150" s="21" t="s">
        <v>116</v>
      </c>
      <c r="Y150" s="32">
        <f>Sheet1!C150-Sheet1!D150</f>
        <v>0.25969999999999999</v>
      </c>
    </row>
    <row r="151" spans="1:25" ht="87" hidden="1">
      <c r="A151" s="28" t="s">
        <v>66</v>
      </c>
      <c r="B151" s="17" t="s">
        <v>16</v>
      </c>
      <c r="C151" s="16" t="s">
        <v>35</v>
      </c>
      <c r="D151" s="54" t="s">
        <v>80</v>
      </c>
      <c r="E151" s="30" t="s">
        <v>18</v>
      </c>
      <c r="F151" s="30" t="s">
        <v>18</v>
      </c>
      <c r="G151" s="30" t="s">
        <v>18</v>
      </c>
      <c r="H151" s="30" t="s">
        <v>18</v>
      </c>
      <c r="I151" s="38" t="s">
        <v>95</v>
      </c>
      <c r="J151" s="16" t="s">
        <v>31</v>
      </c>
      <c r="K151" s="16" t="str">
        <f>IF(Sheet1!E151="All","N/A",
IF(LEFT(Sheet1!E151,4)="upto","N/A",
IF(LEFT(Sheet1!E151,5)="Above",VALUE(MID(Sheet1!E151,7,2))+1,
IF(ISNUMBER(SEARCH("to",Sheet1!E151)),VALUE(LEFT(Sheet1!E151,FIND(" to",Sheet1!E151)-1)),
"N/A"))))</f>
        <v>N/A</v>
      </c>
      <c r="L151" s="16" t="str">
        <f>IF(Sheet1!E151="All","N/A",
IF(LEFT(Sheet1!E151,4)="upto",VALUE(MID(Sheet1!E151,6,2)),
IF(LEFT(Sheet1!E151,5)="Above","N/A",
IF(ISNUMBER(SEARCH("to",Sheet1!E151)),VALUE(MID(Sheet1!E151,FIND("to ",Sheet1!E151)+3,2)),
"N/A"))))</f>
        <v>N/A</v>
      </c>
      <c r="M151" s="29" t="s">
        <v>30</v>
      </c>
      <c r="N151" s="21" t="s">
        <v>150</v>
      </c>
      <c r="O151" s="21" t="s">
        <v>116</v>
      </c>
      <c r="P151" s="21" t="str">
        <f>IF(Sheet1!A151="No","No",
IF(LEFT(Sheet1!A151,5)="Up to",0,
VALUE(LEFT(Sheet1!A151,FIND(" ",Sheet1!A151)-1))))</f>
        <v>No</v>
      </c>
      <c r="Q151" s="21" t="str">
        <f>IF(Sheet1!A151="No","No",
IF(LEFT(Sheet1!A151,5)="Up to",
VALUE(MID(Sheet1!A151,7,FIND("kg",Sheet1!A151)-7)),
VALUE(MID(Sheet1!A151,FIND("to",Sheet1!A151)+3,FIND("kg",Sheet1!A151)-FIND("to",Sheet1!A151)-3))))</f>
        <v>No</v>
      </c>
      <c r="R151" s="16" t="s">
        <v>116</v>
      </c>
      <c r="S151" s="21" t="s">
        <v>18</v>
      </c>
      <c r="T151" s="17" t="s">
        <v>96</v>
      </c>
      <c r="U151" s="21" t="s">
        <v>116</v>
      </c>
      <c r="V151" s="21" t="s">
        <v>116</v>
      </c>
      <c r="W151" s="21" t="s">
        <v>116</v>
      </c>
      <c r="X151" s="21" t="s">
        <v>116</v>
      </c>
      <c r="Y151" s="37">
        <f>Sheet1!C151-Sheet1!D151</f>
        <v>0.59289999999999998</v>
      </c>
    </row>
    <row r="152" spans="1:25" ht="43.5" hidden="1">
      <c r="A152" s="28" t="s">
        <v>66</v>
      </c>
      <c r="B152" s="17" t="s">
        <v>16</v>
      </c>
      <c r="C152" s="16" t="s">
        <v>35</v>
      </c>
      <c r="D152" s="54" t="s">
        <v>80</v>
      </c>
      <c r="E152" s="30" t="s">
        <v>18</v>
      </c>
      <c r="F152" s="30" t="s">
        <v>18</v>
      </c>
      <c r="G152" s="30" t="s">
        <v>18</v>
      </c>
      <c r="H152" s="30" t="s">
        <v>18</v>
      </c>
      <c r="I152" s="38" t="s">
        <v>95</v>
      </c>
      <c r="J152" s="16" t="s">
        <v>31</v>
      </c>
      <c r="K152" s="16" t="str">
        <f>IF(Sheet1!E152="All","N/A",
IF(LEFT(Sheet1!E152,4)="upto","N/A",
IF(LEFT(Sheet1!E152,5)="Above",VALUE(MID(Sheet1!E152,7,2))+1,
IF(ISNUMBER(SEARCH("to",Sheet1!E152)),VALUE(LEFT(Sheet1!E152,FIND(" to",Sheet1!E152)-1)),
"N/A"))))</f>
        <v>N/A</v>
      </c>
      <c r="L152" s="16" t="str">
        <f>IF(Sheet1!E152="All","N/A",
IF(LEFT(Sheet1!E152,4)="upto",VALUE(MID(Sheet1!E152,6,2)),
IF(LEFT(Sheet1!E152,5)="Above","N/A",
IF(ISNUMBER(SEARCH("to",Sheet1!E152)),VALUE(MID(Sheet1!E152,FIND("to ",Sheet1!E152)+3,2)),
"N/A"))))</f>
        <v>N/A</v>
      </c>
      <c r="M152" s="29" t="s">
        <v>30</v>
      </c>
      <c r="N152" s="21" t="s">
        <v>150</v>
      </c>
      <c r="O152" s="21" t="s">
        <v>116</v>
      </c>
      <c r="P152" s="21" t="str">
        <f>IF(Sheet1!A152="No","No",
IF(LEFT(Sheet1!A152,5)="Up to",0,
VALUE(LEFT(Sheet1!A152,FIND(" ",Sheet1!A152)-1))))</f>
        <v>No</v>
      </c>
      <c r="Q152" s="21" t="str">
        <f>IF(Sheet1!A152="No","No",
IF(LEFT(Sheet1!A152,5)="Up to",
VALUE(MID(Sheet1!A152,7,FIND("kg",Sheet1!A152)-7)),
VALUE(MID(Sheet1!A152,FIND("to",Sheet1!A152)+3,FIND("kg",Sheet1!A152)-FIND("to",Sheet1!A152)-3))))</f>
        <v>No</v>
      </c>
      <c r="R152" s="16" t="s">
        <v>116</v>
      </c>
      <c r="S152" s="21" t="s">
        <v>18</v>
      </c>
      <c r="T152" s="17" t="s">
        <v>97</v>
      </c>
      <c r="U152" s="21" t="s">
        <v>116</v>
      </c>
      <c r="V152" s="21" t="s">
        <v>116</v>
      </c>
      <c r="W152" s="21" t="s">
        <v>116</v>
      </c>
      <c r="X152" s="21" t="s">
        <v>116</v>
      </c>
      <c r="Y152" s="32">
        <f>Sheet1!C152-Sheet1!D152</f>
        <v>0.64189999999999992</v>
      </c>
    </row>
    <row r="153" spans="1:25" ht="29" hidden="1">
      <c r="A153" s="27" t="s">
        <v>38</v>
      </c>
      <c r="B153" s="17" t="s">
        <v>16</v>
      </c>
      <c r="C153" s="16" t="s">
        <v>35</v>
      </c>
      <c r="D153" s="54" t="s">
        <v>80</v>
      </c>
      <c r="E153" s="30" t="s">
        <v>18</v>
      </c>
      <c r="F153" s="30" t="s">
        <v>18</v>
      </c>
      <c r="G153" s="30" t="s">
        <v>18</v>
      </c>
      <c r="H153" s="30" t="s">
        <v>18</v>
      </c>
      <c r="I153" s="38" t="s">
        <v>98</v>
      </c>
      <c r="J153" s="16" t="s">
        <v>31</v>
      </c>
      <c r="K153" s="16" t="str">
        <f>IF(Sheet1!E153="All","N/A",
IF(LEFT(Sheet1!E153,4)="upto","N/A",
IF(LEFT(Sheet1!E153,5)="Above",VALUE(MID(Sheet1!E153,7,2))+1,
IF(ISNUMBER(SEARCH("to",Sheet1!E153)),VALUE(LEFT(Sheet1!E153,FIND(" to",Sheet1!E153)-1)),
"N/A"))))</f>
        <v>N/A</v>
      </c>
      <c r="L153" s="16" t="str">
        <f>IF(Sheet1!E153="All","N/A",
IF(LEFT(Sheet1!E153,4)="upto",VALUE(MID(Sheet1!E153,6,2)),
IF(LEFT(Sheet1!E153,5)="Above","N/A",
IF(ISNUMBER(SEARCH("to",Sheet1!E153)),VALUE(MID(Sheet1!E153,FIND("to ",Sheet1!E153)+3,2)),
"N/A"))))</f>
        <v>N/A</v>
      </c>
      <c r="M153" s="29" t="s">
        <v>30</v>
      </c>
      <c r="N153" s="21" t="s">
        <v>150</v>
      </c>
      <c r="O153" s="21" t="s">
        <v>116</v>
      </c>
      <c r="P153" s="21" t="str">
        <f>IF(Sheet1!A153="No","No",
IF(LEFT(Sheet1!A153,5)="Up to",0,
VALUE(LEFT(Sheet1!A153,FIND(" ",Sheet1!A153)-1))))</f>
        <v>No</v>
      </c>
      <c r="Q153" s="21" t="str">
        <f>IF(Sheet1!A153="No","No",
IF(LEFT(Sheet1!A153,5)="Up to",
VALUE(MID(Sheet1!A153,7,FIND("kg",Sheet1!A153)-7)),
VALUE(MID(Sheet1!A153,FIND("to",Sheet1!A153)+3,FIND("kg",Sheet1!A153)-FIND("to",Sheet1!A153)-3))))</f>
        <v>No</v>
      </c>
      <c r="R153" s="16" t="s">
        <v>116</v>
      </c>
      <c r="S153" s="17" t="s">
        <v>99</v>
      </c>
      <c r="T153" s="17" t="s">
        <v>116</v>
      </c>
      <c r="U153" s="21" t="s">
        <v>116</v>
      </c>
      <c r="V153" s="21" t="s">
        <v>116</v>
      </c>
      <c r="W153" s="21" t="s">
        <v>116</v>
      </c>
      <c r="X153" s="21" t="s">
        <v>116</v>
      </c>
      <c r="Y153" s="37">
        <f>Sheet1!C153-Sheet1!D153</f>
        <v>0.54389999999999994</v>
      </c>
    </row>
    <row r="154" spans="1:25" ht="29" hidden="1">
      <c r="A154" s="27" t="s">
        <v>36</v>
      </c>
      <c r="B154" s="17" t="s">
        <v>16</v>
      </c>
      <c r="C154" s="16" t="s">
        <v>35</v>
      </c>
      <c r="D154" s="54" t="s">
        <v>80</v>
      </c>
      <c r="E154" s="30" t="s">
        <v>18</v>
      </c>
      <c r="F154" s="30" t="s">
        <v>18</v>
      </c>
      <c r="G154" s="30" t="s">
        <v>18</v>
      </c>
      <c r="H154" s="30" t="s">
        <v>18</v>
      </c>
      <c r="I154" s="38" t="s">
        <v>98</v>
      </c>
      <c r="J154" s="16" t="s">
        <v>31</v>
      </c>
      <c r="K154" s="16" t="str">
        <f>IF(Sheet1!E154="All","N/A",
IF(LEFT(Sheet1!E154,4)="upto","N/A",
IF(LEFT(Sheet1!E154,5)="Above",VALUE(MID(Sheet1!E154,7,2))+1,
IF(ISNUMBER(SEARCH("to",Sheet1!E154)),VALUE(LEFT(Sheet1!E154,FIND(" to",Sheet1!E154)-1)),
"N/A"))))</f>
        <v>N/A</v>
      </c>
      <c r="L154" s="16" t="str">
        <f>IF(Sheet1!E154="All","N/A",
IF(LEFT(Sheet1!E154,4)="upto",VALUE(MID(Sheet1!E154,6,2)),
IF(LEFT(Sheet1!E154,5)="Above","N/A",
IF(ISNUMBER(SEARCH("to",Sheet1!E154)),VALUE(MID(Sheet1!E154,FIND("to ",Sheet1!E154)+3,2)),
"N/A"))))</f>
        <v>N/A</v>
      </c>
      <c r="M154" s="29" t="s">
        <v>30</v>
      </c>
      <c r="N154" s="21" t="s">
        <v>150</v>
      </c>
      <c r="O154" s="21" t="s">
        <v>116</v>
      </c>
      <c r="P154" s="21" t="str">
        <f>IF(Sheet1!A154="No","No",
IF(LEFT(Sheet1!A154,5)="Up to",0,
VALUE(LEFT(Sheet1!A154,FIND(" ",Sheet1!A154)-1))))</f>
        <v>No</v>
      </c>
      <c r="Q154" s="21" t="str">
        <f>IF(Sheet1!A154="No","No",
IF(LEFT(Sheet1!A154,5)="Up to",
VALUE(MID(Sheet1!A154,7,FIND("kg",Sheet1!A154)-7)),
VALUE(MID(Sheet1!A154,FIND("to",Sheet1!A154)+3,FIND("kg",Sheet1!A154)-FIND("to",Sheet1!A154)-3))))</f>
        <v>No</v>
      </c>
      <c r="R154" s="16" t="s">
        <v>116</v>
      </c>
      <c r="S154" s="17" t="s">
        <v>18</v>
      </c>
      <c r="T154" s="17" t="s">
        <v>116</v>
      </c>
      <c r="U154" s="21" t="s">
        <v>116</v>
      </c>
      <c r="V154" s="21" t="s">
        <v>116</v>
      </c>
      <c r="W154" s="21" t="s">
        <v>116</v>
      </c>
      <c r="X154" s="21" t="s">
        <v>116</v>
      </c>
      <c r="Y154" s="37">
        <f>Sheet1!C154-Sheet1!D154</f>
        <v>0.44590000000000002</v>
      </c>
    </row>
    <row r="155" spans="1:25" ht="58" hidden="1">
      <c r="A155" s="27" t="s">
        <v>19</v>
      </c>
      <c r="B155" s="17" t="s">
        <v>16</v>
      </c>
      <c r="C155" s="15" t="s">
        <v>63</v>
      </c>
      <c r="D155" s="54" t="s">
        <v>80</v>
      </c>
      <c r="E155" s="30" t="s">
        <v>18</v>
      </c>
      <c r="F155" s="30" t="s">
        <v>18</v>
      </c>
      <c r="G155" s="30" t="s">
        <v>18</v>
      </c>
      <c r="H155" s="30" t="s">
        <v>18</v>
      </c>
      <c r="I155" s="44" t="s">
        <v>100</v>
      </c>
      <c r="J155" s="16" t="s">
        <v>31</v>
      </c>
      <c r="K155" s="24" t="str">
        <f>IF(Sheet1!E155="All","N/A",
IF(LEFT(Sheet1!E155,4)="upto","N/A",
IF(LEFT(Sheet1!E155,5)="Above",VALUE(MID(Sheet1!E155,7,2))+1,
IF(ISNUMBER(SEARCH("to",Sheet1!E155)),VALUE(LEFT(Sheet1!E155,FIND(" to",Sheet1!E155)-1)),
"N/A"))))</f>
        <v>N/A</v>
      </c>
      <c r="L155" s="24">
        <f>IF(Sheet1!E155="All","N/A",
IF(LEFT(Sheet1!E155,4)="upto",VALUE(MID(Sheet1!E155,6,2)),
IF(LEFT(Sheet1!E155,5)="Above","N/A",
IF(ISNUMBER(SEARCH("to",Sheet1!E155)),VALUE(MID(Sheet1!E155,FIND("to ",Sheet1!E155)+3,2)),
"N/A"))))</f>
        <v>15</v>
      </c>
      <c r="M155" s="29" t="s">
        <v>30</v>
      </c>
      <c r="N155" s="21" t="s">
        <v>150</v>
      </c>
      <c r="O155" s="21" t="s">
        <v>116</v>
      </c>
      <c r="P155" s="21" t="str">
        <f>IF(Sheet1!A155="No","No",
IF(LEFT(Sheet1!A155,5)="Up to",0,
VALUE(LEFT(Sheet1!A155,FIND(" ",Sheet1!A155)-1))))</f>
        <v>No</v>
      </c>
      <c r="Q155" s="21" t="str">
        <f>IF(Sheet1!A155="No","No",
IF(LEFT(Sheet1!A155,5)="Up to",
VALUE(MID(Sheet1!A155,7,FIND("kg",Sheet1!A155)-7)),
VALUE(MID(Sheet1!A155,FIND("to",Sheet1!A155)+3,FIND("kg",Sheet1!A155)-FIND("to",Sheet1!A155)-3))))</f>
        <v>No</v>
      </c>
      <c r="R155" s="16" t="s">
        <v>116</v>
      </c>
      <c r="S155" s="17" t="s">
        <v>18</v>
      </c>
      <c r="T155" s="17" t="s">
        <v>116</v>
      </c>
      <c r="U155" s="21" t="s">
        <v>116</v>
      </c>
      <c r="V155" s="21" t="s">
        <v>116</v>
      </c>
      <c r="W155" s="21" t="s">
        <v>116</v>
      </c>
      <c r="X155" s="21" t="s">
        <v>116</v>
      </c>
      <c r="Y155" s="37">
        <f>Sheet1!C155-Sheet1!D155</f>
        <v>0.34790000000000004</v>
      </c>
    </row>
    <row r="156" spans="1:25" ht="29" hidden="1">
      <c r="A156" s="27" t="s">
        <v>36</v>
      </c>
      <c r="B156" s="17" t="s">
        <v>16</v>
      </c>
      <c r="C156" s="24" t="s">
        <v>35</v>
      </c>
      <c r="D156" s="54" t="s">
        <v>80</v>
      </c>
      <c r="E156" s="30" t="s">
        <v>18</v>
      </c>
      <c r="F156" s="30" t="s">
        <v>18</v>
      </c>
      <c r="G156" s="30" t="s">
        <v>18</v>
      </c>
      <c r="H156" s="30" t="s">
        <v>18</v>
      </c>
      <c r="I156" s="44" t="s">
        <v>100</v>
      </c>
      <c r="J156" s="24" t="s">
        <v>31</v>
      </c>
      <c r="K156" s="24" t="str">
        <f>IF(Sheet1!E156="All","N/A",
IF(LEFT(Sheet1!E156,4)="upto","N/A",
IF(LEFT(Sheet1!E156,5)="Above",VALUE(MID(Sheet1!E156,7,2))+1,
IF(ISNUMBER(SEARCH("to",Sheet1!E156)),VALUE(LEFT(Sheet1!E156,FIND(" to",Sheet1!E156)-1)),
"N/A"))))</f>
        <v>N/A</v>
      </c>
      <c r="L156" s="24" t="str">
        <f>IF(Sheet1!E156="All","N/A",
IF(LEFT(Sheet1!E156,4)="upto",VALUE(MID(Sheet1!E156,6,2)),
IF(LEFT(Sheet1!E156,5)="Above","N/A",
IF(ISNUMBER(SEARCH("to",Sheet1!E156)),VALUE(MID(Sheet1!E156,FIND("to ",Sheet1!E156)+3,2)),
"N/A"))))</f>
        <v>N/A</v>
      </c>
      <c r="M156" s="29" t="s">
        <v>30</v>
      </c>
      <c r="N156" s="21" t="s">
        <v>150</v>
      </c>
      <c r="O156" s="21" t="s">
        <v>116</v>
      </c>
      <c r="P156" s="21" t="str">
        <f>IF(Sheet1!A156="No","No",
IF(LEFT(Sheet1!A156,5)="Up to",0,
VALUE(LEFT(Sheet1!A156,FIND(" ",Sheet1!A156)-1))))</f>
        <v>No</v>
      </c>
      <c r="Q156" s="21" t="str">
        <f>IF(Sheet1!A156="No","No",
IF(LEFT(Sheet1!A156,5)="Up to",
VALUE(MID(Sheet1!A156,7,FIND("kg",Sheet1!A156)-7)),
VALUE(MID(Sheet1!A156,FIND("to",Sheet1!A156)+3,FIND("kg",Sheet1!A156)-FIND("to",Sheet1!A156)-3))))</f>
        <v>No</v>
      </c>
      <c r="R156" s="16" t="s">
        <v>116</v>
      </c>
      <c r="S156" s="17" t="s">
        <v>18</v>
      </c>
      <c r="T156" s="17" t="s">
        <v>116</v>
      </c>
      <c r="U156" s="21" t="s">
        <v>116</v>
      </c>
      <c r="V156" s="21" t="s">
        <v>37</v>
      </c>
      <c r="W156" s="21" t="s">
        <v>116</v>
      </c>
      <c r="X156" s="21" t="s">
        <v>116</v>
      </c>
      <c r="Y156" s="37">
        <f>Sheet1!C156-Sheet1!D156</f>
        <v>0.36749999999999999</v>
      </c>
    </row>
    <row r="157" spans="1:25" ht="29" hidden="1">
      <c r="A157" s="27" t="s">
        <v>75</v>
      </c>
      <c r="B157" s="17" t="s">
        <v>16</v>
      </c>
      <c r="C157" s="24" t="s">
        <v>35</v>
      </c>
      <c r="D157" s="54" t="s">
        <v>80</v>
      </c>
      <c r="E157" s="30" t="s">
        <v>18</v>
      </c>
      <c r="F157" s="30" t="s">
        <v>18</v>
      </c>
      <c r="G157" s="30" t="s">
        <v>18</v>
      </c>
      <c r="H157" s="30" t="s">
        <v>18</v>
      </c>
      <c r="I157" s="44" t="s">
        <v>100</v>
      </c>
      <c r="J157" s="24" t="s">
        <v>31</v>
      </c>
      <c r="K157" s="24" t="str">
        <f>IF(Sheet1!E157="All","N/A",
IF(LEFT(Sheet1!E157,4)="upto","N/A",
IF(LEFT(Sheet1!E157,5)="Above",VALUE(MID(Sheet1!E157,7,2))+1,
IF(ISNUMBER(SEARCH("to",Sheet1!E157)),VALUE(LEFT(Sheet1!E157,FIND(" to",Sheet1!E157)-1)),
"N/A"))))</f>
        <v>N/A</v>
      </c>
      <c r="L157" s="24">
        <f>IF(Sheet1!E157="All","N/A",
IF(LEFT(Sheet1!E157,4)="upto",VALUE(MID(Sheet1!E157,6,2)),
IF(LEFT(Sheet1!E157,5)="Above","N/A",
IF(ISNUMBER(SEARCH("to",Sheet1!E157)),VALUE(MID(Sheet1!E157,FIND("to ",Sheet1!E157)+3,2)),
"N/A"))))</f>
        <v>15</v>
      </c>
      <c r="M157" s="29" t="s">
        <v>17</v>
      </c>
      <c r="N157" s="21" t="s">
        <v>150</v>
      </c>
      <c r="O157" s="21" t="s">
        <v>116</v>
      </c>
      <c r="P157" s="21" t="str">
        <f>IF(Sheet1!A157="No","No",
IF(LEFT(Sheet1!A157,5)="Up to",0,
VALUE(LEFT(Sheet1!A157,FIND(" ",Sheet1!A157)-1))))</f>
        <v>No</v>
      </c>
      <c r="Q157" s="21" t="str">
        <f>IF(Sheet1!A157="No","No",
IF(LEFT(Sheet1!A157,5)="Up to",
VALUE(MID(Sheet1!A157,7,FIND("kg",Sheet1!A157)-7)),
VALUE(MID(Sheet1!A157,FIND("to",Sheet1!A157)+3,FIND("kg",Sheet1!A157)-FIND("to",Sheet1!A157)-3))))</f>
        <v>No</v>
      </c>
      <c r="R157" s="16" t="s">
        <v>116</v>
      </c>
      <c r="S157" s="17" t="s">
        <v>18</v>
      </c>
      <c r="T157" s="17" t="s">
        <v>116</v>
      </c>
      <c r="U157" s="21" t="s">
        <v>116</v>
      </c>
      <c r="V157" s="21" t="s">
        <v>37</v>
      </c>
      <c r="W157" s="21" t="s">
        <v>116</v>
      </c>
      <c r="X157" s="21" t="s">
        <v>116</v>
      </c>
      <c r="Y157" s="37">
        <f>Sheet1!C157-Sheet1!D157</f>
        <v>0.41649999999999998</v>
      </c>
    </row>
    <row r="158" spans="1:25" ht="29" hidden="1">
      <c r="A158" s="26" t="s">
        <v>75</v>
      </c>
      <c r="B158" s="21" t="s">
        <v>16</v>
      </c>
      <c r="C158" s="16" t="s">
        <v>35</v>
      </c>
      <c r="D158" s="55" t="s">
        <v>80</v>
      </c>
      <c r="E158" s="31" t="s">
        <v>18</v>
      </c>
      <c r="F158" s="31" t="s">
        <v>18</v>
      </c>
      <c r="G158" s="31" t="s">
        <v>18</v>
      </c>
      <c r="H158" s="31" t="s">
        <v>18</v>
      </c>
      <c r="I158" s="45" t="s">
        <v>100</v>
      </c>
      <c r="J158" s="16" t="s">
        <v>31</v>
      </c>
      <c r="K158" s="16">
        <f>IF(Sheet1!E158="All","N/A",
IF(LEFT(Sheet1!E158,4)="upto","N/A",
IF(LEFT(Sheet1!E158,5)="Above",VALUE(MID(Sheet1!E158,7,2))+1,
IF(ISNUMBER(SEARCH("to",Sheet1!E158)),VALUE(LEFT(Sheet1!E158,FIND(" to",Sheet1!E158)-1)),
"N/A"))))</f>
        <v>16</v>
      </c>
      <c r="L158" s="16" t="str">
        <f>IF(Sheet1!E158="All","N/A",
IF(LEFT(Sheet1!E158,4)="upto",VALUE(MID(Sheet1!E158,6,2)),
IF(LEFT(Sheet1!E158,5)="Above","N/A",
IF(ISNUMBER(SEARCH("to",Sheet1!E158)),VALUE(MID(Sheet1!E158,FIND("to ",Sheet1!E158)+3,2)),
"N/A"))))</f>
        <v>N/A</v>
      </c>
      <c r="M158" s="29" t="s">
        <v>17</v>
      </c>
      <c r="N158" s="21" t="s">
        <v>150</v>
      </c>
      <c r="O158" s="21" t="s">
        <v>116</v>
      </c>
      <c r="P158" s="21" t="str">
        <f>IF(Sheet1!A158="No","No",
IF(LEFT(Sheet1!A158,5)="Up to",0,
VALUE(LEFT(Sheet1!A158,FIND(" ",Sheet1!A158)-1))))</f>
        <v>No</v>
      </c>
      <c r="Q158" s="21" t="str">
        <f>IF(Sheet1!A158="No","No",
IF(LEFT(Sheet1!A158,5)="Up to",
VALUE(MID(Sheet1!A158,7,FIND("kg",Sheet1!A158)-7)),
VALUE(MID(Sheet1!A158,FIND("to",Sheet1!A158)+3,FIND("kg",Sheet1!A158)-FIND("to",Sheet1!A158)-3))))</f>
        <v>No</v>
      </c>
      <c r="R158" s="16" t="s">
        <v>116</v>
      </c>
      <c r="S158" s="21" t="s">
        <v>18</v>
      </c>
      <c r="T158" s="21" t="s">
        <v>116</v>
      </c>
      <c r="U158" s="21" t="s">
        <v>116</v>
      </c>
      <c r="V158" s="21" t="s">
        <v>37</v>
      </c>
      <c r="W158" s="21" t="s">
        <v>116</v>
      </c>
      <c r="X158" s="21" t="s">
        <v>116</v>
      </c>
      <c r="Y158" s="32">
        <f>Sheet1!C158-Sheet1!D158</f>
        <v>0.39690000000000003</v>
      </c>
    </row>
    <row r="159" spans="1:25" ht="43.5" hidden="1">
      <c r="A159" s="27" t="s">
        <v>52</v>
      </c>
      <c r="B159" s="21" t="s">
        <v>16</v>
      </c>
      <c r="C159" s="15" t="s">
        <v>102</v>
      </c>
      <c r="D159" s="55" t="s">
        <v>80</v>
      </c>
      <c r="E159" s="30" t="s">
        <v>18</v>
      </c>
      <c r="F159" s="30" t="s">
        <v>18</v>
      </c>
      <c r="G159" s="30" t="s">
        <v>18</v>
      </c>
      <c r="H159" s="30" t="s">
        <v>103</v>
      </c>
      <c r="I159" s="50" t="s">
        <v>79</v>
      </c>
      <c r="J159" s="24" t="s">
        <v>31</v>
      </c>
      <c r="K159" s="24" t="str">
        <f>IF(Sheet1!E159="All","N/A",
IF(LEFT(Sheet1!E159,4)="upto","N/A",
IF(LEFT(Sheet1!E159,5)="Above",VALUE(MID(Sheet1!E159,7,2))+1,
IF(ISNUMBER(SEARCH("to",Sheet1!E159)),VALUE(LEFT(Sheet1!E159,FIND(" to",Sheet1!E159)-1)),
"N/A"))))</f>
        <v>N/A</v>
      </c>
      <c r="L159" s="24" t="str">
        <f>IF(Sheet1!E159="All","N/A",
IF(LEFT(Sheet1!E159,4)="upto",VALUE(MID(Sheet1!E159,6,2)),
IF(LEFT(Sheet1!E159,5)="Above","N/A",
IF(ISNUMBER(SEARCH("to",Sheet1!E159)),VALUE(MID(Sheet1!E159,FIND("to ",Sheet1!E159)+3,2)),
"N/A"))))</f>
        <v>N/A</v>
      </c>
      <c r="M159" s="29" t="s">
        <v>17</v>
      </c>
      <c r="N159" s="17" t="s">
        <v>39</v>
      </c>
      <c r="O159" s="17" t="s">
        <v>116</v>
      </c>
      <c r="P159" s="17" t="str">
        <f>IF(Sheet1!A159="No","No",
IF(LEFT(Sheet1!A159,5)="Up to",0,
VALUE(LEFT(Sheet1!A159,FIND(" ",Sheet1!A159)-1))))</f>
        <v>No</v>
      </c>
      <c r="Q159" s="17" t="str">
        <f>IF(Sheet1!A159="No","No",
IF(LEFT(Sheet1!A159,5)="Up to",
VALUE(MID(Sheet1!A159,7,FIND("kg",Sheet1!A159)-7)),
VALUE(MID(Sheet1!A159,FIND("to",Sheet1!A159)+3,FIND("kg",Sheet1!A159)-FIND("to",Sheet1!A159)-3))))</f>
        <v>No</v>
      </c>
      <c r="R159" s="16" t="s">
        <v>116</v>
      </c>
      <c r="S159" s="17" t="s">
        <v>81</v>
      </c>
      <c r="T159" s="21" t="s">
        <v>116</v>
      </c>
      <c r="U159" s="21" t="s">
        <v>116</v>
      </c>
      <c r="V159" s="2" t="s">
        <v>116</v>
      </c>
      <c r="W159" s="17" t="s">
        <v>37</v>
      </c>
      <c r="X159" s="21" t="s">
        <v>116</v>
      </c>
      <c r="Y159" s="37">
        <f>Sheet1!C159-Sheet1!D159</f>
        <v>0.19110000000000002</v>
      </c>
    </row>
    <row r="160" spans="1:25" ht="43.5" hidden="1">
      <c r="A160" s="26" t="s">
        <v>52</v>
      </c>
      <c r="B160" s="21" t="s">
        <v>16</v>
      </c>
      <c r="C160" s="16" t="s">
        <v>102</v>
      </c>
      <c r="D160" s="55" t="s">
        <v>80</v>
      </c>
      <c r="E160" s="31" t="s">
        <v>18</v>
      </c>
      <c r="F160" s="31" t="s">
        <v>18</v>
      </c>
      <c r="G160" s="31" t="s">
        <v>18</v>
      </c>
      <c r="H160" s="31" t="s">
        <v>103</v>
      </c>
      <c r="I160" s="50" t="s">
        <v>79</v>
      </c>
      <c r="J160" s="16" t="s">
        <v>31</v>
      </c>
      <c r="K160" s="16" t="str">
        <f>IF(Sheet1!E160="All","N/A",
IF(LEFT(Sheet1!E160,4)="upto","N/A",
IF(LEFT(Sheet1!E160,5)="Above",VALUE(MID(Sheet1!E160,7,2))+1,
IF(ISNUMBER(SEARCH("to",Sheet1!E160)),VALUE(LEFT(Sheet1!E160,FIND(" to",Sheet1!E160)-1)),
"N/A"))))</f>
        <v>N/A</v>
      </c>
      <c r="L160" s="16" t="str">
        <f>IF(Sheet1!E160="All","N/A",
IF(LEFT(Sheet1!E160,4)="upto",VALUE(MID(Sheet1!E160,6,2)),
IF(LEFT(Sheet1!E160,5)="Above","N/A",
IF(ISNUMBER(SEARCH("to",Sheet1!E160)),VALUE(MID(Sheet1!E160,FIND("to ",Sheet1!E160)+3,2)),
"N/A"))))</f>
        <v>N/A</v>
      </c>
      <c r="M160" s="29" t="s">
        <v>17</v>
      </c>
      <c r="N160" s="21" t="s">
        <v>39</v>
      </c>
      <c r="O160" s="21" t="s">
        <v>116</v>
      </c>
      <c r="P160" s="21" t="str">
        <f>IF(Sheet1!A160="No","No",
IF(LEFT(Sheet1!A160,5)="Up to",0,
VALUE(LEFT(Sheet1!A160,FIND(" ",Sheet1!A160)-1))))</f>
        <v>No</v>
      </c>
      <c r="Q160" s="21" t="str">
        <f>IF(Sheet1!A160="No","No",
IF(LEFT(Sheet1!A160,5)="Up to",
VALUE(MID(Sheet1!A160,7,FIND("kg",Sheet1!A160)-7)),
VALUE(MID(Sheet1!A160,FIND("to",Sheet1!A160)+3,FIND("kg",Sheet1!A160)-FIND("to",Sheet1!A160)-3))))</f>
        <v>No</v>
      </c>
      <c r="R160" s="16" t="s">
        <v>116</v>
      </c>
      <c r="S160" s="21" t="s">
        <v>81</v>
      </c>
      <c r="T160" s="21" t="s">
        <v>116</v>
      </c>
      <c r="U160" s="21" t="s">
        <v>116</v>
      </c>
      <c r="V160" s="2" t="s">
        <v>116</v>
      </c>
      <c r="W160" s="21" t="s">
        <v>116</v>
      </c>
      <c r="X160" s="21" t="s">
        <v>116</v>
      </c>
      <c r="Y160" s="32">
        <f>Sheet1!C160-Sheet1!D160</f>
        <v>0.24990000000000001</v>
      </c>
    </row>
    <row r="161" spans="1:25" ht="43.5" hidden="1">
      <c r="A161" s="27" t="s">
        <v>75</v>
      </c>
      <c r="B161" s="21" t="s">
        <v>16</v>
      </c>
      <c r="C161" s="15" t="s">
        <v>104</v>
      </c>
      <c r="D161" s="50" t="s">
        <v>86</v>
      </c>
      <c r="E161" s="30" t="s">
        <v>18</v>
      </c>
      <c r="F161" s="30" t="s">
        <v>18</v>
      </c>
      <c r="G161" s="30" t="s">
        <v>18</v>
      </c>
      <c r="H161" s="30" t="s">
        <v>18</v>
      </c>
      <c r="I161" s="50" t="s">
        <v>87</v>
      </c>
      <c r="J161" s="24" t="s">
        <v>151</v>
      </c>
      <c r="K161" s="24" t="str">
        <f>IF(Sheet1!E161="All","N/A",
IF(LEFT(Sheet1!E161,4)="upto","N/A",
IF(LEFT(Sheet1!E161,5)="Above",VALUE(MID(Sheet1!E161,7,2))+1,
IF(ISNUMBER(SEARCH("to",Sheet1!E161)),VALUE(LEFT(Sheet1!E161,FIND(" to",Sheet1!E161)-1)),
"N/A"))))</f>
        <v>N/A</v>
      </c>
      <c r="L161" s="24" t="str">
        <f>IF(Sheet1!E161="All","N/A",
IF(LEFT(Sheet1!E161,4)="upto",VALUE(MID(Sheet1!E161,6,2)),
IF(LEFT(Sheet1!E161,5)="Above","N/A",
IF(ISNUMBER(SEARCH("to",Sheet1!E161)),VALUE(MID(Sheet1!E161,FIND("to ",Sheet1!E161)+3,2)),
"N/A"))))</f>
        <v>N/A</v>
      </c>
      <c r="M161" s="29" t="s">
        <v>17</v>
      </c>
      <c r="N161" s="17" t="s">
        <v>150</v>
      </c>
      <c r="O161" s="21" t="s">
        <v>116</v>
      </c>
      <c r="P161" s="21" t="str">
        <f>IF(Sheet1!A161="No","No",
IF(LEFT(Sheet1!A161,5)="Up to",0,
VALUE(LEFT(Sheet1!A161,FIND(" ",Sheet1!A161)-1))))</f>
        <v>No</v>
      </c>
      <c r="Q161" s="21" t="str">
        <f>IF(Sheet1!A161="No","No",
IF(LEFT(Sheet1!A161,5)="Up to",
VALUE(MID(Sheet1!A161,7,FIND("kg",Sheet1!A161)-7)),
VALUE(MID(Sheet1!A161,FIND("to",Sheet1!A161)+3,FIND("kg",Sheet1!A161)-FIND("to",Sheet1!A161)-3))))</f>
        <v>No</v>
      </c>
      <c r="R161" s="16" t="s">
        <v>116</v>
      </c>
      <c r="S161" s="21" t="s">
        <v>116</v>
      </c>
      <c r="T161" s="21" t="s">
        <v>116</v>
      </c>
      <c r="U161" s="21" t="s">
        <v>116</v>
      </c>
      <c r="V161" s="2" t="s">
        <v>116</v>
      </c>
      <c r="W161" s="21" t="s">
        <v>116</v>
      </c>
      <c r="X161" s="21" t="s">
        <v>116</v>
      </c>
      <c r="Y161" s="37">
        <f>Sheet1!C161-Sheet1!D161</f>
        <v>0.10289999999999999</v>
      </c>
    </row>
    <row r="162" spans="1:25" ht="43.5" hidden="1">
      <c r="A162" s="26" t="s">
        <v>75</v>
      </c>
      <c r="B162" s="21" t="s">
        <v>16</v>
      </c>
      <c r="C162" s="3" t="s">
        <v>104</v>
      </c>
      <c r="D162" s="50" t="s">
        <v>86</v>
      </c>
      <c r="E162" s="31" t="s">
        <v>18</v>
      </c>
      <c r="F162" s="31" t="s">
        <v>18</v>
      </c>
      <c r="G162" s="31" t="s">
        <v>18</v>
      </c>
      <c r="H162" s="31" t="s">
        <v>18</v>
      </c>
      <c r="I162" s="50" t="s">
        <v>87</v>
      </c>
      <c r="J162" s="16" t="s">
        <v>105</v>
      </c>
      <c r="K162" s="16" t="str">
        <f>IF(Sheet1!E162="All","N/A",
IF(LEFT(Sheet1!E162,4)="upto","N/A",
IF(LEFT(Sheet1!E162,5)="Above",VALUE(MID(Sheet1!E162,7,2))+1,
IF(ISNUMBER(SEARCH("to",Sheet1!E162)),VALUE(LEFT(Sheet1!E162,FIND(" to",Sheet1!E162)-1)),
"N/A"))))</f>
        <v>N/A</v>
      </c>
      <c r="L162" s="16" t="str">
        <f>IF(Sheet1!E162="All","N/A",
IF(LEFT(Sheet1!E162,4)="upto",VALUE(MID(Sheet1!E162,6,2)),
IF(LEFT(Sheet1!E162,5)="Above","N/A",
IF(ISNUMBER(SEARCH("to",Sheet1!E162)),VALUE(MID(Sheet1!E162,FIND("to ",Sheet1!E162)+3,2)),
"N/A"))))</f>
        <v>N/A</v>
      </c>
      <c r="M162" s="29" t="s">
        <v>106</v>
      </c>
      <c r="N162" s="21" t="s">
        <v>150</v>
      </c>
      <c r="O162" s="21" t="s">
        <v>116</v>
      </c>
      <c r="P162" s="21" t="str">
        <f>IF(Sheet1!A162="No","No",
IF(LEFT(Sheet1!A162,5)="Up to",0,
VALUE(LEFT(Sheet1!A162,FIND(" ",Sheet1!A162)-1))))</f>
        <v>No</v>
      </c>
      <c r="Q162" s="21" t="str">
        <f>IF(Sheet1!A162="No","No",
IF(LEFT(Sheet1!A162,5)="Up to",
VALUE(MID(Sheet1!A162,7,FIND("kg",Sheet1!A162)-7)),
VALUE(MID(Sheet1!A162,FIND("to",Sheet1!A162)+3,FIND("kg",Sheet1!A162)-FIND("to",Sheet1!A162)-3))))</f>
        <v>No</v>
      </c>
      <c r="R162" s="16" t="s">
        <v>116</v>
      </c>
      <c r="S162" s="21" t="s">
        <v>116</v>
      </c>
      <c r="T162" s="21" t="s">
        <v>116</v>
      </c>
      <c r="U162" s="21" t="s">
        <v>37</v>
      </c>
      <c r="V162" s="2" t="s">
        <v>116</v>
      </c>
      <c r="W162" s="21" t="s">
        <v>116</v>
      </c>
      <c r="X162" s="21" t="s">
        <v>116</v>
      </c>
      <c r="Y162" s="32">
        <f>Sheet1!C162-Sheet1!D162</f>
        <v>0.15679999999999997</v>
      </c>
    </row>
    <row r="163" spans="1:25" hidden="1">
      <c r="A163" s="27" t="s">
        <v>19</v>
      </c>
      <c r="B163" s="21" t="s">
        <v>16</v>
      </c>
      <c r="C163" s="24" t="s">
        <v>35</v>
      </c>
      <c r="D163" s="44" t="s">
        <v>80</v>
      </c>
      <c r="E163" s="30" t="s">
        <v>18</v>
      </c>
      <c r="F163" s="30" t="s">
        <v>18</v>
      </c>
      <c r="G163" s="30" t="s">
        <v>18</v>
      </c>
      <c r="H163" s="30" t="s">
        <v>18</v>
      </c>
      <c r="I163" s="44" t="s">
        <v>107</v>
      </c>
      <c r="J163" s="24" t="s">
        <v>108</v>
      </c>
      <c r="K163" s="24" t="str">
        <f>IF(Sheet1!E163="All","N/A",
IF(LEFT(Sheet1!E163,4)="upto","N/A",
IF(LEFT(Sheet1!E163,5)="Above",VALUE(MID(Sheet1!E163,7,2))+1,
IF(ISNUMBER(SEARCH("to",Sheet1!E163)),VALUE(LEFT(Sheet1!E163,FIND(" to",Sheet1!E163)-1)),
"N/A"))))</f>
        <v>N/A</v>
      </c>
      <c r="L163" s="24" t="str">
        <f>IF(Sheet1!E163="All","N/A",
IF(LEFT(Sheet1!E163,4)="upto",VALUE(MID(Sheet1!E163,6,2)),
IF(LEFT(Sheet1!E163,5)="Above","N/A",
IF(ISNUMBER(SEARCH("to",Sheet1!E163)),VALUE(MID(Sheet1!E163,FIND("to ",Sheet1!E163)+3,2)),
"N/A"))))</f>
        <v>N/A</v>
      </c>
      <c r="M163" s="29" t="s">
        <v>30</v>
      </c>
      <c r="N163" s="21" t="s">
        <v>54</v>
      </c>
      <c r="O163" s="21" t="s">
        <v>116</v>
      </c>
      <c r="P163" s="21" t="str">
        <f>IF(Sheet1!A163="No","No",
IF(LEFT(Sheet1!A163,5)="Up to",0,
VALUE(LEFT(Sheet1!A163,FIND(" ",Sheet1!A163)-1))))</f>
        <v>No</v>
      </c>
      <c r="Q163" s="21" t="str">
        <f>IF(Sheet1!A163="No","No",
IF(LEFT(Sheet1!A163,5)="Up to",
VALUE(MID(Sheet1!A163,7,FIND("kg",Sheet1!A163)-7)),
VALUE(MID(Sheet1!A163,FIND("to",Sheet1!A163)+3,FIND("kg",Sheet1!A163)-FIND("to",Sheet1!A163)-3))))</f>
        <v>No</v>
      </c>
      <c r="R163" s="16" t="s">
        <v>116</v>
      </c>
      <c r="S163" s="21" t="s">
        <v>18</v>
      </c>
      <c r="T163" s="21" t="s">
        <v>116</v>
      </c>
      <c r="U163" s="21" t="s">
        <v>116</v>
      </c>
      <c r="V163" s="2" t="s">
        <v>116</v>
      </c>
      <c r="W163" s="21" t="s">
        <v>116</v>
      </c>
      <c r="X163" s="21" t="s">
        <v>116</v>
      </c>
      <c r="Y163" s="37">
        <f>Sheet1!C163-Sheet1!D163</f>
        <v>0.4214</v>
      </c>
    </row>
    <row r="164" spans="1:25" ht="43.5" hidden="1">
      <c r="A164" s="27" t="s">
        <v>38</v>
      </c>
      <c r="B164" s="17" t="s">
        <v>109</v>
      </c>
      <c r="C164" s="24" t="s">
        <v>155</v>
      </c>
      <c r="D164" s="44" t="s">
        <v>80</v>
      </c>
      <c r="E164" s="30" t="s">
        <v>18</v>
      </c>
      <c r="F164" s="30" t="s">
        <v>18</v>
      </c>
      <c r="G164" s="44" t="s">
        <v>110</v>
      </c>
      <c r="H164" s="30" t="s">
        <v>18</v>
      </c>
      <c r="I164" s="44" t="s">
        <v>107</v>
      </c>
      <c r="J164" s="24" t="s">
        <v>111</v>
      </c>
      <c r="K164" s="24" t="str">
        <f>IF(Sheet1!E164="All","N/A",
IF(LEFT(Sheet1!E164,4)="upto","N/A",
IF(LEFT(Sheet1!E164,5)="Above",VALUE(MID(Sheet1!E164,7,2))+1,
IF(ISNUMBER(SEARCH("to",Sheet1!E164)),VALUE(LEFT(Sheet1!E164,FIND(" to",Sheet1!E164)-1)),
"N/A"))))</f>
        <v>N/A</v>
      </c>
      <c r="L164" s="24" t="str">
        <f>IF(Sheet1!E164="All","N/A",
IF(LEFT(Sheet1!E164,4)="upto",VALUE(MID(Sheet1!E164,6,2)),
IF(LEFT(Sheet1!E164,5)="Above","N/A",
IF(ISNUMBER(SEARCH("to",Sheet1!E164)),VALUE(MID(Sheet1!E164,FIND("to ",Sheet1!E164)+3,2)),
"N/A"))))</f>
        <v>N/A</v>
      </c>
      <c r="M164" s="29" t="s">
        <v>17</v>
      </c>
      <c r="N164" s="21" t="s">
        <v>54</v>
      </c>
      <c r="O164" s="21" t="s">
        <v>116</v>
      </c>
      <c r="P164" s="21" t="str">
        <f>IF(Sheet1!A164="No","No",
IF(LEFT(Sheet1!A164,5)="Up to",0,
VALUE(LEFT(Sheet1!A164,FIND(" ",Sheet1!A164)-1))))</f>
        <v>No</v>
      </c>
      <c r="Q164" s="21" t="str">
        <f>IF(Sheet1!A164="No","No",
IF(LEFT(Sheet1!A164,5)="Up to",
VALUE(MID(Sheet1!A164,7,FIND("kg",Sheet1!A164)-7)),
VALUE(MID(Sheet1!A164,FIND("to",Sheet1!A164)+3,FIND("kg",Sheet1!A164)-FIND("to",Sheet1!A164)-3))))</f>
        <v>No</v>
      </c>
      <c r="R164" s="16" t="s">
        <v>116</v>
      </c>
      <c r="S164" s="21" t="s">
        <v>18</v>
      </c>
      <c r="T164" s="21" t="s">
        <v>116</v>
      </c>
      <c r="U164" s="21" t="s">
        <v>116</v>
      </c>
      <c r="V164" s="2" t="s">
        <v>116</v>
      </c>
      <c r="W164" s="21" t="s">
        <v>116</v>
      </c>
      <c r="X164" s="21" t="s">
        <v>116</v>
      </c>
      <c r="Y164" s="37">
        <f>Sheet1!C164-Sheet1!D164</f>
        <v>0.34790000000000004</v>
      </c>
    </row>
    <row r="165" spans="1:25" ht="43.5" hidden="1">
      <c r="A165" s="27" t="s">
        <v>38</v>
      </c>
      <c r="B165" s="17" t="s">
        <v>109</v>
      </c>
      <c r="C165" s="24" t="s">
        <v>156</v>
      </c>
      <c r="D165" s="44" t="s">
        <v>80</v>
      </c>
      <c r="E165" s="30" t="s">
        <v>18</v>
      </c>
      <c r="F165" s="30" t="s">
        <v>18</v>
      </c>
      <c r="G165" s="44" t="s">
        <v>112</v>
      </c>
      <c r="H165" s="30" t="s">
        <v>18</v>
      </c>
      <c r="I165" s="44" t="s">
        <v>107</v>
      </c>
      <c r="J165" s="24" t="s">
        <v>113</v>
      </c>
      <c r="K165" s="24">
        <f>IF(Sheet1!E165="All","N/A",
IF(LEFT(Sheet1!E165,4)="upto","N/A",
IF(LEFT(Sheet1!E165,5)="Above",VALUE(MID(Sheet1!E165,7,2))+1,
IF(ISNUMBER(SEARCH("to",Sheet1!E165)),VALUE(LEFT(Sheet1!E165,FIND(" to",Sheet1!E165)-1)),
"N/A"))))</f>
        <v>11</v>
      </c>
      <c r="L165" s="24" t="str">
        <f>IF(Sheet1!E165="All","N/A",
IF(LEFT(Sheet1!E165,4)="upto",VALUE(MID(Sheet1!E165,6,2)),
IF(LEFT(Sheet1!E165,5)="Above","N/A",
IF(ISNUMBER(SEARCH("to",Sheet1!E165)),VALUE(MID(Sheet1!E165,FIND("to ",Sheet1!E165)+3,2)),
"N/A"))))</f>
        <v>N/A</v>
      </c>
      <c r="M165" s="29" t="s">
        <v>17</v>
      </c>
      <c r="N165" s="17" t="s">
        <v>150</v>
      </c>
      <c r="O165" s="21" t="s">
        <v>116</v>
      </c>
      <c r="P165" s="21" t="str">
        <f>IF(Sheet1!A165="No","No",
IF(LEFT(Sheet1!A165,5)="Up to",0,
VALUE(LEFT(Sheet1!A165,FIND(" ",Sheet1!A165)-1))))</f>
        <v>No</v>
      </c>
      <c r="Q165" s="21" t="str">
        <f>IF(Sheet1!A165="No","No",
IF(LEFT(Sheet1!A165,5)="Up to",
VALUE(MID(Sheet1!A165,7,FIND("kg",Sheet1!A165)-7)),
VALUE(MID(Sheet1!A165,FIND("to",Sheet1!A165)+3,FIND("kg",Sheet1!A165)-FIND("to",Sheet1!A165)-3))))</f>
        <v>No</v>
      </c>
      <c r="R165" s="16" t="s">
        <v>116</v>
      </c>
      <c r="S165" s="21" t="s">
        <v>18</v>
      </c>
      <c r="T165" s="21" t="s">
        <v>116</v>
      </c>
      <c r="U165" s="21" t="s">
        <v>116</v>
      </c>
      <c r="V165" s="2" t="s">
        <v>116</v>
      </c>
      <c r="W165" s="21" t="s">
        <v>116</v>
      </c>
      <c r="X165" s="21" t="s">
        <v>116</v>
      </c>
      <c r="Y165" s="37">
        <f>Sheet1!C165-Sheet1!D165</f>
        <v>0.49490000000000001</v>
      </c>
    </row>
    <row r="166" spans="1:25" ht="29" hidden="1">
      <c r="A166" s="27" t="s">
        <v>115</v>
      </c>
      <c r="B166" s="17" t="s">
        <v>16</v>
      </c>
      <c r="C166" s="24" t="s">
        <v>135</v>
      </c>
      <c r="D166" s="44" t="s">
        <v>80</v>
      </c>
      <c r="E166" s="30" t="s">
        <v>18</v>
      </c>
      <c r="F166" s="30" t="s">
        <v>18</v>
      </c>
      <c r="G166" s="30" t="s">
        <v>18</v>
      </c>
      <c r="H166" s="30" t="s">
        <v>18</v>
      </c>
      <c r="I166" s="44" t="s">
        <v>107</v>
      </c>
      <c r="J166" s="24" t="s">
        <v>105</v>
      </c>
      <c r="K166" s="24" t="str">
        <f>IF(Sheet1!E166="All","N/A",
IF(LEFT(Sheet1!E166,4)="upto","N/A",
IF(LEFT(Sheet1!E166,5)="Above",VALUE(MID(Sheet1!E166,7,2))+1,
IF(ISNUMBER(SEARCH("to",Sheet1!E166)),VALUE(LEFT(Sheet1!E166,FIND(" to",Sheet1!E166)-1)),
"N/A"))))</f>
        <v>N/A</v>
      </c>
      <c r="L166" s="24" t="str">
        <f>IF(Sheet1!E166="All","N/A",
IF(LEFT(Sheet1!E166,4)="upto",VALUE(MID(Sheet1!E166,6,2)),
IF(LEFT(Sheet1!E166,5)="Above","N/A",
IF(ISNUMBER(SEARCH("to",Sheet1!E166)),VALUE(MID(Sheet1!E166,FIND("to ",Sheet1!E166)+3,2)),
"N/A"))))</f>
        <v>N/A</v>
      </c>
      <c r="M166" s="29" t="s">
        <v>17</v>
      </c>
      <c r="N166" s="17" t="s">
        <v>54</v>
      </c>
      <c r="O166" s="21" t="s">
        <v>116</v>
      </c>
      <c r="P166" s="21" t="str">
        <f>IF(Sheet1!A166="No","No",
IF(LEFT(Sheet1!A166,5)="Up to",0,
VALUE(LEFT(Sheet1!A166,FIND(" ",Sheet1!A166)-1))))</f>
        <v>No</v>
      </c>
      <c r="Q166" s="21" t="str">
        <f>IF(Sheet1!A166="No","No",
IF(LEFT(Sheet1!A166,5)="Up to",
VALUE(MID(Sheet1!A166,7,FIND("kg",Sheet1!A166)-7)),
VALUE(MID(Sheet1!A166,FIND("to",Sheet1!A166)+3,FIND("kg",Sheet1!A166)-FIND("to",Sheet1!A166)-3))))</f>
        <v>No</v>
      </c>
      <c r="R166" s="16" t="s">
        <v>116</v>
      </c>
      <c r="S166" s="21" t="s">
        <v>18</v>
      </c>
      <c r="T166" s="21" t="s">
        <v>116</v>
      </c>
      <c r="U166" s="21" t="s">
        <v>116</v>
      </c>
      <c r="V166" s="2" t="s">
        <v>116</v>
      </c>
      <c r="W166" s="21" t="s">
        <v>116</v>
      </c>
      <c r="X166" s="21" t="s">
        <v>116</v>
      </c>
      <c r="Y166" s="37">
        <f>Sheet1!C166-Sheet1!D166</f>
        <v>0.34790000000000004</v>
      </c>
    </row>
    <row r="167" spans="1:25" ht="29" hidden="1">
      <c r="A167" s="27" t="s">
        <v>115</v>
      </c>
      <c r="B167" s="17" t="s">
        <v>16</v>
      </c>
      <c r="C167" s="24" t="s">
        <v>135</v>
      </c>
      <c r="D167" s="44" t="s">
        <v>80</v>
      </c>
      <c r="E167" s="30" t="s">
        <v>18</v>
      </c>
      <c r="F167" s="30" t="s">
        <v>18</v>
      </c>
      <c r="G167" s="30" t="s">
        <v>18</v>
      </c>
      <c r="H167" s="30" t="s">
        <v>18</v>
      </c>
      <c r="I167" s="44" t="s">
        <v>107</v>
      </c>
      <c r="J167" s="47" t="s">
        <v>32</v>
      </c>
      <c r="K167" s="47" t="str">
        <f>IF(Sheet1!E167="All","N/A",
IF(LEFT(Sheet1!E167,4)="upto","N/A",
IF(LEFT(Sheet1!E167,5)="Above",VALUE(MID(Sheet1!E167,7,2))+1,
IF(ISNUMBER(SEARCH("to",Sheet1!E167)),VALUE(LEFT(Sheet1!E167,FIND(" to",Sheet1!E167)-1)),
"N/A"))))</f>
        <v>N/A</v>
      </c>
      <c r="L167" s="47" t="str">
        <f>IF(Sheet1!E167="All","N/A",
IF(LEFT(Sheet1!E167,4)="upto",VALUE(MID(Sheet1!E167,6,2)),
IF(LEFT(Sheet1!E167,5)="Above","N/A",
IF(ISNUMBER(SEARCH("to",Sheet1!E167)),VALUE(MID(Sheet1!E167,FIND("to ",Sheet1!E167)+3,2)),
"N/A"))))</f>
        <v>N/A</v>
      </c>
      <c r="M167" s="29" t="s">
        <v>17</v>
      </c>
      <c r="N167" s="17" t="s">
        <v>54</v>
      </c>
      <c r="O167" s="21" t="s">
        <v>116</v>
      </c>
      <c r="P167" s="21" t="str">
        <f>IF(Sheet1!A167="No","No",
IF(LEFT(Sheet1!A167,5)="Up to",0,
VALUE(LEFT(Sheet1!A167,FIND(" ",Sheet1!A167)-1))))</f>
        <v>No</v>
      </c>
      <c r="Q167" s="21" t="str">
        <f>IF(Sheet1!A167="No","No",
IF(LEFT(Sheet1!A167,5)="Up to",
VALUE(MID(Sheet1!A167,7,FIND("kg",Sheet1!A167)-7)),
VALUE(MID(Sheet1!A167,FIND("to",Sheet1!A167)+3,FIND("kg",Sheet1!A167)-FIND("to",Sheet1!A167)-3))))</f>
        <v>No</v>
      </c>
      <c r="R167" s="16" t="s">
        <v>116</v>
      </c>
      <c r="S167" s="21" t="s">
        <v>18</v>
      </c>
      <c r="T167" s="21" t="s">
        <v>116</v>
      </c>
      <c r="U167" s="21" t="s">
        <v>116</v>
      </c>
      <c r="V167" s="2" t="s">
        <v>116</v>
      </c>
      <c r="W167" s="21" t="s">
        <v>116</v>
      </c>
      <c r="X167" s="21" t="s">
        <v>116</v>
      </c>
      <c r="Y167" s="37">
        <f>Sheet1!C167-Sheet1!D167</f>
        <v>0.15190000000000003</v>
      </c>
    </row>
    <row r="168" spans="1:25" ht="29" hidden="1">
      <c r="A168" s="27" t="s">
        <v>115</v>
      </c>
      <c r="B168" s="17" t="s">
        <v>16</v>
      </c>
      <c r="C168" s="24" t="s">
        <v>135</v>
      </c>
      <c r="D168" s="44" t="s">
        <v>80</v>
      </c>
      <c r="E168" s="30" t="s">
        <v>18</v>
      </c>
      <c r="F168" s="30" t="s">
        <v>18</v>
      </c>
      <c r="G168" s="30" t="s">
        <v>18</v>
      </c>
      <c r="H168" s="30" t="s">
        <v>18</v>
      </c>
      <c r="I168" s="44" t="s">
        <v>107</v>
      </c>
      <c r="J168" s="24" t="s">
        <v>113</v>
      </c>
      <c r="K168" s="24" t="str">
        <f>IF(Sheet1!E168="All","N/A",
IF(LEFT(Sheet1!E168,4)="upto","N/A",
IF(LEFT(Sheet1!E168,5)="Above",VALUE(MID(Sheet1!E168,7,2))+1,
IF(ISNUMBER(SEARCH("to",Sheet1!E168)),VALUE(LEFT(Sheet1!E168,FIND(" to",Sheet1!E168)-1)),
"N/A"))))</f>
        <v>N/A</v>
      </c>
      <c r="L168" s="24" t="str">
        <f>IF(Sheet1!E168="All","N/A",
IF(LEFT(Sheet1!E168,4)="upto",VALUE(MID(Sheet1!E168,6,2)),
IF(LEFT(Sheet1!E168,5)="Above","N/A",
IF(ISNUMBER(SEARCH("to",Sheet1!E168)),VALUE(MID(Sheet1!E168,FIND("to ",Sheet1!E168)+3,2)),
"N/A"))))</f>
        <v>N/A</v>
      </c>
      <c r="M168" s="29" t="s">
        <v>17</v>
      </c>
      <c r="N168" s="17" t="s">
        <v>54</v>
      </c>
      <c r="O168" s="21" t="s">
        <v>116</v>
      </c>
      <c r="P168" s="21" t="str">
        <f>IF(Sheet1!A168="No","No",
IF(LEFT(Sheet1!A168,5)="Up to",0,
VALUE(LEFT(Sheet1!A168,FIND(" ",Sheet1!A168)-1))))</f>
        <v>No</v>
      </c>
      <c r="Q168" s="21" t="str">
        <f>IF(Sheet1!A168="No","No",
IF(LEFT(Sheet1!A168,5)="Up to",
VALUE(MID(Sheet1!A168,7,FIND("kg",Sheet1!A168)-7)),
VALUE(MID(Sheet1!A168,FIND("to",Sheet1!A168)+3,FIND("kg",Sheet1!A168)-FIND("to",Sheet1!A168)-3))))</f>
        <v>No</v>
      </c>
      <c r="R168" s="16" t="s">
        <v>116</v>
      </c>
      <c r="S168" s="21" t="s">
        <v>18</v>
      </c>
      <c r="T168" s="21" t="s">
        <v>116</v>
      </c>
      <c r="U168" s="21" t="s">
        <v>116</v>
      </c>
      <c r="V168" s="2" t="s">
        <v>116</v>
      </c>
      <c r="W168" s="21" t="s">
        <v>116</v>
      </c>
      <c r="X168" s="21" t="s">
        <v>116</v>
      </c>
      <c r="Y168" s="37">
        <f>Sheet1!C168-Sheet1!D168</f>
        <v>0.34790000000000004</v>
      </c>
    </row>
    <row r="169" spans="1:25" hidden="1">
      <c r="A169" s="27" t="s">
        <v>21</v>
      </c>
      <c r="B169" s="17" t="s">
        <v>16</v>
      </c>
      <c r="C169" s="24" t="s">
        <v>35</v>
      </c>
      <c r="D169" s="44" t="s">
        <v>119</v>
      </c>
      <c r="E169" s="30" t="s">
        <v>18</v>
      </c>
      <c r="F169" s="30" t="s">
        <v>18</v>
      </c>
      <c r="G169" s="30" t="s">
        <v>18</v>
      </c>
      <c r="H169" s="30" t="s">
        <v>18</v>
      </c>
      <c r="I169" s="44" t="s">
        <v>120</v>
      </c>
      <c r="J169" s="24" t="s">
        <v>151</v>
      </c>
      <c r="K169" s="24" t="str">
        <f>IF(Sheet1!E169="All","N/A",
IF(LEFT(Sheet1!E169,4)="upto","N/A",
IF(LEFT(Sheet1!E169,5)="Above",VALUE(MID(Sheet1!E169,7,2))+1,
IF(ISNUMBER(SEARCH("to",Sheet1!E169)),VALUE(LEFT(Sheet1!E169,FIND(" to",Sheet1!E169)-1)),
"N/A"))))</f>
        <v>N/A</v>
      </c>
      <c r="L169" s="24" t="str">
        <f>IF(Sheet1!E169="All","N/A",
IF(LEFT(Sheet1!E169,4)="upto",VALUE(MID(Sheet1!E169,6,2)),
IF(LEFT(Sheet1!E169,5)="Above","N/A",
IF(ISNUMBER(SEARCH("to",Sheet1!E169)),VALUE(MID(Sheet1!E169,FIND("to ",Sheet1!E169)+3,2)),
"N/A"))))</f>
        <v>N/A</v>
      </c>
      <c r="M169" s="29" t="s">
        <v>17</v>
      </c>
      <c r="N169" s="17" t="s">
        <v>39</v>
      </c>
      <c r="O169" s="17" t="s">
        <v>121</v>
      </c>
      <c r="P169" s="17" t="str">
        <f>IF(Sheet1!A169="No","No",
IF(LEFT(Sheet1!A169,5)="Up to",0,
VALUE(LEFT(Sheet1!A169,FIND(" ",Sheet1!A169)-1))))</f>
        <v>No</v>
      </c>
      <c r="Q169" s="17" t="str">
        <f>IF(Sheet1!A169="No","No",
IF(LEFT(Sheet1!A169,5)="Up to",
VALUE(MID(Sheet1!A169,7,FIND("kg",Sheet1!A169)-7)),
VALUE(MID(Sheet1!A169,FIND("to",Sheet1!A169)+3,FIND("kg",Sheet1!A169)-FIND("to",Sheet1!A169)-3))))</f>
        <v>No</v>
      </c>
      <c r="R169" s="16" t="s">
        <v>116</v>
      </c>
      <c r="S169" s="21" t="s">
        <v>116</v>
      </c>
      <c r="T169" s="21" t="s">
        <v>82</v>
      </c>
      <c r="U169" s="21" t="s">
        <v>116</v>
      </c>
      <c r="V169" s="2" t="s">
        <v>116</v>
      </c>
      <c r="W169" s="21" t="s">
        <v>116</v>
      </c>
      <c r="X169" s="21" t="s">
        <v>116</v>
      </c>
      <c r="Y169" s="37">
        <f>Sheet1!C169-Sheet1!D169</f>
        <v>0.1764</v>
      </c>
    </row>
    <row r="170" spans="1:25" hidden="1">
      <c r="A170" s="26" t="s">
        <v>21</v>
      </c>
      <c r="B170" s="21" t="s">
        <v>16</v>
      </c>
      <c r="C170" s="16" t="s">
        <v>35</v>
      </c>
      <c r="D170" s="45" t="s">
        <v>119</v>
      </c>
      <c r="E170" s="30" t="s">
        <v>18</v>
      </c>
      <c r="F170" s="30" t="s">
        <v>18</v>
      </c>
      <c r="G170" s="30" t="s">
        <v>18</v>
      </c>
      <c r="H170" s="30" t="s">
        <v>18</v>
      </c>
      <c r="I170" s="45" t="s">
        <v>120</v>
      </c>
      <c r="J170" s="16" t="s">
        <v>151</v>
      </c>
      <c r="K170" s="16" t="str">
        <f>IF(Sheet1!E170="All","N/A",
IF(LEFT(Sheet1!E170,4)="upto","N/A",
IF(LEFT(Sheet1!E170,5)="Above",VALUE(MID(Sheet1!E170,7,2))+1,
IF(ISNUMBER(SEARCH("to",Sheet1!E170)),VALUE(LEFT(Sheet1!E170,FIND(" to",Sheet1!E170)-1)),
"N/A"))))</f>
        <v>N/A</v>
      </c>
      <c r="L170" s="16" t="str">
        <f>IF(Sheet1!E170="All","N/A",
IF(LEFT(Sheet1!E170,4)="upto",VALUE(MID(Sheet1!E170,6,2)),
IF(LEFT(Sheet1!E170,5)="Above","N/A",
IF(ISNUMBER(SEARCH("to",Sheet1!E170)),VALUE(MID(Sheet1!E170,FIND("to ",Sheet1!E170)+3,2)),
"N/A"))))</f>
        <v>N/A</v>
      </c>
      <c r="M170" s="29" t="s">
        <v>17</v>
      </c>
      <c r="N170" s="21" t="s">
        <v>39</v>
      </c>
      <c r="O170" s="21" t="s">
        <v>121</v>
      </c>
      <c r="P170" s="21" t="str">
        <f>IF(Sheet1!A170="No","No",
IF(LEFT(Sheet1!A170,5)="Up to",0,
VALUE(LEFT(Sheet1!A170,FIND(" ",Sheet1!A170)-1))))</f>
        <v>No</v>
      </c>
      <c r="Q170" s="21" t="str">
        <f>IF(Sheet1!A170="No","No",
IF(LEFT(Sheet1!A170,5)="Up to",
VALUE(MID(Sheet1!A170,7,FIND("kg",Sheet1!A170)-7)),
VALUE(MID(Sheet1!A170,FIND("to",Sheet1!A170)+3,FIND("kg",Sheet1!A170)-FIND("to",Sheet1!A170)-3))))</f>
        <v>No</v>
      </c>
      <c r="R170" s="16" t="s">
        <v>116</v>
      </c>
      <c r="S170" s="21" t="s">
        <v>116</v>
      </c>
      <c r="T170" s="21" t="s">
        <v>122</v>
      </c>
      <c r="U170" s="21" t="s">
        <v>116</v>
      </c>
      <c r="V170" s="2" t="s">
        <v>116</v>
      </c>
      <c r="W170" s="21" t="s">
        <v>116</v>
      </c>
      <c r="X170" s="21" t="s">
        <v>116</v>
      </c>
      <c r="Y170" s="32">
        <f>Sheet1!C170-Sheet1!D170</f>
        <v>-1.9599999999999996E-2</v>
      </c>
    </row>
    <row r="171" spans="1:25" hidden="1">
      <c r="A171" s="27" t="s">
        <v>21</v>
      </c>
      <c r="B171" s="21" t="s">
        <v>16</v>
      </c>
      <c r="C171" s="16" t="s">
        <v>35</v>
      </c>
      <c r="D171" s="45" t="s">
        <v>119</v>
      </c>
      <c r="E171" s="30" t="s">
        <v>18</v>
      </c>
      <c r="F171" s="30" t="s">
        <v>18</v>
      </c>
      <c r="G171" s="30" t="s">
        <v>18</v>
      </c>
      <c r="H171" s="30" t="s">
        <v>18</v>
      </c>
      <c r="I171" s="44" t="s">
        <v>120</v>
      </c>
      <c r="J171" s="24" t="s">
        <v>32</v>
      </c>
      <c r="K171" s="24" t="str">
        <f>IF(Sheet1!E171="All","N/A",
IF(LEFT(Sheet1!E171,4)="upto","N/A",
IF(LEFT(Sheet1!E171,5)="Above",VALUE(MID(Sheet1!E171,7,2))+1,
IF(ISNUMBER(SEARCH("to",Sheet1!E171)),VALUE(LEFT(Sheet1!E171,FIND(" to",Sheet1!E171)-1)),
"N/A"))))</f>
        <v>N/A</v>
      </c>
      <c r="L171" s="24" t="str">
        <f>IF(Sheet1!E171="All","N/A",
IF(LEFT(Sheet1!E171,4)="upto",VALUE(MID(Sheet1!E171,6,2)),
IF(LEFT(Sheet1!E171,5)="Above","N/A",
IF(ISNUMBER(SEARCH("to",Sheet1!E171)),VALUE(MID(Sheet1!E171,FIND("to ",Sheet1!E171)+3,2)),
"N/A"))))</f>
        <v>N/A</v>
      </c>
      <c r="M171" s="29" t="s">
        <v>20</v>
      </c>
      <c r="N171" s="21" t="s">
        <v>39</v>
      </c>
      <c r="O171" s="17" t="s">
        <v>116</v>
      </c>
      <c r="P171" s="17" t="str">
        <f>IF(Sheet1!A171="No","No",
IF(LEFT(Sheet1!A171,5)="Up to",0,
VALUE(LEFT(Sheet1!A171,FIND(" ",Sheet1!A171)-1))))</f>
        <v>No</v>
      </c>
      <c r="Q171" s="17" t="str">
        <f>IF(Sheet1!A171="No","No",
IF(LEFT(Sheet1!A171,5)="Up to",
VALUE(MID(Sheet1!A171,7,FIND("kg",Sheet1!A171)-7)),
VALUE(MID(Sheet1!A171,FIND("to",Sheet1!A171)+3,FIND("kg",Sheet1!A171)-FIND("to",Sheet1!A171)-3))))</f>
        <v>No</v>
      </c>
      <c r="R171" s="16" t="s">
        <v>116</v>
      </c>
      <c r="S171" s="21" t="s">
        <v>116</v>
      </c>
      <c r="T171" s="17" t="s">
        <v>116</v>
      </c>
      <c r="U171" s="21" t="s">
        <v>116</v>
      </c>
      <c r="V171" s="2" t="s">
        <v>116</v>
      </c>
      <c r="W171" s="21" t="s">
        <v>116</v>
      </c>
      <c r="X171" s="21" t="s">
        <v>116</v>
      </c>
      <c r="Y171" s="37">
        <f>Sheet1!C171-Sheet1!D171</f>
        <v>0.44590000000000002</v>
      </c>
    </row>
    <row r="172" spans="1:25" ht="29" hidden="1">
      <c r="A172" s="27" t="s">
        <v>36</v>
      </c>
      <c r="B172" s="21" t="s">
        <v>16</v>
      </c>
      <c r="C172" s="16" t="s">
        <v>35</v>
      </c>
      <c r="D172" s="45" t="s">
        <v>119</v>
      </c>
      <c r="E172" s="30" t="s">
        <v>18</v>
      </c>
      <c r="F172" s="30" t="s">
        <v>18</v>
      </c>
      <c r="G172" s="44" t="s">
        <v>125</v>
      </c>
      <c r="H172" s="30" t="s">
        <v>18</v>
      </c>
      <c r="I172" s="44" t="s">
        <v>120</v>
      </c>
      <c r="J172" s="24" t="s">
        <v>31</v>
      </c>
      <c r="K172" s="24" t="str">
        <f>IF(Sheet1!E172="All","N/A",
IF(LEFT(Sheet1!E172,4)="upto","N/A",
IF(LEFT(Sheet1!E172,5)="Above",VALUE(MID(Sheet1!E172,7,2))+1,
IF(ISNUMBER(SEARCH("to",Sheet1!E172)),VALUE(LEFT(Sheet1!E172,FIND(" to",Sheet1!E172)-1)),
"N/A"))))</f>
        <v>N/A</v>
      </c>
      <c r="L172" s="24" t="str">
        <f>IF(Sheet1!E172="All","N/A",
IF(LEFT(Sheet1!E172,4)="upto",VALUE(MID(Sheet1!E172,6,2)),
IF(LEFT(Sheet1!E172,5)="Above","N/A",
IF(ISNUMBER(SEARCH("to",Sheet1!E172)),VALUE(MID(Sheet1!E172,FIND("to ",Sheet1!E172)+3,2)),
"N/A"))))</f>
        <v>N/A</v>
      </c>
      <c r="M172" s="29" t="s">
        <v>30</v>
      </c>
      <c r="N172" s="17" t="s">
        <v>54</v>
      </c>
      <c r="O172" s="17" t="s">
        <v>123</v>
      </c>
      <c r="P172" s="17" t="str">
        <f>IF(Sheet1!A172="No","No",
IF(LEFT(Sheet1!A172,5)="Up to",0,
VALUE(LEFT(Sheet1!A172,FIND(" ",Sheet1!A172)-1))))</f>
        <v>No</v>
      </c>
      <c r="Q172" s="17" t="str">
        <f>IF(Sheet1!A172="No","No",
IF(LEFT(Sheet1!A172,5)="Up to",
VALUE(MID(Sheet1!A172,7,FIND("kg",Sheet1!A172)-7)),
VALUE(MID(Sheet1!A172,FIND("to",Sheet1!A172)+3,FIND("kg",Sheet1!A172)-FIND("to",Sheet1!A172)-3))))</f>
        <v>No</v>
      </c>
      <c r="R172" s="16" t="s">
        <v>116</v>
      </c>
      <c r="S172" s="21" t="s">
        <v>116</v>
      </c>
      <c r="T172" s="17" t="s">
        <v>124</v>
      </c>
      <c r="U172" s="21" t="s">
        <v>116</v>
      </c>
      <c r="V172" s="17" t="s">
        <v>37</v>
      </c>
      <c r="W172" s="21" t="s">
        <v>116</v>
      </c>
      <c r="X172" s="21" t="s">
        <v>116</v>
      </c>
      <c r="Y172" s="37">
        <f>Sheet1!C172-Sheet1!D172</f>
        <v>1.47E-2</v>
      </c>
    </row>
    <row r="173" spans="1:25" ht="29" hidden="1">
      <c r="A173" s="27" t="s">
        <v>36</v>
      </c>
      <c r="B173" s="21" t="s">
        <v>16</v>
      </c>
      <c r="C173" s="16" t="s">
        <v>35</v>
      </c>
      <c r="D173" s="45" t="s">
        <v>119</v>
      </c>
      <c r="E173" s="30" t="s">
        <v>18</v>
      </c>
      <c r="F173" s="30" t="s">
        <v>18</v>
      </c>
      <c r="G173" s="54" t="s">
        <v>126</v>
      </c>
      <c r="H173" s="30" t="s">
        <v>18</v>
      </c>
      <c r="I173" s="44" t="s">
        <v>120</v>
      </c>
      <c r="J173" s="24" t="s">
        <v>31</v>
      </c>
      <c r="K173" s="24" t="str">
        <f>IF(Sheet1!E173="All","N/A",
IF(LEFT(Sheet1!E173,4)="upto","N/A",
IF(LEFT(Sheet1!E173,5)="Above",VALUE(MID(Sheet1!E173,7,2))+1,
IF(ISNUMBER(SEARCH("to",Sheet1!E173)),VALUE(LEFT(Sheet1!E173,FIND(" to",Sheet1!E173)-1)),
"N/A"))))</f>
        <v>N/A</v>
      </c>
      <c r="L173" s="24" t="str">
        <f>IF(Sheet1!E173="All","N/A",
IF(LEFT(Sheet1!E173,4)="upto",VALUE(MID(Sheet1!E173,6,2)),
IF(LEFT(Sheet1!E173,5)="Above","N/A",
IF(ISNUMBER(SEARCH("to",Sheet1!E173)),VALUE(MID(Sheet1!E173,FIND("to ",Sheet1!E173)+3,2)),
"N/A"))))</f>
        <v>N/A</v>
      </c>
      <c r="M173" s="29" t="s">
        <v>30</v>
      </c>
      <c r="N173" s="17" t="s">
        <v>54</v>
      </c>
      <c r="O173" s="17" t="s">
        <v>123</v>
      </c>
      <c r="P173" s="17" t="str">
        <f>IF(Sheet1!A173="No","No",
IF(LEFT(Sheet1!A173,5)="Up to",0,
VALUE(LEFT(Sheet1!A173,FIND(" ",Sheet1!A173)-1))))</f>
        <v>No</v>
      </c>
      <c r="Q173" s="17" t="str">
        <f>IF(Sheet1!A173="No","No",
IF(LEFT(Sheet1!A173,5)="Up to",
VALUE(MID(Sheet1!A173,7,FIND("kg",Sheet1!A173)-7)),
VALUE(MID(Sheet1!A173,FIND("to",Sheet1!A173)+3,FIND("kg",Sheet1!A173)-FIND("to",Sheet1!A173)-3))))</f>
        <v>No</v>
      </c>
      <c r="R173" s="16" t="s">
        <v>116</v>
      </c>
      <c r="S173" s="21" t="s">
        <v>116</v>
      </c>
      <c r="T173" s="17" t="s">
        <v>124</v>
      </c>
      <c r="U173" s="21" t="s">
        <v>116</v>
      </c>
      <c r="V173" s="17" t="s">
        <v>37</v>
      </c>
      <c r="W173" s="21" t="s">
        <v>116</v>
      </c>
      <c r="X173" s="21" t="s">
        <v>116</v>
      </c>
      <c r="Y173" s="37">
        <f>Sheet1!C173-Sheet1!D173</f>
        <v>3.4300000000000004E-2</v>
      </c>
    </row>
    <row r="174" spans="1:25" ht="29" hidden="1">
      <c r="A174" s="27" t="s">
        <v>36</v>
      </c>
      <c r="B174" s="21" t="s">
        <v>16</v>
      </c>
      <c r="C174" s="16" t="s">
        <v>35</v>
      </c>
      <c r="D174" s="45" t="s">
        <v>119</v>
      </c>
      <c r="E174" s="30" t="s">
        <v>18</v>
      </c>
      <c r="F174" s="30" t="s">
        <v>18</v>
      </c>
      <c r="G174" s="54" t="s">
        <v>127</v>
      </c>
      <c r="H174" s="30" t="s">
        <v>18</v>
      </c>
      <c r="I174" s="44" t="s">
        <v>120</v>
      </c>
      <c r="J174" s="24" t="s">
        <v>31</v>
      </c>
      <c r="K174" s="24" t="str">
        <f>IF(Sheet1!E174="All","N/A",
IF(LEFT(Sheet1!E174,4)="upto","N/A",
IF(LEFT(Sheet1!E174,5)="Above",VALUE(MID(Sheet1!E174,7,2))+1,
IF(ISNUMBER(SEARCH("to",Sheet1!E174)),VALUE(LEFT(Sheet1!E174,FIND(" to",Sheet1!E174)-1)),
"N/A"))))</f>
        <v>N/A</v>
      </c>
      <c r="L174" s="24" t="str">
        <f>IF(Sheet1!E174="All","N/A",
IF(LEFT(Sheet1!E174,4)="upto",VALUE(MID(Sheet1!E174,6,2)),
IF(LEFT(Sheet1!E174,5)="Above","N/A",
IF(ISNUMBER(SEARCH("to",Sheet1!E174)),VALUE(MID(Sheet1!E174,FIND("to ",Sheet1!E174)+3,2)),
"N/A"))))</f>
        <v>N/A</v>
      </c>
      <c r="M174" s="29" t="s">
        <v>30</v>
      </c>
      <c r="N174" s="17" t="s">
        <v>54</v>
      </c>
      <c r="O174" s="17" t="s">
        <v>123</v>
      </c>
      <c r="P174" s="17" t="str">
        <f>IF(Sheet1!A174="No","No",
IF(LEFT(Sheet1!A174,5)="Up to",0,
VALUE(LEFT(Sheet1!A174,FIND(" ",Sheet1!A174)-1))))</f>
        <v>No</v>
      </c>
      <c r="Q174" s="17" t="str">
        <f>IF(Sheet1!A174="No","No",
IF(LEFT(Sheet1!A174,5)="Up to",
VALUE(MID(Sheet1!A174,7,FIND("kg",Sheet1!A174)-7)),
VALUE(MID(Sheet1!A174,FIND("to",Sheet1!A174)+3,FIND("kg",Sheet1!A174)-FIND("to",Sheet1!A174)-3))))</f>
        <v>No</v>
      </c>
      <c r="R174" s="16" t="s">
        <v>116</v>
      </c>
      <c r="S174" s="21" t="s">
        <v>116</v>
      </c>
      <c r="T174" s="17" t="s">
        <v>124</v>
      </c>
      <c r="U174" s="21" t="s">
        <v>116</v>
      </c>
      <c r="V174" s="17" t="s">
        <v>37</v>
      </c>
      <c r="W174" s="21" t="s">
        <v>116</v>
      </c>
      <c r="X174" s="21" t="s">
        <v>116</v>
      </c>
      <c r="Y174" s="37">
        <f>Sheet1!C174-Sheet1!D174</f>
        <v>0.34790000000000004</v>
      </c>
    </row>
    <row r="175" spans="1:25" ht="29" hidden="1">
      <c r="A175" s="27" t="s">
        <v>36</v>
      </c>
      <c r="B175" s="21" t="s">
        <v>16</v>
      </c>
      <c r="C175" s="16" t="s">
        <v>35</v>
      </c>
      <c r="D175" s="45" t="s">
        <v>119</v>
      </c>
      <c r="E175" s="30" t="s">
        <v>18</v>
      </c>
      <c r="F175" s="30" t="s">
        <v>18</v>
      </c>
      <c r="G175" s="54" t="s">
        <v>128</v>
      </c>
      <c r="H175" s="30" t="s">
        <v>18</v>
      </c>
      <c r="I175" s="44" t="s">
        <v>120</v>
      </c>
      <c r="J175" s="24" t="s">
        <v>31</v>
      </c>
      <c r="K175" s="24" t="str">
        <f>IF(Sheet1!E175="All","N/A",
IF(LEFT(Sheet1!E175,4)="upto","N/A",
IF(LEFT(Sheet1!E175,5)="Above",VALUE(MID(Sheet1!E175,7,2))+1,
IF(ISNUMBER(SEARCH("to",Sheet1!E175)),VALUE(LEFT(Sheet1!E175,FIND(" to",Sheet1!E175)-1)),
"N/A"))))</f>
        <v>N/A</v>
      </c>
      <c r="L175" s="24" t="str">
        <f>IF(Sheet1!E175="All","N/A",
IF(LEFT(Sheet1!E175,4)="upto",VALUE(MID(Sheet1!E175,6,2)),
IF(LEFT(Sheet1!E175,5)="Above","N/A",
IF(ISNUMBER(SEARCH("to",Sheet1!E175)),VALUE(MID(Sheet1!E175,FIND("to ",Sheet1!E175)+3,2)),
"N/A"))))</f>
        <v>N/A</v>
      </c>
      <c r="M175" s="29" t="s">
        <v>30</v>
      </c>
      <c r="N175" s="17" t="s">
        <v>54</v>
      </c>
      <c r="O175" s="17" t="s">
        <v>123</v>
      </c>
      <c r="P175" s="17" t="str">
        <f>IF(Sheet1!A175="No","No",
IF(LEFT(Sheet1!A175,5)="Up to",0,
VALUE(LEFT(Sheet1!A175,FIND(" ",Sheet1!A175)-1))))</f>
        <v>No</v>
      </c>
      <c r="Q175" s="17" t="str">
        <f>IF(Sheet1!A175="No","No",
IF(LEFT(Sheet1!A175,5)="Up to",
VALUE(MID(Sheet1!A175,7,FIND("kg",Sheet1!A175)-7)),
VALUE(MID(Sheet1!A175,FIND("to",Sheet1!A175)+3,FIND("kg",Sheet1!A175)-FIND("to",Sheet1!A175)-3))))</f>
        <v>No</v>
      </c>
      <c r="R175" s="16" t="s">
        <v>116</v>
      </c>
      <c r="S175" s="21" t="s">
        <v>116</v>
      </c>
      <c r="T175" s="17" t="s">
        <v>124</v>
      </c>
      <c r="U175" s="21" t="s">
        <v>116</v>
      </c>
      <c r="V175" s="17" t="s">
        <v>37</v>
      </c>
      <c r="W175" s="21" t="s">
        <v>116</v>
      </c>
      <c r="X175" s="21" t="s">
        <v>116</v>
      </c>
      <c r="Y175" s="37">
        <f>Sheet1!C175-Sheet1!D175</f>
        <v>2.9399999999999999E-2</v>
      </c>
    </row>
    <row r="176" spans="1:25" ht="29" hidden="1">
      <c r="A176" s="27" t="s">
        <v>36</v>
      </c>
      <c r="B176" s="21" t="s">
        <v>16</v>
      </c>
      <c r="C176" s="16" t="s">
        <v>35</v>
      </c>
      <c r="D176" s="45" t="s">
        <v>119</v>
      </c>
      <c r="E176" s="30" t="s">
        <v>18</v>
      </c>
      <c r="F176" s="30" t="s">
        <v>18</v>
      </c>
      <c r="G176" s="54" t="s">
        <v>129</v>
      </c>
      <c r="H176" s="30" t="s">
        <v>18</v>
      </c>
      <c r="I176" s="44" t="s">
        <v>120</v>
      </c>
      <c r="J176" s="24" t="s">
        <v>31</v>
      </c>
      <c r="K176" s="24" t="str">
        <f>IF(Sheet1!E176="All","N/A",
IF(LEFT(Sheet1!E176,4)="upto","N/A",
IF(LEFT(Sheet1!E176,5)="Above",VALUE(MID(Sheet1!E176,7,2))+1,
IF(ISNUMBER(SEARCH("to",Sheet1!E176)),VALUE(LEFT(Sheet1!E176,FIND(" to",Sheet1!E176)-1)),
"N/A"))))</f>
        <v>N/A</v>
      </c>
      <c r="L176" s="24" t="str">
        <f>IF(Sheet1!E176="All","N/A",
IF(LEFT(Sheet1!E176,4)="upto",VALUE(MID(Sheet1!E176,6,2)),
IF(LEFT(Sheet1!E176,5)="Above","N/A",
IF(ISNUMBER(SEARCH("to",Sheet1!E176)),VALUE(MID(Sheet1!E176,FIND("to ",Sheet1!E176)+3,2)),
"N/A"))))</f>
        <v>N/A</v>
      </c>
      <c r="M176" s="29" t="s">
        <v>30</v>
      </c>
      <c r="N176" s="17" t="s">
        <v>54</v>
      </c>
      <c r="O176" s="17" t="s">
        <v>123</v>
      </c>
      <c r="P176" s="17" t="str">
        <f>IF(Sheet1!A176="No","No",
IF(LEFT(Sheet1!A176,5)="Up to",0,
VALUE(LEFT(Sheet1!A176,FIND(" ",Sheet1!A176)-1))))</f>
        <v>No</v>
      </c>
      <c r="Q176" s="17" t="str">
        <f>IF(Sheet1!A176="No","No",
IF(LEFT(Sheet1!A176,5)="Up to",
VALUE(MID(Sheet1!A176,7,FIND("kg",Sheet1!A176)-7)),
VALUE(MID(Sheet1!A176,FIND("to",Sheet1!A176)+3,FIND("kg",Sheet1!A176)-FIND("to",Sheet1!A176)-3))))</f>
        <v>No</v>
      </c>
      <c r="R176" s="16" t="s">
        <v>116</v>
      </c>
      <c r="S176" s="21" t="s">
        <v>116</v>
      </c>
      <c r="T176" s="17" t="s">
        <v>124</v>
      </c>
      <c r="U176" s="21" t="s">
        <v>116</v>
      </c>
      <c r="V176" s="17" t="s">
        <v>37</v>
      </c>
      <c r="W176" s="21" t="s">
        <v>116</v>
      </c>
      <c r="X176" s="21" t="s">
        <v>116</v>
      </c>
      <c r="Y176" s="37">
        <f>Sheet1!C176-Sheet1!D176</f>
        <v>-1.47E-2</v>
      </c>
    </row>
    <row r="177" spans="1:25" ht="29" hidden="1">
      <c r="A177" s="27" t="s">
        <v>66</v>
      </c>
      <c r="B177" s="21" t="s">
        <v>16</v>
      </c>
      <c r="C177" s="16" t="s">
        <v>35</v>
      </c>
      <c r="D177" s="45" t="s">
        <v>119</v>
      </c>
      <c r="E177" s="30" t="s">
        <v>18</v>
      </c>
      <c r="F177" s="30" t="s">
        <v>18</v>
      </c>
      <c r="G177" s="30" t="s">
        <v>18</v>
      </c>
      <c r="H177" s="30" t="s">
        <v>18</v>
      </c>
      <c r="I177" s="44" t="s">
        <v>120</v>
      </c>
      <c r="J177" s="24" t="s">
        <v>31</v>
      </c>
      <c r="K177" s="24" t="str">
        <f>IF(Sheet1!E177="All","N/A",
IF(LEFT(Sheet1!E177,4)="upto","N/A",
IF(LEFT(Sheet1!E177,5)="Above",VALUE(MID(Sheet1!E177,7,2))+1,
IF(ISNUMBER(SEARCH("to",Sheet1!E177)),VALUE(LEFT(Sheet1!E177,FIND(" to",Sheet1!E177)-1)),
"N/A"))))</f>
        <v>N/A</v>
      </c>
      <c r="L177" s="24" t="str">
        <f>IF(Sheet1!E177="All","N/A",
IF(LEFT(Sheet1!E177,4)="upto",VALUE(MID(Sheet1!E177,6,2)),
IF(LEFT(Sheet1!E177,5)="Above","N/A",
IF(ISNUMBER(SEARCH("to",Sheet1!E177)),VALUE(MID(Sheet1!E177,FIND("to ",Sheet1!E177)+3,2)),
"N/A"))))</f>
        <v>N/A</v>
      </c>
      <c r="M177" s="29" t="s">
        <v>106</v>
      </c>
      <c r="N177" s="17" t="s">
        <v>150</v>
      </c>
      <c r="O177" s="17" t="s">
        <v>116</v>
      </c>
      <c r="P177" s="17" t="str">
        <f>IF(Sheet1!A177="No","No",
IF(LEFT(Sheet1!A177,5)="Up to",0,
VALUE(LEFT(Sheet1!A177,FIND(" ",Sheet1!A177)-1))))</f>
        <v>No</v>
      </c>
      <c r="Q177" s="17" t="str">
        <f>IF(Sheet1!A177="No","No",
IF(LEFT(Sheet1!A177,5)="Up to",
VALUE(MID(Sheet1!A177,7,FIND("kg",Sheet1!A177)-7)),
VALUE(MID(Sheet1!A177,FIND("to",Sheet1!A177)+3,FIND("kg",Sheet1!A177)-FIND("to",Sheet1!A177)-3))))</f>
        <v>No</v>
      </c>
      <c r="R177" s="16" t="s">
        <v>116</v>
      </c>
      <c r="S177" s="21" t="s">
        <v>116</v>
      </c>
      <c r="T177" s="17" t="s">
        <v>116</v>
      </c>
      <c r="U177" s="21" t="s">
        <v>116</v>
      </c>
      <c r="V177" s="17" t="s">
        <v>116</v>
      </c>
      <c r="W177" s="21" t="s">
        <v>116</v>
      </c>
      <c r="X177" s="21" t="s">
        <v>116</v>
      </c>
      <c r="Y177" s="37">
        <f>Sheet1!C177-Sheet1!D177</f>
        <v>0.4214</v>
      </c>
    </row>
    <row r="178" spans="1:25" ht="29" hidden="1">
      <c r="A178" s="27" t="s">
        <v>75</v>
      </c>
      <c r="B178" s="21" t="s">
        <v>16</v>
      </c>
      <c r="C178" s="24" t="s">
        <v>135</v>
      </c>
      <c r="D178" s="45" t="s">
        <v>119</v>
      </c>
      <c r="E178" s="30" t="s">
        <v>18</v>
      </c>
      <c r="F178" s="30" t="s">
        <v>18</v>
      </c>
      <c r="G178" s="30" t="s">
        <v>18</v>
      </c>
      <c r="H178" s="30" t="s">
        <v>18</v>
      </c>
      <c r="I178" s="44" t="s">
        <v>120</v>
      </c>
      <c r="J178" s="24" t="s">
        <v>31</v>
      </c>
      <c r="K178" s="24" t="str">
        <f>IF(Sheet1!E178="All","N/A",
IF(LEFT(Sheet1!E178,4)="upto","N/A",
IF(LEFT(Sheet1!E178,5)="Above",VALUE(MID(Sheet1!E178,7,2))+1,
IF(ISNUMBER(SEARCH("to",Sheet1!E178)),VALUE(LEFT(Sheet1!E178,FIND(" to",Sheet1!E178)-1)),
"N/A"))))</f>
        <v>N/A</v>
      </c>
      <c r="L178" s="24" t="str">
        <f>IF(Sheet1!E178="All","N/A",
IF(LEFT(Sheet1!E178,4)="upto",VALUE(MID(Sheet1!E178,6,2)),
IF(LEFT(Sheet1!E178,5)="Above","N/A",
IF(ISNUMBER(SEARCH("to",Sheet1!E178)),VALUE(MID(Sheet1!E178,FIND("to ",Sheet1!E178)+3,2)),
"N/A"))))</f>
        <v>N/A</v>
      </c>
      <c r="M178" s="29" t="s">
        <v>106</v>
      </c>
      <c r="N178" s="17" t="s">
        <v>150</v>
      </c>
      <c r="O178" s="17" t="s">
        <v>130</v>
      </c>
      <c r="P178" s="17" t="str">
        <f>IF(Sheet1!A178="No","No",
IF(LEFT(Sheet1!A178,5)="Up to",0,
VALUE(LEFT(Sheet1!A178,FIND(" ",Sheet1!A178)-1))))</f>
        <v>No</v>
      </c>
      <c r="Q178" s="17" t="str">
        <f>IF(Sheet1!A178="No","No",
IF(LEFT(Sheet1!A178,5)="Up to",
VALUE(MID(Sheet1!A178,7,FIND("kg",Sheet1!A178)-7)),
VALUE(MID(Sheet1!A178,FIND("to",Sheet1!A178)+3,FIND("kg",Sheet1!A178)-FIND("to",Sheet1!A178)-3))))</f>
        <v>No</v>
      </c>
      <c r="R178" s="16" t="s">
        <v>116</v>
      </c>
      <c r="S178" s="21" t="s">
        <v>116</v>
      </c>
      <c r="T178" s="17" t="s">
        <v>116</v>
      </c>
      <c r="U178" s="21" t="s">
        <v>116</v>
      </c>
      <c r="V178" s="17" t="s">
        <v>116</v>
      </c>
      <c r="W178" s="21" t="s">
        <v>116</v>
      </c>
      <c r="X178" s="21" t="s">
        <v>116</v>
      </c>
      <c r="Y178" s="37">
        <f>Sheet1!C178-Sheet1!D178</f>
        <v>0.1225</v>
      </c>
    </row>
    <row r="179" spans="1:25" ht="29" hidden="1">
      <c r="A179" s="27" t="s">
        <v>75</v>
      </c>
      <c r="B179" s="21" t="s">
        <v>16</v>
      </c>
      <c r="C179" s="24" t="s">
        <v>159</v>
      </c>
      <c r="D179" s="45" t="s">
        <v>119</v>
      </c>
      <c r="E179" s="30" t="s">
        <v>18</v>
      </c>
      <c r="F179" s="30" t="s">
        <v>18</v>
      </c>
      <c r="G179" s="30" t="s">
        <v>18</v>
      </c>
      <c r="H179" s="30" t="s">
        <v>18</v>
      </c>
      <c r="I179" s="44" t="s">
        <v>120</v>
      </c>
      <c r="J179" s="24" t="s">
        <v>31</v>
      </c>
      <c r="K179" s="24" t="str">
        <f>IF(Sheet1!E179="All","N/A",
IF(LEFT(Sheet1!E179,4)="upto","N/A",
IF(LEFT(Sheet1!E179,5)="Above",VALUE(MID(Sheet1!E179,7,2))+1,
IF(ISNUMBER(SEARCH("to",Sheet1!E179)),VALUE(LEFT(Sheet1!E179,FIND(" to",Sheet1!E179)-1)),
"N/A"))))</f>
        <v>N/A</v>
      </c>
      <c r="L179" s="24" t="str">
        <f>IF(Sheet1!E179="All","N/A",
IF(LEFT(Sheet1!E179,4)="upto",VALUE(MID(Sheet1!E179,6,2)),
IF(LEFT(Sheet1!E179,5)="Above","N/A",
IF(ISNUMBER(SEARCH("to",Sheet1!E179)),VALUE(MID(Sheet1!E179,FIND("to ",Sheet1!E179)+3,2)),
"N/A"))))</f>
        <v>N/A</v>
      </c>
      <c r="M179" s="29" t="s">
        <v>106</v>
      </c>
      <c r="N179" s="17" t="s">
        <v>150</v>
      </c>
      <c r="O179" s="17" t="s">
        <v>130</v>
      </c>
      <c r="P179" s="17" t="str">
        <f>IF(Sheet1!A179="No","No",
IF(LEFT(Sheet1!A179,5)="Up to",0,
VALUE(LEFT(Sheet1!A179,FIND(" ",Sheet1!A179)-1))))</f>
        <v>No</v>
      </c>
      <c r="Q179" s="17" t="str">
        <f>IF(Sheet1!A179="No","No",
IF(LEFT(Sheet1!A179,5)="Up to",
VALUE(MID(Sheet1!A179,7,FIND("kg",Sheet1!A179)-7)),
VALUE(MID(Sheet1!A179,FIND("to",Sheet1!A179)+3,FIND("kg",Sheet1!A179)-FIND("to",Sheet1!A179)-3))))</f>
        <v>No</v>
      </c>
      <c r="R179" s="16" t="s">
        <v>116</v>
      </c>
      <c r="S179" s="21" t="s">
        <v>116</v>
      </c>
      <c r="T179" s="17" t="s">
        <v>116</v>
      </c>
      <c r="U179" s="21" t="s">
        <v>116</v>
      </c>
      <c r="V179" s="17" t="s">
        <v>116</v>
      </c>
      <c r="W179" s="21" t="s">
        <v>116</v>
      </c>
      <c r="X179" s="21" t="s">
        <v>116</v>
      </c>
      <c r="Y179" s="37">
        <f>Sheet1!C179-Sheet1!D179</f>
        <v>0.1323</v>
      </c>
    </row>
    <row r="180" spans="1:25" ht="29" hidden="1">
      <c r="A180" s="27" t="s">
        <v>115</v>
      </c>
      <c r="B180" s="21" t="s">
        <v>16</v>
      </c>
      <c r="C180" s="24" t="s">
        <v>35</v>
      </c>
      <c r="D180" s="45" t="s">
        <v>119</v>
      </c>
      <c r="E180" s="30" t="s">
        <v>18</v>
      </c>
      <c r="F180" s="30" t="s">
        <v>18</v>
      </c>
      <c r="G180" s="44" t="s">
        <v>126</v>
      </c>
      <c r="H180" s="30" t="s">
        <v>18</v>
      </c>
      <c r="I180" s="44" t="s">
        <v>131</v>
      </c>
      <c r="J180" s="24" t="s">
        <v>31</v>
      </c>
      <c r="K180" s="24" t="str">
        <f>IF(Sheet1!E180="All","N/A",
IF(LEFT(Sheet1!E180,4)="upto","N/A",
IF(LEFT(Sheet1!E180,5)="Above",VALUE(MID(Sheet1!E180,7,2))+1,
IF(ISNUMBER(SEARCH("to",Sheet1!E180)),VALUE(LEFT(Sheet1!E180,FIND(" to",Sheet1!E180)-1)),
"N/A"))))</f>
        <v>N/A</v>
      </c>
      <c r="L180" s="24" t="str">
        <f>IF(Sheet1!E180="All","N/A",
IF(LEFT(Sheet1!E180,4)="upto",VALUE(MID(Sheet1!E180,6,2)),
IF(LEFT(Sheet1!E180,5)="Above","N/A",
IF(ISNUMBER(SEARCH("to",Sheet1!E180)),VALUE(MID(Sheet1!E180,FIND("to ",Sheet1!E180)+3,2)),
"N/A"))))</f>
        <v>N/A</v>
      </c>
      <c r="M180" s="29" t="s">
        <v>106</v>
      </c>
      <c r="N180" s="17" t="s">
        <v>150</v>
      </c>
      <c r="O180" s="17" t="s">
        <v>116</v>
      </c>
      <c r="P180" s="17" t="str">
        <f>IF(Sheet1!A180="No","No",
IF(LEFT(Sheet1!A180,5)="Up to",0,
VALUE(LEFT(Sheet1!A180,FIND(" ",Sheet1!A180)-1))))</f>
        <v>No</v>
      </c>
      <c r="Q180" s="17" t="str">
        <f>IF(Sheet1!A180="No","No",
IF(LEFT(Sheet1!A180,5)="Up to",
VALUE(MID(Sheet1!A180,7,FIND("kg",Sheet1!A180)-7)),
VALUE(MID(Sheet1!A180,FIND("to",Sheet1!A180)+3,FIND("kg",Sheet1!A180)-FIND("to",Sheet1!A180)-3))))</f>
        <v>No</v>
      </c>
      <c r="R180" s="16" t="s">
        <v>116</v>
      </c>
      <c r="S180" s="21" t="s">
        <v>116</v>
      </c>
      <c r="T180" s="17" t="s">
        <v>116</v>
      </c>
      <c r="U180" s="21" t="s">
        <v>116</v>
      </c>
      <c r="V180" s="17" t="s">
        <v>116</v>
      </c>
      <c r="W180" s="21" t="s">
        <v>116</v>
      </c>
      <c r="X180" s="21" t="s">
        <v>116</v>
      </c>
      <c r="Y180" s="37">
        <f>Sheet1!C180-Sheet1!D180</f>
        <v>0.39690000000000003</v>
      </c>
    </row>
    <row r="181" spans="1:25" ht="29" hidden="1">
      <c r="A181" s="27" t="s">
        <v>115</v>
      </c>
      <c r="B181" s="21" t="s">
        <v>16</v>
      </c>
      <c r="C181" s="24" t="s">
        <v>35</v>
      </c>
      <c r="D181" s="45" t="s">
        <v>119</v>
      </c>
      <c r="E181" s="30" t="s">
        <v>18</v>
      </c>
      <c r="F181" s="30" t="s">
        <v>18</v>
      </c>
      <c r="G181" s="54" t="s">
        <v>132</v>
      </c>
      <c r="H181" s="30" t="s">
        <v>18</v>
      </c>
      <c r="I181" s="44" t="s">
        <v>131</v>
      </c>
      <c r="J181" s="24" t="s">
        <v>31</v>
      </c>
      <c r="K181" s="24" t="str">
        <f>IF(Sheet1!E181="All","N/A",
IF(LEFT(Sheet1!E181,4)="upto","N/A",
IF(LEFT(Sheet1!E181,5)="Above",VALUE(MID(Sheet1!E181,7,2))+1,
IF(ISNUMBER(SEARCH("to",Sheet1!E181)),VALUE(LEFT(Sheet1!E181,FIND(" to",Sheet1!E181)-1)),
"N/A"))))</f>
        <v>N/A</v>
      </c>
      <c r="L181" s="24" t="str">
        <f>IF(Sheet1!E181="All","N/A",
IF(LEFT(Sheet1!E181,4)="upto",VALUE(MID(Sheet1!E181,6,2)),
IF(LEFT(Sheet1!E181,5)="Above","N/A",
IF(ISNUMBER(SEARCH("to",Sheet1!E181)),VALUE(MID(Sheet1!E181,FIND("to ",Sheet1!E181)+3,2)),
"N/A"))))</f>
        <v>N/A</v>
      </c>
      <c r="M181" s="29" t="s">
        <v>106</v>
      </c>
      <c r="N181" s="17" t="s">
        <v>150</v>
      </c>
      <c r="O181" s="17" t="s">
        <v>116</v>
      </c>
      <c r="P181" s="17" t="str">
        <f>IF(Sheet1!A181="No","No",
IF(LEFT(Sheet1!A181,5)="Up to",0,
VALUE(LEFT(Sheet1!A181,FIND(" ",Sheet1!A181)-1))))</f>
        <v>No</v>
      </c>
      <c r="Q181" s="17" t="str">
        <f>IF(Sheet1!A181="No","No",
IF(LEFT(Sheet1!A181,5)="Up to",
VALUE(MID(Sheet1!A181,7,FIND("kg",Sheet1!A181)-7)),
VALUE(MID(Sheet1!A181,FIND("to",Sheet1!A181)+3,FIND("kg",Sheet1!A181)-FIND("to",Sheet1!A181)-3))))</f>
        <v>No</v>
      </c>
      <c r="R181" s="16" t="s">
        <v>116</v>
      </c>
      <c r="S181" s="21" t="s">
        <v>116</v>
      </c>
      <c r="T181" s="17" t="s">
        <v>116</v>
      </c>
      <c r="U181" s="21" t="s">
        <v>116</v>
      </c>
      <c r="V181" s="17" t="s">
        <v>116</v>
      </c>
      <c r="W181" s="21" t="s">
        <v>116</v>
      </c>
      <c r="X181" s="21" t="s">
        <v>116</v>
      </c>
      <c r="Y181" s="37">
        <f>Sheet1!C181-Sheet1!D181</f>
        <v>0.49490000000000001</v>
      </c>
    </row>
    <row r="182" spans="1:25" ht="29" hidden="1">
      <c r="A182" s="27" t="s">
        <v>41</v>
      </c>
      <c r="B182" s="21" t="s">
        <v>42</v>
      </c>
      <c r="C182" s="24" t="s">
        <v>135</v>
      </c>
      <c r="D182" s="45" t="s">
        <v>119</v>
      </c>
      <c r="E182" s="30" t="s">
        <v>18</v>
      </c>
      <c r="F182" s="30" t="s">
        <v>18</v>
      </c>
      <c r="G182" s="44" t="s">
        <v>133</v>
      </c>
      <c r="H182" s="30" t="s">
        <v>18</v>
      </c>
      <c r="I182" s="44" t="s">
        <v>131</v>
      </c>
      <c r="J182" s="24" t="s">
        <v>31</v>
      </c>
      <c r="K182" s="24" t="str">
        <f>IF(Sheet1!E182="All","N/A",
IF(LEFT(Sheet1!E182,4)="upto","N/A",
IF(LEFT(Sheet1!E182,5)="Above",VALUE(MID(Sheet1!E182,7,2))+1,
IF(ISNUMBER(SEARCH("to",Sheet1!E182)),VALUE(LEFT(Sheet1!E182,FIND(" to",Sheet1!E182)-1)),
"N/A"))))</f>
        <v>N/A</v>
      </c>
      <c r="L182" s="24" t="str">
        <f>IF(Sheet1!E182="All","N/A",
IF(LEFT(Sheet1!E182,4)="upto",VALUE(MID(Sheet1!E182,6,2)),
IF(LEFT(Sheet1!E182,5)="Above","N/A",
IF(ISNUMBER(SEARCH("to",Sheet1!E182)),VALUE(MID(Sheet1!E182,FIND("to ",Sheet1!E182)+3,2)),
"N/A"))))</f>
        <v>N/A</v>
      </c>
      <c r="M182" s="38" t="s">
        <v>134</v>
      </c>
      <c r="N182" s="17" t="s">
        <v>150</v>
      </c>
      <c r="O182" s="17" t="s">
        <v>116</v>
      </c>
      <c r="P182" s="17" t="str">
        <f>IF(Sheet1!A182="No","No",
IF(LEFT(Sheet1!A182,5)="Up to",0,
VALUE(LEFT(Sheet1!A182,FIND(" ",Sheet1!A182)-1))))</f>
        <v>No</v>
      </c>
      <c r="Q182" s="17" t="str">
        <f>IF(Sheet1!A182="No","No",
IF(LEFT(Sheet1!A182,5)="Up to",
VALUE(MID(Sheet1!A182,7,FIND("kg",Sheet1!A182)-7)),
VALUE(MID(Sheet1!A182,FIND("to",Sheet1!A182)+3,FIND("kg",Sheet1!A182)-FIND("to",Sheet1!A182)-3))))</f>
        <v>No</v>
      </c>
      <c r="R182" s="16" t="s">
        <v>116</v>
      </c>
      <c r="S182" s="21" t="s">
        <v>116</v>
      </c>
      <c r="T182" s="17" t="s">
        <v>116</v>
      </c>
      <c r="U182" s="21" t="s">
        <v>116</v>
      </c>
      <c r="V182" s="17" t="s">
        <v>116</v>
      </c>
      <c r="W182" s="21" t="s">
        <v>116</v>
      </c>
      <c r="X182" s="21" t="s">
        <v>116</v>
      </c>
      <c r="Y182" s="37">
        <f>Sheet1!C182-Sheet1!D182</f>
        <v>0.37240000000000001</v>
      </c>
    </row>
    <row r="183" spans="1:25" ht="29" hidden="1">
      <c r="A183" s="27" t="s">
        <v>19</v>
      </c>
      <c r="B183" s="17" t="s">
        <v>16</v>
      </c>
      <c r="C183" s="24" t="s">
        <v>35</v>
      </c>
      <c r="D183" s="45" t="s">
        <v>119</v>
      </c>
      <c r="E183" s="30" t="s">
        <v>18</v>
      </c>
      <c r="F183" s="30" t="s">
        <v>18</v>
      </c>
      <c r="G183" s="30" t="s">
        <v>18</v>
      </c>
      <c r="H183" s="30" t="s">
        <v>18</v>
      </c>
      <c r="I183" s="44" t="s">
        <v>131</v>
      </c>
      <c r="J183" s="24" t="s">
        <v>151</v>
      </c>
      <c r="K183" s="24">
        <f>IF(Sheet1!E183="All","N/A",
IF(LEFT(Sheet1!E183,4)="upto","N/A",
IF(LEFT(Sheet1!E183,5)="Above",VALUE(MID(Sheet1!E183,7,2))+1,
IF(ISNUMBER(SEARCH("to",Sheet1!E183)),VALUE(LEFT(Sheet1!E183,FIND(" to",Sheet1!E183)-1)),
"N/A"))))</f>
        <v>6</v>
      </c>
      <c r="L183" s="24">
        <f>IF(Sheet1!E183="All","N/A",
IF(LEFT(Sheet1!E183,4)="upto",VALUE(MID(Sheet1!E183,6,2)),
IF(LEFT(Sheet1!E183,5)="Above","N/A",
IF(ISNUMBER(SEARCH("to",Sheet1!E183)),VALUE(MID(Sheet1!E183,FIND("to ",Sheet1!E183)+3,2)),
"N/A"))))</f>
        <v>15</v>
      </c>
      <c r="M183" s="29" t="s">
        <v>17</v>
      </c>
      <c r="N183" s="17" t="s">
        <v>150</v>
      </c>
      <c r="O183" s="17" t="s">
        <v>116</v>
      </c>
      <c r="P183" s="17" t="str">
        <f>IF(Sheet1!A183="No","No",
IF(LEFT(Sheet1!A183,5)="Up to",0,
VALUE(LEFT(Sheet1!A183,FIND(" ",Sheet1!A183)-1))))</f>
        <v>No</v>
      </c>
      <c r="Q183" s="17" t="str">
        <f>IF(Sheet1!A183="No","No",
IF(LEFT(Sheet1!A183,5)="Up to",
VALUE(MID(Sheet1!A183,7,FIND("kg",Sheet1!A183)-7)),
VALUE(MID(Sheet1!A183,FIND("to",Sheet1!A183)+3,FIND("kg",Sheet1!A183)-FIND("to",Sheet1!A183)-3))))</f>
        <v>No</v>
      </c>
      <c r="R183" s="16" t="s">
        <v>116</v>
      </c>
      <c r="S183" s="21" t="s">
        <v>116</v>
      </c>
      <c r="T183" s="17" t="s">
        <v>116</v>
      </c>
      <c r="U183" s="21" t="s">
        <v>116</v>
      </c>
      <c r="V183" s="17" t="s">
        <v>116</v>
      </c>
      <c r="W183" s="21" t="s">
        <v>116</v>
      </c>
      <c r="X183" s="21" t="s">
        <v>116</v>
      </c>
      <c r="Y183" s="37">
        <f>Sheet1!C183-Sheet1!D183</f>
        <v>0.24990000000000001</v>
      </c>
    </row>
    <row r="184" spans="1:25" ht="29" hidden="1">
      <c r="A184" s="27" t="s">
        <v>66</v>
      </c>
      <c r="B184" s="17" t="s">
        <v>16</v>
      </c>
      <c r="C184" s="24" t="s">
        <v>35</v>
      </c>
      <c r="D184" s="45" t="s">
        <v>119</v>
      </c>
      <c r="E184" s="30" t="s">
        <v>18</v>
      </c>
      <c r="F184" s="46">
        <v>46043</v>
      </c>
      <c r="G184" s="30" t="s">
        <v>18</v>
      </c>
      <c r="H184" s="30" t="s">
        <v>18</v>
      </c>
      <c r="I184" s="44" t="s">
        <v>131</v>
      </c>
      <c r="J184" s="24" t="s">
        <v>31</v>
      </c>
      <c r="K184" s="24" t="str">
        <f>IF(Sheet1!E184="All","N/A",
IF(LEFT(Sheet1!E184,4)="upto","N/A",
IF(LEFT(Sheet1!E184,5)="Above",VALUE(MID(Sheet1!E184,7,2))+1,
IF(ISNUMBER(SEARCH("to",Sheet1!E184)),VALUE(LEFT(Sheet1!E184,FIND(" to",Sheet1!E184)-1)),
"N/A"))))</f>
        <v>N/A</v>
      </c>
      <c r="L184" s="24" t="str">
        <f>IF(Sheet1!E184="All","N/A",
IF(LEFT(Sheet1!E184,4)="upto",VALUE(MID(Sheet1!E184,6,2)),
IF(LEFT(Sheet1!E184,5)="Above","N/A",
IF(ISNUMBER(SEARCH("to",Sheet1!E184)),VALUE(MID(Sheet1!E184,FIND("to ",Sheet1!E184)+3,2)),
"N/A"))))</f>
        <v>N/A</v>
      </c>
      <c r="M184" s="28" t="s">
        <v>106</v>
      </c>
      <c r="N184" s="17" t="s">
        <v>150</v>
      </c>
      <c r="O184" s="17" t="s">
        <v>116</v>
      </c>
      <c r="P184" s="17" t="str">
        <f>IF(Sheet1!A184="No","No",
IF(LEFT(Sheet1!A184,5)="Up to",0,
VALUE(LEFT(Sheet1!A184,FIND(" ",Sheet1!A184)-1))))</f>
        <v>No</v>
      </c>
      <c r="Q184" s="17" t="str">
        <f>IF(Sheet1!A184="No","No",
IF(LEFT(Sheet1!A184,5)="Up to",
VALUE(MID(Sheet1!A184,7,FIND("kg",Sheet1!A184)-7)),
VALUE(MID(Sheet1!A184,FIND("to",Sheet1!A184)+3,FIND("kg",Sheet1!A184)-FIND("to",Sheet1!A184)-3))))</f>
        <v>No</v>
      </c>
      <c r="R184" s="16" t="s">
        <v>116</v>
      </c>
      <c r="S184" s="21" t="s">
        <v>116</v>
      </c>
      <c r="T184" s="17" t="s">
        <v>116</v>
      </c>
      <c r="U184" s="21" t="s">
        <v>116</v>
      </c>
      <c r="V184" s="17" t="s">
        <v>116</v>
      </c>
      <c r="W184" s="21" t="s">
        <v>116</v>
      </c>
      <c r="X184" s="21" t="s">
        <v>116</v>
      </c>
      <c r="Y184" s="37">
        <f>Sheet1!C184-Sheet1!D184</f>
        <v>0.4214</v>
      </c>
    </row>
    <row r="185" spans="1:25" ht="29" hidden="1">
      <c r="A185" s="27" t="s">
        <v>66</v>
      </c>
      <c r="B185" s="17" t="s">
        <v>16</v>
      </c>
      <c r="C185" s="24" t="s">
        <v>35</v>
      </c>
      <c r="D185" s="45" t="s">
        <v>119</v>
      </c>
      <c r="E185" s="46">
        <v>46044</v>
      </c>
      <c r="F185" s="30" t="s">
        <v>18</v>
      </c>
      <c r="G185" s="30" t="s">
        <v>18</v>
      </c>
      <c r="H185" s="30" t="s">
        <v>18</v>
      </c>
      <c r="I185" s="44" t="s">
        <v>131</v>
      </c>
      <c r="J185" s="24" t="s">
        <v>31</v>
      </c>
      <c r="K185" s="24" t="str">
        <f>IF(Sheet1!E185="All","N/A",
IF(LEFT(Sheet1!E185,4)="upto","N/A",
IF(LEFT(Sheet1!E185,5)="Above",VALUE(MID(Sheet1!E185,7,2))+1,
IF(ISNUMBER(SEARCH("to",Sheet1!E185)),VALUE(LEFT(Sheet1!E185,FIND(" to",Sheet1!E185)-1)),
"N/A"))))</f>
        <v>N/A</v>
      </c>
      <c r="L185" s="24" t="str">
        <f>IF(Sheet1!E185="All","N/A",
IF(LEFT(Sheet1!E185,4)="upto",VALUE(MID(Sheet1!E185,6,2)),
IF(LEFT(Sheet1!E185,5)="Above","N/A",
IF(ISNUMBER(SEARCH("to",Sheet1!E185)),VALUE(MID(Sheet1!E185,FIND("to ",Sheet1!E185)+3,2)),
"N/A"))))</f>
        <v>N/A</v>
      </c>
      <c r="M185" s="28" t="s">
        <v>106</v>
      </c>
      <c r="N185" s="17" t="s">
        <v>150</v>
      </c>
      <c r="O185" s="17" t="s">
        <v>116</v>
      </c>
      <c r="P185" s="17" t="str">
        <f>IF(Sheet1!A185="No","No",
IF(LEFT(Sheet1!A185,5)="Up to",0,
VALUE(LEFT(Sheet1!A185,FIND(" ",Sheet1!A185)-1))))</f>
        <v>No</v>
      </c>
      <c r="Q185" s="17" t="str">
        <f>IF(Sheet1!A185="No","No",
IF(LEFT(Sheet1!A185,5)="Up to",
VALUE(MID(Sheet1!A185,7,FIND("kg",Sheet1!A185)-7)),
VALUE(MID(Sheet1!A185,FIND("to",Sheet1!A185)+3,FIND("kg",Sheet1!A185)-FIND("to",Sheet1!A185)-3))))</f>
        <v>No</v>
      </c>
      <c r="R185" s="16" t="s">
        <v>116</v>
      </c>
      <c r="S185" s="21" t="s">
        <v>116</v>
      </c>
      <c r="T185" s="17" t="s">
        <v>116</v>
      </c>
      <c r="U185" s="21" t="s">
        <v>116</v>
      </c>
      <c r="V185" s="17" t="s">
        <v>116</v>
      </c>
      <c r="W185" s="21" t="s">
        <v>116</v>
      </c>
      <c r="X185" s="21" t="s">
        <v>116</v>
      </c>
      <c r="Y185" s="37">
        <f>Sheet1!C185-Sheet1!D185</f>
        <v>0.49490000000000001</v>
      </c>
    </row>
  </sheetData>
  <phoneticPr fontId="7" type="noConversion"/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5"/>
  <sheetViews>
    <sheetView workbookViewId="0">
      <selection activeCell="E1" sqref="E1"/>
    </sheetView>
  </sheetViews>
  <sheetFormatPr defaultRowHeight="14.5"/>
  <cols>
    <col min="1" max="1" width="14.08984375" style="4" customWidth="1"/>
    <col min="2" max="2" width="9.1796875" style="5"/>
    <col min="3" max="3" width="14.453125" style="7" customWidth="1"/>
    <col min="4" max="4" width="9.6328125" style="7" customWidth="1"/>
    <col min="5" max="5" width="18.08984375" style="4" customWidth="1"/>
  </cols>
  <sheetData>
    <row r="1" spans="1:5">
      <c r="A1" s="8" t="s">
        <v>9</v>
      </c>
      <c r="B1" s="9" t="s">
        <v>24</v>
      </c>
      <c r="C1" s="10" t="s">
        <v>25</v>
      </c>
      <c r="D1" s="10" t="s">
        <v>26</v>
      </c>
      <c r="E1" s="8" t="s">
        <v>5</v>
      </c>
    </row>
    <row r="2" spans="1:5">
      <c r="A2" s="2" t="s">
        <v>116</v>
      </c>
      <c r="B2" s="32">
        <v>0.3</v>
      </c>
      <c r="C2" s="33">
        <f t="shared" ref="C2:C33" si="0">B2-4.5%</f>
        <v>0.255</v>
      </c>
      <c r="D2" s="33">
        <f t="shared" ref="D2:D33" si="1">C2*2%</f>
        <v>5.1000000000000004E-3</v>
      </c>
      <c r="E2" s="2" t="s">
        <v>29</v>
      </c>
    </row>
    <row r="3" spans="1:5">
      <c r="A3" s="2" t="s">
        <v>116</v>
      </c>
      <c r="B3" s="34">
        <v>0.4</v>
      </c>
      <c r="C3" s="33">
        <f t="shared" si="0"/>
        <v>0.35500000000000004</v>
      </c>
      <c r="D3" s="33">
        <f t="shared" si="1"/>
        <v>7.1000000000000013E-3</v>
      </c>
      <c r="E3" s="2" t="s">
        <v>29</v>
      </c>
    </row>
    <row r="4" spans="1:5">
      <c r="A4" s="2" t="s">
        <v>116</v>
      </c>
      <c r="B4" s="34">
        <v>0.32500000000000001</v>
      </c>
      <c r="C4" s="33">
        <f t="shared" si="0"/>
        <v>0.28000000000000003</v>
      </c>
      <c r="D4" s="33">
        <f t="shared" si="1"/>
        <v>5.6000000000000008E-3</v>
      </c>
      <c r="E4" s="2" t="s">
        <v>29</v>
      </c>
    </row>
    <row r="5" spans="1:5">
      <c r="A5" s="2" t="s">
        <v>116</v>
      </c>
      <c r="B5" s="34">
        <v>0.09</v>
      </c>
      <c r="C5" s="33">
        <f t="shared" si="0"/>
        <v>4.4999999999999998E-2</v>
      </c>
      <c r="D5" s="33">
        <f t="shared" si="1"/>
        <v>8.9999999999999998E-4</v>
      </c>
      <c r="E5" s="3" t="s">
        <v>31</v>
      </c>
    </row>
    <row r="6" spans="1:5">
      <c r="A6" s="2" t="s">
        <v>116</v>
      </c>
      <c r="B6" s="34">
        <v>0.26</v>
      </c>
      <c r="C6" s="33">
        <f t="shared" si="0"/>
        <v>0.21500000000000002</v>
      </c>
      <c r="D6" s="33">
        <f t="shared" si="1"/>
        <v>4.3000000000000009E-3</v>
      </c>
      <c r="E6" s="3" t="s">
        <v>31</v>
      </c>
    </row>
    <row r="7" spans="1:5">
      <c r="A7" s="2" t="s">
        <v>116</v>
      </c>
      <c r="B7" s="34">
        <v>0.19</v>
      </c>
      <c r="C7" s="33">
        <f t="shared" si="0"/>
        <v>0.14500000000000002</v>
      </c>
      <c r="D7" s="33">
        <f t="shared" si="1"/>
        <v>2.9000000000000002E-3</v>
      </c>
      <c r="E7" s="3" t="s">
        <v>31</v>
      </c>
    </row>
    <row r="8" spans="1:5">
      <c r="A8" s="2" t="s">
        <v>116</v>
      </c>
      <c r="B8" s="34">
        <v>0.08</v>
      </c>
      <c r="C8" s="33">
        <f t="shared" si="0"/>
        <v>3.5000000000000003E-2</v>
      </c>
      <c r="D8" s="33">
        <f t="shared" si="1"/>
        <v>7.000000000000001E-4</v>
      </c>
      <c r="E8" s="3" t="s">
        <v>31</v>
      </c>
    </row>
    <row r="9" spans="1:5">
      <c r="A9" s="2" t="s">
        <v>116</v>
      </c>
      <c r="B9" s="34">
        <v>0.21</v>
      </c>
      <c r="C9" s="33">
        <f t="shared" si="0"/>
        <v>0.16499999999999998</v>
      </c>
      <c r="D9" s="33">
        <f t="shared" si="1"/>
        <v>3.2999999999999995E-3</v>
      </c>
      <c r="E9" s="3" t="s">
        <v>31</v>
      </c>
    </row>
    <row r="10" spans="1:5">
      <c r="A10" s="2" t="s">
        <v>116</v>
      </c>
      <c r="B10" s="34">
        <v>0.24</v>
      </c>
      <c r="C10" s="33">
        <f t="shared" si="0"/>
        <v>0.19500000000000001</v>
      </c>
      <c r="D10" s="33">
        <f t="shared" si="1"/>
        <v>3.9000000000000003E-3</v>
      </c>
      <c r="E10" s="3" t="s">
        <v>31</v>
      </c>
    </row>
    <row r="11" spans="1:5">
      <c r="A11" s="2" t="s">
        <v>116</v>
      </c>
      <c r="B11" s="34">
        <v>0.15</v>
      </c>
      <c r="C11" s="33">
        <f t="shared" si="0"/>
        <v>0.105</v>
      </c>
      <c r="D11" s="33">
        <f t="shared" si="1"/>
        <v>2.0999999999999999E-3</v>
      </c>
      <c r="E11" s="3" t="s">
        <v>31</v>
      </c>
    </row>
    <row r="12" spans="1:5">
      <c r="A12" s="2" t="s">
        <v>116</v>
      </c>
      <c r="B12" s="34">
        <v>0.16</v>
      </c>
      <c r="C12" s="33">
        <f t="shared" si="0"/>
        <v>0.115</v>
      </c>
      <c r="D12" s="33">
        <f t="shared" si="1"/>
        <v>2.3E-3</v>
      </c>
      <c r="E12" s="3" t="s">
        <v>31</v>
      </c>
    </row>
    <row r="13" spans="1:5">
      <c r="A13" s="2" t="s">
        <v>116</v>
      </c>
      <c r="B13" s="34">
        <v>0.05</v>
      </c>
      <c r="C13" s="33">
        <f t="shared" si="0"/>
        <v>5.0000000000000044E-3</v>
      </c>
      <c r="D13" s="33">
        <f t="shared" si="1"/>
        <v>1.0000000000000009E-4</v>
      </c>
      <c r="E13" s="3" t="s">
        <v>31</v>
      </c>
    </row>
    <row r="14" spans="1:5">
      <c r="A14" s="2" t="s">
        <v>116</v>
      </c>
      <c r="B14" s="34">
        <v>0.31</v>
      </c>
      <c r="C14" s="33">
        <f t="shared" si="0"/>
        <v>0.26500000000000001</v>
      </c>
      <c r="D14" s="33">
        <f t="shared" si="1"/>
        <v>5.3E-3</v>
      </c>
      <c r="E14" s="3" t="s">
        <v>31</v>
      </c>
    </row>
    <row r="15" spans="1:5">
      <c r="A15" s="2" t="s">
        <v>116</v>
      </c>
      <c r="B15" s="34">
        <v>0.21</v>
      </c>
      <c r="C15" s="33">
        <f t="shared" si="0"/>
        <v>0.16499999999999998</v>
      </c>
      <c r="D15" s="33">
        <f t="shared" si="1"/>
        <v>3.2999999999999995E-3</v>
      </c>
      <c r="E15" s="3" t="s">
        <v>31</v>
      </c>
    </row>
    <row r="16" spans="1:5">
      <c r="A16" s="2" t="s">
        <v>116</v>
      </c>
      <c r="B16" s="34">
        <v>0.03</v>
      </c>
      <c r="C16" s="33">
        <f t="shared" si="0"/>
        <v>-1.4999999999999999E-2</v>
      </c>
      <c r="D16" s="33">
        <f t="shared" si="1"/>
        <v>-2.9999999999999997E-4</v>
      </c>
      <c r="E16" s="3" t="s">
        <v>31</v>
      </c>
    </row>
    <row r="17" spans="1:5">
      <c r="A17" s="2" t="s">
        <v>116</v>
      </c>
      <c r="B17" s="34">
        <v>0.23</v>
      </c>
      <c r="C17" s="33">
        <f t="shared" si="0"/>
        <v>0.185</v>
      </c>
      <c r="D17" s="33">
        <f t="shared" si="1"/>
        <v>3.7000000000000002E-3</v>
      </c>
      <c r="E17" s="3" t="s">
        <v>31</v>
      </c>
    </row>
    <row r="18" spans="1:5">
      <c r="A18" s="2" t="s">
        <v>116</v>
      </c>
      <c r="B18" s="34">
        <v>0.28000000000000003</v>
      </c>
      <c r="C18" s="33">
        <f t="shared" si="0"/>
        <v>0.23500000000000004</v>
      </c>
      <c r="D18" s="33">
        <f t="shared" si="1"/>
        <v>4.7000000000000011E-3</v>
      </c>
      <c r="E18" s="3" t="s">
        <v>31</v>
      </c>
    </row>
    <row r="19" spans="1:5">
      <c r="A19" s="2" t="s">
        <v>116</v>
      </c>
      <c r="B19" s="34">
        <v>0.15</v>
      </c>
      <c r="C19" s="33">
        <f t="shared" si="0"/>
        <v>0.105</v>
      </c>
      <c r="D19" s="33">
        <f t="shared" si="1"/>
        <v>2.0999999999999999E-3</v>
      </c>
      <c r="E19" s="3" t="s">
        <v>31</v>
      </c>
    </row>
    <row r="20" spans="1:5">
      <c r="A20" s="2" t="s">
        <v>116</v>
      </c>
      <c r="B20" s="34">
        <v>7.0000000000000007E-2</v>
      </c>
      <c r="C20" s="33">
        <f t="shared" si="0"/>
        <v>2.5000000000000008E-2</v>
      </c>
      <c r="D20" s="33">
        <f t="shared" si="1"/>
        <v>5.0000000000000023E-4</v>
      </c>
      <c r="E20" s="3" t="s">
        <v>31</v>
      </c>
    </row>
    <row r="21" spans="1:5">
      <c r="A21" s="2" t="s">
        <v>116</v>
      </c>
      <c r="B21" s="34">
        <v>0.13</v>
      </c>
      <c r="C21" s="33">
        <f t="shared" si="0"/>
        <v>8.5000000000000006E-2</v>
      </c>
      <c r="D21" s="33">
        <f t="shared" si="1"/>
        <v>1.7000000000000001E-3</v>
      </c>
      <c r="E21" s="3" t="s">
        <v>31</v>
      </c>
    </row>
    <row r="22" spans="1:5">
      <c r="A22" s="12" t="s">
        <v>116</v>
      </c>
      <c r="B22" s="35">
        <v>0.09</v>
      </c>
      <c r="C22" s="36">
        <f t="shared" si="0"/>
        <v>4.4999999999999998E-2</v>
      </c>
      <c r="D22" s="36">
        <f t="shared" si="1"/>
        <v>8.9999999999999998E-4</v>
      </c>
      <c r="E22" s="15" t="s">
        <v>31</v>
      </c>
    </row>
    <row r="23" spans="1:5">
      <c r="A23" s="12" t="s">
        <v>116</v>
      </c>
      <c r="B23" s="35">
        <v>0.27500000000000002</v>
      </c>
      <c r="C23" s="36">
        <f t="shared" si="0"/>
        <v>0.23000000000000004</v>
      </c>
      <c r="D23" s="36">
        <f t="shared" si="1"/>
        <v>4.6000000000000008E-3</v>
      </c>
      <c r="E23" s="15" t="s">
        <v>31</v>
      </c>
    </row>
    <row r="24" spans="1:5">
      <c r="A24" s="12" t="s">
        <v>116</v>
      </c>
      <c r="B24" s="35">
        <v>0.55000000000000004</v>
      </c>
      <c r="C24" s="39">
        <f t="shared" si="0"/>
        <v>0.505</v>
      </c>
      <c r="D24" s="39">
        <f t="shared" si="1"/>
        <v>1.01E-2</v>
      </c>
      <c r="E24" s="15" t="s">
        <v>31</v>
      </c>
    </row>
    <row r="25" spans="1:5">
      <c r="A25" s="2" t="s">
        <v>116</v>
      </c>
      <c r="B25" s="34">
        <v>0.1</v>
      </c>
      <c r="C25" s="40">
        <f t="shared" si="0"/>
        <v>5.5000000000000007E-2</v>
      </c>
      <c r="D25" s="40">
        <f t="shared" si="1"/>
        <v>1.1000000000000001E-3</v>
      </c>
      <c r="E25" s="3" t="s">
        <v>31</v>
      </c>
    </row>
    <row r="26" spans="1:5">
      <c r="A26" s="2" t="s">
        <v>116</v>
      </c>
      <c r="B26" s="35">
        <v>0.13</v>
      </c>
      <c r="C26" s="39">
        <f t="shared" si="0"/>
        <v>8.5000000000000006E-2</v>
      </c>
      <c r="D26" s="39">
        <f t="shared" si="1"/>
        <v>1.7000000000000001E-3</v>
      </c>
      <c r="E26" s="3" t="s">
        <v>31</v>
      </c>
    </row>
    <row r="27" spans="1:5">
      <c r="A27" s="2" t="s">
        <v>116</v>
      </c>
      <c r="B27" s="35">
        <v>0.35</v>
      </c>
      <c r="C27" s="39">
        <f t="shared" si="0"/>
        <v>0.30499999999999999</v>
      </c>
      <c r="D27" s="39">
        <f t="shared" si="1"/>
        <v>6.1000000000000004E-3</v>
      </c>
      <c r="E27" s="3" t="s">
        <v>31</v>
      </c>
    </row>
    <row r="28" spans="1:5">
      <c r="A28" s="2" t="s">
        <v>116</v>
      </c>
      <c r="B28" s="34">
        <v>0.34</v>
      </c>
      <c r="C28" s="40">
        <f t="shared" si="0"/>
        <v>0.29500000000000004</v>
      </c>
      <c r="D28" s="40">
        <f t="shared" si="1"/>
        <v>5.9000000000000007E-3</v>
      </c>
      <c r="E28" s="3" t="s">
        <v>31</v>
      </c>
    </row>
    <row r="29" spans="1:5">
      <c r="A29" s="2" t="s">
        <v>116</v>
      </c>
      <c r="B29" s="35">
        <v>0.41</v>
      </c>
      <c r="C29" s="39">
        <f t="shared" si="0"/>
        <v>0.36499999999999999</v>
      </c>
      <c r="D29" s="39">
        <f t="shared" si="1"/>
        <v>7.3000000000000001E-3</v>
      </c>
      <c r="E29" s="3" t="s">
        <v>31</v>
      </c>
    </row>
    <row r="30" spans="1:5">
      <c r="A30" s="2" t="s">
        <v>116</v>
      </c>
      <c r="B30" s="35">
        <v>0.41499999999999998</v>
      </c>
      <c r="C30" s="39">
        <f t="shared" si="0"/>
        <v>0.37</v>
      </c>
      <c r="D30" s="39">
        <f t="shared" si="1"/>
        <v>7.4000000000000003E-3</v>
      </c>
      <c r="E30" s="3" t="s">
        <v>31</v>
      </c>
    </row>
    <row r="31" spans="1:5">
      <c r="A31" s="3" t="s">
        <v>43</v>
      </c>
      <c r="B31" s="41">
        <v>0.43</v>
      </c>
      <c r="C31" s="41">
        <f t="shared" si="0"/>
        <v>0.38500000000000001</v>
      </c>
      <c r="D31" s="41">
        <f t="shared" si="1"/>
        <v>7.7000000000000002E-3</v>
      </c>
      <c r="E31" s="3" t="s">
        <v>31</v>
      </c>
    </row>
    <row r="32" spans="1:5">
      <c r="A32" s="3" t="s">
        <v>43</v>
      </c>
      <c r="B32" s="41">
        <v>0.41</v>
      </c>
      <c r="C32" s="41">
        <f t="shared" si="0"/>
        <v>0.36499999999999999</v>
      </c>
      <c r="D32" s="41">
        <f t="shared" si="1"/>
        <v>7.3000000000000001E-3</v>
      </c>
      <c r="E32" s="3" t="s">
        <v>31</v>
      </c>
    </row>
    <row r="33" spans="1:5">
      <c r="A33" s="3" t="s">
        <v>43</v>
      </c>
      <c r="B33" s="35">
        <v>0.39</v>
      </c>
      <c r="C33" s="39">
        <f t="shared" si="0"/>
        <v>0.34500000000000003</v>
      </c>
      <c r="D33" s="39">
        <f t="shared" si="1"/>
        <v>6.9000000000000008E-3</v>
      </c>
      <c r="E33" s="3" t="s">
        <v>31</v>
      </c>
    </row>
    <row r="34" spans="1:5">
      <c r="A34" s="3" t="s">
        <v>43</v>
      </c>
      <c r="B34" s="35">
        <v>0.44</v>
      </c>
      <c r="C34" s="36">
        <f t="shared" ref="C34:C65" si="2">B34-4.5%</f>
        <v>0.39500000000000002</v>
      </c>
      <c r="D34" s="36">
        <f t="shared" ref="D34:D65" si="3">C34*2%</f>
        <v>7.9000000000000008E-3</v>
      </c>
      <c r="E34" s="3" t="s">
        <v>31</v>
      </c>
    </row>
    <row r="35" spans="1:5">
      <c r="A35" s="3" t="s">
        <v>43</v>
      </c>
      <c r="B35" s="35">
        <v>0.42</v>
      </c>
      <c r="C35" s="36">
        <f t="shared" si="2"/>
        <v>0.375</v>
      </c>
      <c r="D35" s="36">
        <f t="shared" si="3"/>
        <v>7.4999999999999997E-3</v>
      </c>
      <c r="E35" s="3" t="s">
        <v>31</v>
      </c>
    </row>
    <row r="36" spans="1:5">
      <c r="A36" s="3" t="s">
        <v>43</v>
      </c>
      <c r="B36" s="35">
        <v>0.39</v>
      </c>
      <c r="C36" s="36">
        <f t="shared" si="2"/>
        <v>0.34500000000000003</v>
      </c>
      <c r="D36" s="36">
        <f t="shared" si="3"/>
        <v>6.9000000000000008E-3</v>
      </c>
      <c r="E36" s="3" t="s">
        <v>31</v>
      </c>
    </row>
    <row r="37" spans="1:5">
      <c r="A37" s="3" t="s">
        <v>43</v>
      </c>
      <c r="B37" s="35">
        <v>0.38</v>
      </c>
      <c r="C37" s="36">
        <f t="shared" si="2"/>
        <v>0.33500000000000002</v>
      </c>
      <c r="D37" s="36">
        <f t="shared" si="3"/>
        <v>6.7000000000000002E-3</v>
      </c>
      <c r="E37" s="3" t="s">
        <v>31</v>
      </c>
    </row>
    <row r="38" spans="1:5">
      <c r="A38" s="3" t="s">
        <v>43</v>
      </c>
      <c r="B38" s="35">
        <v>0.14000000000000001</v>
      </c>
      <c r="C38" s="36">
        <f t="shared" si="2"/>
        <v>9.5000000000000015E-2</v>
      </c>
      <c r="D38" s="36">
        <f t="shared" si="3"/>
        <v>1.9000000000000004E-3</v>
      </c>
      <c r="E38" s="3" t="s">
        <v>31</v>
      </c>
    </row>
    <row r="39" spans="1:5">
      <c r="A39" s="3" t="s">
        <v>43</v>
      </c>
      <c r="B39" s="34">
        <v>0.34</v>
      </c>
      <c r="C39" s="33">
        <f t="shared" si="2"/>
        <v>0.29500000000000004</v>
      </c>
      <c r="D39" s="33">
        <f t="shared" si="3"/>
        <v>5.9000000000000007E-3</v>
      </c>
      <c r="E39" s="3" t="s">
        <v>31</v>
      </c>
    </row>
    <row r="40" spans="1:5">
      <c r="A40" s="3" t="s">
        <v>43</v>
      </c>
      <c r="B40" s="34">
        <v>0.45</v>
      </c>
      <c r="C40" s="33">
        <f t="shared" si="2"/>
        <v>0.40500000000000003</v>
      </c>
      <c r="D40" s="33">
        <f t="shared" si="3"/>
        <v>8.1000000000000013E-3</v>
      </c>
      <c r="E40" s="3" t="s">
        <v>31</v>
      </c>
    </row>
    <row r="41" spans="1:5">
      <c r="A41" s="3" t="s">
        <v>43</v>
      </c>
      <c r="B41" s="34">
        <v>0.42</v>
      </c>
      <c r="C41" s="33">
        <f t="shared" si="2"/>
        <v>0.375</v>
      </c>
      <c r="D41" s="33">
        <f t="shared" si="3"/>
        <v>7.4999999999999997E-3</v>
      </c>
      <c r="E41" s="3" t="s">
        <v>31</v>
      </c>
    </row>
    <row r="42" spans="1:5">
      <c r="A42" s="3" t="s">
        <v>43</v>
      </c>
      <c r="B42" s="34">
        <v>0.32</v>
      </c>
      <c r="C42" s="33">
        <f t="shared" si="2"/>
        <v>0.27500000000000002</v>
      </c>
      <c r="D42" s="33">
        <f t="shared" si="3"/>
        <v>5.5000000000000005E-3</v>
      </c>
      <c r="E42" s="3" t="s">
        <v>31</v>
      </c>
    </row>
    <row r="43" spans="1:5">
      <c r="A43" s="3" t="s">
        <v>43</v>
      </c>
      <c r="B43" s="35">
        <v>0.41</v>
      </c>
      <c r="C43" s="36">
        <f t="shared" si="2"/>
        <v>0.36499999999999999</v>
      </c>
      <c r="D43" s="36">
        <f t="shared" si="3"/>
        <v>7.3000000000000001E-3</v>
      </c>
      <c r="E43" s="3" t="s">
        <v>31</v>
      </c>
    </row>
    <row r="44" spans="1:5">
      <c r="A44" s="3" t="s">
        <v>43</v>
      </c>
      <c r="B44" s="35">
        <v>0.24</v>
      </c>
      <c r="C44" s="36">
        <f t="shared" si="2"/>
        <v>0.19500000000000001</v>
      </c>
      <c r="D44" s="36">
        <f t="shared" si="3"/>
        <v>3.9000000000000003E-3</v>
      </c>
      <c r="E44" s="3" t="s">
        <v>31</v>
      </c>
    </row>
    <row r="45" spans="1:5">
      <c r="A45" s="3" t="s">
        <v>43</v>
      </c>
      <c r="B45" s="35">
        <v>0.2</v>
      </c>
      <c r="C45" s="36">
        <f t="shared" si="2"/>
        <v>0.15500000000000003</v>
      </c>
      <c r="D45" s="36">
        <f t="shared" si="3"/>
        <v>3.1000000000000008E-3</v>
      </c>
      <c r="E45" s="3" t="s">
        <v>31</v>
      </c>
    </row>
    <row r="46" spans="1:5">
      <c r="A46" s="3" t="s">
        <v>43</v>
      </c>
      <c r="B46" s="35">
        <v>0.38</v>
      </c>
      <c r="C46" s="36">
        <f t="shared" si="2"/>
        <v>0.33500000000000002</v>
      </c>
      <c r="D46" s="36">
        <f t="shared" si="3"/>
        <v>6.7000000000000002E-3</v>
      </c>
      <c r="E46" s="3" t="s">
        <v>31</v>
      </c>
    </row>
    <row r="47" spans="1:5">
      <c r="A47" s="3" t="s">
        <v>43</v>
      </c>
      <c r="B47" s="35">
        <v>0.39</v>
      </c>
      <c r="C47" s="36">
        <f t="shared" si="2"/>
        <v>0.34500000000000003</v>
      </c>
      <c r="D47" s="36">
        <f t="shared" si="3"/>
        <v>6.9000000000000008E-3</v>
      </c>
      <c r="E47" s="3" t="s">
        <v>31</v>
      </c>
    </row>
    <row r="48" spans="1:5">
      <c r="A48" s="3" t="s">
        <v>43</v>
      </c>
      <c r="B48" s="35">
        <v>0.17</v>
      </c>
      <c r="C48" s="36">
        <f t="shared" si="2"/>
        <v>0.125</v>
      </c>
      <c r="D48" s="36">
        <f t="shared" si="3"/>
        <v>2.5000000000000001E-3</v>
      </c>
      <c r="E48" s="3" t="s">
        <v>31</v>
      </c>
    </row>
    <row r="49" spans="1:5">
      <c r="A49" s="2" t="s">
        <v>51</v>
      </c>
      <c r="B49" s="34">
        <v>0.33</v>
      </c>
      <c r="C49" s="33">
        <f t="shared" si="2"/>
        <v>0.28500000000000003</v>
      </c>
      <c r="D49" s="33">
        <f t="shared" si="3"/>
        <v>5.7000000000000011E-3</v>
      </c>
      <c r="E49" s="3" t="s">
        <v>31</v>
      </c>
    </row>
    <row r="50" spans="1:5">
      <c r="A50" s="2" t="s">
        <v>51</v>
      </c>
      <c r="B50" s="35">
        <v>0.16</v>
      </c>
      <c r="C50" s="36">
        <f t="shared" si="2"/>
        <v>0.115</v>
      </c>
      <c r="D50" s="36">
        <f t="shared" si="3"/>
        <v>2.3E-3</v>
      </c>
      <c r="E50" s="3" t="s">
        <v>31</v>
      </c>
    </row>
    <row r="51" spans="1:5">
      <c r="A51" s="2" t="s">
        <v>51</v>
      </c>
      <c r="B51" s="34">
        <v>0.45</v>
      </c>
      <c r="C51" s="33">
        <f t="shared" si="2"/>
        <v>0.40500000000000003</v>
      </c>
      <c r="D51" s="33">
        <f t="shared" si="3"/>
        <v>8.1000000000000013E-3</v>
      </c>
      <c r="E51" s="3" t="s">
        <v>31</v>
      </c>
    </row>
    <row r="52" spans="1:5">
      <c r="A52" s="2" t="s">
        <v>51</v>
      </c>
      <c r="B52" s="34">
        <v>0.22</v>
      </c>
      <c r="C52" s="33">
        <f t="shared" si="2"/>
        <v>0.17499999999999999</v>
      </c>
      <c r="D52" s="33">
        <f t="shared" si="3"/>
        <v>3.4999999999999996E-3</v>
      </c>
      <c r="E52" s="3" t="s">
        <v>31</v>
      </c>
    </row>
    <row r="53" spans="1:5">
      <c r="A53" s="2" t="s">
        <v>55</v>
      </c>
      <c r="B53" s="35">
        <v>0.52500000000000002</v>
      </c>
      <c r="C53" s="36">
        <f t="shared" si="2"/>
        <v>0.48000000000000004</v>
      </c>
      <c r="D53" s="36">
        <f t="shared" si="3"/>
        <v>9.6000000000000009E-3</v>
      </c>
      <c r="E53" s="3" t="s">
        <v>31</v>
      </c>
    </row>
    <row r="54" spans="1:5">
      <c r="A54" s="2" t="s">
        <v>55</v>
      </c>
      <c r="B54" s="35">
        <v>0.45</v>
      </c>
      <c r="C54" s="36">
        <f t="shared" si="2"/>
        <v>0.40500000000000003</v>
      </c>
      <c r="D54" s="36">
        <f t="shared" si="3"/>
        <v>8.1000000000000013E-3</v>
      </c>
      <c r="E54" s="3" t="s">
        <v>31</v>
      </c>
    </row>
    <row r="55" spans="1:5">
      <c r="A55" s="2" t="s">
        <v>55</v>
      </c>
      <c r="B55" s="35">
        <v>0.31</v>
      </c>
      <c r="C55" s="36">
        <f t="shared" si="2"/>
        <v>0.26500000000000001</v>
      </c>
      <c r="D55" s="36">
        <f t="shared" si="3"/>
        <v>5.3E-3</v>
      </c>
      <c r="E55" s="3" t="s">
        <v>31</v>
      </c>
    </row>
    <row r="56" spans="1:5">
      <c r="A56" s="2" t="s">
        <v>55</v>
      </c>
      <c r="B56" s="34">
        <v>0.31</v>
      </c>
      <c r="C56" s="33">
        <f t="shared" si="2"/>
        <v>0.26500000000000001</v>
      </c>
      <c r="D56" s="33">
        <f t="shared" si="3"/>
        <v>5.3E-3</v>
      </c>
      <c r="E56" s="3" t="s">
        <v>31</v>
      </c>
    </row>
    <row r="57" spans="1:5">
      <c r="A57" s="2" t="s">
        <v>55</v>
      </c>
      <c r="B57" s="34">
        <v>0.57499999999999996</v>
      </c>
      <c r="C57" s="33">
        <f t="shared" si="2"/>
        <v>0.52999999999999992</v>
      </c>
      <c r="D57" s="33">
        <f t="shared" si="3"/>
        <v>1.0599999999999998E-2</v>
      </c>
      <c r="E57" s="3" t="s">
        <v>31</v>
      </c>
    </row>
    <row r="58" spans="1:5">
      <c r="A58" s="2" t="s">
        <v>55</v>
      </c>
      <c r="B58" s="34">
        <v>0.5</v>
      </c>
      <c r="C58" s="41">
        <f t="shared" si="2"/>
        <v>0.45500000000000002</v>
      </c>
      <c r="D58" s="41">
        <f t="shared" si="3"/>
        <v>9.1000000000000004E-3</v>
      </c>
      <c r="E58" s="3" t="s">
        <v>31</v>
      </c>
    </row>
    <row r="59" spans="1:5">
      <c r="A59" s="2" t="s">
        <v>55</v>
      </c>
      <c r="B59" s="34">
        <v>0.36</v>
      </c>
      <c r="C59" s="41">
        <f t="shared" si="2"/>
        <v>0.315</v>
      </c>
      <c r="D59" s="41">
        <f t="shared" si="3"/>
        <v>6.3E-3</v>
      </c>
      <c r="E59" s="3" t="s">
        <v>31</v>
      </c>
    </row>
    <row r="60" spans="1:5">
      <c r="A60" s="12" t="s">
        <v>55</v>
      </c>
      <c r="B60" s="35">
        <v>0.36</v>
      </c>
      <c r="C60" s="43">
        <f t="shared" si="2"/>
        <v>0.315</v>
      </c>
      <c r="D60" s="43">
        <f t="shared" si="3"/>
        <v>6.3E-3</v>
      </c>
      <c r="E60" s="15" t="s">
        <v>31</v>
      </c>
    </row>
    <row r="61" spans="1:5">
      <c r="A61" s="2" t="s">
        <v>55</v>
      </c>
      <c r="B61" s="34">
        <v>0.57999999999999996</v>
      </c>
      <c r="C61" s="33">
        <f t="shared" si="2"/>
        <v>0.53499999999999992</v>
      </c>
      <c r="D61" s="33">
        <f t="shared" si="3"/>
        <v>1.0699999999999999E-2</v>
      </c>
      <c r="E61" s="3" t="s">
        <v>31</v>
      </c>
    </row>
    <row r="62" spans="1:5">
      <c r="A62" s="2" t="s">
        <v>55</v>
      </c>
      <c r="B62" s="34">
        <v>0.51</v>
      </c>
      <c r="C62" s="41">
        <f t="shared" si="2"/>
        <v>0.46500000000000002</v>
      </c>
      <c r="D62" s="41">
        <f t="shared" si="3"/>
        <v>9.300000000000001E-3</v>
      </c>
      <c r="E62" s="3" t="s">
        <v>31</v>
      </c>
    </row>
    <row r="63" spans="1:5">
      <c r="A63" s="2" t="s">
        <v>55</v>
      </c>
      <c r="B63" s="34">
        <v>0.37</v>
      </c>
      <c r="C63" s="41">
        <f t="shared" si="2"/>
        <v>0.32500000000000001</v>
      </c>
      <c r="D63" s="41">
        <f t="shared" si="3"/>
        <v>6.5000000000000006E-3</v>
      </c>
      <c r="E63" s="3" t="s">
        <v>31</v>
      </c>
    </row>
    <row r="64" spans="1:5">
      <c r="A64" s="12" t="s">
        <v>55</v>
      </c>
      <c r="B64" s="35">
        <v>0.37</v>
      </c>
      <c r="C64" s="43">
        <f t="shared" si="2"/>
        <v>0.32500000000000001</v>
      </c>
      <c r="D64" s="43">
        <f t="shared" si="3"/>
        <v>6.5000000000000006E-3</v>
      </c>
      <c r="E64" s="15" t="s">
        <v>31</v>
      </c>
    </row>
    <row r="65" spans="1:5">
      <c r="A65" s="17" t="s">
        <v>62</v>
      </c>
      <c r="B65" s="35">
        <v>0.27500000000000002</v>
      </c>
      <c r="C65" s="39">
        <f t="shared" si="2"/>
        <v>0.23000000000000004</v>
      </c>
      <c r="D65" s="39">
        <f t="shared" si="3"/>
        <v>4.6000000000000008E-3</v>
      </c>
      <c r="E65" s="24" t="s">
        <v>61</v>
      </c>
    </row>
    <row r="66" spans="1:5">
      <c r="A66" s="17" t="s">
        <v>62</v>
      </c>
      <c r="B66" s="34">
        <v>0.5</v>
      </c>
      <c r="C66" s="40">
        <f t="shared" ref="C66:C97" si="4">B66-4.5%</f>
        <v>0.45500000000000002</v>
      </c>
      <c r="D66" s="40">
        <f t="shared" ref="D66:D97" si="5">C66*2%</f>
        <v>9.1000000000000004E-3</v>
      </c>
      <c r="E66" s="16" t="s">
        <v>64</v>
      </c>
    </row>
    <row r="67" spans="1:5">
      <c r="A67" s="17" t="s">
        <v>62</v>
      </c>
      <c r="B67" s="34">
        <v>0.5</v>
      </c>
      <c r="C67" s="40">
        <f t="shared" si="4"/>
        <v>0.45500000000000002</v>
      </c>
      <c r="D67" s="40">
        <f t="shared" si="5"/>
        <v>9.1000000000000004E-3</v>
      </c>
      <c r="E67" s="16" t="s">
        <v>65</v>
      </c>
    </row>
    <row r="68" spans="1:5">
      <c r="A68" s="17" t="s">
        <v>62</v>
      </c>
      <c r="B68" s="34">
        <v>0.46</v>
      </c>
      <c r="C68" s="40">
        <f t="shared" si="4"/>
        <v>0.41500000000000004</v>
      </c>
      <c r="D68" s="40">
        <f t="shared" si="5"/>
        <v>8.3000000000000001E-3</v>
      </c>
      <c r="E68" s="16" t="s">
        <v>64</v>
      </c>
    </row>
    <row r="69" spans="1:5">
      <c r="A69" s="21" t="s">
        <v>62</v>
      </c>
      <c r="B69" s="34">
        <v>0.46</v>
      </c>
      <c r="C69" s="40">
        <f t="shared" si="4"/>
        <v>0.41500000000000004</v>
      </c>
      <c r="D69" s="40">
        <f t="shared" si="5"/>
        <v>8.3000000000000001E-3</v>
      </c>
      <c r="E69" s="16" t="s">
        <v>65</v>
      </c>
    </row>
    <row r="70" spans="1:5">
      <c r="A70" s="17" t="s">
        <v>55</v>
      </c>
      <c r="B70" s="35">
        <v>0.4</v>
      </c>
      <c r="C70" s="39">
        <f t="shared" si="4"/>
        <v>0.35500000000000004</v>
      </c>
      <c r="D70" s="39">
        <f t="shared" si="5"/>
        <v>7.1000000000000013E-3</v>
      </c>
      <c r="E70" s="24" t="s">
        <v>31</v>
      </c>
    </row>
    <row r="71" spans="1:5">
      <c r="A71" s="17" t="s">
        <v>55</v>
      </c>
      <c r="B71" s="35">
        <v>0.35</v>
      </c>
      <c r="C71" s="39">
        <f t="shared" si="4"/>
        <v>0.30499999999999999</v>
      </c>
      <c r="D71" s="39">
        <f t="shared" si="5"/>
        <v>6.1000000000000004E-3</v>
      </c>
      <c r="E71" s="24" t="s">
        <v>31</v>
      </c>
    </row>
    <row r="72" spans="1:5">
      <c r="A72" s="17" t="s">
        <v>55</v>
      </c>
      <c r="B72" s="35">
        <v>0.375</v>
      </c>
      <c r="C72" s="39">
        <f t="shared" si="4"/>
        <v>0.33</v>
      </c>
      <c r="D72" s="39">
        <f t="shared" si="5"/>
        <v>6.6000000000000008E-3</v>
      </c>
      <c r="E72" s="24" t="s">
        <v>31</v>
      </c>
    </row>
    <row r="73" spans="1:5">
      <c r="A73" s="17" t="s">
        <v>55</v>
      </c>
      <c r="B73" s="35">
        <v>0.375</v>
      </c>
      <c r="C73" s="39">
        <f t="shared" si="4"/>
        <v>0.33</v>
      </c>
      <c r="D73" s="39">
        <f t="shared" si="5"/>
        <v>6.6000000000000008E-3</v>
      </c>
      <c r="E73" s="24" t="s">
        <v>31</v>
      </c>
    </row>
    <row r="74" spans="1:5">
      <c r="A74" s="17" t="s">
        <v>55</v>
      </c>
      <c r="B74" s="34">
        <v>0.32500000000000001</v>
      </c>
      <c r="C74" s="40">
        <f t="shared" si="4"/>
        <v>0.28000000000000003</v>
      </c>
      <c r="D74" s="40">
        <f t="shared" si="5"/>
        <v>5.6000000000000008E-3</v>
      </c>
      <c r="E74" s="24" t="s">
        <v>31</v>
      </c>
    </row>
    <row r="75" spans="1:5">
      <c r="A75" s="17" t="s">
        <v>55</v>
      </c>
      <c r="B75" s="34">
        <v>0.35</v>
      </c>
      <c r="C75" s="40">
        <f t="shared" si="4"/>
        <v>0.30499999999999999</v>
      </c>
      <c r="D75" s="40">
        <f t="shared" si="5"/>
        <v>6.1000000000000004E-3</v>
      </c>
      <c r="E75" s="24" t="s">
        <v>31</v>
      </c>
    </row>
    <row r="76" spans="1:5">
      <c r="A76" s="21" t="s">
        <v>67</v>
      </c>
      <c r="B76" s="34">
        <v>0.3</v>
      </c>
      <c r="C76" s="40">
        <f t="shared" si="4"/>
        <v>0.255</v>
      </c>
      <c r="D76" s="40">
        <f t="shared" si="5"/>
        <v>5.1000000000000004E-3</v>
      </c>
      <c r="E76" s="24" t="s">
        <v>31</v>
      </c>
    </row>
    <row r="77" spans="1:5">
      <c r="A77" s="21" t="s">
        <v>67</v>
      </c>
      <c r="B77" s="35">
        <v>0.25</v>
      </c>
      <c r="C77" s="39">
        <f t="shared" si="4"/>
        <v>0.20500000000000002</v>
      </c>
      <c r="D77" s="39">
        <f t="shared" si="5"/>
        <v>4.1000000000000003E-3</v>
      </c>
      <c r="E77" s="24" t="s">
        <v>31</v>
      </c>
    </row>
    <row r="78" spans="1:5">
      <c r="A78" s="21" t="s">
        <v>67</v>
      </c>
      <c r="B78" s="35">
        <v>0.27500000000000002</v>
      </c>
      <c r="C78" s="39">
        <f t="shared" si="4"/>
        <v>0.23000000000000004</v>
      </c>
      <c r="D78" s="39">
        <f t="shared" si="5"/>
        <v>4.6000000000000008E-3</v>
      </c>
      <c r="E78" s="24" t="s">
        <v>31</v>
      </c>
    </row>
    <row r="79" spans="1:5">
      <c r="A79" s="21" t="s">
        <v>67</v>
      </c>
      <c r="B79" s="35">
        <v>0.25</v>
      </c>
      <c r="C79" s="39">
        <f t="shared" si="4"/>
        <v>0.20500000000000002</v>
      </c>
      <c r="D79" s="39">
        <f t="shared" si="5"/>
        <v>4.1000000000000003E-3</v>
      </c>
      <c r="E79" s="24" t="s">
        <v>31</v>
      </c>
    </row>
    <row r="80" spans="1:5">
      <c r="A80" s="21" t="s">
        <v>67</v>
      </c>
      <c r="B80" s="35">
        <v>0.2</v>
      </c>
      <c r="C80" s="39">
        <f t="shared" si="4"/>
        <v>0.15500000000000003</v>
      </c>
      <c r="D80" s="39">
        <f t="shared" si="5"/>
        <v>3.1000000000000008E-3</v>
      </c>
      <c r="E80" s="24" t="s">
        <v>31</v>
      </c>
    </row>
    <row r="81" spans="1:5">
      <c r="A81" s="21" t="s">
        <v>67</v>
      </c>
      <c r="B81" s="35">
        <v>0.22500000000000001</v>
      </c>
      <c r="C81" s="39">
        <f t="shared" si="4"/>
        <v>0.18</v>
      </c>
      <c r="D81" s="39">
        <f t="shared" si="5"/>
        <v>3.5999999999999999E-3</v>
      </c>
      <c r="E81" s="24" t="s">
        <v>31</v>
      </c>
    </row>
    <row r="82" spans="1:5">
      <c r="A82" s="2" t="s">
        <v>55</v>
      </c>
      <c r="B82" s="34">
        <v>0.55500000000000005</v>
      </c>
      <c r="C82" s="33">
        <f t="shared" si="4"/>
        <v>0.51</v>
      </c>
      <c r="D82" s="33">
        <f t="shared" si="5"/>
        <v>1.0200000000000001E-2</v>
      </c>
      <c r="E82" s="3" t="s">
        <v>31</v>
      </c>
    </row>
    <row r="83" spans="1:5">
      <c r="A83" s="2" t="s">
        <v>55</v>
      </c>
      <c r="B83" s="34">
        <v>0.48</v>
      </c>
      <c r="C83" s="33">
        <f t="shared" si="4"/>
        <v>0.435</v>
      </c>
      <c r="D83" s="33">
        <f t="shared" si="5"/>
        <v>8.6999999999999994E-3</v>
      </c>
      <c r="E83" s="3" t="s">
        <v>31</v>
      </c>
    </row>
    <row r="84" spans="1:5">
      <c r="A84" s="2" t="s">
        <v>55</v>
      </c>
      <c r="B84" s="34">
        <v>0.34</v>
      </c>
      <c r="C84" s="33">
        <f t="shared" si="4"/>
        <v>0.29500000000000004</v>
      </c>
      <c r="D84" s="33">
        <f t="shared" si="5"/>
        <v>5.9000000000000007E-3</v>
      </c>
      <c r="E84" s="3" t="s">
        <v>31</v>
      </c>
    </row>
    <row r="85" spans="1:5">
      <c r="A85" s="12" t="s">
        <v>55</v>
      </c>
      <c r="B85" s="35">
        <v>0.34</v>
      </c>
      <c r="C85" s="36">
        <f t="shared" si="4"/>
        <v>0.29500000000000004</v>
      </c>
      <c r="D85" s="36">
        <f t="shared" si="5"/>
        <v>5.9000000000000007E-3</v>
      </c>
      <c r="E85" s="15" t="s">
        <v>31</v>
      </c>
    </row>
    <row r="86" spans="1:5">
      <c r="A86" s="2" t="s">
        <v>55</v>
      </c>
      <c r="B86" s="35">
        <v>0.57499999999999996</v>
      </c>
      <c r="C86" s="36">
        <f t="shared" si="4"/>
        <v>0.52999999999999992</v>
      </c>
      <c r="D86" s="36">
        <f t="shared" si="5"/>
        <v>1.0599999999999998E-2</v>
      </c>
      <c r="E86" s="3" t="s">
        <v>31</v>
      </c>
    </row>
    <row r="87" spans="1:5">
      <c r="A87" s="2" t="s">
        <v>55</v>
      </c>
      <c r="B87" s="35">
        <v>0.5</v>
      </c>
      <c r="C87" s="36">
        <f t="shared" si="4"/>
        <v>0.45500000000000002</v>
      </c>
      <c r="D87" s="36">
        <f t="shared" si="5"/>
        <v>9.1000000000000004E-3</v>
      </c>
      <c r="E87" s="3" t="s">
        <v>31</v>
      </c>
    </row>
    <row r="88" spans="1:5">
      <c r="A88" s="2" t="s">
        <v>55</v>
      </c>
      <c r="B88" s="35">
        <v>0.36</v>
      </c>
      <c r="C88" s="36">
        <f t="shared" si="4"/>
        <v>0.315</v>
      </c>
      <c r="D88" s="36">
        <f t="shared" si="5"/>
        <v>6.3E-3</v>
      </c>
      <c r="E88" s="3" t="s">
        <v>31</v>
      </c>
    </row>
    <row r="89" spans="1:5">
      <c r="A89" s="12" t="s">
        <v>55</v>
      </c>
      <c r="B89" s="35">
        <v>0.36</v>
      </c>
      <c r="C89" s="36">
        <f t="shared" si="4"/>
        <v>0.315</v>
      </c>
      <c r="D89" s="36">
        <f t="shared" si="5"/>
        <v>6.3E-3</v>
      </c>
      <c r="E89" s="15" t="s">
        <v>31</v>
      </c>
    </row>
    <row r="90" spans="1:5">
      <c r="A90" s="2" t="s">
        <v>55</v>
      </c>
      <c r="B90" s="35">
        <v>0.57999999999999996</v>
      </c>
      <c r="C90" s="36">
        <f t="shared" si="4"/>
        <v>0.53499999999999992</v>
      </c>
      <c r="D90" s="36">
        <f t="shared" si="5"/>
        <v>1.0699999999999999E-2</v>
      </c>
      <c r="E90" s="3" t="s">
        <v>31</v>
      </c>
    </row>
    <row r="91" spans="1:5">
      <c r="A91" s="2" t="s">
        <v>55</v>
      </c>
      <c r="B91" s="35">
        <v>0.51</v>
      </c>
      <c r="C91" s="36">
        <f t="shared" si="4"/>
        <v>0.46500000000000002</v>
      </c>
      <c r="D91" s="36">
        <f t="shared" si="5"/>
        <v>9.300000000000001E-3</v>
      </c>
      <c r="E91" s="3" t="s">
        <v>31</v>
      </c>
    </row>
    <row r="92" spans="1:5">
      <c r="A92" s="2" t="s">
        <v>55</v>
      </c>
      <c r="B92" s="35">
        <v>0.37</v>
      </c>
      <c r="C92" s="36">
        <f t="shared" si="4"/>
        <v>0.32500000000000001</v>
      </c>
      <c r="D92" s="36">
        <f t="shared" si="5"/>
        <v>6.5000000000000006E-3</v>
      </c>
      <c r="E92" s="3" t="s">
        <v>31</v>
      </c>
    </row>
    <row r="93" spans="1:5">
      <c r="A93" s="12" t="s">
        <v>55</v>
      </c>
      <c r="B93" s="35">
        <v>0.37</v>
      </c>
      <c r="C93" s="36">
        <f t="shared" si="4"/>
        <v>0.32500000000000001</v>
      </c>
      <c r="D93" s="36">
        <f t="shared" si="5"/>
        <v>6.5000000000000006E-3</v>
      </c>
      <c r="E93" s="15" t="s">
        <v>31</v>
      </c>
    </row>
    <row r="94" spans="1:5">
      <c r="A94" s="2" t="s">
        <v>67</v>
      </c>
      <c r="B94" s="34">
        <v>0.52500000000000002</v>
      </c>
      <c r="C94" s="33">
        <f t="shared" si="4"/>
        <v>0.48000000000000004</v>
      </c>
      <c r="D94" s="33">
        <f t="shared" si="5"/>
        <v>9.6000000000000009E-3</v>
      </c>
      <c r="E94" s="3" t="s">
        <v>31</v>
      </c>
    </row>
    <row r="95" spans="1:5">
      <c r="A95" s="2" t="s">
        <v>67</v>
      </c>
      <c r="B95" s="34">
        <v>0.45</v>
      </c>
      <c r="C95" s="33">
        <f t="shared" si="4"/>
        <v>0.40500000000000003</v>
      </c>
      <c r="D95" s="33">
        <f t="shared" si="5"/>
        <v>8.1000000000000013E-3</v>
      </c>
      <c r="E95" s="3" t="s">
        <v>31</v>
      </c>
    </row>
    <row r="96" spans="1:5">
      <c r="A96" s="2" t="s">
        <v>67</v>
      </c>
      <c r="B96" s="34">
        <v>0.31</v>
      </c>
      <c r="C96" s="33">
        <f t="shared" si="4"/>
        <v>0.26500000000000001</v>
      </c>
      <c r="D96" s="33">
        <f t="shared" si="5"/>
        <v>5.3E-3</v>
      </c>
      <c r="E96" s="3" t="s">
        <v>31</v>
      </c>
    </row>
    <row r="97" spans="1:5">
      <c r="A97" s="2" t="s">
        <v>67</v>
      </c>
      <c r="B97" s="35">
        <v>0.31</v>
      </c>
      <c r="C97" s="36">
        <f t="shared" si="4"/>
        <v>0.26500000000000001</v>
      </c>
      <c r="D97" s="36">
        <f t="shared" si="5"/>
        <v>5.3E-3</v>
      </c>
      <c r="E97" s="15" t="s">
        <v>31</v>
      </c>
    </row>
    <row r="98" spans="1:5">
      <c r="A98" s="2" t="s">
        <v>67</v>
      </c>
      <c r="B98" s="34">
        <v>0.57499999999999996</v>
      </c>
      <c r="C98" s="33">
        <f t="shared" ref="C98:C129" si="6">B98-4.5%</f>
        <v>0.52999999999999992</v>
      </c>
      <c r="D98" s="33">
        <f t="shared" ref="D98:D129" si="7">C98*2%</f>
        <v>1.0599999999999998E-2</v>
      </c>
      <c r="E98" s="3" t="s">
        <v>31</v>
      </c>
    </row>
    <row r="99" spans="1:5">
      <c r="A99" s="2" t="s">
        <v>67</v>
      </c>
      <c r="B99" s="34">
        <v>0.5</v>
      </c>
      <c r="C99" s="33">
        <f t="shared" si="6"/>
        <v>0.45500000000000002</v>
      </c>
      <c r="D99" s="33">
        <f t="shared" si="7"/>
        <v>9.1000000000000004E-3</v>
      </c>
      <c r="E99" s="3" t="s">
        <v>31</v>
      </c>
    </row>
    <row r="100" spans="1:5">
      <c r="A100" s="2" t="s">
        <v>67</v>
      </c>
      <c r="B100" s="34">
        <v>0.36</v>
      </c>
      <c r="C100" s="33">
        <f t="shared" si="6"/>
        <v>0.315</v>
      </c>
      <c r="D100" s="33">
        <f t="shared" si="7"/>
        <v>6.3E-3</v>
      </c>
      <c r="E100" s="3" t="s">
        <v>31</v>
      </c>
    </row>
    <row r="101" spans="1:5">
      <c r="A101" s="12" t="s">
        <v>67</v>
      </c>
      <c r="B101" s="35">
        <v>0.36</v>
      </c>
      <c r="C101" s="36">
        <f t="shared" si="6"/>
        <v>0.315</v>
      </c>
      <c r="D101" s="36">
        <f t="shared" si="7"/>
        <v>6.3E-3</v>
      </c>
      <c r="E101" s="15" t="s">
        <v>31</v>
      </c>
    </row>
    <row r="102" spans="1:5">
      <c r="A102" s="2" t="s">
        <v>67</v>
      </c>
      <c r="B102" s="34">
        <v>0.57999999999999996</v>
      </c>
      <c r="C102" s="33">
        <f t="shared" si="6"/>
        <v>0.53499999999999992</v>
      </c>
      <c r="D102" s="33">
        <f t="shared" si="7"/>
        <v>1.0699999999999999E-2</v>
      </c>
      <c r="E102" s="3" t="s">
        <v>31</v>
      </c>
    </row>
    <row r="103" spans="1:5">
      <c r="A103" s="2" t="s">
        <v>67</v>
      </c>
      <c r="B103" s="34">
        <v>0.51</v>
      </c>
      <c r="C103" s="33">
        <f t="shared" si="6"/>
        <v>0.46500000000000002</v>
      </c>
      <c r="D103" s="33">
        <f t="shared" si="7"/>
        <v>9.300000000000001E-3</v>
      </c>
      <c r="E103" s="3" t="s">
        <v>31</v>
      </c>
    </row>
    <row r="104" spans="1:5">
      <c r="A104" s="2" t="s">
        <v>67</v>
      </c>
      <c r="B104" s="34">
        <v>0.37</v>
      </c>
      <c r="C104" s="33">
        <f t="shared" si="6"/>
        <v>0.32500000000000001</v>
      </c>
      <c r="D104" s="33">
        <f t="shared" si="7"/>
        <v>6.5000000000000006E-3</v>
      </c>
      <c r="E104" s="3" t="s">
        <v>31</v>
      </c>
    </row>
    <row r="105" spans="1:5">
      <c r="A105" s="12" t="s">
        <v>67</v>
      </c>
      <c r="B105" s="35">
        <v>0.37</v>
      </c>
      <c r="C105" s="36">
        <f t="shared" si="6"/>
        <v>0.32500000000000001</v>
      </c>
      <c r="D105" s="36">
        <f t="shared" si="7"/>
        <v>6.5000000000000006E-3</v>
      </c>
      <c r="E105" s="15" t="s">
        <v>31</v>
      </c>
    </row>
    <row r="106" spans="1:5">
      <c r="A106" s="2" t="s">
        <v>67</v>
      </c>
      <c r="B106" s="34">
        <v>0.55500000000000005</v>
      </c>
      <c r="C106" s="33">
        <f t="shared" si="6"/>
        <v>0.51</v>
      </c>
      <c r="D106" s="33">
        <f t="shared" si="7"/>
        <v>1.0200000000000001E-2</v>
      </c>
      <c r="E106" s="3" t="s">
        <v>31</v>
      </c>
    </row>
    <row r="107" spans="1:5">
      <c r="A107" s="2" t="s">
        <v>67</v>
      </c>
      <c r="B107" s="34">
        <v>0.48</v>
      </c>
      <c r="C107" s="33">
        <f t="shared" si="6"/>
        <v>0.435</v>
      </c>
      <c r="D107" s="33">
        <f t="shared" si="7"/>
        <v>8.6999999999999994E-3</v>
      </c>
      <c r="E107" s="3" t="s">
        <v>31</v>
      </c>
    </row>
    <row r="108" spans="1:5">
      <c r="A108" s="2" t="s">
        <v>67</v>
      </c>
      <c r="B108" s="34">
        <v>0.34</v>
      </c>
      <c r="C108" s="33">
        <f t="shared" si="6"/>
        <v>0.29500000000000004</v>
      </c>
      <c r="D108" s="33">
        <f t="shared" si="7"/>
        <v>5.9000000000000007E-3</v>
      </c>
      <c r="E108" s="3" t="s">
        <v>31</v>
      </c>
    </row>
    <row r="109" spans="1:5">
      <c r="A109" s="2" t="s">
        <v>67</v>
      </c>
      <c r="B109" s="34">
        <v>0.34</v>
      </c>
      <c r="C109" s="33">
        <f t="shared" si="6"/>
        <v>0.29500000000000004</v>
      </c>
      <c r="D109" s="33">
        <f t="shared" si="7"/>
        <v>5.9000000000000007E-3</v>
      </c>
      <c r="E109" s="3" t="s">
        <v>31</v>
      </c>
    </row>
    <row r="110" spans="1:5">
      <c r="A110" s="2" t="s">
        <v>67</v>
      </c>
      <c r="B110" s="34">
        <v>0.57499999999999996</v>
      </c>
      <c r="C110" s="33">
        <f t="shared" si="6"/>
        <v>0.52999999999999992</v>
      </c>
      <c r="D110" s="33">
        <f t="shared" si="7"/>
        <v>1.0599999999999998E-2</v>
      </c>
      <c r="E110" s="3" t="s">
        <v>31</v>
      </c>
    </row>
    <row r="111" spans="1:5">
      <c r="A111" s="2" t="s">
        <v>67</v>
      </c>
      <c r="B111" s="34">
        <v>0.5</v>
      </c>
      <c r="C111" s="33">
        <f t="shared" si="6"/>
        <v>0.45500000000000002</v>
      </c>
      <c r="D111" s="33">
        <f t="shared" si="7"/>
        <v>9.1000000000000004E-3</v>
      </c>
      <c r="E111" s="3" t="s">
        <v>31</v>
      </c>
    </row>
    <row r="112" spans="1:5">
      <c r="A112" s="2" t="s">
        <v>67</v>
      </c>
      <c r="B112" s="34">
        <v>0.36</v>
      </c>
      <c r="C112" s="33">
        <f t="shared" si="6"/>
        <v>0.315</v>
      </c>
      <c r="D112" s="33">
        <f t="shared" si="7"/>
        <v>6.3E-3</v>
      </c>
      <c r="E112" s="3" t="s">
        <v>31</v>
      </c>
    </row>
    <row r="113" spans="1:5">
      <c r="A113" s="2" t="s">
        <v>67</v>
      </c>
      <c r="B113" s="34">
        <v>0.36</v>
      </c>
      <c r="C113" s="33">
        <f t="shared" si="6"/>
        <v>0.315</v>
      </c>
      <c r="D113" s="33">
        <f t="shared" si="7"/>
        <v>6.3E-3</v>
      </c>
      <c r="E113" s="3" t="s">
        <v>31</v>
      </c>
    </row>
    <row r="114" spans="1:5">
      <c r="A114" s="2" t="s">
        <v>67</v>
      </c>
      <c r="B114" s="34">
        <v>0.57999999999999996</v>
      </c>
      <c r="C114" s="33">
        <f t="shared" si="6"/>
        <v>0.53499999999999992</v>
      </c>
      <c r="D114" s="33">
        <f t="shared" si="7"/>
        <v>1.0699999999999999E-2</v>
      </c>
      <c r="E114" s="3" t="s">
        <v>31</v>
      </c>
    </row>
    <row r="115" spans="1:5">
      <c r="A115" s="2" t="s">
        <v>67</v>
      </c>
      <c r="B115" s="34">
        <v>0.51</v>
      </c>
      <c r="C115" s="33">
        <f t="shared" si="6"/>
        <v>0.46500000000000002</v>
      </c>
      <c r="D115" s="33">
        <f t="shared" si="7"/>
        <v>9.300000000000001E-3</v>
      </c>
      <c r="E115" s="3" t="s">
        <v>31</v>
      </c>
    </row>
    <row r="116" spans="1:5">
      <c r="A116" s="2" t="s">
        <v>67</v>
      </c>
      <c r="B116" s="34">
        <v>0.37</v>
      </c>
      <c r="C116" s="33">
        <f t="shared" si="6"/>
        <v>0.32500000000000001</v>
      </c>
      <c r="D116" s="33">
        <f t="shared" si="7"/>
        <v>6.5000000000000006E-3</v>
      </c>
      <c r="E116" s="3" t="s">
        <v>31</v>
      </c>
    </row>
    <row r="117" spans="1:5">
      <c r="A117" s="12" t="s">
        <v>67</v>
      </c>
      <c r="B117" s="35">
        <v>0.37</v>
      </c>
      <c r="C117" s="36">
        <f t="shared" si="6"/>
        <v>0.32500000000000001</v>
      </c>
      <c r="D117" s="36">
        <f t="shared" si="7"/>
        <v>6.5000000000000006E-3</v>
      </c>
      <c r="E117" s="15" t="s">
        <v>31</v>
      </c>
    </row>
    <row r="118" spans="1:5">
      <c r="A118" s="21" t="s">
        <v>74</v>
      </c>
      <c r="B118" s="34">
        <v>0.3</v>
      </c>
      <c r="C118" s="33">
        <f t="shared" si="6"/>
        <v>0.255</v>
      </c>
      <c r="D118" s="33">
        <f t="shared" si="7"/>
        <v>5.1000000000000004E-3</v>
      </c>
      <c r="E118" s="16" t="s">
        <v>31</v>
      </c>
    </row>
    <row r="119" spans="1:5">
      <c r="A119" s="21" t="s">
        <v>74</v>
      </c>
      <c r="B119" s="34">
        <v>0.25</v>
      </c>
      <c r="C119" s="33">
        <f t="shared" si="6"/>
        <v>0.20500000000000002</v>
      </c>
      <c r="D119" s="33">
        <f t="shared" si="7"/>
        <v>4.1000000000000003E-3</v>
      </c>
      <c r="E119" s="16" t="s">
        <v>31</v>
      </c>
    </row>
    <row r="120" spans="1:5">
      <c r="A120" s="21" t="s">
        <v>74</v>
      </c>
      <c r="B120" s="35">
        <v>0.27500000000000002</v>
      </c>
      <c r="C120" s="36">
        <f t="shared" si="6"/>
        <v>0.23000000000000004</v>
      </c>
      <c r="D120" s="36">
        <f t="shared" si="7"/>
        <v>4.6000000000000008E-3</v>
      </c>
      <c r="E120" s="24" t="s">
        <v>31</v>
      </c>
    </row>
    <row r="121" spans="1:5">
      <c r="A121" s="21" t="s">
        <v>74</v>
      </c>
      <c r="B121" s="34">
        <v>0.25</v>
      </c>
      <c r="C121" s="33">
        <f t="shared" si="6"/>
        <v>0.20500000000000002</v>
      </c>
      <c r="D121" s="33">
        <f t="shared" si="7"/>
        <v>4.1000000000000003E-3</v>
      </c>
      <c r="E121" s="16" t="s">
        <v>31</v>
      </c>
    </row>
    <row r="122" spans="1:5">
      <c r="A122" s="21" t="s">
        <v>74</v>
      </c>
      <c r="B122" s="34">
        <v>0.2</v>
      </c>
      <c r="C122" s="33">
        <f t="shared" si="6"/>
        <v>0.15500000000000003</v>
      </c>
      <c r="D122" s="33">
        <f t="shared" si="7"/>
        <v>3.1000000000000008E-3</v>
      </c>
      <c r="E122" s="16" t="s">
        <v>31</v>
      </c>
    </row>
    <row r="123" spans="1:5">
      <c r="A123" s="17" t="s">
        <v>74</v>
      </c>
      <c r="B123" s="35">
        <v>0.22500000000000001</v>
      </c>
      <c r="C123" s="36">
        <f t="shared" si="6"/>
        <v>0.18</v>
      </c>
      <c r="D123" s="36">
        <f t="shared" si="7"/>
        <v>3.5999999999999999E-3</v>
      </c>
      <c r="E123" s="24" t="s">
        <v>31</v>
      </c>
    </row>
    <row r="124" spans="1:5">
      <c r="A124" s="17" t="s">
        <v>74</v>
      </c>
      <c r="B124" s="35">
        <v>0.28999999999999998</v>
      </c>
      <c r="C124" s="36">
        <f t="shared" si="6"/>
        <v>0.245</v>
      </c>
      <c r="D124" s="36">
        <f t="shared" si="7"/>
        <v>4.8999999999999998E-3</v>
      </c>
      <c r="E124" s="24" t="s">
        <v>31</v>
      </c>
    </row>
    <row r="125" spans="1:5">
      <c r="A125" s="17" t="s">
        <v>74</v>
      </c>
      <c r="B125" s="35">
        <v>0.5</v>
      </c>
      <c r="C125" s="36">
        <f t="shared" si="6"/>
        <v>0.45500000000000002</v>
      </c>
      <c r="D125" s="36">
        <f t="shared" si="7"/>
        <v>9.1000000000000004E-3</v>
      </c>
      <c r="E125" s="24" t="s">
        <v>31</v>
      </c>
    </row>
    <row r="126" spans="1:5">
      <c r="A126" s="17" t="s">
        <v>77</v>
      </c>
      <c r="B126" s="35">
        <v>0.3</v>
      </c>
      <c r="C126" s="36">
        <f t="shared" si="6"/>
        <v>0.255</v>
      </c>
      <c r="D126" s="36">
        <f t="shared" si="7"/>
        <v>5.1000000000000004E-3</v>
      </c>
      <c r="E126" s="24" t="s">
        <v>31</v>
      </c>
    </row>
    <row r="127" spans="1:5">
      <c r="A127" s="17" t="s">
        <v>77</v>
      </c>
      <c r="B127" s="35">
        <v>0.45</v>
      </c>
      <c r="C127" s="36">
        <f t="shared" si="6"/>
        <v>0.40500000000000003</v>
      </c>
      <c r="D127" s="36">
        <f t="shared" si="7"/>
        <v>8.1000000000000013E-3</v>
      </c>
      <c r="E127" s="24" t="s">
        <v>31</v>
      </c>
    </row>
    <row r="128" spans="1:5">
      <c r="A128" s="17" t="s">
        <v>77</v>
      </c>
      <c r="B128" s="35">
        <v>0.5</v>
      </c>
      <c r="C128" s="36">
        <f t="shared" si="6"/>
        <v>0.45500000000000002</v>
      </c>
      <c r="D128" s="36">
        <f t="shared" si="7"/>
        <v>9.1000000000000004E-3</v>
      </c>
      <c r="E128" s="24" t="s">
        <v>31</v>
      </c>
    </row>
    <row r="129" spans="1:5">
      <c r="A129" s="12" t="s">
        <v>74</v>
      </c>
      <c r="B129" s="35">
        <v>0.48</v>
      </c>
      <c r="C129" s="36">
        <f t="shared" si="6"/>
        <v>0.435</v>
      </c>
      <c r="D129" s="36">
        <f t="shared" si="7"/>
        <v>8.6999999999999994E-3</v>
      </c>
      <c r="E129" s="24" t="s">
        <v>31</v>
      </c>
    </row>
    <row r="130" spans="1:5">
      <c r="A130" s="12" t="s">
        <v>74</v>
      </c>
      <c r="B130" s="35">
        <v>0.51</v>
      </c>
      <c r="C130" s="36">
        <f t="shared" ref="C130:C161" si="8">B130-4.5%</f>
        <v>0.46500000000000002</v>
      </c>
      <c r="D130" s="36">
        <f t="shared" ref="D130:D161" si="9">C130*2%</f>
        <v>9.300000000000001E-3</v>
      </c>
      <c r="E130" s="24" t="s">
        <v>31</v>
      </c>
    </row>
    <row r="131" spans="1:5">
      <c r="A131" s="12" t="s">
        <v>74</v>
      </c>
      <c r="B131" s="35">
        <v>0.35499999999999998</v>
      </c>
      <c r="C131" s="36">
        <f t="shared" si="8"/>
        <v>0.31</v>
      </c>
      <c r="D131" s="36">
        <f t="shared" si="9"/>
        <v>6.1999999999999998E-3</v>
      </c>
      <c r="E131" s="24" t="s">
        <v>31</v>
      </c>
    </row>
    <row r="132" spans="1:5">
      <c r="A132" s="2" t="s">
        <v>74</v>
      </c>
      <c r="B132" s="34">
        <v>0.53</v>
      </c>
      <c r="C132" s="33">
        <f t="shared" si="8"/>
        <v>0.48500000000000004</v>
      </c>
      <c r="D132" s="33">
        <f t="shared" si="9"/>
        <v>9.7000000000000003E-3</v>
      </c>
      <c r="E132" s="16" t="s">
        <v>78</v>
      </c>
    </row>
    <row r="133" spans="1:5">
      <c r="A133" s="2" t="s">
        <v>74</v>
      </c>
      <c r="B133" s="34">
        <v>0.51500000000000001</v>
      </c>
      <c r="C133" s="33">
        <f t="shared" si="8"/>
        <v>0.47000000000000003</v>
      </c>
      <c r="D133" s="33">
        <f t="shared" si="9"/>
        <v>9.4000000000000004E-3</v>
      </c>
      <c r="E133" s="16" t="s">
        <v>78</v>
      </c>
    </row>
    <row r="134" spans="1:5">
      <c r="A134" s="12" t="s">
        <v>74</v>
      </c>
      <c r="B134" s="35">
        <v>0.43</v>
      </c>
      <c r="C134" s="36">
        <f t="shared" si="8"/>
        <v>0.38500000000000001</v>
      </c>
      <c r="D134" s="36">
        <f t="shared" si="9"/>
        <v>7.7000000000000002E-3</v>
      </c>
      <c r="E134" s="16" t="s">
        <v>78</v>
      </c>
    </row>
    <row r="135" spans="1:5">
      <c r="A135" s="17" t="s">
        <v>116</v>
      </c>
      <c r="B135" s="35">
        <v>0.18</v>
      </c>
      <c r="C135" s="36">
        <f t="shared" si="8"/>
        <v>0.13500000000000001</v>
      </c>
      <c r="D135" s="36">
        <f t="shared" si="9"/>
        <v>2.7000000000000001E-3</v>
      </c>
      <c r="E135" s="47" t="s">
        <v>29</v>
      </c>
    </row>
    <row r="136" spans="1:5">
      <c r="A136" s="17" t="s">
        <v>116</v>
      </c>
      <c r="B136" s="34">
        <v>0.15</v>
      </c>
      <c r="C136" s="49">
        <f t="shared" si="8"/>
        <v>0.105</v>
      </c>
      <c r="D136" s="49">
        <f t="shared" si="9"/>
        <v>2.0999999999999999E-3</v>
      </c>
      <c r="E136" s="47" t="s">
        <v>29</v>
      </c>
    </row>
    <row r="137" spans="1:5">
      <c r="A137" s="21" t="s">
        <v>116</v>
      </c>
      <c r="B137" s="34">
        <v>0.15</v>
      </c>
      <c r="C137" s="49">
        <f t="shared" si="8"/>
        <v>0.105</v>
      </c>
      <c r="D137" s="49">
        <f t="shared" si="9"/>
        <v>2.0999999999999999E-3</v>
      </c>
      <c r="E137" s="51" t="s">
        <v>29</v>
      </c>
    </row>
    <row r="138" spans="1:5">
      <c r="A138" s="21" t="s">
        <v>116</v>
      </c>
      <c r="B138" s="35">
        <v>0.1</v>
      </c>
      <c r="C138" s="53">
        <f t="shared" si="8"/>
        <v>5.5000000000000007E-2</v>
      </c>
      <c r="D138" s="53">
        <f t="shared" si="9"/>
        <v>1.1000000000000001E-3</v>
      </c>
      <c r="E138" s="24" t="s">
        <v>31</v>
      </c>
    </row>
    <row r="139" spans="1:5">
      <c r="A139" s="21" t="s">
        <v>116</v>
      </c>
      <c r="B139" s="35">
        <v>0.25</v>
      </c>
      <c r="C139" s="53">
        <f t="shared" si="8"/>
        <v>0.20500000000000002</v>
      </c>
      <c r="D139" s="53">
        <f t="shared" si="9"/>
        <v>4.1000000000000003E-3</v>
      </c>
      <c r="E139" s="51" t="s">
        <v>29</v>
      </c>
    </row>
    <row r="140" spans="1:5">
      <c r="A140" s="21" t="s">
        <v>116</v>
      </c>
      <c r="B140" s="34">
        <v>0.25</v>
      </c>
      <c r="C140" s="49">
        <f t="shared" si="8"/>
        <v>0.20500000000000002</v>
      </c>
      <c r="D140" s="49">
        <f t="shared" si="9"/>
        <v>4.1000000000000003E-3</v>
      </c>
      <c r="E140" s="51" t="s">
        <v>29</v>
      </c>
    </row>
    <row r="141" spans="1:5">
      <c r="A141" s="21" t="s">
        <v>116</v>
      </c>
      <c r="B141" s="35">
        <v>0.19500000000000001</v>
      </c>
      <c r="C141" s="53">
        <f t="shared" si="8"/>
        <v>0.15000000000000002</v>
      </c>
      <c r="D141" s="53">
        <f t="shared" si="9"/>
        <v>3.0000000000000005E-3</v>
      </c>
      <c r="E141" s="24" t="s">
        <v>31</v>
      </c>
    </row>
    <row r="142" spans="1:5">
      <c r="A142" s="21" t="s">
        <v>116</v>
      </c>
      <c r="B142" s="34">
        <v>0.19500000000000001</v>
      </c>
      <c r="C142" s="49">
        <f t="shared" si="8"/>
        <v>0.15000000000000002</v>
      </c>
      <c r="D142" s="49">
        <f t="shared" si="9"/>
        <v>3.0000000000000005E-3</v>
      </c>
      <c r="E142" s="16" t="s">
        <v>31</v>
      </c>
    </row>
    <row r="143" spans="1:5">
      <c r="A143" s="21" t="s">
        <v>116</v>
      </c>
      <c r="B143" s="35">
        <v>0.15</v>
      </c>
      <c r="C143" s="53">
        <f t="shared" si="8"/>
        <v>0.105</v>
      </c>
      <c r="D143" s="53">
        <f t="shared" si="9"/>
        <v>2.0999999999999999E-3</v>
      </c>
      <c r="E143" s="24" t="s">
        <v>31</v>
      </c>
    </row>
    <row r="144" spans="1:5">
      <c r="A144" s="21" t="s">
        <v>116</v>
      </c>
      <c r="B144" s="34">
        <v>0.1</v>
      </c>
      <c r="C144" s="49">
        <f t="shared" si="8"/>
        <v>5.5000000000000007E-2</v>
      </c>
      <c r="D144" s="49">
        <f t="shared" si="9"/>
        <v>1.1000000000000001E-3</v>
      </c>
      <c r="E144" s="16" t="s">
        <v>31</v>
      </c>
    </row>
    <row r="145" spans="1:5">
      <c r="A145" s="21" t="s">
        <v>116</v>
      </c>
      <c r="B145" s="35">
        <v>0.27</v>
      </c>
      <c r="C145" s="53">
        <f t="shared" si="8"/>
        <v>0.22500000000000003</v>
      </c>
      <c r="D145" s="53">
        <f t="shared" si="9"/>
        <v>4.5000000000000005E-3</v>
      </c>
      <c r="E145" s="16" t="s">
        <v>31</v>
      </c>
    </row>
    <row r="146" spans="1:5">
      <c r="A146" s="21" t="s">
        <v>116</v>
      </c>
      <c r="B146" s="35">
        <v>0.35</v>
      </c>
      <c r="C146" s="53">
        <f t="shared" si="8"/>
        <v>0.30499999999999999</v>
      </c>
      <c r="D146" s="53">
        <f t="shared" si="9"/>
        <v>6.1000000000000004E-3</v>
      </c>
      <c r="E146" s="16" t="s">
        <v>31</v>
      </c>
    </row>
    <row r="147" spans="1:5">
      <c r="A147" s="21" t="s">
        <v>116</v>
      </c>
      <c r="B147" s="35">
        <v>0.32</v>
      </c>
      <c r="C147" s="53">
        <f t="shared" si="8"/>
        <v>0.27500000000000002</v>
      </c>
      <c r="D147" s="53">
        <f t="shared" si="9"/>
        <v>5.5000000000000005E-3</v>
      </c>
      <c r="E147" s="16" t="s">
        <v>31</v>
      </c>
    </row>
    <row r="148" spans="1:5">
      <c r="A148" s="21" t="s">
        <v>116</v>
      </c>
      <c r="B148" s="35">
        <v>0.17499999999999999</v>
      </c>
      <c r="C148" s="53">
        <f t="shared" si="8"/>
        <v>0.13</v>
      </c>
      <c r="D148" s="53">
        <f t="shared" si="9"/>
        <v>2.6000000000000003E-3</v>
      </c>
      <c r="E148" s="16" t="s">
        <v>31</v>
      </c>
    </row>
    <row r="149" spans="1:5">
      <c r="A149" s="21" t="s">
        <v>116</v>
      </c>
      <c r="B149" s="35">
        <v>0.4</v>
      </c>
      <c r="C149" s="53">
        <f t="shared" si="8"/>
        <v>0.35500000000000004</v>
      </c>
      <c r="D149" s="53">
        <f t="shared" si="9"/>
        <v>7.1000000000000013E-3</v>
      </c>
      <c r="E149" s="16" t="s">
        <v>31</v>
      </c>
    </row>
    <row r="150" spans="1:5">
      <c r="A150" s="21" t="s">
        <v>116</v>
      </c>
      <c r="B150" s="34">
        <v>0.31</v>
      </c>
      <c r="C150" s="49">
        <f t="shared" si="8"/>
        <v>0.26500000000000001</v>
      </c>
      <c r="D150" s="49">
        <f t="shared" si="9"/>
        <v>5.3E-3</v>
      </c>
      <c r="E150" s="16" t="s">
        <v>31</v>
      </c>
    </row>
    <row r="151" spans="1:5">
      <c r="A151" s="21" t="s">
        <v>116</v>
      </c>
      <c r="B151" s="35">
        <v>0.65</v>
      </c>
      <c r="C151" s="53">
        <f t="shared" si="8"/>
        <v>0.60499999999999998</v>
      </c>
      <c r="D151" s="53">
        <f t="shared" si="9"/>
        <v>1.21E-2</v>
      </c>
      <c r="E151" s="16" t="s">
        <v>31</v>
      </c>
    </row>
    <row r="152" spans="1:5">
      <c r="A152" s="21" t="s">
        <v>116</v>
      </c>
      <c r="B152" s="34">
        <v>0.7</v>
      </c>
      <c r="C152" s="49">
        <f t="shared" si="8"/>
        <v>0.65499999999999992</v>
      </c>
      <c r="D152" s="49">
        <f t="shared" si="9"/>
        <v>1.3099999999999999E-2</v>
      </c>
      <c r="E152" s="16" t="s">
        <v>31</v>
      </c>
    </row>
    <row r="153" spans="1:5">
      <c r="A153" s="21" t="s">
        <v>116</v>
      </c>
      <c r="B153" s="35">
        <v>0.6</v>
      </c>
      <c r="C153" s="53">
        <f t="shared" si="8"/>
        <v>0.55499999999999994</v>
      </c>
      <c r="D153" s="53">
        <f t="shared" si="9"/>
        <v>1.1099999999999999E-2</v>
      </c>
      <c r="E153" s="16" t="s">
        <v>31</v>
      </c>
    </row>
    <row r="154" spans="1:5">
      <c r="A154" s="21" t="s">
        <v>116</v>
      </c>
      <c r="B154" s="35">
        <v>0.5</v>
      </c>
      <c r="C154" s="53">
        <f t="shared" si="8"/>
        <v>0.45500000000000002</v>
      </c>
      <c r="D154" s="53">
        <f t="shared" si="9"/>
        <v>9.1000000000000004E-3</v>
      </c>
      <c r="E154" s="16" t="s">
        <v>31</v>
      </c>
    </row>
    <row r="155" spans="1:5">
      <c r="A155" s="21" t="s">
        <v>116</v>
      </c>
      <c r="B155" s="35">
        <v>0.4</v>
      </c>
      <c r="C155" s="53">
        <f t="shared" si="8"/>
        <v>0.35500000000000004</v>
      </c>
      <c r="D155" s="53">
        <f t="shared" si="9"/>
        <v>7.1000000000000013E-3</v>
      </c>
      <c r="E155" s="24" t="s">
        <v>29</v>
      </c>
    </row>
    <row r="156" spans="1:5">
      <c r="A156" s="21" t="s">
        <v>116</v>
      </c>
      <c r="B156" s="35">
        <v>0.42</v>
      </c>
      <c r="C156" s="53">
        <f t="shared" si="8"/>
        <v>0.375</v>
      </c>
      <c r="D156" s="53">
        <f t="shared" si="9"/>
        <v>7.4999999999999997E-3</v>
      </c>
      <c r="E156" s="24" t="s">
        <v>31</v>
      </c>
    </row>
    <row r="157" spans="1:5">
      <c r="A157" s="21" t="s">
        <v>116</v>
      </c>
      <c r="B157" s="35">
        <v>0.47</v>
      </c>
      <c r="C157" s="53">
        <f t="shared" si="8"/>
        <v>0.42499999999999999</v>
      </c>
      <c r="D157" s="53">
        <f t="shared" si="9"/>
        <v>8.5000000000000006E-3</v>
      </c>
      <c r="E157" s="24" t="s">
        <v>29</v>
      </c>
    </row>
    <row r="158" spans="1:5">
      <c r="A158" s="21" t="s">
        <v>116</v>
      </c>
      <c r="B158" s="34">
        <v>0.45</v>
      </c>
      <c r="C158" s="49">
        <f t="shared" si="8"/>
        <v>0.40500000000000003</v>
      </c>
      <c r="D158" s="49">
        <f t="shared" si="9"/>
        <v>8.1000000000000013E-3</v>
      </c>
      <c r="E158" s="16" t="s">
        <v>101</v>
      </c>
    </row>
    <row r="159" spans="1:5">
      <c r="A159" s="21" t="s">
        <v>116</v>
      </c>
      <c r="B159" s="35">
        <v>0.24</v>
      </c>
      <c r="C159" s="53">
        <f t="shared" si="8"/>
        <v>0.19500000000000001</v>
      </c>
      <c r="D159" s="53">
        <f t="shared" si="9"/>
        <v>3.9000000000000003E-3</v>
      </c>
      <c r="E159" s="24" t="s">
        <v>31</v>
      </c>
    </row>
    <row r="160" spans="1:5">
      <c r="A160" s="21" t="s">
        <v>116</v>
      </c>
      <c r="B160" s="34">
        <v>0.3</v>
      </c>
      <c r="C160" s="49">
        <f t="shared" si="8"/>
        <v>0.255</v>
      </c>
      <c r="D160" s="49">
        <f t="shared" si="9"/>
        <v>5.1000000000000004E-3</v>
      </c>
      <c r="E160" s="16" t="s">
        <v>31</v>
      </c>
    </row>
    <row r="161" spans="1:5">
      <c r="A161" s="21" t="s">
        <v>116</v>
      </c>
      <c r="B161" s="35">
        <v>0.15</v>
      </c>
      <c r="C161" s="53">
        <f t="shared" si="8"/>
        <v>0.105</v>
      </c>
      <c r="D161" s="53">
        <f t="shared" si="9"/>
        <v>2.0999999999999999E-3</v>
      </c>
      <c r="E161" s="24" t="s">
        <v>31</v>
      </c>
    </row>
    <row r="162" spans="1:5">
      <c r="A162" s="21" t="s">
        <v>116</v>
      </c>
      <c r="B162" s="34">
        <v>0.20499999999999999</v>
      </c>
      <c r="C162" s="49">
        <f t="shared" ref="C162:C193" si="10">B162-4.5%</f>
        <v>0.15999999999999998</v>
      </c>
      <c r="D162" s="49">
        <f t="shared" ref="D162:D193" si="11">C162*2%</f>
        <v>3.1999999999999997E-3</v>
      </c>
      <c r="E162" s="16" t="s">
        <v>31</v>
      </c>
    </row>
    <row r="163" spans="1:5">
      <c r="A163" s="21" t="s">
        <v>116</v>
      </c>
      <c r="B163" s="35">
        <v>0.47499999999999998</v>
      </c>
      <c r="C163" s="53">
        <f t="shared" si="10"/>
        <v>0.43</v>
      </c>
      <c r="D163" s="53">
        <f t="shared" si="11"/>
        <v>8.6E-3</v>
      </c>
      <c r="E163" s="24" t="s">
        <v>31</v>
      </c>
    </row>
    <row r="164" spans="1:5">
      <c r="A164" s="21" t="s">
        <v>116</v>
      </c>
      <c r="B164" s="35">
        <v>0.4</v>
      </c>
      <c r="C164" s="53">
        <f t="shared" si="10"/>
        <v>0.35500000000000004</v>
      </c>
      <c r="D164" s="53">
        <f t="shared" si="11"/>
        <v>7.1000000000000013E-3</v>
      </c>
      <c r="E164" s="24" t="s">
        <v>31</v>
      </c>
    </row>
    <row r="165" spans="1:5">
      <c r="A165" s="21" t="s">
        <v>116</v>
      </c>
      <c r="B165" s="35">
        <v>0.55000000000000004</v>
      </c>
      <c r="C165" s="53">
        <f t="shared" si="10"/>
        <v>0.505</v>
      </c>
      <c r="D165" s="53">
        <f t="shared" si="11"/>
        <v>1.01E-2</v>
      </c>
      <c r="E165" s="24" t="s">
        <v>114</v>
      </c>
    </row>
    <row r="166" spans="1:5">
      <c r="A166" s="21" t="s">
        <v>116</v>
      </c>
      <c r="B166" s="35">
        <v>0.4</v>
      </c>
      <c r="C166" s="53">
        <f t="shared" si="10"/>
        <v>0.35500000000000004</v>
      </c>
      <c r="D166" s="53">
        <f t="shared" si="11"/>
        <v>7.1000000000000013E-3</v>
      </c>
      <c r="E166" s="24" t="s">
        <v>31</v>
      </c>
    </row>
    <row r="167" spans="1:5">
      <c r="A167" s="21" t="s">
        <v>116</v>
      </c>
      <c r="B167" s="35">
        <v>0.2</v>
      </c>
      <c r="C167" s="53">
        <f t="shared" si="10"/>
        <v>0.15500000000000003</v>
      </c>
      <c r="D167" s="53">
        <f t="shared" si="11"/>
        <v>3.1000000000000008E-3</v>
      </c>
      <c r="E167" s="24" t="s">
        <v>31</v>
      </c>
    </row>
    <row r="168" spans="1:5">
      <c r="A168" s="21" t="s">
        <v>116</v>
      </c>
      <c r="B168" s="35">
        <v>0.4</v>
      </c>
      <c r="C168" s="53">
        <f t="shared" si="10"/>
        <v>0.35500000000000004</v>
      </c>
      <c r="D168" s="53">
        <f t="shared" si="11"/>
        <v>7.1000000000000013E-3</v>
      </c>
      <c r="E168" s="24" t="s">
        <v>31</v>
      </c>
    </row>
    <row r="169" spans="1:5">
      <c r="A169" s="21" t="s">
        <v>116</v>
      </c>
      <c r="B169" s="35">
        <v>0.22500000000000001</v>
      </c>
      <c r="C169" s="53">
        <f t="shared" si="10"/>
        <v>0.18</v>
      </c>
      <c r="D169" s="53">
        <f t="shared" si="11"/>
        <v>3.5999999999999999E-3</v>
      </c>
      <c r="E169" s="24" t="s">
        <v>31</v>
      </c>
    </row>
    <row r="170" spans="1:5">
      <c r="A170" s="21" t="s">
        <v>116</v>
      </c>
      <c r="B170" s="34">
        <v>2.5000000000000001E-2</v>
      </c>
      <c r="C170" s="49">
        <f t="shared" si="10"/>
        <v>-1.9999999999999997E-2</v>
      </c>
      <c r="D170" s="49">
        <f t="shared" si="11"/>
        <v>-3.9999999999999996E-4</v>
      </c>
      <c r="E170" s="16" t="s">
        <v>31</v>
      </c>
    </row>
    <row r="171" spans="1:5">
      <c r="A171" s="21" t="s">
        <v>116</v>
      </c>
      <c r="B171" s="35">
        <v>0.5</v>
      </c>
      <c r="C171" s="53">
        <f t="shared" si="10"/>
        <v>0.45500000000000002</v>
      </c>
      <c r="D171" s="53">
        <f t="shared" si="11"/>
        <v>9.1000000000000004E-3</v>
      </c>
      <c r="E171" s="16" t="s">
        <v>31</v>
      </c>
    </row>
    <row r="172" spans="1:5">
      <c r="A172" s="21" t="s">
        <v>116</v>
      </c>
      <c r="B172" s="35">
        <v>0.06</v>
      </c>
      <c r="C172" s="53">
        <f t="shared" si="10"/>
        <v>1.4999999999999999E-2</v>
      </c>
      <c r="D172" s="53">
        <f t="shared" si="11"/>
        <v>2.9999999999999997E-4</v>
      </c>
      <c r="E172" s="16" t="s">
        <v>31</v>
      </c>
    </row>
    <row r="173" spans="1:5">
      <c r="A173" s="21" t="s">
        <v>116</v>
      </c>
      <c r="B173" s="35">
        <v>0.08</v>
      </c>
      <c r="C173" s="53">
        <f t="shared" si="10"/>
        <v>3.5000000000000003E-2</v>
      </c>
      <c r="D173" s="53">
        <f t="shared" si="11"/>
        <v>7.000000000000001E-4</v>
      </c>
      <c r="E173" s="16" t="s">
        <v>31</v>
      </c>
    </row>
    <row r="174" spans="1:5">
      <c r="A174" s="21" t="s">
        <v>116</v>
      </c>
      <c r="B174" s="35">
        <v>0.4</v>
      </c>
      <c r="C174" s="53">
        <f t="shared" si="10"/>
        <v>0.35500000000000004</v>
      </c>
      <c r="D174" s="53">
        <f t="shared" si="11"/>
        <v>7.1000000000000013E-3</v>
      </c>
      <c r="E174" s="16" t="s">
        <v>31</v>
      </c>
    </row>
    <row r="175" spans="1:5">
      <c r="A175" s="21" t="s">
        <v>116</v>
      </c>
      <c r="B175" s="35">
        <v>7.4999999999999997E-2</v>
      </c>
      <c r="C175" s="53">
        <f t="shared" si="10"/>
        <v>0.03</v>
      </c>
      <c r="D175" s="53">
        <f t="shared" si="11"/>
        <v>5.9999999999999995E-4</v>
      </c>
      <c r="E175" s="16" t="s">
        <v>31</v>
      </c>
    </row>
    <row r="176" spans="1:5">
      <c r="A176" s="21" t="s">
        <v>116</v>
      </c>
      <c r="B176" s="35">
        <v>0.03</v>
      </c>
      <c r="C176" s="53">
        <f t="shared" si="10"/>
        <v>-1.4999999999999999E-2</v>
      </c>
      <c r="D176" s="53">
        <f t="shared" si="11"/>
        <v>-2.9999999999999997E-4</v>
      </c>
      <c r="E176" s="16" t="s">
        <v>31</v>
      </c>
    </row>
    <row r="177" spans="1:5">
      <c r="A177" s="21" t="s">
        <v>116</v>
      </c>
      <c r="B177" s="35">
        <v>0.47499999999999998</v>
      </c>
      <c r="C177" s="53">
        <f t="shared" si="10"/>
        <v>0.43</v>
      </c>
      <c r="D177" s="53">
        <f t="shared" si="11"/>
        <v>8.6E-3</v>
      </c>
      <c r="E177" s="16" t="s">
        <v>31</v>
      </c>
    </row>
    <row r="178" spans="1:5">
      <c r="A178" s="21" t="s">
        <v>116</v>
      </c>
      <c r="B178" s="35">
        <v>0.17</v>
      </c>
      <c r="C178" s="53">
        <f t="shared" si="10"/>
        <v>0.125</v>
      </c>
      <c r="D178" s="53">
        <f t="shared" si="11"/>
        <v>2.5000000000000001E-3</v>
      </c>
      <c r="E178" s="16" t="s">
        <v>31</v>
      </c>
    </row>
    <row r="179" spans="1:5">
      <c r="A179" s="21" t="s">
        <v>116</v>
      </c>
      <c r="B179" s="35">
        <v>0.18</v>
      </c>
      <c r="C179" s="53">
        <f t="shared" si="10"/>
        <v>0.13500000000000001</v>
      </c>
      <c r="D179" s="53">
        <f t="shared" si="11"/>
        <v>2.7000000000000001E-3</v>
      </c>
      <c r="E179" s="16" t="s">
        <v>31</v>
      </c>
    </row>
    <row r="180" spans="1:5">
      <c r="A180" s="21" t="s">
        <v>116</v>
      </c>
      <c r="B180" s="35">
        <v>0.45</v>
      </c>
      <c r="C180" s="53">
        <f t="shared" si="10"/>
        <v>0.40500000000000003</v>
      </c>
      <c r="D180" s="53">
        <f t="shared" si="11"/>
        <v>8.1000000000000013E-3</v>
      </c>
      <c r="E180" s="16" t="s">
        <v>31</v>
      </c>
    </row>
    <row r="181" spans="1:5">
      <c r="A181" s="21" t="s">
        <v>116</v>
      </c>
      <c r="B181" s="35">
        <v>0.55000000000000004</v>
      </c>
      <c r="C181" s="53">
        <f t="shared" si="10"/>
        <v>0.505</v>
      </c>
      <c r="D181" s="53">
        <f t="shared" si="11"/>
        <v>1.01E-2</v>
      </c>
      <c r="E181" s="16" t="s">
        <v>31</v>
      </c>
    </row>
    <row r="182" spans="1:5">
      <c r="A182" s="21" t="s">
        <v>116</v>
      </c>
      <c r="B182" s="35">
        <v>0.42499999999999999</v>
      </c>
      <c r="C182" s="53">
        <f t="shared" si="10"/>
        <v>0.38</v>
      </c>
      <c r="D182" s="53">
        <f t="shared" si="11"/>
        <v>7.6E-3</v>
      </c>
      <c r="E182" s="16" t="s">
        <v>31</v>
      </c>
    </row>
    <row r="183" spans="1:5">
      <c r="A183" s="21" t="s">
        <v>116</v>
      </c>
      <c r="B183" s="35">
        <v>0.3</v>
      </c>
      <c r="C183" s="53">
        <f t="shared" si="10"/>
        <v>0.255</v>
      </c>
      <c r="D183" s="53">
        <f t="shared" si="11"/>
        <v>5.1000000000000004E-3</v>
      </c>
      <c r="E183" s="16" t="s">
        <v>64</v>
      </c>
    </row>
    <row r="184" spans="1:5">
      <c r="A184" s="21" t="s">
        <v>116</v>
      </c>
      <c r="B184" s="35">
        <v>0.47499999999999998</v>
      </c>
      <c r="C184" s="53">
        <f t="shared" si="10"/>
        <v>0.43</v>
      </c>
      <c r="D184" s="53">
        <f t="shared" si="11"/>
        <v>8.6E-3</v>
      </c>
      <c r="E184" s="24" t="s">
        <v>31</v>
      </c>
    </row>
    <row r="185" spans="1:5">
      <c r="A185" s="21" t="s">
        <v>116</v>
      </c>
      <c r="B185" s="35">
        <v>0.55000000000000004</v>
      </c>
      <c r="C185" s="53">
        <f t="shared" si="10"/>
        <v>0.505</v>
      </c>
      <c r="D185" s="53">
        <f t="shared" si="11"/>
        <v>1.01E-2</v>
      </c>
      <c r="E185" s="2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2026-01-28T09:38:00Z</dcterms:created>
  <dcterms:modified xsi:type="dcterms:W3CDTF">2026-02-04T11:34:50Z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307D76046D1F4A90A23CFD8D766973A1_12</vt:lpwstr>
  </property>
  <property fmtid="{D5CDD505-2E9C-101B-9397-08002B2CF9AE}" pid="3" name="KSOProductBuildVer">
    <vt:lpwstr>1033-12.2.0.23196</vt:lpwstr>
  </property>
</Properties>
</file>